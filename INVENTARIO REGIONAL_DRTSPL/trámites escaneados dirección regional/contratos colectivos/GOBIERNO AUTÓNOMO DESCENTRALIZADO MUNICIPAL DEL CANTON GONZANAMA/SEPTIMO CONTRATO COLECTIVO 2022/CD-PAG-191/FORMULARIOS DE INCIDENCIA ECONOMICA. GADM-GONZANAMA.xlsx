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1715" windowHeight="11385" activeTab="6"/>
  </bookViews>
  <sheets>
    <sheet name="FORMULARIO 1" sheetId="6" r:id="rId1"/>
    <sheet name="FORMULARIO 2" sheetId="7" r:id="rId2"/>
    <sheet name="FORMULARIO 3" sheetId="5" r:id="rId3"/>
    <sheet name="ANEXO F3-AÑO 2016" sheetId="1" r:id="rId4"/>
    <sheet name="ANEXO F3 AÑO 2017" sheetId="2" r:id="rId5"/>
    <sheet name="ANEXO F3 AÑO2018" sheetId="3" r:id="rId6"/>
    <sheet name="FORMULARIO 4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2" i="8" l="1"/>
  <c r="G112" i="8"/>
  <c r="F112" i="8"/>
  <c r="E112" i="8"/>
  <c r="D112" i="8"/>
  <c r="C112" i="8"/>
  <c r="H110" i="8"/>
  <c r="G110" i="8"/>
  <c r="G109" i="8" s="1"/>
  <c r="F110" i="8"/>
  <c r="E110" i="8"/>
  <c r="E109" i="8" s="1"/>
  <c r="D110" i="8"/>
  <c r="C110" i="8"/>
  <c r="H107" i="8"/>
  <c r="G107" i="8"/>
  <c r="F107" i="8"/>
  <c r="E107" i="8"/>
  <c r="E102" i="8" s="1"/>
  <c r="D107" i="8"/>
  <c r="C107" i="8"/>
  <c r="H105" i="8"/>
  <c r="G105" i="8"/>
  <c r="F105" i="8"/>
  <c r="E105" i="8"/>
  <c r="D105" i="8"/>
  <c r="C105" i="8"/>
  <c r="H103" i="8"/>
  <c r="G103" i="8"/>
  <c r="F103" i="8"/>
  <c r="E103" i="8"/>
  <c r="D103" i="8"/>
  <c r="C103" i="8"/>
  <c r="H96" i="8"/>
  <c r="G96" i="8"/>
  <c r="F96" i="8"/>
  <c r="E96" i="8"/>
  <c r="D96" i="8"/>
  <c r="C96" i="8"/>
  <c r="H94" i="8"/>
  <c r="G94" i="8"/>
  <c r="F94" i="8"/>
  <c r="E94" i="8"/>
  <c r="D94" i="8"/>
  <c r="H91" i="8"/>
  <c r="G91" i="8"/>
  <c r="F91" i="8"/>
  <c r="E91" i="8"/>
  <c r="D91" i="8"/>
  <c r="C91" i="8"/>
  <c r="H88" i="8"/>
  <c r="G88" i="8"/>
  <c r="F88" i="8"/>
  <c r="E88" i="8"/>
  <c r="D88" i="8"/>
  <c r="C88" i="8"/>
  <c r="H77" i="8"/>
  <c r="G77" i="8"/>
  <c r="F77" i="8"/>
  <c r="E77" i="8"/>
  <c r="D77" i="8"/>
  <c r="C77" i="8"/>
  <c r="H69" i="8"/>
  <c r="G69" i="8"/>
  <c r="F69" i="8"/>
  <c r="E69" i="8"/>
  <c r="D69" i="8"/>
  <c r="C69" i="8"/>
  <c r="H63" i="8"/>
  <c r="G63" i="8"/>
  <c r="F63" i="8"/>
  <c r="E63" i="8"/>
  <c r="D63" i="8"/>
  <c r="C63" i="8"/>
  <c r="H60" i="8"/>
  <c r="G60" i="8"/>
  <c r="F60" i="8"/>
  <c r="F59" i="8" s="1"/>
  <c r="E60" i="8"/>
  <c r="D60" i="8"/>
  <c r="C60" i="8"/>
  <c r="H55" i="8"/>
  <c r="G55" i="8"/>
  <c r="F55" i="8"/>
  <c r="E55" i="8"/>
  <c r="D55" i="8"/>
  <c r="C55" i="8"/>
  <c r="H52" i="8"/>
  <c r="G52" i="8"/>
  <c r="F52" i="8"/>
  <c r="E52" i="8"/>
  <c r="D52" i="8"/>
  <c r="C52" i="8"/>
  <c r="H49" i="8"/>
  <c r="G49" i="8"/>
  <c r="F49" i="8"/>
  <c r="E49" i="8"/>
  <c r="D49" i="8"/>
  <c r="C49" i="8"/>
  <c r="H39" i="8"/>
  <c r="G39" i="8"/>
  <c r="F39" i="8"/>
  <c r="E39" i="8"/>
  <c r="D39" i="8"/>
  <c r="C39" i="8"/>
  <c r="H32" i="8"/>
  <c r="G32" i="8"/>
  <c r="F32" i="8"/>
  <c r="E32" i="8"/>
  <c r="D32" i="8"/>
  <c r="C32" i="8"/>
  <c r="H29" i="8"/>
  <c r="G29" i="8"/>
  <c r="F29" i="8"/>
  <c r="E29" i="8"/>
  <c r="D29" i="8"/>
  <c r="C29" i="8"/>
  <c r="H26" i="8"/>
  <c r="G26" i="8"/>
  <c r="F26" i="8"/>
  <c r="E26" i="8"/>
  <c r="D26" i="8"/>
  <c r="C26" i="8"/>
  <c r="H22" i="8"/>
  <c r="G22" i="8"/>
  <c r="F22" i="8"/>
  <c r="E22" i="8"/>
  <c r="D22" i="8"/>
  <c r="C22" i="8"/>
  <c r="H19" i="8"/>
  <c r="G19" i="8"/>
  <c r="F19" i="8"/>
  <c r="E19" i="8"/>
  <c r="D19" i="8"/>
  <c r="C19" i="8"/>
  <c r="H16" i="8"/>
  <c r="G16" i="8"/>
  <c r="F16" i="8"/>
  <c r="E16" i="8"/>
  <c r="D16" i="8"/>
  <c r="C16" i="8"/>
  <c r="H11" i="8"/>
  <c r="G11" i="8"/>
  <c r="F11" i="8"/>
  <c r="E11" i="8"/>
  <c r="D11" i="8"/>
  <c r="C11" i="8"/>
  <c r="E29" i="7"/>
  <c r="D29" i="7"/>
  <c r="C29" i="7"/>
  <c r="H31" i="8" l="1"/>
  <c r="C59" i="8"/>
  <c r="D102" i="8"/>
  <c r="C31" i="8"/>
  <c r="D59" i="8"/>
  <c r="G102" i="8"/>
  <c r="G114" i="8" s="1"/>
  <c r="C109" i="8"/>
  <c r="G10" i="8"/>
  <c r="D68" i="8"/>
  <c r="D100" i="8" s="1"/>
  <c r="D109" i="8"/>
  <c r="C10" i="8"/>
  <c r="C58" i="8" s="1"/>
  <c r="D31" i="8"/>
  <c r="D10" i="8"/>
  <c r="D58" i="8" s="1"/>
  <c r="H10" i="8"/>
  <c r="G31" i="8"/>
  <c r="E31" i="8"/>
  <c r="E10" i="8"/>
  <c r="F10" i="8"/>
  <c r="H59" i="8"/>
  <c r="C68" i="8"/>
  <c r="E68" i="8"/>
  <c r="F102" i="8"/>
  <c r="H102" i="8"/>
  <c r="F31" i="8"/>
  <c r="F68" i="8"/>
  <c r="F100" i="8" s="1"/>
  <c r="G68" i="8"/>
  <c r="E114" i="8"/>
  <c r="E59" i="8"/>
  <c r="G59" i="8"/>
  <c r="H68" i="8"/>
  <c r="C102" i="8"/>
  <c r="C114" i="8" s="1"/>
  <c r="F109" i="8"/>
  <c r="H109" i="8"/>
  <c r="M102" i="3"/>
  <c r="L102" i="3"/>
  <c r="M102" i="2"/>
  <c r="L102" i="2"/>
  <c r="M102" i="1"/>
  <c r="L102" i="1"/>
  <c r="E100" i="8" l="1"/>
  <c r="H58" i="8"/>
  <c r="H114" i="8"/>
  <c r="G58" i="8"/>
  <c r="G100" i="8"/>
  <c r="F114" i="8"/>
  <c r="C100" i="8"/>
  <c r="C101" i="8" s="1"/>
  <c r="D101" i="8"/>
  <c r="H100" i="8"/>
  <c r="D114" i="8"/>
  <c r="F58" i="8"/>
  <c r="F101" i="8" s="1"/>
  <c r="E58" i="8"/>
  <c r="E101" i="8" s="1"/>
  <c r="O102" i="3"/>
  <c r="N102" i="3"/>
  <c r="K102" i="3"/>
  <c r="H102" i="3"/>
  <c r="F102" i="3"/>
  <c r="E102" i="3"/>
  <c r="C102" i="3"/>
  <c r="K101" i="3"/>
  <c r="J101" i="3"/>
  <c r="I101" i="3"/>
  <c r="G101" i="3"/>
  <c r="D101" i="3"/>
  <c r="K100" i="3"/>
  <c r="J100" i="3"/>
  <c r="I100" i="3"/>
  <c r="G100" i="3"/>
  <c r="D100" i="3"/>
  <c r="P100" i="3" s="1"/>
  <c r="P99" i="3"/>
  <c r="K99" i="3"/>
  <c r="J99" i="3"/>
  <c r="I99" i="3"/>
  <c r="G99" i="3"/>
  <c r="D99" i="3"/>
  <c r="K98" i="3"/>
  <c r="J98" i="3"/>
  <c r="I98" i="3"/>
  <c r="G98" i="3"/>
  <c r="P98" i="3" s="1"/>
  <c r="D98" i="3"/>
  <c r="K97" i="3"/>
  <c r="J97" i="3"/>
  <c r="I97" i="3"/>
  <c r="G97" i="3"/>
  <c r="P97" i="3" s="1"/>
  <c r="D97" i="3"/>
  <c r="K96" i="3"/>
  <c r="J96" i="3"/>
  <c r="I96" i="3"/>
  <c r="G96" i="3"/>
  <c r="P96" i="3" s="1"/>
  <c r="D96" i="3"/>
  <c r="K95" i="3"/>
  <c r="J95" i="3"/>
  <c r="I95" i="3"/>
  <c r="G95" i="3"/>
  <c r="P95" i="3" s="1"/>
  <c r="D95" i="3"/>
  <c r="K94" i="3"/>
  <c r="J94" i="3"/>
  <c r="I94" i="3"/>
  <c r="G94" i="3"/>
  <c r="P94" i="3" s="1"/>
  <c r="D94" i="3"/>
  <c r="K93" i="3"/>
  <c r="J93" i="3"/>
  <c r="I93" i="3"/>
  <c r="G93" i="3"/>
  <c r="P93" i="3" s="1"/>
  <c r="D93" i="3"/>
  <c r="K92" i="3"/>
  <c r="J92" i="3"/>
  <c r="I92" i="3"/>
  <c r="G92" i="3"/>
  <c r="P92" i="3" s="1"/>
  <c r="D92" i="3"/>
  <c r="K91" i="3"/>
  <c r="J91" i="3"/>
  <c r="I91" i="3"/>
  <c r="G91" i="3"/>
  <c r="P91" i="3" s="1"/>
  <c r="D91" i="3"/>
  <c r="K90" i="3"/>
  <c r="J90" i="3"/>
  <c r="I90" i="3"/>
  <c r="G90" i="3"/>
  <c r="P90" i="3" s="1"/>
  <c r="D90" i="3"/>
  <c r="K89" i="3"/>
  <c r="J89" i="3"/>
  <c r="I89" i="3"/>
  <c r="G89" i="3"/>
  <c r="P89" i="3" s="1"/>
  <c r="D89" i="3"/>
  <c r="K85" i="3"/>
  <c r="J85" i="3"/>
  <c r="I85" i="3"/>
  <c r="G85" i="3"/>
  <c r="P85" i="3" s="1"/>
  <c r="D85" i="3"/>
  <c r="P84" i="3"/>
  <c r="K84" i="3"/>
  <c r="J84" i="3"/>
  <c r="I84" i="3"/>
  <c r="G84" i="3"/>
  <c r="D84" i="3"/>
  <c r="K83" i="3"/>
  <c r="J83" i="3"/>
  <c r="I83" i="3"/>
  <c r="G83" i="3"/>
  <c r="P83" i="3" s="1"/>
  <c r="D83" i="3"/>
  <c r="K82" i="3"/>
  <c r="J82" i="3"/>
  <c r="I82" i="3"/>
  <c r="G82" i="3"/>
  <c r="P82" i="3" s="1"/>
  <c r="D82" i="3"/>
  <c r="K81" i="3"/>
  <c r="J81" i="3"/>
  <c r="I81" i="3"/>
  <c r="G81" i="3"/>
  <c r="P81" i="3" s="1"/>
  <c r="D81" i="3"/>
  <c r="K80" i="3"/>
  <c r="J80" i="3"/>
  <c r="I80" i="3"/>
  <c r="G80" i="3"/>
  <c r="P80" i="3" s="1"/>
  <c r="D80" i="3"/>
  <c r="K79" i="3"/>
  <c r="J79" i="3"/>
  <c r="I79" i="3"/>
  <c r="G79" i="3"/>
  <c r="P79" i="3" s="1"/>
  <c r="D79" i="3"/>
  <c r="K78" i="3"/>
  <c r="J78" i="3"/>
  <c r="I78" i="3"/>
  <c r="G78" i="3"/>
  <c r="P78" i="3" s="1"/>
  <c r="D78" i="3"/>
  <c r="K77" i="3"/>
  <c r="J77" i="3"/>
  <c r="I77" i="3"/>
  <c r="G77" i="3"/>
  <c r="P77" i="3" s="1"/>
  <c r="D77" i="3"/>
  <c r="P76" i="3"/>
  <c r="K76" i="3"/>
  <c r="J76" i="3"/>
  <c r="I76" i="3"/>
  <c r="G76" i="3"/>
  <c r="D76" i="3"/>
  <c r="K75" i="3"/>
  <c r="J75" i="3"/>
  <c r="I75" i="3"/>
  <c r="G75" i="3"/>
  <c r="P75" i="3" s="1"/>
  <c r="D75" i="3"/>
  <c r="K74" i="3"/>
  <c r="J74" i="3"/>
  <c r="I74" i="3"/>
  <c r="G74" i="3"/>
  <c r="P74" i="3" s="1"/>
  <c r="D74" i="3"/>
  <c r="K73" i="3"/>
  <c r="J73" i="3"/>
  <c r="I73" i="3"/>
  <c r="G73" i="3"/>
  <c r="P73" i="3" s="1"/>
  <c r="D73" i="3"/>
  <c r="K72" i="3"/>
  <c r="J72" i="3"/>
  <c r="I72" i="3"/>
  <c r="G72" i="3"/>
  <c r="P72" i="3" s="1"/>
  <c r="D72" i="3"/>
  <c r="K71" i="3"/>
  <c r="J71" i="3"/>
  <c r="I71" i="3"/>
  <c r="G71" i="3"/>
  <c r="P71" i="3" s="1"/>
  <c r="D71" i="3"/>
  <c r="K70" i="3"/>
  <c r="J70" i="3"/>
  <c r="I70" i="3"/>
  <c r="G70" i="3"/>
  <c r="P70" i="3" s="1"/>
  <c r="D70" i="3"/>
  <c r="K69" i="3"/>
  <c r="J69" i="3"/>
  <c r="I69" i="3"/>
  <c r="G69" i="3"/>
  <c r="P69" i="3" s="1"/>
  <c r="D69" i="3"/>
  <c r="K68" i="3"/>
  <c r="J68" i="3"/>
  <c r="I68" i="3"/>
  <c r="G68" i="3"/>
  <c r="P68" i="3" s="1"/>
  <c r="D68" i="3"/>
  <c r="K67" i="3"/>
  <c r="J67" i="3"/>
  <c r="I67" i="3"/>
  <c r="G67" i="3"/>
  <c r="P67" i="3" s="1"/>
  <c r="D67" i="3"/>
  <c r="K66" i="3"/>
  <c r="J66" i="3"/>
  <c r="I66" i="3"/>
  <c r="G66" i="3"/>
  <c r="P66" i="3" s="1"/>
  <c r="D66" i="3"/>
  <c r="K65" i="3"/>
  <c r="J65" i="3"/>
  <c r="I65" i="3"/>
  <c r="G65" i="3"/>
  <c r="P65" i="3" s="1"/>
  <c r="D65" i="3"/>
  <c r="K64" i="3"/>
  <c r="J64" i="3"/>
  <c r="I64" i="3"/>
  <c r="G64" i="3"/>
  <c r="P64" i="3" s="1"/>
  <c r="D64" i="3"/>
  <c r="K63" i="3"/>
  <c r="J63" i="3"/>
  <c r="I63" i="3"/>
  <c r="G63" i="3"/>
  <c r="P63" i="3" s="1"/>
  <c r="D63" i="3"/>
  <c r="K62" i="3"/>
  <c r="J62" i="3"/>
  <c r="I62" i="3"/>
  <c r="G62" i="3"/>
  <c r="P62" i="3" s="1"/>
  <c r="D62" i="3"/>
  <c r="K61" i="3"/>
  <c r="J61" i="3"/>
  <c r="I61" i="3"/>
  <c r="G61" i="3"/>
  <c r="P61" i="3" s="1"/>
  <c r="D61" i="3"/>
  <c r="P60" i="3"/>
  <c r="K60" i="3"/>
  <c r="J60" i="3"/>
  <c r="I60" i="3"/>
  <c r="G60" i="3"/>
  <c r="D60" i="3"/>
  <c r="K59" i="3"/>
  <c r="J59" i="3"/>
  <c r="I59" i="3"/>
  <c r="G59" i="3"/>
  <c r="P59" i="3" s="1"/>
  <c r="D59" i="3"/>
  <c r="K58" i="3"/>
  <c r="J58" i="3"/>
  <c r="I58" i="3"/>
  <c r="G58" i="3"/>
  <c r="P58" i="3" s="1"/>
  <c r="D58" i="3"/>
  <c r="K57" i="3"/>
  <c r="J57" i="3"/>
  <c r="I57" i="3"/>
  <c r="G57" i="3"/>
  <c r="P57" i="3" s="1"/>
  <c r="D57" i="3"/>
  <c r="K56" i="3"/>
  <c r="J56" i="3"/>
  <c r="I56" i="3"/>
  <c r="G56" i="3"/>
  <c r="P56" i="3" s="1"/>
  <c r="D56" i="3"/>
  <c r="K55" i="3"/>
  <c r="J55" i="3"/>
  <c r="I55" i="3"/>
  <c r="G55" i="3"/>
  <c r="P55" i="3" s="1"/>
  <c r="D55" i="3"/>
  <c r="K54" i="3"/>
  <c r="J54" i="3"/>
  <c r="I54" i="3"/>
  <c r="G54" i="3"/>
  <c r="P54" i="3" s="1"/>
  <c r="D54" i="3"/>
  <c r="K53" i="3"/>
  <c r="J53" i="3"/>
  <c r="I53" i="3"/>
  <c r="G53" i="3"/>
  <c r="P53" i="3" s="1"/>
  <c r="D53" i="3"/>
  <c r="K52" i="3"/>
  <c r="J52" i="3"/>
  <c r="I52" i="3"/>
  <c r="G52" i="3"/>
  <c r="P52" i="3" s="1"/>
  <c r="D52" i="3"/>
  <c r="K51" i="3"/>
  <c r="J51" i="3"/>
  <c r="I51" i="3"/>
  <c r="G51" i="3"/>
  <c r="P51" i="3" s="1"/>
  <c r="D51" i="3"/>
  <c r="K50" i="3"/>
  <c r="J50" i="3"/>
  <c r="I50" i="3"/>
  <c r="G50" i="3"/>
  <c r="P50" i="3" s="1"/>
  <c r="D50" i="3"/>
  <c r="K49" i="3"/>
  <c r="J49" i="3"/>
  <c r="I49" i="3"/>
  <c r="G49" i="3"/>
  <c r="P49" i="3" s="1"/>
  <c r="D49" i="3"/>
  <c r="K48" i="3"/>
  <c r="J48" i="3"/>
  <c r="I48" i="3"/>
  <c r="G48" i="3"/>
  <c r="P48" i="3" s="1"/>
  <c r="D48" i="3"/>
  <c r="K47" i="3"/>
  <c r="J47" i="3"/>
  <c r="I47" i="3"/>
  <c r="G47" i="3"/>
  <c r="P47" i="3" s="1"/>
  <c r="D47" i="3"/>
  <c r="K46" i="3"/>
  <c r="J46" i="3"/>
  <c r="I46" i="3"/>
  <c r="G46" i="3"/>
  <c r="P46" i="3" s="1"/>
  <c r="D46" i="3"/>
  <c r="K45" i="3"/>
  <c r="J45" i="3"/>
  <c r="I45" i="3"/>
  <c r="G45" i="3"/>
  <c r="P45" i="3" s="1"/>
  <c r="D45" i="3"/>
  <c r="K44" i="3"/>
  <c r="J44" i="3"/>
  <c r="I44" i="3"/>
  <c r="G44" i="3"/>
  <c r="P44" i="3" s="1"/>
  <c r="D44" i="3"/>
  <c r="K43" i="3"/>
  <c r="J43" i="3"/>
  <c r="I43" i="3"/>
  <c r="G43" i="3"/>
  <c r="P43" i="3" s="1"/>
  <c r="D43" i="3"/>
  <c r="K42" i="3"/>
  <c r="J42" i="3"/>
  <c r="I42" i="3"/>
  <c r="G42" i="3"/>
  <c r="P42" i="3" s="1"/>
  <c r="D42" i="3"/>
  <c r="K41" i="3"/>
  <c r="J41" i="3"/>
  <c r="I41" i="3"/>
  <c r="G41" i="3"/>
  <c r="P41" i="3" s="1"/>
  <c r="D41" i="3"/>
  <c r="K40" i="3"/>
  <c r="J40" i="3"/>
  <c r="I40" i="3"/>
  <c r="G40" i="3"/>
  <c r="P40" i="3" s="1"/>
  <c r="D40" i="3"/>
  <c r="K39" i="3"/>
  <c r="J39" i="3"/>
  <c r="I39" i="3"/>
  <c r="G39" i="3"/>
  <c r="P39" i="3" s="1"/>
  <c r="D39" i="3"/>
  <c r="K38" i="3"/>
  <c r="J38" i="3"/>
  <c r="I38" i="3"/>
  <c r="G38" i="3"/>
  <c r="P38" i="3" s="1"/>
  <c r="D38" i="3"/>
  <c r="K37" i="3"/>
  <c r="J37" i="3"/>
  <c r="I37" i="3"/>
  <c r="G37" i="3"/>
  <c r="P37" i="3" s="1"/>
  <c r="D37" i="3"/>
  <c r="P36" i="3"/>
  <c r="K36" i="3"/>
  <c r="J36" i="3"/>
  <c r="I36" i="3"/>
  <c r="G36" i="3"/>
  <c r="D36" i="3"/>
  <c r="K35" i="3"/>
  <c r="J35" i="3"/>
  <c r="I35" i="3"/>
  <c r="G35" i="3"/>
  <c r="D35" i="3"/>
  <c r="P35" i="3" s="1"/>
  <c r="P34" i="3"/>
  <c r="K34" i="3"/>
  <c r="J34" i="3"/>
  <c r="I34" i="3"/>
  <c r="G34" i="3"/>
  <c r="D34" i="3"/>
  <c r="K33" i="3"/>
  <c r="J33" i="3"/>
  <c r="I33" i="3"/>
  <c r="G33" i="3"/>
  <c r="D33" i="3"/>
  <c r="P33" i="3" s="1"/>
  <c r="P32" i="3"/>
  <c r="K32" i="3"/>
  <c r="J32" i="3"/>
  <c r="I32" i="3"/>
  <c r="G32" i="3"/>
  <c r="D32" i="3"/>
  <c r="K31" i="3"/>
  <c r="J31" i="3"/>
  <c r="I31" i="3"/>
  <c r="G31" i="3"/>
  <c r="D31" i="3"/>
  <c r="P31" i="3" s="1"/>
  <c r="K30" i="3"/>
  <c r="J30" i="3"/>
  <c r="I30" i="3"/>
  <c r="G30" i="3"/>
  <c r="P30" i="3" s="1"/>
  <c r="D30" i="3"/>
  <c r="K29" i="3"/>
  <c r="J29" i="3"/>
  <c r="I29" i="3"/>
  <c r="G29" i="3"/>
  <c r="D29" i="3"/>
  <c r="P29" i="3" s="1"/>
  <c r="P28" i="3"/>
  <c r="K28" i="3"/>
  <c r="J28" i="3"/>
  <c r="I28" i="3"/>
  <c r="G28" i="3"/>
  <c r="D28" i="3"/>
  <c r="K27" i="3"/>
  <c r="J27" i="3"/>
  <c r="I27" i="3"/>
  <c r="G27" i="3"/>
  <c r="D27" i="3"/>
  <c r="P27" i="3" s="1"/>
  <c r="K26" i="3"/>
  <c r="J26" i="3"/>
  <c r="I26" i="3"/>
  <c r="G26" i="3"/>
  <c r="P26" i="3" s="1"/>
  <c r="D26" i="3"/>
  <c r="K25" i="3"/>
  <c r="J25" i="3"/>
  <c r="I25" i="3"/>
  <c r="G25" i="3"/>
  <c r="D25" i="3"/>
  <c r="P25" i="3" s="1"/>
  <c r="K24" i="3"/>
  <c r="J24" i="3"/>
  <c r="I24" i="3"/>
  <c r="G24" i="3"/>
  <c r="P24" i="3" s="1"/>
  <c r="D24" i="3"/>
  <c r="K23" i="3"/>
  <c r="J23" i="3"/>
  <c r="I23" i="3"/>
  <c r="G23" i="3"/>
  <c r="D23" i="3"/>
  <c r="P23" i="3" s="1"/>
  <c r="K22" i="3"/>
  <c r="J22" i="3"/>
  <c r="I22" i="3"/>
  <c r="G22" i="3"/>
  <c r="P22" i="3" s="1"/>
  <c r="D22" i="3"/>
  <c r="K21" i="3"/>
  <c r="J21" i="3"/>
  <c r="I21" i="3"/>
  <c r="G21" i="3"/>
  <c r="D21" i="3"/>
  <c r="P21" i="3" s="1"/>
  <c r="K20" i="3"/>
  <c r="J20" i="3"/>
  <c r="I20" i="3"/>
  <c r="G20" i="3"/>
  <c r="P20" i="3" s="1"/>
  <c r="D20" i="3"/>
  <c r="K19" i="3"/>
  <c r="J19" i="3"/>
  <c r="I19" i="3"/>
  <c r="G19" i="3"/>
  <c r="D19" i="3"/>
  <c r="P19" i="3" s="1"/>
  <c r="K18" i="3"/>
  <c r="J18" i="3"/>
  <c r="I18" i="3"/>
  <c r="G18" i="3"/>
  <c r="P18" i="3" s="1"/>
  <c r="D18" i="3"/>
  <c r="K17" i="3"/>
  <c r="J17" i="3"/>
  <c r="I17" i="3"/>
  <c r="G17" i="3"/>
  <c r="D17" i="3"/>
  <c r="P17" i="3" s="1"/>
  <c r="K16" i="3"/>
  <c r="J16" i="3"/>
  <c r="I16" i="3"/>
  <c r="G16" i="3"/>
  <c r="P16" i="3" s="1"/>
  <c r="D16" i="3"/>
  <c r="K15" i="3"/>
  <c r="J15" i="3"/>
  <c r="I15" i="3"/>
  <c r="G15" i="3"/>
  <c r="D15" i="3"/>
  <c r="P15" i="3" s="1"/>
  <c r="K14" i="3"/>
  <c r="J14" i="3"/>
  <c r="I14" i="3"/>
  <c r="G14" i="3"/>
  <c r="P14" i="3" s="1"/>
  <c r="D14" i="3"/>
  <c r="K13" i="3"/>
  <c r="J13" i="3"/>
  <c r="I13" i="3"/>
  <c r="G13" i="3"/>
  <c r="D13" i="3"/>
  <c r="P13" i="3" s="1"/>
  <c r="K12" i="3"/>
  <c r="J12" i="3"/>
  <c r="I12" i="3"/>
  <c r="G12" i="3"/>
  <c r="P12" i="3" s="1"/>
  <c r="D12" i="3"/>
  <c r="K11" i="3"/>
  <c r="J11" i="3"/>
  <c r="I11" i="3"/>
  <c r="G11" i="3"/>
  <c r="D11" i="3"/>
  <c r="P11" i="3" s="1"/>
  <c r="K10" i="3"/>
  <c r="J10" i="3"/>
  <c r="I10" i="3"/>
  <c r="G10" i="3"/>
  <c r="P10" i="3" s="1"/>
  <c r="D10" i="3"/>
  <c r="K9" i="3"/>
  <c r="J9" i="3"/>
  <c r="I9" i="3"/>
  <c r="G9" i="3"/>
  <c r="D9" i="3"/>
  <c r="P9" i="3" s="1"/>
  <c r="P8" i="3"/>
  <c r="K8" i="3"/>
  <c r="J8" i="3"/>
  <c r="I8" i="3"/>
  <c r="G8" i="3"/>
  <c r="D8" i="3"/>
  <c r="K7" i="3"/>
  <c r="J7" i="3"/>
  <c r="I7" i="3"/>
  <c r="G7" i="3"/>
  <c r="D7" i="3"/>
  <c r="P7" i="3" s="1"/>
  <c r="K6" i="3"/>
  <c r="J6" i="3"/>
  <c r="I6" i="3"/>
  <c r="G6" i="3"/>
  <c r="P6" i="3" s="1"/>
  <c r="D6" i="3"/>
  <c r="K5" i="3"/>
  <c r="J5" i="3"/>
  <c r="I5" i="3"/>
  <c r="G5" i="3"/>
  <c r="D5" i="3"/>
  <c r="P5" i="3" s="1"/>
  <c r="K4" i="3"/>
  <c r="J4" i="3"/>
  <c r="I4" i="3"/>
  <c r="G4" i="3"/>
  <c r="P4" i="3" s="1"/>
  <c r="D4" i="3"/>
  <c r="K3" i="3"/>
  <c r="J3" i="3"/>
  <c r="I3" i="3"/>
  <c r="G3" i="3"/>
  <c r="D3" i="3"/>
  <c r="P3" i="3" s="1"/>
  <c r="K2" i="3"/>
  <c r="J2" i="3"/>
  <c r="J102" i="3" s="1"/>
  <c r="I2" i="3"/>
  <c r="I102" i="3" s="1"/>
  <c r="G2" i="3"/>
  <c r="G102" i="3" s="1"/>
  <c r="D2" i="3"/>
  <c r="D102" i="3" s="1"/>
  <c r="O102" i="2"/>
  <c r="N102" i="2"/>
  <c r="K102" i="2"/>
  <c r="H102" i="2"/>
  <c r="F102" i="2"/>
  <c r="E102" i="2"/>
  <c r="C102" i="2"/>
  <c r="K101" i="2"/>
  <c r="J101" i="2"/>
  <c r="I101" i="2"/>
  <c r="G101" i="2"/>
  <c r="D101" i="2"/>
  <c r="K100" i="2"/>
  <c r="J100" i="2"/>
  <c r="I100" i="2"/>
  <c r="G100" i="2"/>
  <c r="D100" i="2"/>
  <c r="P100" i="2" s="1"/>
  <c r="K99" i="2"/>
  <c r="J99" i="2"/>
  <c r="I99" i="2"/>
  <c r="G99" i="2"/>
  <c r="P99" i="2" s="1"/>
  <c r="D99" i="2"/>
  <c r="K98" i="2"/>
  <c r="J98" i="2"/>
  <c r="I98" i="2"/>
  <c r="G98" i="2"/>
  <c r="P98" i="2" s="1"/>
  <c r="D98" i="2"/>
  <c r="P97" i="2"/>
  <c r="K97" i="2"/>
  <c r="J97" i="2"/>
  <c r="I97" i="2"/>
  <c r="G97" i="2"/>
  <c r="D97" i="2"/>
  <c r="K96" i="2"/>
  <c r="J96" i="2"/>
  <c r="I96" i="2"/>
  <c r="G96" i="2"/>
  <c r="P96" i="2" s="1"/>
  <c r="D96" i="2"/>
  <c r="K95" i="2"/>
  <c r="J95" i="2"/>
  <c r="I95" i="2"/>
  <c r="G95" i="2"/>
  <c r="P95" i="2" s="1"/>
  <c r="D95" i="2"/>
  <c r="K94" i="2"/>
  <c r="J94" i="2"/>
  <c r="I94" i="2"/>
  <c r="G94" i="2"/>
  <c r="P94" i="2" s="1"/>
  <c r="D94" i="2"/>
  <c r="K93" i="2"/>
  <c r="J93" i="2"/>
  <c r="I93" i="2"/>
  <c r="G93" i="2"/>
  <c r="P93" i="2" s="1"/>
  <c r="D93" i="2"/>
  <c r="K92" i="2"/>
  <c r="J92" i="2"/>
  <c r="I92" i="2"/>
  <c r="G92" i="2"/>
  <c r="P92" i="2" s="1"/>
  <c r="D92" i="2"/>
  <c r="K91" i="2"/>
  <c r="J91" i="2"/>
  <c r="I91" i="2"/>
  <c r="G91" i="2"/>
  <c r="P91" i="2" s="1"/>
  <c r="D91" i="2"/>
  <c r="K90" i="2"/>
  <c r="J90" i="2"/>
  <c r="I90" i="2"/>
  <c r="G90" i="2"/>
  <c r="P90" i="2" s="1"/>
  <c r="D90" i="2"/>
  <c r="P89" i="2"/>
  <c r="K89" i="2"/>
  <c r="J89" i="2"/>
  <c r="I89" i="2"/>
  <c r="G89" i="2"/>
  <c r="D89" i="2"/>
  <c r="K85" i="2"/>
  <c r="J85" i="2"/>
  <c r="I85" i="2"/>
  <c r="G85" i="2"/>
  <c r="P85" i="2" s="1"/>
  <c r="D85" i="2"/>
  <c r="K84" i="2"/>
  <c r="J84" i="2"/>
  <c r="I84" i="2"/>
  <c r="G84" i="2"/>
  <c r="P84" i="2" s="1"/>
  <c r="D84" i="2"/>
  <c r="K83" i="2"/>
  <c r="J83" i="2"/>
  <c r="I83" i="2"/>
  <c r="G83" i="2"/>
  <c r="P83" i="2" s="1"/>
  <c r="D83" i="2"/>
  <c r="K82" i="2"/>
  <c r="J82" i="2"/>
  <c r="I82" i="2"/>
  <c r="G82" i="2"/>
  <c r="P82" i="2" s="1"/>
  <c r="D82" i="2"/>
  <c r="K81" i="2"/>
  <c r="J81" i="2"/>
  <c r="I81" i="2"/>
  <c r="G81" i="2"/>
  <c r="P81" i="2" s="1"/>
  <c r="D81" i="2"/>
  <c r="K80" i="2"/>
  <c r="J80" i="2"/>
  <c r="I80" i="2"/>
  <c r="G80" i="2"/>
  <c r="P80" i="2" s="1"/>
  <c r="D80" i="2"/>
  <c r="K79" i="2"/>
  <c r="J79" i="2"/>
  <c r="I79" i="2"/>
  <c r="G79" i="2"/>
  <c r="P79" i="2" s="1"/>
  <c r="D79" i="2"/>
  <c r="K78" i="2"/>
  <c r="J78" i="2"/>
  <c r="I78" i="2"/>
  <c r="G78" i="2"/>
  <c r="P78" i="2" s="1"/>
  <c r="D78" i="2"/>
  <c r="K77" i="2"/>
  <c r="J77" i="2"/>
  <c r="I77" i="2"/>
  <c r="G77" i="2"/>
  <c r="P77" i="2" s="1"/>
  <c r="D77" i="2"/>
  <c r="K76" i="2"/>
  <c r="J76" i="2"/>
  <c r="I76" i="2"/>
  <c r="G76" i="2"/>
  <c r="P76" i="2" s="1"/>
  <c r="D76" i="2"/>
  <c r="K75" i="2"/>
  <c r="J75" i="2"/>
  <c r="I75" i="2"/>
  <c r="G75" i="2"/>
  <c r="P75" i="2" s="1"/>
  <c r="D75" i="2"/>
  <c r="K74" i="2"/>
  <c r="J74" i="2"/>
  <c r="I74" i="2"/>
  <c r="G74" i="2"/>
  <c r="P74" i="2" s="1"/>
  <c r="D74" i="2"/>
  <c r="K73" i="2"/>
  <c r="J73" i="2"/>
  <c r="I73" i="2"/>
  <c r="G73" i="2"/>
  <c r="P73" i="2" s="1"/>
  <c r="D73" i="2"/>
  <c r="K72" i="2"/>
  <c r="J72" i="2"/>
  <c r="I72" i="2"/>
  <c r="G72" i="2"/>
  <c r="P72" i="2" s="1"/>
  <c r="D72" i="2"/>
  <c r="K71" i="2"/>
  <c r="J71" i="2"/>
  <c r="I71" i="2"/>
  <c r="G71" i="2"/>
  <c r="P71" i="2" s="1"/>
  <c r="D71" i="2"/>
  <c r="P70" i="2"/>
  <c r="K70" i="2"/>
  <c r="J70" i="2"/>
  <c r="I70" i="2"/>
  <c r="G70" i="2"/>
  <c r="D70" i="2"/>
  <c r="K69" i="2"/>
  <c r="J69" i="2"/>
  <c r="I69" i="2"/>
  <c r="G69" i="2"/>
  <c r="P69" i="2" s="1"/>
  <c r="D69" i="2"/>
  <c r="K68" i="2"/>
  <c r="J68" i="2"/>
  <c r="I68" i="2"/>
  <c r="G68" i="2"/>
  <c r="P68" i="2" s="1"/>
  <c r="D68" i="2"/>
  <c r="K67" i="2"/>
  <c r="J67" i="2"/>
  <c r="I67" i="2"/>
  <c r="G67" i="2"/>
  <c r="P67" i="2" s="1"/>
  <c r="D67" i="2"/>
  <c r="K66" i="2"/>
  <c r="J66" i="2"/>
  <c r="I66" i="2"/>
  <c r="G66" i="2"/>
  <c r="P66" i="2" s="1"/>
  <c r="D66" i="2"/>
  <c r="K65" i="2"/>
  <c r="J65" i="2"/>
  <c r="I65" i="2"/>
  <c r="G65" i="2"/>
  <c r="P65" i="2" s="1"/>
  <c r="D65" i="2"/>
  <c r="K64" i="2"/>
  <c r="J64" i="2"/>
  <c r="I64" i="2"/>
  <c r="G64" i="2"/>
  <c r="P64" i="2" s="1"/>
  <c r="D64" i="2"/>
  <c r="K63" i="2"/>
  <c r="J63" i="2"/>
  <c r="I63" i="2"/>
  <c r="G63" i="2"/>
  <c r="P63" i="2" s="1"/>
  <c r="D63" i="2"/>
  <c r="K62" i="2"/>
  <c r="J62" i="2"/>
  <c r="I62" i="2"/>
  <c r="G62" i="2"/>
  <c r="P62" i="2" s="1"/>
  <c r="D62" i="2"/>
  <c r="K61" i="2"/>
  <c r="J61" i="2"/>
  <c r="I61" i="2"/>
  <c r="G61" i="2"/>
  <c r="P61" i="2" s="1"/>
  <c r="D61" i="2"/>
  <c r="K60" i="2"/>
  <c r="J60" i="2"/>
  <c r="I60" i="2"/>
  <c r="G60" i="2"/>
  <c r="P60" i="2" s="1"/>
  <c r="D60" i="2"/>
  <c r="K59" i="2"/>
  <c r="J59" i="2"/>
  <c r="I59" i="2"/>
  <c r="G59" i="2"/>
  <c r="P59" i="2" s="1"/>
  <c r="D59" i="2"/>
  <c r="P58" i="2"/>
  <c r="K58" i="2"/>
  <c r="J58" i="2"/>
  <c r="I58" i="2"/>
  <c r="G58" i="2"/>
  <c r="D58" i="2"/>
  <c r="K57" i="2"/>
  <c r="J57" i="2"/>
  <c r="I57" i="2"/>
  <c r="G57" i="2"/>
  <c r="P57" i="2" s="1"/>
  <c r="D57" i="2"/>
  <c r="K56" i="2"/>
  <c r="J56" i="2"/>
  <c r="I56" i="2"/>
  <c r="G56" i="2"/>
  <c r="P56" i="2" s="1"/>
  <c r="D56" i="2"/>
  <c r="K55" i="2"/>
  <c r="J55" i="2"/>
  <c r="I55" i="2"/>
  <c r="G55" i="2"/>
  <c r="P55" i="2" s="1"/>
  <c r="D55" i="2"/>
  <c r="K54" i="2"/>
  <c r="J54" i="2"/>
  <c r="I54" i="2"/>
  <c r="G54" i="2"/>
  <c r="P54" i="2" s="1"/>
  <c r="D54" i="2"/>
  <c r="K53" i="2"/>
  <c r="J53" i="2"/>
  <c r="I53" i="2"/>
  <c r="G53" i="2"/>
  <c r="P53" i="2" s="1"/>
  <c r="D53" i="2"/>
  <c r="K52" i="2"/>
  <c r="J52" i="2"/>
  <c r="I52" i="2"/>
  <c r="G52" i="2"/>
  <c r="P52" i="2" s="1"/>
  <c r="D52" i="2"/>
  <c r="K51" i="2"/>
  <c r="J51" i="2"/>
  <c r="I51" i="2"/>
  <c r="G51" i="2"/>
  <c r="P51" i="2" s="1"/>
  <c r="D51" i="2"/>
  <c r="P50" i="2"/>
  <c r="K50" i="2"/>
  <c r="J50" i="2"/>
  <c r="I50" i="2"/>
  <c r="G50" i="2"/>
  <c r="D50" i="2"/>
  <c r="K49" i="2"/>
  <c r="J49" i="2"/>
  <c r="I49" i="2"/>
  <c r="G49" i="2"/>
  <c r="P49" i="2" s="1"/>
  <c r="D49" i="2"/>
  <c r="K48" i="2"/>
  <c r="J48" i="2"/>
  <c r="I48" i="2"/>
  <c r="G48" i="2"/>
  <c r="P48" i="2" s="1"/>
  <c r="D48" i="2"/>
  <c r="K47" i="2"/>
  <c r="J47" i="2"/>
  <c r="I47" i="2"/>
  <c r="G47" i="2"/>
  <c r="P47" i="2" s="1"/>
  <c r="D47" i="2"/>
  <c r="K46" i="2"/>
  <c r="J46" i="2"/>
  <c r="I46" i="2"/>
  <c r="G46" i="2"/>
  <c r="P46" i="2" s="1"/>
  <c r="D46" i="2"/>
  <c r="K45" i="2"/>
  <c r="J45" i="2"/>
  <c r="I45" i="2"/>
  <c r="G45" i="2"/>
  <c r="P45" i="2" s="1"/>
  <c r="D45" i="2"/>
  <c r="K44" i="2"/>
  <c r="J44" i="2"/>
  <c r="I44" i="2"/>
  <c r="G44" i="2"/>
  <c r="P44" i="2" s="1"/>
  <c r="D44" i="2"/>
  <c r="K43" i="2"/>
  <c r="J43" i="2"/>
  <c r="I43" i="2"/>
  <c r="G43" i="2"/>
  <c r="P43" i="2" s="1"/>
  <c r="D43" i="2"/>
  <c r="K42" i="2"/>
  <c r="J42" i="2"/>
  <c r="I42" i="2"/>
  <c r="G42" i="2"/>
  <c r="P42" i="2" s="1"/>
  <c r="D42" i="2"/>
  <c r="K41" i="2"/>
  <c r="J41" i="2"/>
  <c r="I41" i="2"/>
  <c r="G41" i="2"/>
  <c r="P41" i="2" s="1"/>
  <c r="D41" i="2"/>
  <c r="K40" i="2"/>
  <c r="J40" i="2"/>
  <c r="I40" i="2"/>
  <c r="G40" i="2"/>
  <c r="P40" i="2" s="1"/>
  <c r="D40" i="2"/>
  <c r="K39" i="2"/>
  <c r="J39" i="2"/>
  <c r="I39" i="2"/>
  <c r="G39" i="2"/>
  <c r="P39" i="2" s="1"/>
  <c r="D39" i="2"/>
  <c r="K38" i="2"/>
  <c r="J38" i="2"/>
  <c r="I38" i="2"/>
  <c r="G38" i="2"/>
  <c r="P38" i="2" s="1"/>
  <c r="D38" i="2"/>
  <c r="K37" i="2"/>
  <c r="J37" i="2"/>
  <c r="I37" i="2"/>
  <c r="G37" i="2"/>
  <c r="P37" i="2" s="1"/>
  <c r="D37" i="2"/>
  <c r="K36" i="2"/>
  <c r="J36" i="2"/>
  <c r="I36" i="2"/>
  <c r="G36" i="2"/>
  <c r="P36" i="2" s="1"/>
  <c r="D36" i="2"/>
  <c r="K35" i="2"/>
  <c r="J35" i="2"/>
  <c r="I35" i="2"/>
  <c r="G35" i="2"/>
  <c r="P35" i="2" s="1"/>
  <c r="D35" i="2"/>
  <c r="P34" i="2"/>
  <c r="K34" i="2"/>
  <c r="J34" i="2"/>
  <c r="I34" i="2"/>
  <c r="G34" i="2"/>
  <c r="D34" i="2"/>
  <c r="K33" i="2"/>
  <c r="J33" i="2"/>
  <c r="I33" i="2"/>
  <c r="G33" i="2"/>
  <c r="P33" i="2" s="1"/>
  <c r="D33" i="2"/>
  <c r="K32" i="2"/>
  <c r="J32" i="2"/>
  <c r="I32" i="2"/>
  <c r="G32" i="2"/>
  <c r="P32" i="2" s="1"/>
  <c r="D32" i="2"/>
  <c r="K31" i="2"/>
  <c r="J31" i="2"/>
  <c r="I31" i="2"/>
  <c r="G31" i="2"/>
  <c r="P31" i="2" s="1"/>
  <c r="D31" i="2"/>
  <c r="K30" i="2"/>
  <c r="J30" i="2"/>
  <c r="I30" i="2"/>
  <c r="G30" i="2"/>
  <c r="P30" i="2" s="1"/>
  <c r="D30" i="2"/>
  <c r="K28" i="2"/>
  <c r="J28" i="2"/>
  <c r="I28" i="2"/>
  <c r="G28" i="2"/>
  <c r="P28" i="2" s="1"/>
  <c r="D28" i="2"/>
  <c r="K27" i="2"/>
  <c r="J27" i="2"/>
  <c r="I27" i="2"/>
  <c r="G27" i="2"/>
  <c r="P27" i="2" s="1"/>
  <c r="D27" i="2"/>
  <c r="K26" i="2"/>
  <c r="J26" i="2"/>
  <c r="I26" i="2"/>
  <c r="G26" i="2"/>
  <c r="D26" i="2"/>
  <c r="P26" i="2" s="1"/>
  <c r="K25" i="2"/>
  <c r="J25" i="2"/>
  <c r="I25" i="2"/>
  <c r="G25" i="2"/>
  <c r="P25" i="2" s="1"/>
  <c r="D25" i="2"/>
  <c r="K24" i="2"/>
  <c r="J24" i="2"/>
  <c r="I24" i="2"/>
  <c r="G24" i="2"/>
  <c r="D24" i="2"/>
  <c r="P24" i="2" s="1"/>
  <c r="K23" i="2"/>
  <c r="J23" i="2"/>
  <c r="I23" i="2"/>
  <c r="G23" i="2"/>
  <c r="P23" i="2" s="1"/>
  <c r="D23" i="2"/>
  <c r="K22" i="2"/>
  <c r="J22" i="2"/>
  <c r="I22" i="2"/>
  <c r="G22" i="2"/>
  <c r="D22" i="2"/>
  <c r="P22" i="2" s="1"/>
  <c r="K21" i="2"/>
  <c r="J21" i="2"/>
  <c r="I21" i="2"/>
  <c r="G21" i="2"/>
  <c r="P21" i="2" s="1"/>
  <c r="D21" i="2"/>
  <c r="K20" i="2"/>
  <c r="J20" i="2"/>
  <c r="I20" i="2"/>
  <c r="G20" i="2"/>
  <c r="D20" i="2"/>
  <c r="P20" i="2" s="1"/>
  <c r="K19" i="2"/>
  <c r="J19" i="2"/>
  <c r="I19" i="2"/>
  <c r="G19" i="2"/>
  <c r="P19" i="2" s="1"/>
  <c r="D19" i="2"/>
  <c r="K18" i="2"/>
  <c r="J18" i="2"/>
  <c r="I18" i="2"/>
  <c r="G18" i="2"/>
  <c r="D18" i="2"/>
  <c r="P18" i="2" s="1"/>
  <c r="K17" i="2"/>
  <c r="J17" i="2"/>
  <c r="I17" i="2"/>
  <c r="G17" i="2"/>
  <c r="P17" i="2" s="1"/>
  <c r="D17" i="2"/>
  <c r="K16" i="2"/>
  <c r="J16" i="2"/>
  <c r="I16" i="2"/>
  <c r="G16" i="2"/>
  <c r="D16" i="2"/>
  <c r="P16" i="2" s="1"/>
  <c r="P15" i="2"/>
  <c r="K15" i="2"/>
  <c r="J15" i="2"/>
  <c r="I15" i="2"/>
  <c r="G15" i="2"/>
  <c r="D15" i="2"/>
  <c r="K14" i="2"/>
  <c r="J14" i="2"/>
  <c r="I14" i="2"/>
  <c r="G14" i="2"/>
  <c r="D14" i="2"/>
  <c r="P14" i="2" s="1"/>
  <c r="K11" i="2"/>
  <c r="J11" i="2"/>
  <c r="I11" i="2"/>
  <c r="G11" i="2"/>
  <c r="P11" i="2" s="1"/>
  <c r="D11" i="2"/>
  <c r="K10" i="2"/>
  <c r="J10" i="2"/>
  <c r="I10" i="2"/>
  <c r="G10" i="2"/>
  <c r="D10" i="2"/>
  <c r="P10" i="2" s="1"/>
  <c r="P9" i="2"/>
  <c r="K9" i="2"/>
  <c r="J9" i="2"/>
  <c r="I9" i="2"/>
  <c r="G9" i="2"/>
  <c r="D9" i="2"/>
  <c r="K8" i="2"/>
  <c r="J8" i="2"/>
  <c r="I8" i="2"/>
  <c r="G8" i="2"/>
  <c r="D8" i="2"/>
  <c r="P8" i="2" s="1"/>
  <c r="K7" i="2"/>
  <c r="J7" i="2"/>
  <c r="I7" i="2"/>
  <c r="G7" i="2"/>
  <c r="P7" i="2" s="1"/>
  <c r="D7" i="2"/>
  <c r="K6" i="2"/>
  <c r="J6" i="2"/>
  <c r="I6" i="2"/>
  <c r="G6" i="2"/>
  <c r="D6" i="2"/>
  <c r="P6" i="2" s="1"/>
  <c r="P5" i="2"/>
  <c r="K5" i="2"/>
  <c r="J5" i="2"/>
  <c r="I5" i="2"/>
  <c r="G5" i="2"/>
  <c r="D5" i="2"/>
  <c r="K4" i="2"/>
  <c r="J4" i="2"/>
  <c r="I4" i="2"/>
  <c r="G4" i="2"/>
  <c r="D4" i="2"/>
  <c r="P4" i="2" s="1"/>
  <c r="K3" i="2"/>
  <c r="J3" i="2"/>
  <c r="I3" i="2"/>
  <c r="G3" i="2"/>
  <c r="G102" i="2" s="1"/>
  <c r="D3" i="2"/>
  <c r="K2" i="2"/>
  <c r="J2" i="2"/>
  <c r="J102" i="2" s="1"/>
  <c r="I2" i="2"/>
  <c r="I102" i="2" s="1"/>
  <c r="G2" i="2"/>
  <c r="D2" i="2"/>
  <c r="P2" i="2" s="1"/>
  <c r="O102" i="1"/>
  <c r="N102" i="1"/>
  <c r="K102" i="1"/>
  <c r="J102" i="1"/>
  <c r="I102" i="1"/>
  <c r="H102" i="1"/>
  <c r="G102" i="1"/>
  <c r="F102" i="1"/>
  <c r="E102" i="1"/>
  <c r="C102" i="1"/>
  <c r="P100" i="1"/>
  <c r="D100" i="1"/>
  <c r="D99" i="1"/>
  <c r="P99" i="1" s="1"/>
  <c r="P98" i="1"/>
  <c r="D98" i="1"/>
  <c r="D97" i="1"/>
  <c r="P97" i="1" s="1"/>
  <c r="P96" i="1"/>
  <c r="D96" i="1"/>
  <c r="D95" i="1"/>
  <c r="P95" i="1" s="1"/>
  <c r="P94" i="1"/>
  <c r="D94" i="1"/>
  <c r="D93" i="1"/>
  <c r="P93" i="1" s="1"/>
  <c r="P92" i="1"/>
  <c r="D92" i="1"/>
  <c r="D91" i="1"/>
  <c r="P91" i="1" s="1"/>
  <c r="P90" i="1"/>
  <c r="D90" i="1"/>
  <c r="D89" i="1"/>
  <c r="P89" i="1" s="1"/>
  <c r="P85" i="1"/>
  <c r="D85" i="1"/>
  <c r="D84" i="1"/>
  <c r="P84" i="1" s="1"/>
  <c r="P83" i="1"/>
  <c r="D83" i="1"/>
  <c r="D82" i="1"/>
  <c r="P82" i="1" s="1"/>
  <c r="P81" i="1"/>
  <c r="D81" i="1"/>
  <c r="D80" i="1"/>
  <c r="P80" i="1" s="1"/>
  <c r="P79" i="1"/>
  <c r="D79" i="1"/>
  <c r="D78" i="1"/>
  <c r="P78" i="1" s="1"/>
  <c r="P77" i="1"/>
  <c r="D77" i="1"/>
  <c r="D76" i="1"/>
  <c r="P76" i="1" s="1"/>
  <c r="P75" i="1"/>
  <c r="D75" i="1"/>
  <c r="D74" i="1"/>
  <c r="P74" i="1" s="1"/>
  <c r="P73" i="1"/>
  <c r="D73" i="1"/>
  <c r="D72" i="1"/>
  <c r="P72" i="1" s="1"/>
  <c r="P71" i="1"/>
  <c r="D71" i="1"/>
  <c r="D70" i="1"/>
  <c r="P70" i="1" s="1"/>
  <c r="P69" i="1"/>
  <c r="D69" i="1"/>
  <c r="D68" i="1"/>
  <c r="P68" i="1" s="1"/>
  <c r="P67" i="1"/>
  <c r="D67" i="1"/>
  <c r="D66" i="1"/>
  <c r="P66" i="1" s="1"/>
  <c r="P65" i="1"/>
  <c r="D65" i="1"/>
  <c r="D64" i="1"/>
  <c r="P64" i="1" s="1"/>
  <c r="P63" i="1"/>
  <c r="D63" i="1"/>
  <c r="D62" i="1"/>
  <c r="P62" i="1" s="1"/>
  <c r="P61" i="1"/>
  <c r="D61" i="1"/>
  <c r="D60" i="1"/>
  <c r="P60" i="1" s="1"/>
  <c r="P59" i="1"/>
  <c r="D59" i="1"/>
  <c r="D58" i="1"/>
  <c r="P58" i="1" s="1"/>
  <c r="P57" i="1"/>
  <c r="D57" i="1"/>
  <c r="D56" i="1"/>
  <c r="P56" i="1" s="1"/>
  <c r="P55" i="1"/>
  <c r="D55" i="1"/>
  <c r="D54" i="1"/>
  <c r="P54" i="1" s="1"/>
  <c r="P53" i="1"/>
  <c r="D53" i="1"/>
  <c r="D52" i="1"/>
  <c r="P52" i="1" s="1"/>
  <c r="P51" i="1"/>
  <c r="D51" i="1"/>
  <c r="D50" i="1"/>
  <c r="P50" i="1" s="1"/>
  <c r="P49" i="1"/>
  <c r="D49" i="1"/>
  <c r="D48" i="1"/>
  <c r="P48" i="1" s="1"/>
  <c r="P47" i="1"/>
  <c r="D47" i="1"/>
  <c r="D46" i="1"/>
  <c r="P46" i="1" s="1"/>
  <c r="P45" i="1"/>
  <c r="D45" i="1"/>
  <c r="D44" i="1"/>
  <c r="P44" i="1" s="1"/>
  <c r="P43" i="1"/>
  <c r="D43" i="1"/>
  <c r="D42" i="1"/>
  <c r="P42" i="1" s="1"/>
  <c r="P41" i="1"/>
  <c r="D41" i="1"/>
  <c r="D40" i="1"/>
  <c r="P40" i="1" s="1"/>
  <c r="P39" i="1"/>
  <c r="D39" i="1"/>
  <c r="D38" i="1"/>
  <c r="P38" i="1" s="1"/>
  <c r="P37" i="1"/>
  <c r="D37" i="1"/>
  <c r="D36" i="1"/>
  <c r="P36" i="1" s="1"/>
  <c r="P35" i="1"/>
  <c r="D35" i="1"/>
  <c r="D34" i="1"/>
  <c r="P34" i="1" s="1"/>
  <c r="P33" i="1"/>
  <c r="D33" i="1"/>
  <c r="D32" i="1"/>
  <c r="P32" i="1" s="1"/>
  <c r="P31" i="1"/>
  <c r="D31" i="1"/>
  <c r="D30" i="1"/>
  <c r="P30" i="1" s="1"/>
  <c r="P28" i="1"/>
  <c r="D28" i="1"/>
  <c r="D27" i="1"/>
  <c r="P27" i="1" s="1"/>
  <c r="P26" i="1"/>
  <c r="D26" i="1"/>
  <c r="D25" i="1"/>
  <c r="P25" i="1" s="1"/>
  <c r="P24" i="1"/>
  <c r="D24" i="1"/>
  <c r="D23" i="1"/>
  <c r="P23" i="1" s="1"/>
  <c r="P22" i="1"/>
  <c r="D22" i="1"/>
  <c r="D21" i="1"/>
  <c r="P21" i="1" s="1"/>
  <c r="P20" i="1"/>
  <c r="D20" i="1"/>
  <c r="D19" i="1"/>
  <c r="P19" i="1" s="1"/>
  <c r="P18" i="1"/>
  <c r="D18" i="1"/>
  <c r="D17" i="1"/>
  <c r="P17" i="1" s="1"/>
  <c r="P15" i="1"/>
  <c r="D15" i="1"/>
  <c r="D14" i="1"/>
  <c r="P14" i="1" s="1"/>
  <c r="P11" i="1"/>
  <c r="D11" i="1"/>
  <c r="D10" i="1"/>
  <c r="P10" i="1" s="1"/>
  <c r="P9" i="1"/>
  <c r="D9" i="1"/>
  <c r="D8" i="1"/>
  <c r="P8" i="1" s="1"/>
  <c r="P7" i="1"/>
  <c r="D7" i="1"/>
  <c r="D6" i="1"/>
  <c r="P6" i="1" s="1"/>
  <c r="P5" i="1"/>
  <c r="D5" i="1"/>
  <c r="D4" i="1"/>
  <c r="P4" i="1" s="1"/>
  <c r="P3" i="1"/>
  <c r="D3" i="1"/>
  <c r="D2" i="1"/>
  <c r="D102" i="1" s="1"/>
  <c r="G101" i="8" l="1"/>
  <c r="H101" i="8"/>
  <c r="P2" i="3"/>
  <c r="P102" i="3" s="1"/>
  <c r="P102" i="2"/>
  <c r="P3" i="2"/>
  <c r="D102" i="2"/>
  <c r="P2" i="1"/>
  <c r="P102" i="1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M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N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O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</commentList>
</comments>
</file>

<file path=xl/sharedStrings.xml><?xml version="1.0" encoding="utf-8"?>
<sst xmlns="http://schemas.openxmlformats.org/spreadsheetml/2006/main" count="1261" uniqueCount="323">
  <si>
    <t>PUESTO
 INSTITUCIONAL</t>
  </si>
  <si>
    <t>APELLIDOS Y NOMBRES</t>
  </si>
  <si>
    <t xml:space="preserve">REMUNERACIÓN MENSUAL            </t>
  </si>
  <si>
    <t>REMUNERACIÓN  
ANUAL</t>
  </si>
  <si>
    <t>DÉCIMA 
TERCERA REMUNERACIÓN</t>
  </si>
  <si>
    <t>DÉCIMA 
CUARTA REMUNERACIÓN</t>
  </si>
  <si>
    <t>APORTE PATRONAL 11.15%
ANUAL</t>
  </si>
  <si>
    <t>FONDOS DE RESERVA
ANUAL</t>
  </si>
  <si>
    <t>SERVICIO DE ALIMENTACIÓN
ANUAL</t>
  </si>
  <si>
    <t>SUBSIDIO DE TRANSPORTE
ANUAL</t>
  </si>
  <si>
    <t>LIQUIDACION DE VACACIONES</t>
  </si>
  <si>
    <t>ROPA DE TRABAJO</t>
  </si>
  <si>
    <t>SEGURO DE VIDA  O INCAPACIDAD</t>
  </si>
  <si>
    <t>TOTAL 
PRESUPUESTO 
POR CARGO</t>
  </si>
  <si>
    <t>TRABAJADOR</t>
  </si>
  <si>
    <t>ALVAREZ ACARO LUIS GUSTAVO</t>
  </si>
  <si>
    <t>CHOFER</t>
  </si>
  <si>
    <t>MAZA BOLIVAR ALEJANDRO</t>
  </si>
  <si>
    <t>AREVALO COLAMBO JULIO APARACIO</t>
  </si>
  <si>
    <t>AYUDANTE DE ALBAÑIL</t>
  </si>
  <si>
    <t>ARMIJOS CUMBICOS ANGEL MANUEL</t>
  </si>
  <si>
    <t>OPERADOR</t>
  </si>
  <si>
    <t>BRICEÑO ACARO JUAN CARLOS</t>
  </si>
  <si>
    <t>BRAVO SALINAS JUAN JOSE ELIAS</t>
  </si>
  <si>
    <t>CHAMBA CHACHO ULVIO VICTOR</t>
  </si>
  <si>
    <t>GALVAN GALVAN JORGE DANIEL</t>
  </si>
  <si>
    <t>CALDERON JARA ALCIDES GONZALO</t>
  </si>
  <si>
    <t>CUEVA MALDONADO ANGEL SEGUNDO</t>
  </si>
  <si>
    <t>JORNALERO</t>
  </si>
  <si>
    <t>VARGAS VARGAS FRANKLIN DOMINGO</t>
  </si>
  <si>
    <t xml:space="preserve">CANGO CURIMILMA CHRISTIAN SEBASTIAN </t>
  </si>
  <si>
    <t>TRABAJADORA</t>
  </si>
  <si>
    <t>CANGO CUEVA MAURA MERCEDES</t>
  </si>
  <si>
    <t>CAMACHO PAREDES CRISTIAN JOSE</t>
  </si>
  <si>
    <t>CAÑAR MEDINA VINICIO FERNANDO</t>
  </si>
  <si>
    <t>CAÑAR AGREDA JORGE NELSON</t>
  </si>
  <si>
    <t>CAÑAR OJEDA JOSE LIDIO</t>
  </si>
  <si>
    <t>CARRILLO CHACHA  CELSO EDUARDO</t>
  </si>
  <si>
    <t>CARRION LUZON CESAR MARTIN</t>
  </si>
  <si>
    <t>CARRION PONCE CESAR GEOVANNY</t>
  </si>
  <si>
    <t>CASTILLO CASTILLO JUAN JOSE</t>
  </si>
  <si>
    <t xml:space="preserve">CASTILLO CASTILLO  MILTON </t>
  </si>
  <si>
    <t>HERRERA CAÑAR FRANKLIN DAVID</t>
  </si>
  <si>
    <t>HERRERA CEVALLOS JOSE TELMO</t>
  </si>
  <si>
    <t>GRANDA RUIZ DIEGO FABIAN</t>
  </si>
  <si>
    <t xml:space="preserve">TRABAJADOR </t>
  </si>
  <si>
    <t>HERRERA AJILA MOICES BERNABE</t>
  </si>
  <si>
    <t>GRANDA GRANDA VICTOR MANUEL</t>
  </si>
  <si>
    <t>HERRERA CEVALLOS JUAN BERNARDO</t>
  </si>
  <si>
    <t>OCHOA HERRERA EDILBERTO FADID</t>
  </si>
  <si>
    <t>HERRERA AZUERO AUGUSTO FABIAN</t>
  </si>
  <si>
    <t>CUENCA ALEJANDRO LUIS ALBERTO</t>
  </si>
  <si>
    <t>TORRES GALAN JOSE RAMIRO</t>
  </si>
  <si>
    <t>SEAZ SOTO JOSE JAVIER</t>
  </si>
  <si>
    <t>ROSALES GRANDA JOSE FERNANDO</t>
  </si>
  <si>
    <t>PAREDES OBANDO VINICIO NELSON</t>
  </si>
  <si>
    <t>PIEDRA CABRERA LUIS ALBERTO</t>
  </si>
  <si>
    <t>CUENCA SOTO ROMEL MARIO</t>
  </si>
  <si>
    <t>CUESTA GONZALEZ EFRAIN ALBERTO</t>
  </si>
  <si>
    <t>CUESTA MARTINEZ LUIS CLAUDIO</t>
  </si>
  <si>
    <t>CHAMBA CHACHO JOSE VICENTE</t>
  </si>
  <si>
    <t>OPERADOR DE MAQUINARIA PESADA</t>
  </si>
  <si>
    <t>YAGUANA MARTINEZ BOLIVAR MIGUEL</t>
  </si>
  <si>
    <t>GUAMAN RUIZ MARIA MARUJA</t>
  </si>
  <si>
    <t>YAGUANA CAÑAR ANGEL BENIGNO</t>
  </si>
  <si>
    <t>SIMANCAS PINTA HERNAN VINICIO</t>
  </si>
  <si>
    <t>JARAMILLO CUEVA LUIS ENRIQUE</t>
  </si>
  <si>
    <t>JARAMILLO CUEVA SEGUNDO JOSE AMABLE</t>
  </si>
  <si>
    <t>DIAZ AZUERO WILSON CARLOS</t>
  </si>
  <si>
    <t>HERRERA AGUIRRE MANUEL</t>
  </si>
  <si>
    <t>POLICIA MUNICIPAL</t>
  </si>
  <si>
    <t>SOTO BERMEO VICTOR HUGO</t>
  </si>
  <si>
    <t>JARAMILLO AJILA BYRON LEONEL</t>
  </si>
  <si>
    <t>JARA ROBLES JORGE IVAN</t>
  </si>
  <si>
    <t>LOAYZA VALAREZO EBERT BALDEMAR</t>
  </si>
  <si>
    <t>GUARDIAN</t>
  </si>
  <si>
    <t>LUNA CASTILLO JOSE FRANCO</t>
  </si>
  <si>
    <t>OJEDA MATAILO SERGIO LEONEL</t>
  </si>
  <si>
    <t>OJEDA CABRERA LUIS SERAFIN</t>
  </si>
  <si>
    <t>PACHECO SARI JORGE ARTURO</t>
  </si>
  <si>
    <t>PACHECO VEINTIMILLA NIXON MANUEL</t>
  </si>
  <si>
    <t>PAREDES JIMENEZ MIGUEL ALFONSO</t>
  </si>
  <si>
    <t>PIEDRA HERRERA ANTONIO MELECIO</t>
  </si>
  <si>
    <t>PIEDRA SARMIENTO CESAR AUGUSTO</t>
  </si>
  <si>
    <t>GAONA TORRES CRISTIAN RAFAEL</t>
  </si>
  <si>
    <t>RIVAS FERNANDEZ JOSE FAUSTINO</t>
  </si>
  <si>
    <t>AYUDANTE DE MECÁNICA</t>
  </si>
  <si>
    <t>RIVAS GRANDA ISIDRO TEODULO</t>
  </si>
  <si>
    <t>RIVAS GUEVARA EXCEQUIEL FERNANDO</t>
  </si>
  <si>
    <t>NARVAEZ ANGEL VINICIO</t>
  </si>
  <si>
    <t>SUPERVISOR DE OBRAS PUBLICAS</t>
  </si>
  <si>
    <t>ROBLES MALDONADO ALVARO SALVADOR</t>
  </si>
  <si>
    <t xml:space="preserve">CHOFER </t>
  </si>
  <si>
    <t>LUDEÑA SANCHEZ NELSON RAMIRO</t>
  </si>
  <si>
    <t>MEJIA CELI JOSE LUIS</t>
  </si>
  <si>
    <t>LUNA PACHECO NORMAN CALIXTO</t>
  </si>
  <si>
    <t>LUNA PACHECO MIGUEL CRUZ</t>
  </si>
  <si>
    <t xml:space="preserve">POLICIA MUNICIPAL </t>
  </si>
  <si>
    <t>LUNA BETANCOURT JORGE ENRIQUE</t>
  </si>
  <si>
    <t>JIMENEZ SALINAS JORGE LUIS</t>
  </si>
  <si>
    <t>VEINTIMILLA CAMACHO MIGUEL ANGEL</t>
  </si>
  <si>
    <t>CALVA PINTA MANUEL CORNELIO</t>
  </si>
  <si>
    <t xml:space="preserve">CALVA LUIS ORLANDO </t>
  </si>
  <si>
    <t>JARAMILLO JARA CESAR CLOTARIO</t>
  </si>
  <si>
    <t>JIMENEZ ABAD VICTOR MANUEL</t>
  </si>
  <si>
    <t>JIMENEZ VEGAS CICERON</t>
  </si>
  <si>
    <t>TRAABAJADOR</t>
  </si>
  <si>
    <t>MATAILO BRICEÑO LUZMILA</t>
  </si>
  <si>
    <t>ROMERO ROJAS JORGE JOVANY</t>
  </si>
  <si>
    <t>ROJAS ROJAS FRANCO ISIDRO</t>
  </si>
  <si>
    <t>ORDOÑEZ JIMENEZ MARCELINO FILEMON</t>
  </si>
  <si>
    <t>CARRIÓN PACHECO CESAR</t>
  </si>
  <si>
    <t xml:space="preserve">CALDERON MARTINEZ ALBERTO </t>
  </si>
  <si>
    <t xml:space="preserve">HERRERA PACHECO FABIAN SEGUNDO  </t>
  </si>
  <si>
    <t xml:space="preserve">SIMANCAS MAZA  MARIO EFRAIN </t>
  </si>
  <si>
    <t xml:space="preserve">BRAVO DARIO ENRIQUE </t>
  </si>
  <si>
    <t>ZAMBRANO ZAMBRANO DARIO FERNANDO</t>
  </si>
  <si>
    <t>RECTO  CANGO MARCELO</t>
  </si>
  <si>
    <t>CUEVA CAMACHO MILTON ANTOLIANO</t>
  </si>
  <si>
    <t>CANGO CANGO  CARLOS</t>
  </si>
  <si>
    <t>CAMACHO PINTA MARTHA BEATRIZ</t>
  </si>
  <si>
    <t>CASTILLO CHAMBA HECTOR BOLIVAR</t>
  </si>
  <si>
    <t>CASTILLO GAONA HOLGER MANRIQUE</t>
  </si>
  <si>
    <t>CASTILLO ROJAS MIGUEL ANGEL</t>
  </si>
  <si>
    <t>BRICEÑO  CAMACHO ROSA ESTHER</t>
  </si>
  <si>
    <t>CUESTA GONZALEZ NANCY MARLENE</t>
  </si>
  <si>
    <t>PIEDRA SARMIENTO EDMUNDO</t>
  </si>
  <si>
    <t>QUEVEDO FEBRES SERVIO AMADO</t>
  </si>
  <si>
    <t>HERRERA LUZURIAGA DIEGO FERNANDO</t>
  </si>
  <si>
    <t>Atentamente,</t>
  </si>
  <si>
    <t>Ing. Jairo David Bravo Bravo</t>
  </si>
  <si>
    <t>COORDINADOR DE LA UATH GAD-G. (E)</t>
  </si>
  <si>
    <t>MINISTERIO DE FINANZAS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</si>
  <si>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</si>
  <si>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</si>
  <si>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GOBIERNO AUTÓNOMO DESCENTRALIZADO MUNICIPAL DEL CANTÓN GONZANAMÁ</t>
  </si>
  <si>
    <t>Nº PROYECTO SÉPTIMO CONTRATO COLECTIVO</t>
  </si>
  <si>
    <t xml:space="preserve"> Nº ACTA TRANSACCIONAL </t>
  </si>
  <si>
    <t>CEDULA</t>
  </si>
  <si>
    <t>No. TRABAJADOR</t>
  </si>
  <si>
    <t>GRADO DEL CARGO O PUESTO</t>
  </si>
  <si>
    <t>DENOMINACIÓN DEL PUESTO O CARGO DE OCUPACIÓN</t>
  </si>
  <si>
    <t>REMUNERACIÓN UNIFICADA DICIEMBRE 2016</t>
  </si>
  <si>
    <t>REMUNERACIÓN UNIFICADA PROPUESTA 2017</t>
  </si>
  <si>
    <t>REMUNERACIÓN UNIFICADA PROPUESTA 2018</t>
  </si>
  <si>
    <t>OBSERVACION 1</t>
  </si>
  <si>
    <t>OBSERVACION 2</t>
  </si>
  <si>
    <t>PROYECTO DE INVERSION</t>
  </si>
  <si>
    <t>OBSERVACION 3</t>
  </si>
  <si>
    <t>REMUNERACIÓN UNIFICADA 2020</t>
  </si>
  <si>
    <t/>
  </si>
  <si>
    <t>OBRAS PUBLICAS</t>
  </si>
  <si>
    <t>UGAG</t>
  </si>
  <si>
    <t>CONTRATO INDEFINIDO A PARTIR DEL 2018</t>
  </si>
  <si>
    <t>UMAPAG</t>
  </si>
  <si>
    <t>HOMOLOGADO NOVIEMBRE 2018. SUELDO CON INFORME SOLAMENTE</t>
  </si>
  <si>
    <t>COORDINACION AMBIENTAL Y PRODUCCION</t>
  </si>
  <si>
    <t xml:space="preserve">UMAPAG </t>
  </si>
  <si>
    <t xml:space="preserve">OBRAS PUBLICAS </t>
  </si>
  <si>
    <t>COMISION DE SERVICIOS 13/05/2019</t>
  </si>
  <si>
    <t xml:space="preserve">COMISARIA MUNICIPAL </t>
  </si>
  <si>
    <t>JUBILADO HASTA EL 2018</t>
  </si>
  <si>
    <t>Fecha de inicio 2019</t>
  </si>
  <si>
    <t>FIRMA DIRECTOR (A) TALENTO HUMANO (A) DEL GAD</t>
  </si>
  <si>
    <t>Nombre: Ing. Jairo David Bravo Bravo</t>
  </si>
  <si>
    <t>ELABORADO POR: BASE DE DATOS Y NOMINA</t>
  </si>
  <si>
    <t>Lugar y Fecha: Loja 06 de septiembre del 2021</t>
  </si>
  <si>
    <t>Sello Institucional</t>
  </si>
  <si>
    <t>SUBSIDIO FAMILIAR 2018</t>
  </si>
  <si>
    <t>SUBSIDIO DE ANTIGÜEDAD 2018</t>
  </si>
  <si>
    <t>SUBSIDIO FAMILIAR 2017</t>
  </si>
  <si>
    <t>SUBSIDIO DE ANTIGÜEDAD 2017</t>
  </si>
  <si>
    <t>SUBSIDIO FAMILIAR 2016</t>
  </si>
  <si>
    <t>SUBSIDIO DE ANTIGÜEDAD 2016</t>
  </si>
  <si>
    <t>MINISTERIO DE ECONOMIA Y FINANZAS</t>
  </si>
  <si>
    <t>FORMULARIO 1: "FUENTES DE FINANCIAMIENTO DEL PROYECTO DE CONTRATO COLECTIVO"</t>
  </si>
  <si>
    <t>DETALLE DE INGRESOS</t>
  </si>
  <si>
    <t>GOBIERNO AUTÓNOMO DESCENTRALIZADO MUNICIPAL DE GONZANAMA</t>
  </si>
  <si>
    <t xml:space="preserve">SEPTIMO PROYECTO CONTRATO COLECTIVO </t>
  </si>
  <si>
    <t>FUENTES DE FINANCIAMIENTO</t>
  </si>
  <si>
    <t>FINANCIAMIENTO CONTRATO COLECTIVO VIGENTE 2016</t>
  </si>
  <si>
    <t>FINANCIAMIENTO ESTIMADO   CONTRATO COLECTIVO PROPUESTO 2017</t>
  </si>
  <si>
    <t>FINANCIAMIENTO ESTIMADO   CONTRATO COLECTIVO PROPUESTO 2018</t>
  </si>
  <si>
    <t>OBSERVACIONES</t>
  </si>
  <si>
    <t>Transferencias y Donaciones Corrientes</t>
  </si>
  <si>
    <t>Transferencias y Donaciones de Capital e Inversión</t>
  </si>
  <si>
    <t xml:space="preserve">TOTAL </t>
  </si>
  <si>
    <t>INCREMENTO PORCENTUAL</t>
  </si>
  <si>
    <t>DIRECTOR  FINANCIERO DEL GAD MUNICIPAL DE GONZANAMA</t>
  </si>
  <si>
    <t>Ing. Paul Cadena Garcia</t>
  </si>
  <si>
    <t>Gonzanama, 15 de Septiembre del 2021</t>
  </si>
  <si>
    <t>FORMULARIO 2: "COSTOS DEL PROYECTO DE CONTRATO COLECTIVO"</t>
  </si>
  <si>
    <t>DETALLE DE GASTO</t>
  </si>
  <si>
    <t>CLASIFICADOR PRESUPUESTARIO</t>
  </si>
  <si>
    <t>GASTO DEL PERSONAL</t>
  </si>
  <si>
    <t>COSTO REAL DEL CONTRATO COLECTIVO VIGENTE 2016</t>
  </si>
  <si>
    <t>COSTO ESTIMADO DEL CONTRATO COLECTIVO PROPUESTO 2017</t>
  </si>
  <si>
    <t>COSTO ESTIMADO DEL CONTRATO COLECTIVO PROPUESTO 2018</t>
  </si>
  <si>
    <t>GASTO PERSONAL DE INVERSIÓN</t>
  </si>
  <si>
    <t>Personal pertenece a proyectos de inversion , según informacion del formulario 3 generado por Talento Humano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</si>
  <si>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</si>
  <si>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</si>
  <si>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</si>
  <si>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</si>
  <si>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</si>
  <si>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</si>
  <si>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</si>
  <si>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ALIMENTACIÓN</t>
  </si>
  <si>
    <t>SUBSIDIOS</t>
  </si>
  <si>
    <t>POR CARGAS FAMILIARES</t>
  </si>
  <si>
    <t>Por vacaciones</t>
  </si>
  <si>
    <t>SUBSIDIO DE ANTIGÜEDAD</t>
  </si>
  <si>
    <t>APORTES A LA SEGURIDAD SOCIAL</t>
  </si>
  <si>
    <t xml:space="preserve">APORTE PATRONAL </t>
  </si>
  <si>
    <t xml:space="preserve">FONDO DE RESERVA </t>
  </si>
  <si>
    <t>BIENES DE USO Y CONSUMO DE INVERSIÓN</t>
  </si>
  <si>
    <t>VESTUARIO, LENCERÍA, PRENDAS DE PROTECCIÓN Y OTROS</t>
  </si>
  <si>
    <t>SEGUROS, COSTOS FINANCIEROS Y OTROS GASTOS</t>
  </si>
  <si>
    <t>SEGUROS</t>
  </si>
  <si>
    <t>DIRECTOR FINANCIERO DEL GAD MUNICIPAL DE GONZANAMA</t>
  </si>
  <si>
    <t>FORMULARIO 4</t>
  </si>
  <si>
    <t>FLUJO PRESUPUESTARIO DE INGRESOS Y GASTOS</t>
  </si>
  <si>
    <t xml:space="preserve">SEPTIMO  PROYECTO CONTRATO COLECTIVO 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</si>
  <si>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</si>
  <si>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</si>
  <si>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</si>
  <si>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</si>
  <si>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</si>
  <si>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</si>
  <si>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</si>
  <si>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</si>
  <si>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</si>
  <si>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</si>
  <si>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</si>
  <si>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</si>
  <si>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</si>
  <si>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Contribuciones</t>
  </si>
  <si>
    <t>Venta de Bienes y Servicios</t>
  </si>
  <si>
    <t>Ventas de productos y materiales</t>
  </si>
  <si>
    <t>Ventas no industriales</t>
  </si>
  <si>
    <t>Rentas de Inversiones y Multas</t>
  </si>
  <si>
    <t>Rentas por arrendamiento de bienes</t>
  </si>
  <si>
    <t>Intereses por mora</t>
  </si>
  <si>
    <t>Multas</t>
  </si>
  <si>
    <t>Transferencias corrientes del sector público</t>
  </si>
  <si>
    <t>Aportes y participaciones corrientes del régimen seccional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</si>
  <si>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</si>
  <si>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</si>
  <si>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</si>
  <si>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</si>
  <si>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</si>
  <si>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</si>
  <si>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Subsidios</t>
  </si>
  <si>
    <t>Remuneraciones Temporales</t>
  </si>
  <si>
    <t>Aportes Patronales a la Seguridad Social</t>
  </si>
  <si>
    <t>Indemnizaciones</t>
  </si>
  <si>
    <t>Bienes y servicios de consumo</t>
  </si>
  <si>
    <t>Servicios básicos</t>
  </si>
  <si>
    <t>Servicios generales</t>
  </si>
  <si>
    <t>Traslados, instalaciones, viáticos y subsistencias</t>
  </si>
  <si>
    <t>Instalación, mantenimiento y reparaciones</t>
  </si>
  <si>
    <t>Arrendamiento de bienes</t>
  </si>
  <si>
    <t>Contratación de estudios e investigaciones</t>
  </si>
  <si>
    <t>Gastos en informática</t>
  </si>
  <si>
    <t>Bienes de uso y consumo corriente</t>
  </si>
  <si>
    <t>Bienes muebles no depreciables</t>
  </si>
  <si>
    <t>Gastos Financieros</t>
  </si>
  <si>
    <t>Títulos y valores en circulación</t>
  </si>
  <si>
    <t>Intereses y otros cargos de la deuda pública interna</t>
  </si>
  <si>
    <t>Otros gastos corrientes</t>
  </si>
  <si>
    <t>Impuestos,Tasas y Contribuciones</t>
  </si>
  <si>
    <t>Seguros, costos financieros y otros gastos</t>
  </si>
  <si>
    <t>Transferencias y donaciones corrientes</t>
  </si>
  <si>
    <t>Transferencias corrientes al sector público</t>
  </si>
  <si>
    <t>Donaciones corrientes al sector privado interno</t>
  </si>
  <si>
    <t>SUPERAVIT/DEFICIT CORRIENTE (1) - (2) = (3)</t>
  </si>
  <si>
    <t>INGRESOS DE CAPITAL E INVERSIÓN (4)</t>
  </si>
  <si>
    <t>Venta de activos no financieros</t>
  </si>
  <si>
    <t>Bienes Muebles</t>
  </si>
  <si>
    <t>Bienes inmuebles y semovientes</t>
  </si>
  <si>
    <t>Transferencias y donaciones de capital e inversión</t>
  </si>
  <si>
    <t>Transferencias de Capital e Inversion del Sector Público</t>
  </si>
  <si>
    <t>Aportes y participaciones del sector público</t>
  </si>
  <si>
    <t>Aportes y participaciones de capital del régimen seccional</t>
  </si>
  <si>
    <t>Del presupuesto general del Estado a los GADS</t>
  </si>
  <si>
    <t>GASTOS DE CAPITAL E INVERSIÓN (5)</t>
  </si>
  <si>
    <t>Gastos en personal para Inversión</t>
  </si>
  <si>
    <t>Remuneraciones Compensatorias</t>
  </si>
  <si>
    <t>Bienes y servicios para inversión</t>
  </si>
  <si>
    <t>Contrataciones de estudios e investigaciones</t>
  </si>
  <si>
    <t>Gastos de informática</t>
  </si>
  <si>
    <t>Bienes de uso y consumo de inversión</t>
  </si>
  <si>
    <t>Bienes biologicos no depreciables</t>
  </si>
  <si>
    <t>Obras públicas</t>
  </si>
  <si>
    <t>Obras de Infraestructura</t>
  </si>
  <si>
    <t>Mantenimiento y reparaciones</t>
  </si>
  <si>
    <t>Otros Gastos de Inversión</t>
  </si>
  <si>
    <t>Tasas generales, impuestos y contribuciones</t>
  </si>
  <si>
    <t xml:space="preserve">Transferencias y donaciones para Inversión </t>
  </si>
  <si>
    <t>Transferencias y donaciones para Inversión al Sector Público</t>
  </si>
  <si>
    <t>Bienes de larga duración</t>
  </si>
  <si>
    <t>Bienes muebles</t>
  </si>
  <si>
    <t>Bienes inmuebles</t>
  </si>
  <si>
    <t>Expropiación de bienes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</si>
  <si>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</si>
  <si>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</si>
  <si>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</si>
  <si>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</si>
  <si>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</si>
  <si>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Saldos en Caja y Bancos</t>
  </si>
  <si>
    <t>Cuenta Pendientes por Cobrar</t>
  </si>
  <si>
    <t>USOS FINANCIEROS (8)</t>
  </si>
  <si>
    <t>Amortización de la deuda</t>
  </si>
  <si>
    <t>Amortización de la deuda interna</t>
  </si>
  <si>
    <t>Pasivo Circulante</t>
  </si>
  <si>
    <t>Deuda flotante</t>
  </si>
  <si>
    <t>SUPERAVIT/DEFICIT DE FINANCIAMIENTO (7) - (8)</t>
  </si>
  <si>
    <t>SUPERAVIT/DEFICIT PRESUPUESTARIO</t>
  </si>
  <si>
    <t>ALCALDE DEL GAD MUNICIPAL DE GONZANAMA</t>
  </si>
  <si>
    <t>DIRECTOR FINANCIER0 DEL GAD MUNICIPAL DE  GONZANAMA</t>
  </si>
  <si>
    <t>Ing. Norman Espinoza Luna.</t>
  </si>
  <si>
    <t>ELABORADO POR:  JEFE DE CONTABILIDAD</t>
  </si>
  <si>
    <t>Lic. Julia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</si>
</sst>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$_-;\-* #,##0.00\ _$_-;_-* &quot;-&quot;??\ _$_-;_-@_-"/>
    <numFmt numFmtId="165" formatCode="[$$-300A]\ #,##0.00_ ;\-[$$-300A]\ #,##0.00\ "/>
    <numFmt numFmtId="166" formatCode="[$$-300A]\ #,##0.00"/>
    <numFmt numFmtId="167" formatCode="[$$-300A]#,##0.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0"/>
      <name val="Arial Narrow"/>
      <family val="2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rgb="FF000000"/>
      <name val="Consolas"/>
      <family val="3"/>
    </font>
    <font>
      <b/>
      <sz val="12"/>
      <color rgb="FF000000"/>
      <name val="Consolas"/>
      <family val="3"/>
    </font>
    <font>
      <sz val="11"/>
      <color theme="1"/>
      <name val="Consolas"/>
      <family val="3"/>
    </font>
    <font>
      <b/>
      <sz val="11"/>
      <color rgb="FF000000"/>
      <name val="Consolas"/>
      <family val="3"/>
    </font>
    <font>
      <b/>
      <sz val="14"/>
      <color indexed="8"/>
      <name val="Calibri"/>
      <family val="2"/>
      <scheme val="minor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8"/>
      <color rgb="FFF2F2F2"/>
      <name val="Calibri"/>
      <family val="2"/>
    </font>
    <font>
      <b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5B3D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244062"/>
        <bgColor rgb="FF000000"/>
      </patternFill>
    </fill>
  </fills>
  <borders count="1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0" fontId="6" fillId="0" borderId="0" applyBorder="0" applyProtection="0"/>
    <xf numFmtId="0" fontId="1" fillId="0" borderId="0"/>
    <xf numFmtId="16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220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0" fontId="7" fillId="0" borderId="2" xfId="2" applyNumberFormat="1" applyFont="1" applyFill="1" applyBorder="1" applyAlignment="1">
      <alignment vertical="center" wrapText="1"/>
    </xf>
    <xf numFmtId="0" fontId="8" fillId="3" borderId="2" xfId="3" applyFont="1" applyFill="1" applyBorder="1" applyAlignment="1">
      <alignment horizontal="justify" vertical="center"/>
    </xf>
    <xf numFmtId="2" fontId="7" fillId="0" borderId="2" xfId="4" applyNumberFormat="1" applyFont="1" applyFill="1" applyBorder="1" applyAlignment="1">
      <alignment horizontal="right" vertical="center"/>
    </xf>
    <xf numFmtId="165" fontId="7" fillId="0" borderId="2" xfId="4" applyNumberFormat="1" applyFont="1" applyBorder="1"/>
    <xf numFmtId="4" fontId="9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Border="1"/>
    <xf numFmtId="2" fontId="7" fillId="0" borderId="2" xfId="2" applyNumberFormat="1" applyFont="1" applyFill="1" applyBorder="1" applyAlignment="1">
      <alignment horizontal="right" vertical="center"/>
    </xf>
    <xf numFmtId="0" fontId="11" fillId="3" borderId="2" xfId="3" applyFont="1" applyFill="1" applyBorder="1" applyAlignment="1">
      <alignment horizontal="justify" vertical="center"/>
    </xf>
    <xf numFmtId="2" fontId="7" fillId="3" borderId="2" xfId="4" applyNumberFormat="1" applyFont="1" applyFill="1" applyBorder="1" applyAlignment="1">
      <alignment horizontal="right" vertical="center"/>
    </xf>
    <xf numFmtId="165" fontId="7" fillId="3" borderId="2" xfId="4" applyNumberFormat="1" applyFont="1" applyFill="1" applyBorder="1"/>
    <xf numFmtId="4" fontId="9" fillId="3" borderId="2" xfId="0" applyNumberFormat="1" applyFont="1" applyFill="1" applyBorder="1" applyAlignment="1">
      <alignment horizontal="right" vertical="center"/>
    </xf>
    <xf numFmtId="166" fontId="10" fillId="3" borderId="2" xfId="0" applyNumberFormat="1" applyFont="1" applyFill="1" applyBorder="1"/>
    <xf numFmtId="0" fontId="7" fillId="3" borderId="2" xfId="2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  <xf numFmtId="2" fontId="7" fillId="3" borderId="2" xfId="2" applyNumberFormat="1" applyFont="1" applyFill="1" applyBorder="1" applyAlignment="1">
      <alignment horizontal="right" vertical="center"/>
    </xf>
    <xf numFmtId="0" fontId="7" fillId="0" borderId="2" xfId="2" applyNumberFormat="1" applyFont="1" applyFill="1" applyBorder="1" applyAlignment="1">
      <alignment wrapText="1"/>
    </xf>
    <xf numFmtId="2" fontId="7" fillId="0" borderId="2" xfId="4" applyNumberFormat="1" applyFont="1" applyFill="1" applyBorder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2" fontId="7" fillId="3" borderId="0" xfId="4" applyNumberFormat="1" applyFont="1" applyFill="1" applyBorder="1" applyAlignment="1">
      <alignment horizontal="right" vertical="center"/>
    </xf>
    <xf numFmtId="167" fontId="5" fillId="3" borderId="0" xfId="0" applyNumberFormat="1" applyFont="1" applyFill="1" applyBorder="1"/>
    <xf numFmtId="0" fontId="10" fillId="0" borderId="0" xfId="0" applyFont="1"/>
    <xf numFmtId="164" fontId="16" fillId="0" borderId="0" xfId="4" applyFont="1" applyFill="1" applyBorder="1" applyAlignment="1">
      <alignment horizontal="center" vertical="center"/>
    </xf>
    <xf numFmtId="0" fontId="17" fillId="0" borderId="0" xfId="0" applyFont="1" applyFill="1" applyAlignment="1"/>
    <xf numFmtId="0" fontId="17" fillId="0" borderId="0" xfId="0" applyFont="1" applyFill="1" applyAlignment="1">
      <alignment horizontal="left"/>
    </xf>
    <xf numFmtId="0" fontId="18" fillId="0" borderId="0" xfId="0" applyFont="1" applyFill="1" applyAlignment="1">
      <alignment horizontal="left"/>
    </xf>
    <xf numFmtId="164" fontId="19" fillId="0" borderId="0" xfId="4" applyFont="1" applyFill="1" applyBorder="1" applyAlignment="1">
      <alignment horizontal="center" vertical="center"/>
    </xf>
    <xf numFmtId="164" fontId="19" fillId="0" borderId="0" xfId="4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wrapText="1"/>
    </xf>
    <xf numFmtId="164" fontId="22" fillId="0" borderId="0" xfId="4" applyFont="1" applyFill="1" applyBorder="1" applyAlignme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49" fontId="24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7" fillId="0" borderId="2" xfId="2" applyNumberFormat="1" applyFont="1" applyFill="1" applyBorder="1" applyAlignment="1">
      <alignment horizontal="center" vertical="center"/>
    </xf>
    <xf numFmtId="0" fontId="7" fillId="0" borderId="2" xfId="2" applyNumberFormat="1" applyFont="1" applyFill="1" applyBorder="1" applyAlignment="1">
      <alignment vertical="center"/>
    </xf>
    <xf numFmtId="4" fontId="25" fillId="0" borderId="2" xfId="0" applyNumberFormat="1" applyFont="1" applyFill="1" applyBorder="1" applyAlignment="1">
      <alignment horizontal="right" vertical="center" wrapText="1"/>
    </xf>
    <xf numFmtId="4" fontId="25" fillId="0" borderId="2" xfId="0" applyNumberFormat="1" applyFont="1" applyFill="1" applyBorder="1" applyAlignment="1">
      <alignment horizontal="left" vertical="center"/>
    </xf>
    <xf numFmtId="0" fontId="25" fillId="0" borderId="2" xfId="0" applyNumberFormat="1" applyFont="1" applyFill="1" applyBorder="1" applyAlignment="1">
      <alignment horizontal="left" vertical="center" wrapText="1"/>
    </xf>
    <xf numFmtId="0" fontId="26" fillId="0" borderId="2" xfId="0" applyNumberFormat="1" applyFont="1" applyFill="1" applyBorder="1" applyAlignment="1">
      <alignment horizontal="left" vertical="center" wrapText="1"/>
    </xf>
    <xf numFmtId="2" fontId="26" fillId="0" borderId="2" xfId="0" applyNumberFormat="1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center"/>
    </xf>
    <xf numFmtId="4" fontId="25" fillId="0" borderId="2" xfId="0" applyNumberFormat="1" applyFont="1" applyFill="1" applyBorder="1" applyAlignment="1">
      <alignment horizontal="left" vertical="center" wrapText="1"/>
    </xf>
    <xf numFmtId="0" fontId="7" fillId="3" borderId="2" xfId="2" applyNumberFormat="1" applyFont="1" applyFill="1" applyBorder="1" applyAlignment="1">
      <alignment horizontal="center" vertical="center"/>
    </xf>
    <xf numFmtId="0" fontId="7" fillId="3" borderId="2" xfId="2" applyNumberFormat="1" applyFont="1" applyFill="1" applyBorder="1" applyAlignment="1">
      <alignment vertical="center"/>
    </xf>
    <xf numFmtId="4" fontId="25" fillId="3" borderId="2" xfId="0" applyNumberFormat="1" applyFont="1" applyFill="1" applyBorder="1" applyAlignment="1">
      <alignment horizontal="right" vertical="center" wrapText="1"/>
    </xf>
    <xf numFmtId="4" fontId="25" fillId="3" borderId="2" xfId="0" applyNumberFormat="1" applyFont="1" applyFill="1" applyBorder="1" applyAlignment="1">
      <alignment horizontal="left" vertical="center"/>
    </xf>
    <xf numFmtId="0" fontId="25" fillId="3" borderId="2" xfId="0" applyNumberFormat="1" applyFont="1" applyFill="1" applyBorder="1" applyAlignment="1">
      <alignment horizontal="left" vertical="center" wrapText="1"/>
    </xf>
    <xf numFmtId="0" fontId="26" fillId="3" borderId="2" xfId="0" applyNumberFormat="1" applyFont="1" applyFill="1" applyBorder="1" applyAlignment="1">
      <alignment horizontal="left" vertical="center" wrapText="1"/>
    </xf>
    <xf numFmtId="2" fontId="26" fillId="3" borderId="2" xfId="0" applyNumberFormat="1" applyFont="1" applyFill="1" applyBorder="1" applyAlignment="1">
      <alignment horizontal="right" vertical="center" wrapText="1"/>
    </xf>
    <xf numFmtId="4" fontId="26" fillId="0" borderId="2" xfId="0" applyNumberFormat="1" applyFont="1" applyFill="1" applyBorder="1" applyAlignment="1">
      <alignment horizontal="left" vertical="center" wrapText="1"/>
    </xf>
    <xf numFmtId="4" fontId="25" fillId="3" borderId="2" xfId="0" applyNumberFormat="1" applyFont="1" applyFill="1" applyBorder="1" applyAlignment="1">
      <alignment horizontal="left" vertical="center" wrapText="1"/>
    </xf>
    <xf numFmtId="0" fontId="7" fillId="0" borderId="2" xfId="2" applyNumberFormat="1" applyFont="1" applyFill="1" applyBorder="1" applyAlignment="1">
      <alignment horizontal="center"/>
    </xf>
    <xf numFmtId="0" fontId="7" fillId="0" borderId="0" xfId="2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vertical="center" wrapText="1"/>
    </xf>
    <xf numFmtId="2" fontId="7" fillId="0" borderId="0" xfId="4" applyNumberFormat="1" applyFont="1" applyFill="1" applyBorder="1" applyAlignment="1">
      <alignment horizontal="right" vertical="center"/>
    </xf>
    <xf numFmtId="4" fontId="22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wrapText="1"/>
    </xf>
    <xf numFmtId="4" fontId="25" fillId="0" borderId="0" xfId="0" applyNumberFormat="1" applyFont="1" applyFill="1" applyBorder="1" applyAlignment="1">
      <alignment horizontal="left" vertical="center"/>
    </xf>
    <xf numFmtId="4" fontId="26" fillId="0" borderId="0" xfId="0" applyNumberFormat="1" applyFont="1" applyFill="1" applyBorder="1" applyAlignment="1">
      <alignment horizontal="left" vertical="center"/>
    </xf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wrapText="1"/>
    </xf>
    <xf numFmtId="164" fontId="28" fillId="0" borderId="0" xfId="4" applyFont="1" applyFill="1" applyBorder="1" applyAlignment="1"/>
    <xf numFmtId="0" fontId="28" fillId="0" borderId="0" xfId="0" applyFont="1" applyFill="1" applyAlignment="1"/>
    <xf numFmtId="0" fontId="28" fillId="0" borderId="0" xfId="0" applyFont="1" applyFill="1" applyAlignment="1">
      <alignment wrapText="1"/>
    </xf>
    <xf numFmtId="0" fontId="1" fillId="0" borderId="0" xfId="5" applyFill="1" applyAlignment="1"/>
    <xf numFmtId="0" fontId="1" fillId="0" borderId="0" xfId="5" applyFill="1" applyAlignment="1">
      <alignment horizontal="center"/>
    </xf>
    <xf numFmtId="0" fontId="28" fillId="0" borderId="0" xfId="0" applyFont="1" applyFill="1" applyBorder="1" applyAlignment="1">
      <alignment horizontal="center" wrapText="1"/>
    </xf>
    <xf numFmtId="0" fontId="3" fillId="0" borderId="0" xfId="5" applyFont="1" applyFill="1" applyAlignment="1"/>
    <xf numFmtId="164" fontId="29" fillId="0" borderId="0" xfId="4" applyFont="1" applyFill="1" applyBorder="1" applyAlignment="1"/>
    <xf numFmtId="164" fontId="28" fillId="0" borderId="0" xfId="4" applyFont="1" applyFill="1" applyAlignment="1"/>
    <xf numFmtId="0" fontId="28" fillId="0" borderId="0" xfId="0" applyFont="1" applyFill="1" applyAlignment="1">
      <alignment horizontal="center"/>
    </xf>
    <xf numFmtId="49" fontId="32" fillId="5" borderId="5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4" fontId="28" fillId="3" borderId="5" xfId="0" applyNumberFormat="1" applyFont="1" applyFill="1" applyBorder="1" applyAlignment="1">
      <alignment horizontal="center" vertical="center"/>
    </xf>
    <xf numFmtId="4" fontId="28" fillId="0" borderId="5" xfId="0" applyNumberFormat="1" applyFont="1" applyBorder="1" applyAlignment="1">
      <alignment horizontal="center" vertical="center"/>
    </xf>
    <xf numFmtId="4" fontId="29" fillId="0" borderId="5" xfId="0" applyNumberFormat="1" applyFont="1" applyBorder="1" applyAlignment="1">
      <alignment horizontal="center" vertical="center"/>
    </xf>
    <xf numFmtId="4" fontId="29" fillId="0" borderId="5" xfId="0" applyNumberFormat="1" applyFont="1" applyBorder="1" applyAlignment="1">
      <alignment horizontal="center" vertical="center" wrapText="1"/>
    </xf>
    <xf numFmtId="4" fontId="29" fillId="6" borderId="5" xfId="0" applyNumberFormat="1" applyFont="1" applyFill="1" applyBorder="1" applyAlignment="1">
      <alignment horizontal="center" vertical="center"/>
    </xf>
    <xf numFmtId="0" fontId="33" fillId="7" borderId="5" xfId="0" applyFont="1" applyFill="1" applyBorder="1" applyAlignment="1">
      <alignment vertical="center"/>
    </xf>
    <xf numFmtId="10" fontId="32" fillId="7" borderId="5" xfId="7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32" fillId="5" borderId="5" xfId="8" applyNumberFormat="1" applyFont="1" applyFill="1" applyBorder="1" applyAlignment="1">
      <alignment horizontal="center" vertical="center" wrapText="1"/>
    </xf>
    <xf numFmtId="0" fontId="32" fillId="5" borderId="5" xfId="8" applyFont="1" applyFill="1" applyBorder="1" applyAlignment="1">
      <alignment horizontal="center" vertical="center" wrapText="1"/>
    </xf>
    <xf numFmtId="4" fontId="22" fillId="8" borderId="5" xfId="8" applyNumberFormat="1" applyFont="1" applyFill="1" applyBorder="1" applyAlignment="1">
      <alignment horizontal="right" vertical="center"/>
    </xf>
    <xf numFmtId="4" fontId="29" fillId="8" borderId="5" xfId="0" applyNumberFormat="1" applyFont="1" applyFill="1" applyBorder="1" applyAlignment="1">
      <alignment horizontal="center" vertical="center" wrapText="1"/>
    </xf>
    <xf numFmtId="0" fontId="22" fillId="0" borderId="5" xfId="8" applyFont="1" applyFill="1" applyBorder="1" applyAlignment="1">
      <alignment horizontal="center" vertical="center"/>
    </xf>
    <xf numFmtId="0" fontId="22" fillId="0" borderId="5" xfId="8" applyFont="1" applyFill="1" applyBorder="1" applyAlignment="1">
      <alignment horizontal="left" vertical="center"/>
    </xf>
    <xf numFmtId="4" fontId="22" fillId="3" borderId="5" xfId="8" applyNumberFormat="1" applyFont="1" applyFill="1" applyBorder="1" applyAlignment="1">
      <alignment horizontal="right" vertical="center"/>
    </xf>
    <xf numFmtId="4" fontId="22" fillId="3" borderId="9" xfId="8" applyNumberFormat="1" applyFont="1" applyFill="1" applyBorder="1" applyAlignment="1">
      <alignment horizontal="right" vertical="center"/>
    </xf>
    <xf numFmtId="0" fontId="23" fillId="0" borderId="5" xfId="8" applyFont="1" applyFill="1" applyBorder="1" applyAlignment="1">
      <alignment horizontal="center" vertical="center"/>
    </xf>
    <xf numFmtId="0" fontId="23" fillId="0" borderId="5" xfId="8" applyFont="1" applyFill="1" applyBorder="1" applyAlignment="1">
      <alignment horizontal="left" vertical="center"/>
    </xf>
    <xf numFmtId="0" fontId="0" fillId="3" borderId="2" xfId="0" applyFill="1" applyBorder="1"/>
    <xf numFmtId="4" fontId="22" fillId="3" borderId="10" xfId="8" applyNumberFormat="1" applyFont="1" applyFill="1" applyBorder="1" applyAlignment="1">
      <alignment horizontal="right" vertical="center"/>
    </xf>
    <xf numFmtId="4" fontId="23" fillId="3" borderId="5" xfId="8" applyNumberFormat="1" applyFont="1" applyFill="1" applyBorder="1" applyAlignment="1">
      <alignment horizontal="center" vertical="center"/>
    </xf>
    <xf numFmtId="4" fontId="23" fillId="3" borderId="5" xfId="4" applyNumberFormat="1" applyFont="1" applyFill="1" applyBorder="1" applyAlignment="1">
      <alignment horizontal="right" vertical="center"/>
    </xf>
    <xf numFmtId="4" fontId="23" fillId="3" borderId="5" xfId="4" applyNumberFormat="1" applyFont="1" applyFill="1" applyBorder="1" applyAlignment="1">
      <alignment horizontal="center" vertical="center"/>
    </xf>
    <xf numFmtId="4" fontId="22" fillId="3" borderId="5" xfId="4" applyNumberFormat="1" applyFont="1" applyFill="1" applyBorder="1" applyAlignment="1">
      <alignment horizontal="right" vertical="center"/>
    </xf>
    <xf numFmtId="49" fontId="23" fillId="0" borderId="5" xfId="8" applyNumberFormat="1" applyFont="1" applyFill="1" applyBorder="1" applyAlignment="1">
      <alignment horizontal="center" vertical="center"/>
    </xf>
    <xf numFmtId="4" fontId="23" fillId="3" borderId="5" xfId="8" applyNumberFormat="1" applyFont="1" applyFill="1" applyBorder="1" applyAlignment="1">
      <alignment horizontal="right" vertical="center"/>
    </xf>
    <xf numFmtId="4" fontId="23" fillId="3" borderId="5" xfId="8" applyNumberFormat="1" applyFont="1" applyFill="1" applyBorder="1" applyAlignment="1">
      <alignment horizontal="left" vertical="center"/>
    </xf>
    <xf numFmtId="4" fontId="22" fillId="6" borderId="5" xfId="4" applyNumberFormat="1" applyFont="1" applyFill="1" applyBorder="1" applyAlignment="1">
      <alignment horizontal="right" vertical="center"/>
    </xf>
    <xf numFmtId="4" fontId="22" fillId="6" borderId="5" xfId="4" applyNumberFormat="1" applyFont="1" applyFill="1" applyBorder="1" applyAlignment="1">
      <alignment horizontal="center" vertical="center"/>
    </xf>
    <xf numFmtId="10" fontId="32" fillId="7" borderId="5" xfId="8" applyNumberFormat="1" applyFont="1" applyFill="1" applyBorder="1" applyAlignment="1">
      <alignment horizontal="right" vertical="center" wrapText="1"/>
    </xf>
    <xf numFmtId="0" fontId="32" fillId="7" borderId="5" xfId="8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5" borderId="5" xfId="5" applyFont="1" applyFill="1" applyBorder="1" applyAlignment="1">
      <alignment horizontal="center" vertical="center" wrapText="1"/>
    </xf>
    <xf numFmtId="0" fontId="5" fillId="5" borderId="5" xfId="5" applyFont="1" applyFill="1" applyBorder="1" applyAlignment="1">
      <alignment horizontal="center" vertical="center"/>
    </xf>
    <xf numFmtId="4" fontId="35" fillId="9" borderId="5" xfId="5" applyNumberFormat="1" applyFont="1" applyFill="1" applyBorder="1" applyAlignment="1">
      <alignment horizontal="right" vertical="center"/>
    </xf>
    <xf numFmtId="0" fontId="10" fillId="0" borderId="5" xfId="5" applyFont="1" applyFill="1" applyBorder="1" applyAlignment="1">
      <alignment vertical="center"/>
    </xf>
    <xf numFmtId="0" fontId="36" fillId="0" borderId="5" xfId="5" applyFont="1" applyFill="1" applyBorder="1" applyAlignment="1">
      <alignment horizontal="center" vertical="center"/>
    </xf>
    <xf numFmtId="0" fontId="36" fillId="0" borderId="5" xfId="5" applyFont="1" applyFill="1" applyBorder="1" applyAlignment="1">
      <alignment vertical="center"/>
    </xf>
    <xf numFmtId="4" fontId="36" fillId="0" borderId="5" xfId="5" applyNumberFormat="1" applyFont="1" applyFill="1" applyBorder="1" applyAlignment="1">
      <alignment horizontal="right" vertical="center"/>
    </xf>
    <xf numFmtId="0" fontId="37" fillId="0" borderId="5" xfId="5" applyFont="1" applyFill="1" applyBorder="1" applyAlignment="1">
      <alignment horizontal="center" vertical="center"/>
    </xf>
    <xf numFmtId="0" fontId="37" fillId="0" borderId="5" xfId="5" applyFont="1" applyFill="1" applyBorder="1" applyAlignment="1">
      <alignment vertical="center"/>
    </xf>
    <xf numFmtId="4" fontId="38" fillId="0" borderId="5" xfId="5" applyNumberFormat="1" applyFont="1" applyFill="1" applyBorder="1" applyAlignment="1">
      <alignment horizontal="right" vertical="center"/>
    </xf>
    <xf numFmtId="4" fontId="10" fillId="0" borderId="5" xfId="5" applyNumberFormat="1" applyFont="1" applyFill="1" applyBorder="1" applyAlignment="1">
      <alignment horizontal="right" vertical="center"/>
    </xf>
    <xf numFmtId="4" fontId="39" fillId="9" borderId="5" xfId="5" applyNumberFormat="1" applyFont="1" applyFill="1" applyBorder="1" applyAlignment="1">
      <alignment horizontal="right" vertical="center"/>
    </xf>
    <xf numFmtId="43" fontId="10" fillId="0" borderId="5" xfId="6" applyFont="1" applyFill="1" applyBorder="1" applyAlignment="1">
      <alignment vertical="center"/>
    </xf>
    <xf numFmtId="0" fontId="38" fillId="0" borderId="5" xfId="5" applyFont="1" applyFill="1" applyBorder="1" applyAlignment="1">
      <alignment horizontal="center" vertical="center"/>
    </xf>
    <xf numFmtId="0" fontId="38" fillId="0" borderId="5" xfId="5" applyFont="1" applyFill="1" applyBorder="1" applyAlignment="1">
      <alignment vertical="center"/>
    </xf>
    <xf numFmtId="43" fontId="38" fillId="0" borderId="5" xfId="6" applyFont="1" applyFill="1" applyBorder="1" applyAlignment="1">
      <alignment horizontal="right" vertical="center"/>
    </xf>
    <xf numFmtId="43" fontId="10" fillId="0" borderId="5" xfId="6" applyFont="1" applyFill="1" applyBorder="1" applyAlignment="1">
      <alignment horizontal="right" vertical="center"/>
    </xf>
    <xf numFmtId="0" fontId="39" fillId="0" borderId="5" xfId="5" applyFont="1" applyFill="1" applyBorder="1" applyAlignment="1">
      <alignment horizontal="center" vertical="center"/>
    </xf>
    <xf numFmtId="4" fontId="34" fillId="0" borderId="5" xfId="5" applyNumberFormat="1" applyFont="1" applyFill="1" applyBorder="1" applyAlignment="1">
      <alignment horizontal="right" vertical="center"/>
    </xf>
    <xf numFmtId="4" fontId="35" fillId="10" borderId="5" xfId="5" applyNumberFormat="1" applyFont="1" applyFill="1" applyBorder="1" applyAlignment="1">
      <alignment horizontal="right" vertical="center"/>
    </xf>
    <xf numFmtId="4" fontId="36" fillId="9" borderId="5" xfId="5" applyNumberFormat="1" applyFont="1" applyFill="1" applyBorder="1" applyAlignment="1">
      <alignment horizontal="right" vertical="center"/>
    </xf>
    <xf numFmtId="0" fontId="35" fillId="0" borderId="5" xfId="5" applyFont="1" applyFill="1" applyBorder="1" applyAlignment="1">
      <alignment horizontal="center" vertical="center"/>
    </xf>
    <xf numFmtId="0" fontId="35" fillId="0" borderId="5" xfId="5" applyFont="1" applyFill="1" applyBorder="1" applyAlignment="1">
      <alignment vertical="center"/>
    </xf>
    <xf numFmtId="4" fontId="39" fillId="0" borderId="5" xfId="5" applyNumberFormat="1" applyFont="1" applyFill="1" applyBorder="1" applyAlignment="1">
      <alignment horizontal="right" vertical="center"/>
    </xf>
    <xf numFmtId="0" fontId="10" fillId="0" borderId="5" xfId="5" applyFont="1" applyFill="1" applyBorder="1" applyAlignment="1">
      <alignment vertical="center" wrapText="1"/>
    </xf>
    <xf numFmtId="4" fontId="36" fillId="11" borderId="5" xfId="5" applyNumberFormat="1" applyFont="1" applyFill="1" applyBorder="1" applyAlignment="1">
      <alignment horizontal="right" vertical="center"/>
    </xf>
    <xf numFmtId="0" fontId="40" fillId="0" borderId="5" xfId="5" applyFont="1" applyFill="1" applyBorder="1" applyAlignment="1">
      <alignment horizontal="center" vertical="center"/>
    </xf>
    <xf numFmtId="0" fontId="40" fillId="0" borderId="5" xfId="5" applyFont="1" applyFill="1" applyBorder="1" applyAlignment="1">
      <alignment vertical="center"/>
    </xf>
    <xf numFmtId="4" fontId="40" fillId="0" borderId="5" xfId="5" applyNumberFormat="1" applyFont="1" applyFill="1" applyBorder="1" applyAlignment="1">
      <alignment horizontal="right" vertical="center"/>
    </xf>
    <xf numFmtId="4" fontId="41" fillId="0" borderId="5" xfId="5" applyNumberFormat="1" applyFont="1" applyFill="1" applyBorder="1" applyAlignment="1">
      <alignment horizontal="right" vertical="center"/>
    </xf>
    <xf numFmtId="4" fontId="37" fillId="0" borderId="5" xfId="5" applyNumberFormat="1" applyFont="1" applyFill="1" applyBorder="1" applyAlignment="1">
      <alignment horizontal="right" vertical="center"/>
    </xf>
    <xf numFmtId="4" fontId="42" fillId="0" borderId="5" xfId="5" applyNumberFormat="1" applyFont="1" applyFill="1" applyBorder="1" applyAlignment="1">
      <alignment horizontal="right" vertical="center"/>
    </xf>
    <xf numFmtId="0" fontId="43" fillId="0" borderId="5" xfId="5" applyFont="1" applyFill="1" applyBorder="1" applyAlignment="1">
      <alignment vertical="center"/>
    </xf>
    <xf numFmtId="4" fontId="44" fillId="0" borderId="5" xfId="5" applyNumberFormat="1" applyFont="1" applyFill="1" applyBorder="1" applyAlignment="1">
      <alignment horizontal="right" vertical="center"/>
    </xf>
    <xf numFmtId="0" fontId="44" fillId="0" borderId="5" xfId="5" applyFont="1" applyFill="1" applyBorder="1" applyAlignment="1">
      <alignment vertical="center"/>
    </xf>
    <xf numFmtId="4" fontId="39" fillId="10" borderId="5" xfId="5" applyNumberFormat="1" applyFont="1" applyFill="1" applyBorder="1" applyAlignment="1">
      <alignment horizontal="right" vertical="center"/>
    </xf>
    <xf numFmtId="4" fontId="45" fillId="12" borderId="5" xfId="5" applyNumberFormat="1" applyFont="1" applyFill="1" applyBorder="1" applyAlignment="1">
      <alignment horizontal="right" vertical="center"/>
    </xf>
    <xf numFmtId="0" fontId="37" fillId="9" borderId="5" xfId="5" applyFont="1" applyFill="1" applyBorder="1" applyAlignment="1">
      <alignment vertical="center"/>
    </xf>
    <xf numFmtId="0" fontId="45" fillId="12" borderId="5" xfId="5" applyFont="1" applyFill="1" applyBorder="1" applyAlignment="1">
      <alignment vertical="center"/>
    </xf>
    <xf numFmtId="4" fontId="45" fillId="13" borderId="5" xfId="5" applyNumberFormat="1" applyFont="1" applyFill="1" applyBorder="1" applyAlignment="1">
      <alignment horizontal="right" vertical="center"/>
    </xf>
    <xf numFmtId="0" fontId="45" fillId="13" borderId="5" xfId="5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30" fillId="0" borderId="3" xfId="5" applyFont="1" applyFill="1" applyBorder="1" applyAlignment="1">
      <alignment horizontal="left"/>
    </xf>
    <xf numFmtId="167" fontId="42" fillId="2" borderId="2" xfId="0" applyNumberFormat="1" applyFont="1" applyFill="1" applyBorder="1"/>
    <xf numFmtId="2" fontId="42" fillId="2" borderId="2" xfId="4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0" fontId="30" fillId="0" borderId="0" xfId="5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32" fillId="5" borderId="5" xfId="0" applyNumberFormat="1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8" fillId="0" borderId="0" xfId="8" applyFont="1" applyBorder="1" applyAlignment="1">
      <alignment horizontal="center" vertical="center"/>
    </xf>
    <xf numFmtId="0" fontId="19" fillId="0" borderId="4" xfId="8" applyFont="1" applyBorder="1" applyAlignment="1">
      <alignment horizontal="center" vertical="center"/>
    </xf>
    <xf numFmtId="0" fontId="22" fillId="8" borderId="5" xfId="8" applyFont="1" applyFill="1" applyBorder="1" applyAlignment="1">
      <alignment horizontal="center" vertical="center"/>
    </xf>
    <xf numFmtId="0" fontId="22" fillId="6" borderId="6" xfId="8" applyFont="1" applyFill="1" applyBorder="1" applyAlignment="1">
      <alignment horizontal="center" vertical="center"/>
    </xf>
    <xf numFmtId="0" fontId="22" fillId="6" borderId="7" xfId="8" applyFont="1" applyFill="1" applyBorder="1" applyAlignment="1">
      <alignment horizontal="center" vertical="center"/>
    </xf>
    <xf numFmtId="0" fontId="32" fillId="7" borderId="6" xfId="8" applyFont="1" applyFill="1" applyBorder="1" applyAlignment="1">
      <alignment horizontal="center" vertical="center" wrapText="1"/>
    </xf>
    <xf numFmtId="0" fontId="32" fillId="7" borderId="7" xfId="8" applyFont="1" applyFill="1" applyBorder="1" applyAlignment="1">
      <alignment horizontal="center" vertical="center" wrapText="1"/>
    </xf>
    <xf numFmtId="0" fontId="28" fillId="0" borderId="8" xfId="8" applyFont="1" applyBorder="1" applyAlignment="1">
      <alignment horizontal="center" vertical="center"/>
    </xf>
    <xf numFmtId="0" fontId="30" fillId="0" borderId="3" xfId="5" applyFont="1" applyFill="1" applyBorder="1" applyAlignment="1">
      <alignment horizontal="center"/>
    </xf>
    <xf numFmtId="164" fontId="16" fillId="0" borderId="0" xfId="4" applyFont="1" applyFill="1" applyBorder="1" applyAlignment="1">
      <alignment horizontal="center" vertical="center"/>
    </xf>
    <xf numFmtId="164" fontId="19" fillId="0" borderId="0" xfId="4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64" fontId="19" fillId="0" borderId="0" xfId="4" applyFont="1" applyFill="1" applyBorder="1" applyAlignment="1">
      <alignment horizontal="center"/>
    </xf>
    <xf numFmtId="0" fontId="3" fillId="0" borderId="3" xfId="5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42" fillId="2" borderId="2" xfId="0" applyFont="1" applyFill="1" applyBorder="1" applyAlignment="1">
      <alignment horizontal="center"/>
    </xf>
    <xf numFmtId="0" fontId="35" fillId="9" borderId="5" xfId="5" applyFont="1" applyFill="1" applyBorder="1" applyAlignment="1">
      <alignment horizontal="left" vertical="center"/>
    </xf>
    <xf numFmtId="0" fontId="45" fillId="12" borderId="5" xfId="5" applyFont="1" applyFill="1" applyBorder="1" applyAlignment="1">
      <alignment horizontal="left" vertical="center"/>
    </xf>
    <xf numFmtId="0" fontId="45" fillId="13" borderId="5" xfId="5" applyFont="1" applyFill="1" applyBorder="1" applyAlignment="1">
      <alignment horizontal="left" vertical="center"/>
    </xf>
    <xf numFmtId="0" fontId="39" fillId="9" borderId="5" xfId="5" applyFont="1" applyFill="1" applyBorder="1" applyAlignment="1">
      <alignment horizontal="left" vertical="center"/>
    </xf>
    <xf numFmtId="0" fontId="35" fillId="10" borderId="5" xfId="5" applyFont="1" applyFill="1" applyBorder="1" applyAlignment="1">
      <alignment horizontal="left" vertical="center"/>
    </xf>
    <xf numFmtId="0" fontId="36" fillId="9" borderId="5" xfId="5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vertical="center"/>
    </xf>
    <xf numFmtId="0" fontId="5" fillId="5" borderId="5" xfId="5" applyFont="1" applyFill="1" applyBorder="1" applyAlignment="1">
      <alignment horizontal="center" vertical="center" wrapText="1"/>
    </xf>
    <xf numFmtId="0" fontId="34" fillId="0" borderId="5" xfId="5" applyFont="1" applyFill="1" applyBorder="1" applyAlignment="1">
      <alignment horizontal="left" vertical="center"/>
    </xf>
    <xf numFmtId="0" fontId="22" fillId="0" borderId="9" xfId="8" applyFont="1" applyFill="1" applyBorder="1" applyAlignment="1">
      <alignment horizontal="center" vertical="center"/>
    </xf>
    <xf numFmtId="0" fontId="22" fillId="0" borderId="9" xfId="8" applyFont="1" applyFill="1" applyBorder="1" applyAlignment="1">
      <alignment horizontal="left" vertical="center"/>
    </xf>
    <xf numFmtId="2" fontId="22" fillId="3" borderId="9" xfId="8" applyNumberFormat="1" applyFont="1" applyFill="1" applyBorder="1" applyAlignment="1">
      <alignment horizontal="center" vertical="center"/>
    </xf>
    <xf numFmtId="0" fontId="22" fillId="0" borderId="10" xfId="8" applyFont="1" applyFill="1" applyBorder="1" applyAlignment="1">
      <alignment horizontal="center" vertical="center"/>
    </xf>
    <xf numFmtId="0" fontId="22" fillId="0" borderId="10" xfId="8" applyFont="1" applyFill="1" applyBorder="1" applyAlignment="1">
      <alignment horizontal="left" vertical="center"/>
    </xf>
    <xf numFmtId="4" fontId="23" fillId="3" borderId="10" xfId="8" applyNumberFormat="1" applyFont="1" applyFill="1" applyBorder="1" applyAlignment="1">
      <alignment horizontal="center" vertical="center"/>
    </xf>
    <xf numFmtId="0" fontId="23" fillId="0" borderId="2" xfId="8" applyFont="1" applyFill="1" applyBorder="1" applyAlignment="1">
      <alignment horizontal="center" vertical="center"/>
    </xf>
    <xf numFmtId="0" fontId="23" fillId="0" borderId="2" xfId="8" applyFont="1" applyFill="1" applyBorder="1" applyAlignment="1">
      <alignment horizontal="left" vertical="center"/>
    </xf>
    <xf numFmtId="4" fontId="23" fillId="3" borderId="2" xfId="4" applyNumberFormat="1" applyFont="1" applyFill="1" applyBorder="1" applyAlignment="1">
      <alignment horizontal="right" vertical="center"/>
    </xf>
    <xf numFmtId="167" fontId="5" fillId="3" borderId="2" xfId="0" applyNumberFormat="1" applyFont="1" applyFill="1" applyBorder="1"/>
    <xf numFmtId="0" fontId="46" fillId="0" borderId="0" xfId="8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</cellXfs>
  <cellStyles count="10">
    <cellStyle name="Excel Built-in Normal" xfId="2"/>
    <cellStyle name="Millares" xfId="6" builtinId="3"/>
    <cellStyle name="Millares 2" xfId="4"/>
    <cellStyle name="Normal" xfId="0" builtinId="0"/>
    <cellStyle name="Normal 14" xfId="8"/>
    <cellStyle name="Normal 2" xfId="5"/>
    <cellStyle name="Normal 3" xfId="1"/>
    <cellStyle name="Normal 4 2" xfId="3"/>
    <cellStyle name="Porcentaje" xfId="7" builtinId="5"/>
    <cellStyle name="Porcentaje 2" xfId="9"/>
  </cellStyles>
  <dxfs count="202"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J12" sqref="J12"/>
    </sheetView>
  </sheetViews>
  <sheetFormatPr baseColWidth="10" defaultRowHeight="15" x14ac:dyDescent="0.25"/>
  <cols>
    <col min="1" max="1" width="14.28515625" customWidth="1"/>
    <col min="2" max="2" width="46.28515625" customWidth="1"/>
    <col min="3" max="3" width="15.28515625" customWidth="1"/>
    <col min="4" max="4" width="17" customWidth="1"/>
    <col min="5" max="5" width="14.5703125" customWidth="1"/>
    <col min="6" max="6" width="16.140625" customWidth="1"/>
  </cols>
  <sheetData>
    <row r="1" spans="1:6" ht="18.75" x14ac:dyDescent="0.25">
      <c r="A1" s="177" t="s">
        <v>174</v>
      </c>
      <c r="B1" s="177"/>
      <c r="C1" s="177"/>
      <c r="D1" s="177"/>
      <c r="E1" s="177"/>
      <c r="F1" s="177"/>
    </row>
    <row r="2" spans="1:6" ht="18.75" x14ac:dyDescent="0.25">
      <c r="A2" s="177" t="s">
        <v>175</v>
      </c>
      <c r="B2" s="177"/>
      <c r="C2" s="177"/>
      <c r="D2" s="177"/>
      <c r="E2" s="177"/>
      <c r="F2" s="177"/>
    </row>
    <row r="3" spans="1:6" ht="18.75" x14ac:dyDescent="0.25">
      <c r="A3" s="177" t="s">
        <v>176</v>
      </c>
      <c r="B3" s="177"/>
      <c r="C3" s="177"/>
      <c r="D3" s="177"/>
      <c r="E3" s="177"/>
      <c r="F3" s="177"/>
    </row>
    <row r="4" spans="1:6" ht="15.75" x14ac:dyDescent="0.25">
      <c r="A4" s="178"/>
      <c r="B4" s="178"/>
      <c r="C4" s="178"/>
      <c r="D4" s="178"/>
      <c r="E4" s="178"/>
      <c r="F4" s="178"/>
    </row>
    <row r="5" spans="1:6" ht="15.75" x14ac:dyDescent="0.25">
      <c r="A5" s="179" t="s">
        <v>177</v>
      </c>
      <c r="B5" s="179"/>
      <c r="C5" s="179"/>
      <c r="D5" s="179"/>
      <c r="E5" s="179"/>
      <c r="F5" s="179"/>
    </row>
    <row r="6" spans="1:6" ht="15.75" x14ac:dyDescent="0.25">
      <c r="A6" s="179" t="s">
        <v>178</v>
      </c>
      <c r="B6" s="179"/>
      <c r="C6" s="179"/>
      <c r="D6" s="179"/>
      <c r="E6" s="179"/>
      <c r="F6" s="179"/>
    </row>
    <row r="7" spans="1:6" ht="16.5" thickBot="1" x14ac:dyDescent="0.3">
      <c r="A7" s="170"/>
      <c r="B7" s="170"/>
      <c r="C7" s="170"/>
      <c r="D7" s="170"/>
      <c r="E7" s="170"/>
      <c r="F7" s="170"/>
    </row>
    <row r="8" spans="1:6" ht="90" thickBot="1" x14ac:dyDescent="0.3">
      <c r="A8" s="171" t="s">
        <v>179</v>
      </c>
      <c r="B8" s="171"/>
      <c r="C8" s="85" t="s">
        <v>180</v>
      </c>
      <c r="D8" s="85" t="s">
        <v>181</v>
      </c>
      <c r="E8" s="85" t="s">
        <v>182</v>
      </c>
      <c r="F8" s="85" t="s">
        <v>183</v>
      </c>
    </row>
    <row r="9" spans="1:6" ht="15.75" thickBot="1" x14ac:dyDescent="0.3">
      <c r="A9" s="86">
        <v>18</v>
      </c>
      <c r="B9" s="87" t="s">
        <v>184</v>
      </c>
      <c r="C9" s="88"/>
      <c r="D9" s="89"/>
      <c r="E9" s="89"/>
      <c r="F9" s="90"/>
    </row>
    <row r="10" spans="1:6" ht="15.75" thickBot="1" x14ac:dyDescent="0.3">
      <c r="A10" s="86">
        <v>28</v>
      </c>
      <c r="B10" s="87" t="s">
        <v>185</v>
      </c>
      <c r="C10" s="88">
        <v>988444.5638</v>
      </c>
      <c r="D10" s="89">
        <v>1051583.4818</v>
      </c>
      <c r="E10" s="89">
        <v>1084070.28</v>
      </c>
      <c r="F10" s="91"/>
    </row>
    <row r="11" spans="1:6" ht="15.75" thickBot="1" x14ac:dyDescent="0.3">
      <c r="A11" s="172" t="s">
        <v>186</v>
      </c>
      <c r="B11" s="173"/>
      <c r="C11" s="92"/>
      <c r="D11" s="92"/>
      <c r="E11" s="92"/>
      <c r="F11" s="92"/>
    </row>
    <row r="12" spans="1:6" ht="15.75" thickBot="1" x14ac:dyDescent="0.3">
      <c r="A12" s="174" t="s">
        <v>187</v>
      </c>
      <c r="B12" s="175"/>
      <c r="C12" s="93"/>
      <c r="D12" s="94">
        <v>6.3899999999999998E-2</v>
      </c>
      <c r="E12" s="94">
        <v>3.09E-2</v>
      </c>
      <c r="F12" s="94"/>
    </row>
    <row r="13" spans="1:6" x14ac:dyDescent="0.25">
      <c r="A13" s="176"/>
      <c r="B13" s="176"/>
      <c r="C13" s="176"/>
      <c r="D13" s="176"/>
      <c r="E13" s="176"/>
      <c r="F13" s="176"/>
    </row>
    <row r="14" spans="1:6" x14ac:dyDescent="0.25">
      <c r="A14" s="167"/>
      <c r="B14" s="167"/>
      <c r="C14" s="167"/>
      <c r="D14" s="167"/>
      <c r="E14" s="167"/>
      <c r="F14" s="167"/>
    </row>
    <row r="15" spans="1:6" x14ac:dyDescent="0.25">
      <c r="A15" s="167"/>
      <c r="B15" s="167"/>
      <c r="C15" s="167"/>
      <c r="D15" s="167"/>
      <c r="E15" s="167"/>
      <c r="F15" s="167"/>
    </row>
    <row r="16" spans="1:6" x14ac:dyDescent="0.25">
      <c r="A16" s="167"/>
      <c r="B16" s="167"/>
      <c r="C16" s="167"/>
      <c r="D16" s="167"/>
      <c r="E16" s="167"/>
      <c r="F16" s="167"/>
    </row>
    <row r="17" spans="1:6" x14ac:dyDescent="0.25">
      <c r="A17" s="167"/>
      <c r="B17" s="167"/>
      <c r="C17" s="167"/>
      <c r="D17" s="167"/>
      <c r="E17" s="167"/>
      <c r="F17" s="167"/>
    </row>
    <row r="18" spans="1:6" x14ac:dyDescent="0.25">
      <c r="A18" s="167"/>
      <c r="B18" s="167"/>
      <c r="C18" s="167"/>
      <c r="D18" s="167"/>
      <c r="E18" s="167"/>
      <c r="F18" s="167"/>
    </row>
    <row r="19" spans="1:6" x14ac:dyDescent="0.25">
      <c r="A19" s="168" t="s">
        <v>188</v>
      </c>
      <c r="B19" s="168"/>
      <c r="C19" s="168"/>
      <c r="D19" s="168"/>
      <c r="E19" s="168"/>
      <c r="F19" s="168"/>
    </row>
    <row r="20" spans="1:6" x14ac:dyDescent="0.25">
      <c r="A20" s="169" t="s">
        <v>189</v>
      </c>
      <c r="B20" s="169"/>
      <c r="C20" s="169"/>
      <c r="D20" s="169"/>
      <c r="E20" s="169"/>
      <c r="F20" s="169"/>
    </row>
    <row r="21" spans="1:6" x14ac:dyDescent="0.25">
      <c r="A21" s="165"/>
      <c r="B21" s="165"/>
      <c r="C21" s="165"/>
      <c r="D21" s="165"/>
      <c r="E21" s="165"/>
      <c r="F21" s="165"/>
    </row>
    <row r="22" spans="1:6" x14ac:dyDescent="0.25">
      <c r="A22" s="166" t="s">
        <v>190</v>
      </c>
      <c r="B22" s="166"/>
      <c r="C22" s="166"/>
      <c r="D22" s="166"/>
      <c r="E22" s="166"/>
      <c r="F22" s="166"/>
    </row>
    <row r="23" spans="1:6" x14ac:dyDescent="0.25">
      <c r="A23" s="95"/>
      <c r="B23" s="95"/>
      <c r="C23" s="95"/>
      <c r="D23" s="95"/>
      <c r="E23" s="95"/>
      <c r="F23" s="95"/>
    </row>
  </sheetData>
  <mergeCells count="20">
    <mergeCell ref="A14:F14"/>
    <mergeCell ref="A1:F1"/>
    <mergeCell ref="A2:F2"/>
    <mergeCell ref="A3:F3"/>
    <mergeCell ref="A4:F4"/>
    <mergeCell ref="A5:F5"/>
    <mergeCell ref="A6:F6"/>
    <mergeCell ref="A7:F7"/>
    <mergeCell ref="A8:B8"/>
    <mergeCell ref="A11:B11"/>
    <mergeCell ref="A12:B12"/>
    <mergeCell ref="A13:F13"/>
    <mergeCell ref="A21:F21"/>
    <mergeCell ref="A22:F22"/>
    <mergeCell ref="A15:F15"/>
    <mergeCell ref="A16:F16"/>
    <mergeCell ref="A17:F17"/>
    <mergeCell ref="A18:F18"/>
    <mergeCell ref="A19:F19"/>
    <mergeCell ref="A20:F2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C9" sqref="C9"/>
    </sheetView>
  </sheetViews>
  <sheetFormatPr baseColWidth="10" defaultRowHeight="15" x14ac:dyDescent="0.25"/>
  <cols>
    <col min="1" max="1" width="15.5703125" customWidth="1"/>
    <col min="2" max="2" width="34.42578125" customWidth="1"/>
    <col min="3" max="3" width="17.28515625" customWidth="1"/>
    <col min="4" max="4" width="18.5703125" customWidth="1"/>
    <col min="5" max="5" width="16.7109375" customWidth="1"/>
    <col min="6" max="6" width="36.140625" customWidth="1"/>
  </cols>
  <sheetData>
    <row r="1" spans="1:6" x14ac:dyDescent="0.25">
      <c r="A1" s="215" t="s">
        <v>174</v>
      </c>
      <c r="B1" s="215"/>
      <c r="C1" s="215"/>
      <c r="D1" s="215"/>
      <c r="E1" s="215"/>
      <c r="F1" s="215"/>
    </row>
    <row r="2" spans="1:6" x14ac:dyDescent="0.25">
      <c r="A2" s="215" t="s">
        <v>191</v>
      </c>
      <c r="B2" s="215"/>
      <c r="C2" s="215"/>
      <c r="D2" s="215"/>
      <c r="E2" s="215"/>
      <c r="F2" s="215"/>
    </row>
    <row r="3" spans="1:6" x14ac:dyDescent="0.25">
      <c r="A3" s="215" t="s">
        <v>192</v>
      </c>
      <c r="B3" s="215"/>
      <c r="C3" s="215"/>
      <c r="D3" s="215"/>
      <c r="E3" s="215"/>
      <c r="F3" s="215"/>
    </row>
    <row r="4" spans="1:6" x14ac:dyDescent="0.25">
      <c r="A4" s="215"/>
      <c r="B4" s="215"/>
      <c r="C4" s="215"/>
      <c r="D4" s="215"/>
      <c r="E4" s="215"/>
      <c r="F4" s="215"/>
    </row>
    <row r="5" spans="1:6" x14ac:dyDescent="0.25">
      <c r="A5" s="216" t="s">
        <v>177</v>
      </c>
      <c r="B5" s="216"/>
      <c r="C5" s="216"/>
      <c r="D5" s="216"/>
      <c r="E5" s="216"/>
      <c r="F5" s="216"/>
    </row>
    <row r="6" spans="1:6" x14ac:dyDescent="0.25">
      <c r="A6" s="216" t="s">
        <v>178</v>
      </c>
      <c r="B6" s="216"/>
      <c r="C6" s="216"/>
      <c r="D6" s="216"/>
      <c r="E6" s="216"/>
      <c r="F6" s="216"/>
    </row>
    <row r="7" spans="1:6" ht="16.5" thickBot="1" x14ac:dyDescent="0.3">
      <c r="A7" s="181"/>
      <c r="B7" s="181"/>
      <c r="C7" s="181"/>
      <c r="D7" s="181"/>
      <c r="E7" s="181"/>
      <c r="F7" s="181"/>
    </row>
    <row r="8" spans="1:6" ht="52.5" customHeight="1" thickBot="1" x14ac:dyDescent="0.3">
      <c r="A8" s="96" t="s">
        <v>193</v>
      </c>
      <c r="B8" s="96" t="s">
        <v>194</v>
      </c>
      <c r="C8" s="97" t="s">
        <v>195</v>
      </c>
      <c r="D8" s="97" t="s">
        <v>196</v>
      </c>
      <c r="E8" s="97" t="s">
        <v>197</v>
      </c>
      <c r="F8" s="97" t="s">
        <v>183</v>
      </c>
    </row>
    <row r="9" spans="1:6" ht="39.75" customHeight="1" thickBot="1" x14ac:dyDescent="0.3">
      <c r="A9" s="182" t="s">
        <v>198</v>
      </c>
      <c r="B9" s="182"/>
      <c r="C9" s="98"/>
      <c r="D9" s="98"/>
      <c r="E9" s="98"/>
      <c r="F9" s="99" t="s">
        <v>199</v>
      </c>
    </row>
    <row r="10" spans="1:6" x14ac:dyDescent="0.25">
      <c r="A10" s="205">
        <v>7101</v>
      </c>
      <c r="B10" s="206" t="s">
        <v>200</v>
      </c>
      <c r="C10" s="103"/>
      <c r="D10" s="103"/>
      <c r="E10" s="103"/>
      <c r="F10" s="207"/>
    </row>
    <row r="11" spans="1:6" x14ac:dyDescent="0.25">
      <c r="A11" s="211">
        <v>710106</v>
      </c>
      <c r="B11" s="212" t="s">
        <v>201</v>
      </c>
      <c r="C11" s="213">
        <v>610921.19999999995</v>
      </c>
      <c r="D11" s="106">
        <v>659953.19999999995</v>
      </c>
      <c r="E11" s="106">
        <v>681000</v>
      </c>
      <c r="F11" s="214"/>
    </row>
    <row r="12" spans="1:6" ht="15.75" thickBot="1" x14ac:dyDescent="0.3">
      <c r="A12" s="208">
        <v>7102</v>
      </c>
      <c r="B12" s="209" t="s">
        <v>202</v>
      </c>
      <c r="C12" s="107"/>
      <c r="D12" s="107"/>
      <c r="E12" s="107"/>
      <c r="F12" s="210"/>
    </row>
    <row r="13" spans="1:6" ht="15.75" thickBot="1" x14ac:dyDescent="0.3">
      <c r="A13" s="104">
        <v>710203</v>
      </c>
      <c r="B13" s="105" t="s">
        <v>203</v>
      </c>
      <c r="C13" s="109">
        <v>50910.1</v>
      </c>
      <c r="D13" s="109">
        <v>56642.1</v>
      </c>
      <c r="E13" s="109">
        <v>56642.1</v>
      </c>
      <c r="F13" s="110"/>
    </row>
    <row r="14" spans="1:6" ht="15.75" thickBot="1" x14ac:dyDescent="0.3">
      <c r="A14" s="104">
        <v>710204</v>
      </c>
      <c r="B14" s="105" t="s">
        <v>204</v>
      </c>
      <c r="C14" s="109">
        <v>33672</v>
      </c>
      <c r="D14" s="109">
        <v>35250</v>
      </c>
      <c r="E14" s="109">
        <v>36375</v>
      </c>
      <c r="F14" s="110"/>
    </row>
    <row r="15" spans="1:6" ht="15.75" thickBot="1" x14ac:dyDescent="0.3">
      <c r="A15" s="100">
        <v>7103</v>
      </c>
      <c r="B15" s="101" t="s">
        <v>205</v>
      </c>
      <c r="C15" s="111"/>
      <c r="D15" s="111"/>
      <c r="E15" s="111"/>
      <c r="F15" s="110"/>
    </row>
    <row r="16" spans="1:6" ht="15.75" thickBot="1" x14ac:dyDescent="0.3">
      <c r="A16" s="104">
        <v>710304</v>
      </c>
      <c r="B16" s="105" t="s">
        <v>206</v>
      </c>
      <c r="C16" s="109">
        <v>12144</v>
      </c>
      <c r="D16" s="109">
        <v>12408</v>
      </c>
      <c r="E16" s="109">
        <v>12804</v>
      </c>
      <c r="F16" s="110"/>
    </row>
    <row r="17" spans="1:6" ht="15.75" thickBot="1" x14ac:dyDescent="0.3">
      <c r="A17" s="104">
        <v>710306</v>
      </c>
      <c r="B17" s="105" t="s">
        <v>207</v>
      </c>
      <c r="C17" s="109">
        <v>97152</v>
      </c>
      <c r="D17" s="109">
        <v>99264</v>
      </c>
      <c r="E17" s="109">
        <v>102432</v>
      </c>
      <c r="F17" s="110"/>
    </row>
    <row r="18" spans="1:6" ht="15.75" thickBot="1" x14ac:dyDescent="0.3">
      <c r="A18" s="100">
        <v>7104</v>
      </c>
      <c r="B18" s="101" t="s">
        <v>208</v>
      </c>
      <c r="C18" s="111"/>
      <c r="D18" s="111"/>
      <c r="E18" s="111"/>
      <c r="F18" s="110"/>
    </row>
    <row r="19" spans="1:6" ht="15.75" thickBot="1" x14ac:dyDescent="0.3">
      <c r="A19" s="104">
        <v>710401</v>
      </c>
      <c r="B19" s="105" t="s">
        <v>209</v>
      </c>
      <c r="C19" s="109">
        <v>5006.8800000000037</v>
      </c>
      <c r="D19" s="109">
        <v>5130</v>
      </c>
      <c r="E19" s="109">
        <v>5280.4800000000023</v>
      </c>
      <c r="F19" s="110"/>
    </row>
    <row r="20" spans="1:6" ht="15.75" thickBot="1" x14ac:dyDescent="0.3">
      <c r="A20" s="104">
        <v>710406</v>
      </c>
      <c r="B20" s="105" t="s">
        <v>210</v>
      </c>
      <c r="C20" s="109">
        <v>27045.05</v>
      </c>
      <c r="D20" s="109">
        <v>27498.05</v>
      </c>
      <c r="E20" s="109">
        <v>28375</v>
      </c>
      <c r="F20" s="110"/>
    </row>
    <row r="21" spans="1:6" ht="15.75" thickBot="1" x14ac:dyDescent="0.3">
      <c r="A21" s="104">
        <v>710408</v>
      </c>
      <c r="B21" s="105" t="s">
        <v>211</v>
      </c>
      <c r="C21" s="109">
        <v>10042.679999999998</v>
      </c>
      <c r="D21" s="109">
        <v>11441.25</v>
      </c>
      <c r="E21" s="109">
        <v>12680.100000000004</v>
      </c>
      <c r="F21" s="110"/>
    </row>
    <row r="22" spans="1:6" ht="15.75" thickBot="1" x14ac:dyDescent="0.3">
      <c r="A22" s="100">
        <v>7106</v>
      </c>
      <c r="B22" s="101" t="s">
        <v>212</v>
      </c>
      <c r="C22" s="102"/>
      <c r="D22" s="102"/>
      <c r="E22" s="102"/>
      <c r="F22" s="108"/>
    </row>
    <row r="23" spans="1:6" ht="15.75" thickBot="1" x14ac:dyDescent="0.3">
      <c r="A23" s="112">
        <v>710601</v>
      </c>
      <c r="B23" s="105" t="s">
        <v>213</v>
      </c>
      <c r="C23" s="109">
        <v>72372.553800000038</v>
      </c>
      <c r="D23" s="109">
        <v>73584.781800000041</v>
      </c>
      <c r="E23" s="109">
        <v>75931.500000000044</v>
      </c>
      <c r="F23" s="110"/>
    </row>
    <row r="24" spans="1:6" ht="15.75" thickBot="1" x14ac:dyDescent="0.3">
      <c r="A24" s="112">
        <v>710602</v>
      </c>
      <c r="B24" s="105" t="s">
        <v>214</v>
      </c>
      <c r="C24" s="109">
        <v>54090.1</v>
      </c>
      <c r="D24" s="109">
        <v>54996.1</v>
      </c>
      <c r="E24" s="109">
        <v>56642.1</v>
      </c>
      <c r="F24" s="110"/>
    </row>
    <row r="25" spans="1:6" ht="15.75" thickBot="1" x14ac:dyDescent="0.3">
      <c r="A25" s="100">
        <v>7308</v>
      </c>
      <c r="B25" s="101" t="s">
        <v>215</v>
      </c>
      <c r="C25" s="102"/>
      <c r="D25" s="102"/>
      <c r="E25" s="102"/>
      <c r="F25" s="108"/>
    </row>
    <row r="26" spans="1:6" ht="15.75" thickBot="1" x14ac:dyDescent="0.3">
      <c r="A26" s="112">
        <v>730802</v>
      </c>
      <c r="B26" s="105" t="s">
        <v>216</v>
      </c>
      <c r="C26" s="109">
        <v>14720</v>
      </c>
      <c r="D26" s="109">
        <v>15040</v>
      </c>
      <c r="E26" s="109">
        <v>15520</v>
      </c>
      <c r="F26" s="110"/>
    </row>
    <row r="27" spans="1:6" ht="15.75" thickBot="1" x14ac:dyDescent="0.3">
      <c r="A27" s="100">
        <v>7702</v>
      </c>
      <c r="B27" s="101" t="s">
        <v>217</v>
      </c>
      <c r="C27" s="102"/>
      <c r="D27" s="102"/>
      <c r="E27" s="102"/>
      <c r="F27" s="108"/>
    </row>
    <row r="28" spans="1:6" ht="15.75" thickBot="1" x14ac:dyDescent="0.3">
      <c r="A28" s="104">
        <v>770201</v>
      </c>
      <c r="B28" s="105" t="s">
        <v>218</v>
      </c>
      <c r="C28" s="113">
        <v>368</v>
      </c>
      <c r="D28" s="113">
        <v>376</v>
      </c>
      <c r="E28" s="113">
        <v>388</v>
      </c>
      <c r="F28" s="114"/>
    </row>
    <row r="29" spans="1:6" ht="15.75" thickBot="1" x14ac:dyDescent="0.3">
      <c r="A29" s="183" t="s">
        <v>186</v>
      </c>
      <c r="B29" s="184"/>
      <c r="C29" s="115">
        <f>SUM(C11:C28)</f>
        <v>988444.5638</v>
      </c>
      <c r="D29" s="115">
        <f>SUM(D11:D28)</f>
        <v>1051583.4818</v>
      </c>
      <c r="E29" s="115">
        <f>SUM(E11:E28)</f>
        <v>1084070.28</v>
      </c>
      <c r="F29" s="116"/>
    </row>
    <row r="30" spans="1:6" ht="15.75" thickBot="1" x14ac:dyDescent="0.3">
      <c r="A30" s="185" t="s">
        <v>187</v>
      </c>
      <c r="B30" s="186"/>
      <c r="C30" s="117"/>
      <c r="D30" s="94">
        <v>6.3899999999999998E-2</v>
      </c>
      <c r="E30" s="94">
        <v>3.09E-2</v>
      </c>
      <c r="F30" s="118"/>
    </row>
    <row r="31" spans="1:6" x14ac:dyDescent="0.25">
      <c r="A31" s="187"/>
      <c r="B31" s="187"/>
      <c r="C31" s="187"/>
      <c r="D31" s="187"/>
      <c r="E31" s="187"/>
      <c r="F31" s="187"/>
    </row>
    <row r="32" spans="1:6" x14ac:dyDescent="0.25">
      <c r="A32" s="180"/>
      <c r="B32" s="180"/>
      <c r="C32" s="180"/>
      <c r="D32" s="180"/>
      <c r="E32" s="180"/>
      <c r="F32" s="180"/>
    </row>
    <row r="33" spans="1:6" x14ac:dyDescent="0.25">
      <c r="A33" s="167"/>
      <c r="B33" s="167"/>
      <c r="C33" s="167"/>
      <c r="D33" s="167"/>
      <c r="E33" s="167"/>
      <c r="F33" s="167"/>
    </row>
    <row r="34" spans="1:6" x14ac:dyDescent="0.25">
      <c r="A34" s="168" t="s">
        <v>219</v>
      </c>
      <c r="B34" s="168"/>
      <c r="C34" s="168"/>
      <c r="D34" s="168"/>
      <c r="E34" s="168"/>
      <c r="F34" s="168"/>
    </row>
    <row r="35" spans="1:6" x14ac:dyDescent="0.25">
      <c r="A35" s="169" t="s">
        <v>189</v>
      </c>
      <c r="B35" s="169"/>
      <c r="C35" s="169"/>
      <c r="D35" s="169"/>
      <c r="E35" s="169"/>
      <c r="F35" s="169"/>
    </row>
    <row r="36" spans="1:6" x14ac:dyDescent="0.25">
      <c r="A36" s="165"/>
      <c r="B36" s="165"/>
      <c r="C36" s="165"/>
      <c r="D36" s="165"/>
      <c r="E36" s="165"/>
      <c r="F36" s="165"/>
    </row>
    <row r="37" spans="1:6" x14ac:dyDescent="0.25">
      <c r="A37" s="166" t="s">
        <v>190</v>
      </c>
      <c r="B37" s="166"/>
      <c r="C37" s="166"/>
      <c r="D37" s="166"/>
      <c r="E37" s="166"/>
      <c r="F37" s="166"/>
    </row>
    <row r="38" spans="1:6" x14ac:dyDescent="0.25">
      <c r="A38" s="95"/>
      <c r="B38" s="119"/>
      <c r="C38" s="119"/>
      <c r="D38" s="119"/>
      <c r="E38" s="95"/>
      <c r="F38" s="95"/>
    </row>
    <row r="39" spans="1:6" x14ac:dyDescent="0.25">
      <c r="A39" s="95"/>
      <c r="B39" s="119"/>
      <c r="C39" s="119"/>
      <c r="D39" s="119"/>
      <c r="E39" s="95"/>
      <c r="F39" s="95"/>
    </row>
    <row r="40" spans="1:6" x14ac:dyDescent="0.25">
      <c r="A40" s="95"/>
      <c r="B40" s="119"/>
      <c r="C40" s="119"/>
      <c r="D40" s="119"/>
      <c r="E40" s="95"/>
      <c r="F40" s="95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9:B9"/>
    <mergeCell ref="A29:B29"/>
    <mergeCell ref="A30:B30"/>
    <mergeCell ref="A31:F31"/>
    <mergeCell ref="A36:F36"/>
    <mergeCell ref="A37:F37"/>
    <mergeCell ref="A32:F32"/>
    <mergeCell ref="A33:F33"/>
    <mergeCell ref="A34:F34"/>
    <mergeCell ref="A35:F35"/>
  </mergeCells>
  <pageMargins left="0.7" right="0.7" top="0.75" bottom="0.75" header="0.3" footer="0.3"/>
  <pageSetup paperSize="9" scale="8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33"/>
  <sheetViews>
    <sheetView topLeftCell="B1" workbookViewId="0">
      <selection activeCell="G45" sqref="G45"/>
    </sheetView>
  </sheetViews>
  <sheetFormatPr baseColWidth="10" defaultRowHeight="15" x14ac:dyDescent="0.25"/>
  <cols>
    <col min="1" max="1" width="12.85546875" customWidth="1"/>
    <col min="2" max="2" width="34.85546875" customWidth="1"/>
    <col min="3" max="3" width="11.42578125" bestFit="1" customWidth="1"/>
    <col min="4" max="12" width="15.7109375" customWidth="1"/>
    <col min="13" max="13" width="12.7109375" customWidth="1"/>
    <col min="14" max="14" width="16.140625" customWidth="1"/>
    <col min="15" max="15" width="15.85546875" customWidth="1"/>
  </cols>
  <sheetData>
    <row r="1" spans="1:15" ht="18.75" x14ac:dyDescent="0.25">
      <c r="A1" s="177" t="s">
        <v>132</v>
      </c>
      <c r="B1" s="177"/>
      <c r="C1" s="177"/>
      <c r="D1" s="177"/>
      <c r="E1" s="177"/>
      <c r="F1" s="189"/>
      <c r="G1" s="189"/>
      <c r="H1" s="27"/>
      <c r="I1" s="28"/>
      <c r="J1" s="29"/>
      <c r="K1" s="29"/>
      <c r="L1" s="30"/>
      <c r="M1" s="30"/>
      <c r="N1" s="30"/>
      <c r="O1" s="30"/>
    </row>
    <row r="2" spans="1:15" ht="15.75" x14ac:dyDescent="0.25">
      <c r="A2" s="178" t="s">
        <v>133</v>
      </c>
      <c r="B2" s="178"/>
      <c r="C2" s="178"/>
      <c r="D2" s="178"/>
      <c r="E2" s="178"/>
      <c r="F2" s="190"/>
      <c r="G2" s="190"/>
      <c r="H2" s="31"/>
      <c r="I2" s="28"/>
      <c r="J2" s="29"/>
      <c r="K2" s="29"/>
      <c r="L2" s="30"/>
      <c r="M2" s="30"/>
      <c r="N2" s="30"/>
      <c r="O2" s="30"/>
    </row>
    <row r="3" spans="1:15" ht="15.75" x14ac:dyDescent="0.25">
      <c r="A3" s="191" t="s">
        <v>134</v>
      </c>
      <c r="B3" s="191"/>
      <c r="C3" s="191"/>
      <c r="D3" s="191"/>
      <c r="E3" s="191"/>
      <c r="F3" s="192"/>
      <c r="G3" s="192"/>
      <c r="H3" s="32"/>
      <c r="I3" s="28"/>
      <c r="J3" s="29"/>
      <c r="K3" s="29"/>
      <c r="L3" s="30"/>
      <c r="M3" s="30"/>
      <c r="N3" s="30"/>
      <c r="O3" s="30"/>
    </row>
    <row r="4" spans="1:15" ht="15.75" x14ac:dyDescent="0.25">
      <c r="A4" s="33"/>
      <c r="B4" s="33"/>
      <c r="C4" s="33"/>
      <c r="D4" s="33"/>
      <c r="E4" s="34"/>
      <c r="F4" s="32"/>
      <c r="G4" s="32"/>
      <c r="H4" s="32"/>
      <c r="I4" s="28"/>
      <c r="J4" s="29"/>
      <c r="K4" s="29"/>
      <c r="L4" s="30"/>
      <c r="M4" s="30"/>
      <c r="N4" s="30"/>
      <c r="O4" s="30"/>
    </row>
    <row r="5" spans="1:15" ht="15.75" x14ac:dyDescent="0.25">
      <c r="A5" s="35" t="s">
        <v>135</v>
      </c>
      <c r="B5" s="33"/>
      <c r="C5" s="33"/>
      <c r="D5" s="33"/>
      <c r="E5" s="34"/>
      <c r="F5" s="32"/>
      <c r="G5" s="32"/>
      <c r="H5" s="32"/>
      <c r="I5" s="28"/>
      <c r="J5" s="29"/>
      <c r="K5" s="29"/>
      <c r="L5" s="30"/>
      <c r="M5" s="30"/>
      <c r="N5" s="30"/>
      <c r="O5" s="30"/>
    </row>
    <row r="6" spans="1:15" ht="15.75" x14ac:dyDescent="0.25">
      <c r="A6" s="35" t="s">
        <v>136</v>
      </c>
      <c r="B6" s="36"/>
      <c r="C6" s="37"/>
      <c r="D6" s="38"/>
      <c r="E6" s="39"/>
      <c r="F6" s="40"/>
      <c r="G6" s="40"/>
      <c r="H6" s="40"/>
      <c r="I6" s="28"/>
      <c r="J6" s="29"/>
      <c r="K6" s="29"/>
      <c r="L6" s="30"/>
      <c r="M6" s="30"/>
      <c r="N6" s="30"/>
      <c r="O6" s="30"/>
    </row>
    <row r="7" spans="1:15" ht="15.75" x14ac:dyDescent="0.25">
      <c r="A7" s="35" t="s">
        <v>137</v>
      </c>
      <c r="B7" s="41"/>
      <c r="C7" s="41"/>
      <c r="D7" s="42"/>
      <c r="E7" s="39"/>
      <c r="F7" s="40"/>
      <c r="G7" s="40"/>
      <c r="H7" s="40"/>
      <c r="I7" s="28"/>
      <c r="J7" s="29"/>
      <c r="K7" s="29"/>
      <c r="L7" s="30"/>
      <c r="M7" s="30"/>
      <c r="N7" s="30"/>
      <c r="O7" s="30"/>
    </row>
    <row r="8" spans="1:15" ht="15.75" x14ac:dyDescent="0.25">
      <c r="A8" s="35"/>
      <c r="B8" s="41"/>
      <c r="C8" s="41"/>
      <c r="D8" s="42"/>
      <c r="E8" s="39"/>
      <c r="F8" s="40"/>
      <c r="G8" s="40"/>
      <c r="H8" s="40"/>
      <c r="I8" s="28"/>
      <c r="J8" s="29"/>
      <c r="K8" s="29"/>
      <c r="L8" s="30"/>
      <c r="M8" s="30"/>
      <c r="N8" s="30"/>
      <c r="O8" s="30"/>
    </row>
    <row r="9" spans="1:15" ht="60" x14ac:dyDescent="0.25">
      <c r="A9" s="43" t="s">
        <v>138</v>
      </c>
      <c r="B9" s="43" t="s">
        <v>1</v>
      </c>
      <c r="C9" s="43" t="s">
        <v>139</v>
      </c>
      <c r="D9" s="43" t="s">
        <v>140</v>
      </c>
      <c r="E9" s="44" t="s">
        <v>141</v>
      </c>
      <c r="F9" s="44" t="s">
        <v>142</v>
      </c>
      <c r="G9" s="44" t="s">
        <v>143</v>
      </c>
      <c r="H9" s="44" t="s">
        <v>144</v>
      </c>
      <c r="I9" s="43" t="s">
        <v>145</v>
      </c>
      <c r="J9" s="43" t="s">
        <v>146</v>
      </c>
      <c r="K9" s="43" t="s">
        <v>147</v>
      </c>
      <c r="L9" s="43" t="s">
        <v>148</v>
      </c>
      <c r="M9" s="43" t="s">
        <v>140</v>
      </c>
      <c r="N9" s="44" t="s">
        <v>141</v>
      </c>
      <c r="O9" s="44" t="s">
        <v>149</v>
      </c>
    </row>
    <row r="10" spans="1:15" x14ac:dyDescent="0.25">
      <c r="A10" s="45">
        <v>1104634355</v>
      </c>
      <c r="B10" s="3" t="s">
        <v>15</v>
      </c>
      <c r="C10" s="46">
        <v>1</v>
      </c>
      <c r="D10" s="45">
        <v>1</v>
      </c>
      <c r="E10" s="2" t="s">
        <v>14</v>
      </c>
      <c r="F10" s="4">
        <v>531</v>
      </c>
      <c r="G10" s="6">
        <v>561</v>
      </c>
      <c r="H10" s="6">
        <v>561</v>
      </c>
      <c r="I10" s="47"/>
      <c r="J10" s="48" t="s">
        <v>150</v>
      </c>
      <c r="K10" s="49" t="s">
        <v>151</v>
      </c>
      <c r="L10" s="50"/>
      <c r="M10" s="50"/>
      <c r="N10" s="50"/>
      <c r="O10" s="51">
        <v>531</v>
      </c>
    </row>
    <row r="11" spans="1:15" x14ac:dyDescent="0.25">
      <c r="A11" s="45">
        <v>1102086657</v>
      </c>
      <c r="B11" s="3" t="s">
        <v>17</v>
      </c>
      <c r="C11" s="46">
        <v>2</v>
      </c>
      <c r="D11" s="45">
        <v>3</v>
      </c>
      <c r="E11" s="2" t="s">
        <v>16</v>
      </c>
      <c r="F11" s="4">
        <v>584</v>
      </c>
      <c r="G11" s="6">
        <v>596</v>
      </c>
      <c r="H11" s="6">
        <v>596</v>
      </c>
      <c r="I11" s="47"/>
      <c r="J11" s="48" t="s">
        <v>150</v>
      </c>
      <c r="K11" s="49" t="s">
        <v>151</v>
      </c>
      <c r="L11" s="50"/>
      <c r="M11" s="50"/>
      <c r="N11" s="50"/>
      <c r="O11" s="51">
        <v>584</v>
      </c>
    </row>
    <row r="12" spans="1:15" x14ac:dyDescent="0.25">
      <c r="A12" s="45">
        <v>1101881116</v>
      </c>
      <c r="B12" s="3" t="s">
        <v>18</v>
      </c>
      <c r="C12" s="46">
        <v>3</v>
      </c>
      <c r="D12" s="45">
        <v>1</v>
      </c>
      <c r="E12" s="2" t="s">
        <v>14</v>
      </c>
      <c r="F12" s="4">
        <v>531</v>
      </c>
      <c r="G12" s="6">
        <v>561</v>
      </c>
      <c r="H12" s="6">
        <v>561</v>
      </c>
      <c r="I12" s="47"/>
      <c r="J12" s="48"/>
      <c r="K12" s="49" t="s">
        <v>152</v>
      </c>
      <c r="L12" s="50"/>
      <c r="M12" s="50"/>
      <c r="N12" s="50"/>
      <c r="O12" s="51">
        <v>531</v>
      </c>
    </row>
    <row r="13" spans="1:15" x14ac:dyDescent="0.25">
      <c r="A13" s="45">
        <v>1723339730</v>
      </c>
      <c r="B13" s="3" t="s">
        <v>20</v>
      </c>
      <c r="C13" s="46">
        <v>4</v>
      </c>
      <c r="D13" s="45">
        <v>1</v>
      </c>
      <c r="E13" s="2" t="s">
        <v>19</v>
      </c>
      <c r="F13" s="8">
        <v>531</v>
      </c>
      <c r="G13" s="6">
        <v>561</v>
      </c>
      <c r="H13" s="6">
        <v>561</v>
      </c>
      <c r="I13" s="47"/>
      <c r="J13" s="48" t="s">
        <v>150</v>
      </c>
      <c r="K13" s="49" t="s">
        <v>151</v>
      </c>
      <c r="L13" s="50"/>
      <c r="M13" s="50"/>
      <c r="N13" s="50"/>
      <c r="O13" s="51">
        <v>531</v>
      </c>
    </row>
    <row r="14" spans="1:15" x14ac:dyDescent="0.25">
      <c r="A14" s="45">
        <v>1900557156</v>
      </c>
      <c r="B14" s="9" t="s">
        <v>22</v>
      </c>
      <c r="C14" s="46">
        <v>5</v>
      </c>
      <c r="D14" s="45">
        <v>5</v>
      </c>
      <c r="E14" s="2" t="s">
        <v>21</v>
      </c>
      <c r="F14" s="4">
        <v>708</v>
      </c>
      <c r="G14" s="6">
        <v>738</v>
      </c>
      <c r="H14" s="6">
        <v>738</v>
      </c>
      <c r="I14" s="47"/>
      <c r="J14" s="48" t="s">
        <v>150</v>
      </c>
      <c r="K14" s="49" t="s">
        <v>151</v>
      </c>
      <c r="L14" s="50"/>
      <c r="M14" s="50"/>
      <c r="N14" s="50"/>
      <c r="O14" s="51">
        <v>708</v>
      </c>
    </row>
    <row r="15" spans="1:15" x14ac:dyDescent="0.25">
      <c r="A15" s="45">
        <v>1102851365</v>
      </c>
      <c r="B15" s="3" t="s">
        <v>23</v>
      </c>
      <c r="C15" s="46">
        <v>6</v>
      </c>
      <c r="D15" s="45">
        <v>1</v>
      </c>
      <c r="E15" s="2" t="s">
        <v>14</v>
      </c>
      <c r="F15" s="4">
        <v>531</v>
      </c>
      <c r="G15" s="6">
        <v>561</v>
      </c>
      <c r="H15" s="6">
        <v>561</v>
      </c>
      <c r="I15" s="47"/>
      <c r="J15" s="48" t="s">
        <v>150</v>
      </c>
      <c r="K15" s="49" t="s">
        <v>151</v>
      </c>
      <c r="L15" s="50"/>
      <c r="M15" s="50"/>
      <c r="N15" s="50"/>
      <c r="O15" s="51">
        <v>531</v>
      </c>
    </row>
    <row r="16" spans="1:15" x14ac:dyDescent="0.25">
      <c r="A16" s="45">
        <v>1714458872</v>
      </c>
      <c r="B16" s="3" t="s">
        <v>24</v>
      </c>
      <c r="C16" s="46">
        <v>7</v>
      </c>
      <c r="D16" s="45">
        <v>1</v>
      </c>
      <c r="E16" s="2" t="s">
        <v>14</v>
      </c>
      <c r="F16" s="4">
        <v>531</v>
      </c>
      <c r="G16" s="6">
        <v>561</v>
      </c>
      <c r="H16" s="6">
        <v>561</v>
      </c>
      <c r="I16" s="47"/>
      <c r="J16" s="48" t="s">
        <v>150</v>
      </c>
      <c r="K16" s="49" t="s">
        <v>151</v>
      </c>
      <c r="L16" s="50"/>
      <c r="M16" s="50"/>
      <c r="N16" s="50"/>
      <c r="O16" s="51">
        <v>531</v>
      </c>
    </row>
    <row r="17" spans="1:15" x14ac:dyDescent="0.25">
      <c r="A17" s="45">
        <v>1104275985</v>
      </c>
      <c r="B17" s="3" t="s">
        <v>25</v>
      </c>
      <c r="C17" s="46">
        <v>8</v>
      </c>
      <c r="D17" s="45">
        <v>3</v>
      </c>
      <c r="E17" s="2" t="s">
        <v>16</v>
      </c>
      <c r="F17" s="4">
        <v>584</v>
      </c>
      <c r="G17" s="6">
        <v>596</v>
      </c>
      <c r="H17" s="6">
        <v>596</v>
      </c>
      <c r="I17" s="47"/>
      <c r="J17" s="48" t="s">
        <v>150</v>
      </c>
      <c r="K17" s="49" t="s">
        <v>151</v>
      </c>
      <c r="L17" s="50"/>
      <c r="M17" s="50"/>
      <c r="N17" s="50"/>
      <c r="O17" s="51">
        <v>584</v>
      </c>
    </row>
    <row r="18" spans="1:15" x14ac:dyDescent="0.25">
      <c r="A18" s="45">
        <v>1104561681</v>
      </c>
      <c r="B18" s="3" t="s">
        <v>26</v>
      </c>
      <c r="C18" s="46">
        <v>9</v>
      </c>
      <c r="D18" s="45">
        <v>1</v>
      </c>
      <c r="E18" s="2" t="s">
        <v>14</v>
      </c>
      <c r="F18" s="4">
        <v>531</v>
      </c>
      <c r="G18" s="6">
        <v>561</v>
      </c>
      <c r="H18" s="6">
        <v>561</v>
      </c>
      <c r="I18" s="47"/>
      <c r="J18" s="48" t="s">
        <v>150</v>
      </c>
      <c r="K18" s="49" t="s">
        <v>151</v>
      </c>
      <c r="L18" s="50"/>
      <c r="M18" s="50"/>
      <c r="N18" s="50"/>
      <c r="O18" s="51">
        <v>531</v>
      </c>
    </row>
    <row r="19" spans="1:15" x14ac:dyDescent="0.25">
      <c r="A19" s="45">
        <v>1102263280</v>
      </c>
      <c r="B19" s="9" t="s">
        <v>27</v>
      </c>
      <c r="C19" s="46">
        <v>10</v>
      </c>
      <c r="D19" s="45">
        <v>5</v>
      </c>
      <c r="E19" s="2" t="s">
        <v>21</v>
      </c>
      <c r="F19" s="4">
        <v>708</v>
      </c>
      <c r="G19" s="6">
        <v>738</v>
      </c>
      <c r="H19" s="6">
        <v>738</v>
      </c>
      <c r="I19" s="47"/>
      <c r="J19" s="48" t="s">
        <v>150</v>
      </c>
      <c r="K19" s="49" t="s">
        <v>151</v>
      </c>
      <c r="L19" s="50"/>
      <c r="M19" s="50"/>
      <c r="N19" s="50"/>
      <c r="O19" s="51">
        <v>708</v>
      </c>
    </row>
    <row r="20" spans="1:15" ht="33.75" x14ac:dyDescent="0.25">
      <c r="A20" s="45">
        <v>1104387962</v>
      </c>
      <c r="B20" s="3" t="s">
        <v>29</v>
      </c>
      <c r="C20" s="46">
        <v>11</v>
      </c>
      <c r="D20" s="45">
        <v>1</v>
      </c>
      <c r="E20" s="2" t="s">
        <v>28</v>
      </c>
      <c r="F20" s="4"/>
      <c r="G20" s="6"/>
      <c r="H20" s="6">
        <v>531</v>
      </c>
      <c r="I20" s="47"/>
      <c r="J20" s="48" t="s">
        <v>150</v>
      </c>
      <c r="K20" s="49" t="s">
        <v>151</v>
      </c>
      <c r="L20" s="50" t="s">
        <v>153</v>
      </c>
      <c r="M20" s="50"/>
      <c r="N20" s="50"/>
      <c r="O20" s="51">
        <v>531</v>
      </c>
    </row>
    <row r="21" spans="1:15" ht="33.75" x14ac:dyDescent="0.25">
      <c r="A21" s="45">
        <v>1104856610</v>
      </c>
      <c r="B21" s="3" t="s">
        <v>30</v>
      </c>
      <c r="C21" s="46">
        <v>12</v>
      </c>
      <c r="D21" s="45">
        <v>1</v>
      </c>
      <c r="E21" s="2" t="s">
        <v>14</v>
      </c>
      <c r="F21" s="4"/>
      <c r="G21" s="6"/>
      <c r="H21" s="6">
        <v>531</v>
      </c>
      <c r="I21" s="47"/>
      <c r="J21" s="48" t="s">
        <v>150</v>
      </c>
      <c r="K21" s="49" t="s">
        <v>151</v>
      </c>
      <c r="L21" s="50" t="s">
        <v>153</v>
      </c>
      <c r="M21" s="50"/>
      <c r="N21" s="50"/>
      <c r="O21" s="51">
        <v>531</v>
      </c>
    </row>
    <row r="22" spans="1:15" x14ac:dyDescent="0.25">
      <c r="A22" s="45">
        <v>1104154339</v>
      </c>
      <c r="B22" s="3" t="s">
        <v>32</v>
      </c>
      <c r="C22" s="46">
        <v>13</v>
      </c>
      <c r="D22" s="45">
        <v>1</v>
      </c>
      <c r="E22" s="2" t="s">
        <v>31</v>
      </c>
      <c r="F22" s="4">
        <v>531</v>
      </c>
      <c r="G22" s="6">
        <v>561</v>
      </c>
      <c r="H22" s="6">
        <v>561</v>
      </c>
      <c r="I22" s="47"/>
      <c r="J22" s="48" t="s">
        <v>150</v>
      </c>
      <c r="K22" s="49" t="s">
        <v>151</v>
      </c>
      <c r="L22" s="50"/>
      <c r="M22" s="50"/>
      <c r="N22" s="50"/>
      <c r="O22" s="51">
        <v>531</v>
      </c>
    </row>
    <row r="23" spans="1:15" x14ac:dyDescent="0.25">
      <c r="A23" s="45">
        <v>2100333133</v>
      </c>
      <c r="B23" s="3" t="s">
        <v>33</v>
      </c>
      <c r="C23" s="46">
        <v>14</v>
      </c>
      <c r="D23" s="45">
        <v>1</v>
      </c>
      <c r="E23" s="2" t="s">
        <v>14</v>
      </c>
      <c r="F23" s="4">
        <v>531</v>
      </c>
      <c r="G23" s="6">
        <v>561</v>
      </c>
      <c r="H23" s="6">
        <v>561</v>
      </c>
      <c r="I23" s="47"/>
      <c r="J23" s="48" t="s">
        <v>150</v>
      </c>
      <c r="K23" s="49" t="s">
        <v>151</v>
      </c>
      <c r="L23" s="50"/>
      <c r="M23" s="50"/>
      <c r="N23" s="50"/>
      <c r="O23" s="51">
        <v>531</v>
      </c>
    </row>
    <row r="24" spans="1:15" ht="33.75" x14ac:dyDescent="0.25">
      <c r="A24" s="45">
        <v>1104031487</v>
      </c>
      <c r="B24" s="3" t="s">
        <v>34</v>
      </c>
      <c r="C24" s="46">
        <v>15</v>
      </c>
      <c r="D24" s="45">
        <v>1</v>
      </c>
      <c r="E24" s="2" t="s">
        <v>14</v>
      </c>
      <c r="F24" s="4"/>
      <c r="G24" s="6">
        <v>531</v>
      </c>
      <c r="H24" s="6">
        <v>561</v>
      </c>
      <c r="I24" s="47"/>
      <c r="J24" s="48" t="s">
        <v>150</v>
      </c>
      <c r="K24" s="49" t="s">
        <v>151</v>
      </c>
      <c r="L24" s="50" t="s">
        <v>153</v>
      </c>
      <c r="M24" s="50"/>
      <c r="N24" s="50"/>
      <c r="O24" s="51">
        <v>531</v>
      </c>
    </row>
    <row r="25" spans="1:15" x14ac:dyDescent="0.25">
      <c r="A25" s="45">
        <v>1101864096</v>
      </c>
      <c r="B25" s="3" t="s">
        <v>35</v>
      </c>
      <c r="C25" s="46">
        <v>16</v>
      </c>
      <c r="D25" s="45">
        <v>1</v>
      </c>
      <c r="E25" s="2" t="s">
        <v>28</v>
      </c>
      <c r="F25" s="4">
        <v>531</v>
      </c>
      <c r="G25" s="6">
        <v>561</v>
      </c>
      <c r="H25" s="6">
        <v>561</v>
      </c>
      <c r="I25" s="47"/>
      <c r="J25" s="48" t="s">
        <v>150</v>
      </c>
      <c r="K25" s="49" t="s">
        <v>151</v>
      </c>
      <c r="L25" s="50"/>
      <c r="M25" s="50"/>
      <c r="N25" s="50"/>
      <c r="O25" s="51">
        <v>531</v>
      </c>
    </row>
    <row r="26" spans="1:15" x14ac:dyDescent="0.25">
      <c r="A26" s="45">
        <v>1102967187</v>
      </c>
      <c r="B26" s="3" t="s">
        <v>36</v>
      </c>
      <c r="C26" s="46">
        <v>17</v>
      </c>
      <c r="D26" s="45">
        <v>1</v>
      </c>
      <c r="E26" s="2" t="s">
        <v>14</v>
      </c>
      <c r="F26" s="4">
        <v>531</v>
      </c>
      <c r="G26" s="6">
        <v>561</v>
      </c>
      <c r="H26" s="6">
        <v>561</v>
      </c>
      <c r="I26" s="47"/>
      <c r="J26" s="48" t="s">
        <v>150</v>
      </c>
      <c r="K26" s="49" t="s">
        <v>151</v>
      </c>
      <c r="L26" s="50"/>
      <c r="M26" s="50"/>
      <c r="N26" s="50"/>
      <c r="O26" s="51">
        <v>531</v>
      </c>
    </row>
    <row r="27" spans="1:15" x14ac:dyDescent="0.25">
      <c r="A27" s="45">
        <v>1102140579</v>
      </c>
      <c r="B27" s="3" t="s">
        <v>37</v>
      </c>
      <c r="C27" s="46">
        <v>18</v>
      </c>
      <c r="D27" s="45">
        <v>1</v>
      </c>
      <c r="E27" s="2" t="s">
        <v>28</v>
      </c>
      <c r="F27" s="4">
        <v>531</v>
      </c>
      <c r="G27" s="6">
        <v>561</v>
      </c>
      <c r="H27" s="6">
        <v>531</v>
      </c>
      <c r="I27" s="47"/>
      <c r="J27" s="48" t="s">
        <v>150</v>
      </c>
      <c r="K27" s="49" t="s">
        <v>151</v>
      </c>
      <c r="L27" s="50"/>
      <c r="M27" s="50"/>
      <c r="N27" s="50"/>
      <c r="O27" s="51">
        <v>531</v>
      </c>
    </row>
    <row r="28" spans="1:15" x14ac:dyDescent="0.25">
      <c r="A28" s="45">
        <v>1103623581</v>
      </c>
      <c r="B28" s="3" t="s">
        <v>38</v>
      </c>
      <c r="C28" s="46">
        <v>19</v>
      </c>
      <c r="D28" s="45">
        <v>1</v>
      </c>
      <c r="E28" s="2" t="s">
        <v>14</v>
      </c>
      <c r="F28" s="4">
        <v>531</v>
      </c>
      <c r="G28" s="6">
        <v>561</v>
      </c>
      <c r="H28" s="6">
        <v>561</v>
      </c>
      <c r="I28" s="47"/>
      <c r="J28" s="48" t="s">
        <v>150</v>
      </c>
      <c r="K28" s="49" t="s">
        <v>154</v>
      </c>
      <c r="L28" s="50"/>
      <c r="M28" s="50"/>
      <c r="N28" s="50"/>
      <c r="O28" s="51">
        <v>531</v>
      </c>
    </row>
    <row r="29" spans="1:15" x14ac:dyDescent="0.25">
      <c r="A29" s="45">
        <v>1104141542</v>
      </c>
      <c r="B29" s="3" t="s">
        <v>39</v>
      </c>
      <c r="C29" s="46">
        <v>20</v>
      </c>
      <c r="D29" s="45">
        <v>1</v>
      </c>
      <c r="E29" s="2" t="s">
        <v>14</v>
      </c>
      <c r="F29" s="4">
        <v>531</v>
      </c>
      <c r="G29" s="6">
        <v>561</v>
      </c>
      <c r="H29" s="6">
        <v>561</v>
      </c>
      <c r="I29" s="47"/>
      <c r="J29" s="48" t="s">
        <v>150</v>
      </c>
      <c r="K29" s="49" t="s">
        <v>151</v>
      </c>
      <c r="L29" s="50"/>
      <c r="M29" s="50"/>
      <c r="N29" s="50"/>
      <c r="O29" s="51">
        <v>531</v>
      </c>
    </row>
    <row r="30" spans="1:15" x14ac:dyDescent="0.25">
      <c r="A30" s="45">
        <v>1103645949</v>
      </c>
      <c r="B30" s="3" t="s">
        <v>40</v>
      </c>
      <c r="C30" s="46">
        <v>21</v>
      </c>
      <c r="D30" s="45">
        <v>1</v>
      </c>
      <c r="E30" s="2" t="s">
        <v>14</v>
      </c>
      <c r="F30" s="4">
        <v>531</v>
      </c>
      <c r="G30" s="6">
        <v>561</v>
      </c>
      <c r="H30" s="6">
        <v>561</v>
      </c>
      <c r="I30" s="47"/>
      <c r="J30" s="48" t="s">
        <v>150</v>
      </c>
      <c r="K30" s="49" t="s">
        <v>152</v>
      </c>
      <c r="L30" s="50"/>
      <c r="M30" s="50"/>
      <c r="N30" s="50"/>
      <c r="O30" s="51">
        <v>531</v>
      </c>
    </row>
    <row r="31" spans="1:15" x14ac:dyDescent="0.25">
      <c r="A31" s="45">
        <v>1101841888</v>
      </c>
      <c r="B31" s="3" t="s">
        <v>41</v>
      </c>
      <c r="C31" s="46">
        <v>22</v>
      </c>
      <c r="D31" s="45">
        <v>1</v>
      </c>
      <c r="E31" s="2" t="s">
        <v>14</v>
      </c>
      <c r="F31" s="4">
        <v>531</v>
      </c>
      <c r="G31" s="6">
        <v>561</v>
      </c>
      <c r="H31" s="6">
        <v>561</v>
      </c>
      <c r="I31" s="47"/>
      <c r="J31" s="48" t="s">
        <v>150</v>
      </c>
      <c r="K31" s="49" t="s">
        <v>151</v>
      </c>
      <c r="L31" s="50"/>
      <c r="M31" s="50"/>
      <c r="N31" s="50"/>
      <c r="O31" s="51">
        <v>531</v>
      </c>
    </row>
    <row r="32" spans="1:15" x14ac:dyDescent="0.25">
      <c r="A32" s="45">
        <v>1104677719</v>
      </c>
      <c r="B32" s="3" t="s">
        <v>42</v>
      </c>
      <c r="C32" s="46">
        <v>23</v>
      </c>
      <c r="D32" s="45">
        <v>1</v>
      </c>
      <c r="E32" s="2" t="s">
        <v>14</v>
      </c>
      <c r="F32" s="4">
        <v>531</v>
      </c>
      <c r="G32" s="6">
        <v>561</v>
      </c>
      <c r="H32" s="6">
        <v>561</v>
      </c>
      <c r="I32" s="47"/>
      <c r="J32" s="48" t="s">
        <v>150</v>
      </c>
      <c r="K32" s="49" t="s">
        <v>151</v>
      </c>
      <c r="L32" s="50"/>
      <c r="M32" s="50"/>
      <c r="N32" s="50"/>
      <c r="O32" s="51">
        <v>531</v>
      </c>
    </row>
    <row r="33" spans="1:15" x14ac:dyDescent="0.25">
      <c r="A33" s="45">
        <v>1103955280</v>
      </c>
      <c r="B33" s="3" t="s">
        <v>43</v>
      </c>
      <c r="C33" s="46">
        <v>24</v>
      </c>
      <c r="D33" s="45">
        <v>1</v>
      </c>
      <c r="E33" s="2" t="s">
        <v>14</v>
      </c>
      <c r="F33" s="4">
        <v>531</v>
      </c>
      <c r="G33" s="6">
        <v>561</v>
      </c>
      <c r="H33" s="6">
        <v>561</v>
      </c>
      <c r="I33" s="47"/>
      <c r="J33" s="48" t="s">
        <v>150</v>
      </c>
      <c r="K33" s="49" t="s">
        <v>151</v>
      </c>
      <c r="L33" s="50"/>
      <c r="M33" s="50"/>
      <c r="N33" s="50"/>
      <c r="O33" s="51">
        <v>531</v>
      </c>
    </row>
    <row r="34" spans="1:15" x14ac:dyDescent="0.25">
      <c r="A34" s="45">
        <v>1719770016</v>
      </c>
      <c r="B34" s="9" t="s">
        <v>44</v>
      </c>
      <c r="C34" s="46">
        <v>25</v>
      </c>
      <c r="D34" s="45">
        <v>5</v>
      </c>
      <c r="E34" s="2" t="s">
        <v>21</v>
      </c>
      <c r="F34" s="4">
        <v>708</v>
      </c>
      <c r="G34" s="6">
        <v>738</v>
      </c>
      <c r="H34" s="6">
        <v>738</v>
      </c>
      <c r="I34" s="47"/>
      <c r="J34" s="48" t="s">
        <v>150</v>
      </c>
      <c r="K34" s="49" t="s">
        <v>151</v>
      </c>
      <c r="L34" s="50"/>
      <c r="M34" s="50"/>
      <c r="N34" s="50"/>
      <c r="O34" s="51">
        <v>708</v>
      </c>
    </row>
    <row r="35" spans="1:15" x14ac:dyDescent="0.25">
      <c r="A35" s="45">
        <v>1101936480</v>
      </c>
      <c r="B35" s="3" t="s">
        <v>46</v>
      </c>
      <c r="C35" s="46">
        <v>26</v>
      </c>
      <c r="D35" s="45">
        <v>1</v>
      </c>
      <c r="E35" s="2" t="s">
        <v>45</v>
      </c>
      <c r="F35" s="4">
        <v>531</v>
      </c>
      <c r="G35" s="6">
        <v>561</v>
      </c>
      <c r="H35" s="6">
        <v>561</v>
      </c>
      <c r="I35" s="47"/>
      <c r="J35" s="48" t="s">
        <v>150</v>
      </c>
      <c r="K35" s="49" t="s">
        <v>151</v>
      </c>
      <c r="L35" s="50"/>
      <c r="M35" s="50"/>
      <c r="N35" s="50"/>
      <c r="O35" s="51">
        <v>531</v>
      </c>
    </row>
    <row r="36" spans="1:15" x14ac:dyDescent="0.25">
      <c r="A36" s="45">
        <v>1102775762</v>
      </c>
      <c r="B36" s="9" t="s">
        <v>47</v>
      </c>
      <c r="C36" s="46">
        <v>27</v>
      </c>
      <c r="D36" s="45">
        <v>5</v>
      </c>
      <c r="E36" s="2" t="s">
        <v>21</v>
      </c>
      <c r="F36" s="4">
        <v>708</v>
      </c>
      <c r="G36" s="6">
        <v>738</v>
      </c>
      <c r="H36" s="6">
        <v>738</v>
      </c>
      <c r="I36" s="47"/>
      <c r="J36" s="48" t="s">
        <v>150</v>
      </c>
      <c r="K36" s="49" t="s">
        <v>151</v>
      </c>
      <c r="L36" s="50"/>
      <c r="M36" s="50"/>
      <c r="N36" s="50"/>
      <c r="O36" s="51">
        <v>708</v>
      </c>
    </row>
    <row r="37" spans="1:15" ht="33.75" x14ac:dyDescent="0.25">
      <c r="A37" s="45">
        <v>1102118674</v>
      </c>
      <c r="B37" s="3" t="s">
        <v>48</v>
      </c>
      <c r="C37" s="46">
        <v>28</v>
      </c>
      <c r="D37" s="45">
        <v>3</v>
      </c>
      <c r="E37" s="2" t="s">
        <v>16</v>
      </c>
      <c r="F37" s="4"/>
      <c r="G37" s="6"/>
      <c r="H37" s="6">
        <v>584</v>
      </c>
      <c r="I37" s="47"/>
      <c r="J37" s="48" t="s">
        <v>150</v>
      </c>
      <c r="K37" s="49" t="s">
        <v>151</v>
      </c>
      <c r="L37" s="50" t="s">
        <v>153</v>
      </c>
      <c r="M37" s="50"/>
      <c r="N37" s="50"/>
      <c r="O37" s="51">
        <v>584</v>
      </c>
    </row>
    <row r="38" spans="1:15" x14ac:dyDescent="0.25">
      <c r="A38" s="45">
        <v>1102610944</v>
      </c>
      <c r="B38" s="3" t="s">
        <v>49</v>
      </c>
      <c r="C38" s="46">
        <v>29</v>
      </c>
      <c r="D38" s="45">
        <v>3</v>
      </c>
      <c r="E38" s="2" t="s">
        <v>16</v>
      </c>
      <c r="F38" s="4">
        <v>584</v>
      </c>
      <c r="G38" s="6">
        <v>596</v>
      </c>
      <c r="H38" s="6">
        <v>596</v>
      </c>
      <c r="I38" s="47"/>
      <c r="J38" s="48" t="s">
        <v>150</v>
      </c>
      <c r="K38" s="49" t="s">
        <v>151</v>
      </c>
      <c r="L38" s="50"/>
      <c r="M38" s="50"/>
      <c r="N38" s="50"/>
      <c r="O38" s="51">
        <v>584</v>
      </c>
    </row>
    <row r="39" spans="1:15" x14ac:dyDescent="0.25">
      <c r="A39" s="45">
        <v>1103261978</v>
      </c>
      <c r="B39" s="3" t="s">
        <v>50</v>
      </c>
      <c r="C39" s="46">
        <v>30</v>
      </c>
      <c r="D39" s="45">
        <v>1</v>
      </c>
      <c r="E39" s="2" t="s">
        <v>14</v>
      </c>
      <c r="F39" s="4">
        <v>531</v>
      </c>
      <c r="G39" s="6">
        <v>561</v>
      </c>
      <c r="H39" s="6">
        <v>561</v>
      </c>
      <c r="I39" s="47"/>
      <c r="J39" s="48" t="s">
        <v>150</v>
      </c>
      <c r="K39" s="49" t="s">
        <v>151</v>
      </c>
      <c r="L39" s="50"/>
      <c r="M39" s="50"/>
      <c r="N39" s="50"/>
      <c r="O39" s="51">
        <v>531</v>
      </c>
    </row>
    <row r="40" spans="1:15" ht="45" x14ac:dyDescent="0.25">
      <c r="A40" s="45">
        <v>1104836653</v>
      </c>
      <c r="B40" s="9" t="s">
        <v>51</v>
      </c>
      <c r="C40" s="46">
        <v>31</v>
      </c>
      <c r="D40" s="45">
        <v>5</v>
      </c>
      <c r="E40" s="2" t="s">
        <v>21</v>
      </c>
      <c r="F40" s="4">
        <v>531</v>
      </c>
      <c r="G40" s="6">
        <v>708</v>
      </c>
      <c r="H40" s="6">
        <v>738</v>
      </c>
      <c r="I40" s="47"/>
      <c r="J40" s="48" t="s">
        <v>150</v>
      </c>
      <c r="K40" s="49" t="s">
        <v>151</v>
      </c>
      <c r="L40" s="50" t="s">
        <v>155</v>
      </c>
      <c r="M40" s="50"/>
      <c r="N40" s="50"/>
      <c r="O40" s="51">
        <v>708</v>
      </c>
    </row>
    <row r="41" spans="1:15" x14ac:dyDescent="0.25">
      <c r="A41" s="45">
        <v>1102541156</v>
      </c>
      <c r="B41" s="9" t="s">
        <v>52</v>
      </c>
      <c r="C41" s="46">
        <v>32</v>
      </c>
      <c r="D41" s="45">
        <v>5</v>
      </c>
      <c r="E41" s="2" t="s">
        <v>21</v>
      </c>
      <c r="F41" s="4">
        <v>708</v>
      </c>
      <c r="G41" s="6">
        <v>738</v>
      </c>
      <c r="H41" s="6">
        <v>738</v>
      </c>
      <c r="I41" s="47"/>
      <c r="J41" s="48" t="s">
        <v>150</v>
      </c>
      <c r="K41" s="49" t="s">
        <v>151</v>
      </c>
      <c r="L41" s="50"/>
      <c r="M41" s="50"/>
      <c r="N41" s="50"/>
      <c r="O41" s="51">
        <v>708</v>
      </c>
    </row>
    <row r="42" spans="1:15" x14ac:dyDescent="0.25">
      <c r="A42" s="45">
        <v>1103132377</v>
      </c>
      <c r="B42" s="3" t="s">
        <v>53</v>
      </c>
      <c r="C42" s="46">
        <v>33</v>
      </c>
      <c r="D42" s="45">
        <v>1</v>
      </c>
      <c r="E42" s="2" t="s">
        <v>14</v>
      </c>
      <c r="F42" s="4">
        <v>531</v>
      </c>
      <c r="G42" s="6">
        <v>561</v>
      </c>
      <c r="H42" s="6">
        <v>561</v>
      </c>
      <c r="I42" s="47"/>
      <c r="J42" s="48" t="s">
        <v>150</v>
      </c>
      <c r="K42" s="49" t="s">
        <v>151</v>
      </c>
      <c r="L42" s="50"/>
      <c r="M42" s="50"/>
      <c r="N42" s="50"/>
      <c r="O42" s="51">
        <v>531</v>
      </c>
    </row>
    <row r="43" spans="1:15" x14ac:dyDescent="0.25">
      <c r="A43" s="45">
        <v>1102945258</v>
      </c>
      <c r="B43" s="3" t="s">
        <v>54</v>
      </c>
      <c r="C43" s="46">
        <v>34</v>
      </c>
      <c r="D43" s="45">
        <v>1</v>
      </c>
      <c r="E43" s="2" t="s">
        <v>45</v>
      </c>
      <c r="F43" s="4">
        <v>531</v>
      </c>
      <c r="G43" s="6">
        <v>561</v>
      </c>
      <c r="H43" s="6">
        <v>561</v>
      </c>
      <c r="I43" s="47"/>
      <c r="J43" s="48" t="s">
        <v>150</v>
      </c>
      <c r="K43" s="49" t="s">
        <v>151</v>
      </c>
      <c r="L43" s="50"/>
      <c r="M43" s="50"/>
      <c r="N43" s="50"/>
      <c r="O43" s="51">
        <v>531</v>
      </c>
    </row>
    <row r="44" spans="1:15" x14ac:dyDescent="0.25">
      <c r="A44" s="45">
        <v>1103653968</v>
      </c>
      <c r="B44" s="3" t="s">
        <v>55</v>
      </c>
      <c r="C44" s="46">
        <v>35</v>
      </c>
      <c r="D44" s="45">
        <v>1</v>
      </c>
      <c r="E44" s="2" t="s">
        <v>45</v>
      </c>
      <c r="F44" s="4">
        <v>531</v>
      </c>
      <c r="G44" s="6">
        <v>561</v>
      </c>
      <c r="H44" s="6">
        <v>561</v>
      </c>
      <c r="I44" s="47"/>
      <c r="J44" s="48"/>
      <c r="K44" s="49" t="s">
        <v>151</v>
      </c>
      <c r="L44" s="50"/>
      <c r="M44" s="50"/>
      <c r="N44" s="50"/>
      <c r="O44" s="51">
        <v>531</v>
      </c>
    </row>
    <row r="45" spans="1:15" x14ac:dyDescent="0.25">
      <c r="A45" s="45">
        <v>1711940039</v>
      </c>
      <c r="B45" s="3" t="s">
        <v>56</v>
      </c>
      <c r="C45" s="46">
        <v>36</v>
      </c>
      <c r="D45" s="45">
        <v>1</v>
      </c>
      <c r="E45" s="2" t="s">
        <v>14</v>
      </c>
      <c r="F45" s="4">
        <v>531</v>
      </c>
      <c r="G45" s="6">
        <v>561</v>
      </c>
      <c r="H45" s="6">
        <v>561</v>
      </c>
      <c r="I45" s="47"/>
      <c r="J45" s="48" t="s">
        <v>150</v>
      </c>
      <c r="K45" s="49" t="s">
        <v>151</v>
      </c>
      <c r="L45" s="50"/>
      <c r="M45" s="50"/>
      <c r="N45" s="50"/>
      <c r="O45" s="51">
        <v>531</v>
      </c>
    </row>
    <row r="46" spans="1:15" x14ac:dyDescent="0.25">
      <c r="A46" s="52">
        <v>1104835861</v>
      </c>
      <c r="B46" s="3" t="s">
        <v>57</v>
      </c>
      <c r="C46" s="46">
        <v>37</v>
      </c>
      <c r="D46" s="45">
        <v>1</v>
      </c>
      <c r="E46" s="2" t="s">
        <v>14</v>
      </c>
      <c r="F46" s="4">
        <v>531</v>
      </c>
      <c r="G46" s="6">
        <v>561</v>
      </c>
      <c r="H46" s="6">
        <v>561</v>
      </c>
      <c r="I46" s="47"/>
      <c r="J46" s="48"/>
      <c r="K46" s="49" t="s">
        <v>151</v>
      </c>
      <c r="L46" s="50"/>
      <c r="M46" s="50"/>
      <c r="N46" s="50"/>
      <c r="O46" s="51">
        <v>531</v>
      </c>
    </row>
    <row r="47" spans="1:15" x14ac:dyDescent="0.25">
      <c r="A47" s="45">
        <v>1103229595</v>
      </c>
      <c r="B47" s="3" t="s">
        <v>58</v>
      </c>
      <c r="C47" s="46">
        <v>38</v>
      </c>
      <c r="D47" s="45">
        <v>1</v>
      </c>
      <c r="E47" s="2" t="s">
        <v>14</v>
      </c>
      <c r="F47" s="4">
        <v>531</v>
      </c>
      <c r="G47" s="6">
        <v>561</v>
      </c>
      <c r="H47" s="6">
        <v>561</v>
      </c>
      <c r="I47" s="47"/>
      <c r="J47" s="48" t="s">
        <v>150</v>
      </c>
      <c r="K47" s="49" t="s">
        <v>151</v>
      </c>
      <c r="L47" s="50"/>
      <c r="M47" s="50"/>
      <c r="N47" s="50"/>
      <c r="O47" s="51">
        <v>531</v>
      </c>
    </row>
    <row r="48" spans="1:15" x14ac:dyDescent="0.25">
      <c r="A48" s="45">
        <v>1104591175</v>
      </c>
      <c r="B48" s="3" t="s">
        <v>59</v>
      </c>
      <c r="C48" s="46">
        <v>39</v>
      </c>
      <c r="D48" s="45">
        <v>1</v>
      </c>
      <c r="E48" s="2" t="s">
        <v>45</v>
      </c>
      <c r="F48" s="4"/>
      <c r="G48" s="6">
        <v>531</v>
      </c>
      <c r="H48" s="6">
        <v>561</v>
      </c>
      <c r="I48" s="53"/>
      <c r="J48" s="48" t="s">
        <v>150</v>
      </c>
      <c r="K48" s="49" t="s">
        <v>151</v>
      </c>
      <c r="L48" s="50"/>
      <c r="M48" s="50"/>
      <c r="N48" s="50"/>
      <c r="O48" s="51">
        <v>531</v>
      </c>
    </row>
    <row r="49" spans="1:15" x14ac:dyDescent="0.25">
      <c r="A49" s="54">
        <v>1900600253</v>
      </c>
      <c r="B49" s="3" t="s">
        <v>60</v>
      </c>
      <c r="C49" s="55">
        <v>40</v>
      </c>
      <c r="D49" s="54">
        <v>1</v>
      </c>
      <c r="E49" s="14" t="s">
        <v>45</v>
      </c>
      <c r="F49" s="10">
        <v>531</v>
      </c>
      <c r="G49" s="12">
        <v>561</v>
      </c>
      <c r="H49" s="12">
        <v>561</v>
      </c>
      <c r="I49" s="56"/>
      <c r="J49" s="57" t="s">
        <v>150</v>
      </c>
      <c r="K49" s="58" t="s">
        <v>151</v>
      </c>
      <c r="L49" s="59"/>
      <c r="M49" s="59"/>
      <c r="N49" s="59"/>
      <c r="O49" s="60">
        <v>531</v>
      </c>
    </row>
    <row r="50" spans="1:15" ht="22.5" x14ac:dyDescent="0.25">
      <c r="A50" s="45">
        <v>1101347019</v>
      </c>
      <c r="B50" s="9" t="s">
        <v>62</v>
      </c>
      <c r="C50" s="46">
        <v>41</v>
      </c>
      <c r="D50" s="45">
        <v>5</v>
      </c>
      <c r="E50" s="2" t="s">
        <v>61</v>
      </c>
      <c r="F50" s="4">
        <v>708</v>
      </c>
      <c r="G50" s="6">
        <v>738</v>
      </c>
      <c r="H50" s="6">
        <v>738</v>
      </c>
      <c r="I50" s="47"/>
      <c r="J50" s="48" t="s">
        <v>150</v>
      </c>
      <c r="K50" s="58" t="s">
        <v>151</v>
      </c>
      <c r="L50" s="50"/>
      <c r="M50" s="50"/>
      <c r="N50" s="50"/>
      <c r="O50" s="51">
        <v>708</v>
      </c>
    </row>
    <row r="51" spans="1:15" x14ac:dyDescent="0.25">
      <c r="A51" s="45">
        <v>1102895743</v>
      </c>
      <c r="B51" s="3" t="s">
        <v>63</v>
      </c>
      <c r="C51" s="46">
        <v>42</v>
      </c>
      <c r="D51" s="45">
        <v>1</v>
      </c>
      <c r="E51" s="2" t="s">
        <v>14</v>
      </c>
      <c r="F51" s="4">
        <v>531</v>
      </c>
      <c r="G51" s="6">
        <v>561</v>
      </c>
      <c r="H51" s="6">
        <v>561</v>
      </c>
      <c r="I51" s="53"/>
      <c r="J51" s="48" t="s">
        <v>150</v>
      </c>
      <c r="K51" s="58" t="s">
        <v>151</v>
      </c>
      <c r="L51" s="50"/>
      <c r="M51" s="50"/>
      <c r="N51" s="50"/>
      <c r="O51" s="51">
        <v>531</v>
      </c>
    </row>
    <row r="52" spans="1:15" x14ac:dyDescent="0.25">
      <c r="A52" s="45">
        <v>1104209695</v>
      </c>
      <c r="B52" s="3" t="s">
        <v>64</v>
      </c>
      <c r="C52" s="46">
        <v>43</v>
      </c>
      <c r="D52" s="45">
        <v>1</v>
      </c>
      <c r="E52" s="2" t="s">
        <v>14</v>
      </c>
      <c r="F52" s="4">
        <v>531</v>
      </c>
      <c r="G52" s="6">
        <v>561</v>
      </c>
      <c r="H52" s="6">
        <v>561</v>
      </c>
      <c r="I52" s="53"/>
      <c r="J52" s="48" t="s">
        <v>150</v>
      </c>
      <c r="K52" s="49" t="s">
        <v>151</v>
      </c>
      <c r="L52" s="50"/>
      <c r="M52" s="50"/>
      <c r="N52" s="50"/>
      <c r="O52" s="51">
        <v>531</v>
      </c>
    </row>
    <row r="53" spans="1:15" x14ac:dyDescent="0.25">
      <c r="A53" s="45">
        <v>1103330724</v>
      </c>
      <c r="B53" s="3" t="s">
        <v>65</v>
      </c>
      <c r="C53" s="46">
        <v>44</v>
      </c>
      <c r="D53" s="45">
        <v>1</v>
      </c>
      <c r="E53" s="2" t="s">
        <v>14</v>
      </c>
      <c r="F53" s="4">
        <v>531</v>
      </c>
      <c r="G53" s="6">
        <v>561</v>
      </c>
      <c r="H53" s="6">
        <v>561</v>
      </c>
      <c r="I53" s="53"/>
      <c r="J53" s="48" t="s">
        <v>150</v>
      </c>
      <c r="K53" s="49" t="s">
        <v>151</v>
      </c>
      <c r="L53" s="50"/>
      <c r="M53" s="50"/>
      <c r="N53" s="50"/>
      <c r="O53" s="51">
        <v>531</v>
      </c>
    </row>
    <row r="54" spans="1:15" ht="22.5" x14ac:dyDescent="0.25">
      <c r="A54" s="45">
        <v>1101667358</v>
      </c>
      <c r="B54" s="9" t="s">
        <v>66</v>
      </c>
      <c r="C54" s="46">
        <v>45</v>
      </c>
      <c r="D54" s="45">
        <v>5</v>
      </c>
      <c r="E54" s="2" t="s">
        <v>61</v>
      </c>
      <c r="F54" s="4">
        <v>708</v>
      </c>
      <c r="G54" s="6">
        <v>738</v>
      </c>
      <c r="H54" s="6">
        <v>738</v>
      </c>
      <c r="I54" s="53"/>
      <c r="J54" s="48" t="s">
        <v>150</v>
      </c>
      <c r="K54" s="49" t="s">
        <v>151</v>
      </c>
      <c r="L54" s="50"/>
      <c r="M54" s="50"/>
      <c r="N54" s="50"/>
      <c r="O54" s="51">
        <v>708</v>
      </c>
    </row>
    <row r="55" spans="1:15" x14ac:dyDescent="0.25">
      <c r="A55" s="45">
        <v>1101175378</v>
      </c>
      <c r="B55" s="3" t="s">
        <v>67</v>
      </c>
      <c r="C55" s="46">
        <v>46</v>
      </c>
      <c r="D55" s="45">
        <v>1</v>
      </c>
      <c r="E55" s="2" t="s">
        <v>14</v>
      </c>
      <c r="F55" s="4">
        <v>531</v>
      </c>
      <c r="G55" s="6">
        <v>561</v>
      </c>
      <c r="H55" s="6">
        <v>561</v>
      </c>
      <c r="I55" s="47"/>
      <c r="J55" s="48" t="s">
        <v>150</v>
      </c>
      <c r="K55" s="49" t="s">
        <v>151</v>
      </c>
      <c r="L55" s="50"/>
      <c r="M55" s="50"/>
      <c r="N55" s="50"/>
      <c r="O55" s="51">
        <v>531</v>
      </c>
    </row>
    <row r="56" spans="1:15" x14ac:dyDescent="0.25">
      <c r="A56" s="45">
        <v>1102089628</v>
      </c>
      <c r="B56" s="3" t="s">
        <v>68</v>
      </c>
      <c r="C56" s="46">
        <v>47</v>
      </c>
      <c r="D56" s="45">
        <v>3</v>
      </c>
      <c r="E56" s="2" t="s">
        <v>16</v>
      </c>
      <c r="F56" s="4">
        <v>584</v>
      </c>
      <c r="G56" s="6">
        <v>596</v>
      </c>
      <c r="H56" s="6">
        <v>596</v>
      </c>
      <c r="I56" s="47"/>
      <c r="J56" s="48" t="s">
        <v>150</v>
      </c>
      <c r="K56" s="49" t="s">
        <v>151</v>
      </c>
      <c r="L56" s="50"/>
      <c r="M56" s="50"/>
      <c r="N56" s="50"/>
      <c r="O56" s="51">
        <v>584</v>
      </c>
    </row>
    <row r="57" spans="1:15" x14ac:dyDescent="0.25">
      <c r="A57" s="45">
        <v>1100634300</v>
      </c>
      <c r="B57" s="3" t="s">
        <v>69</v>
      </c>
      <c r="C57" s="46">
        <v>48</v>
      </c>
      <c r="D57" s="45">
        <v>1</v>
      </c>
      <c r="E57" s="2" t="s">
        <v>14</v>
      </c>
      <c r="F57" s="4">
        <v>531</v>
      </c>
      <c r="G57" s="6">
        <v>561</v>
      </c>
      <c r="H57" s="6">
        <v>561</v>
      </c>
      <c r="I57" s="53"/>
      <c r="J57" s="48" t="s">
        <v>150</v>
      </c>
      <c r="K57" s="49" t="s">
        <v>151</v>
      </c>
      <c r="L57" s="50"/>
      <c r="M57" s="50"/>
      <c r="N57" s="50"/>
      <c r="O57" s="51">
        <v>531</v>
      </c>
    </row>
    <row r="58" spans="1:15" x14ac:dyDescent="0.25">
      <c r="A58" s="45">
        <v>1104691405</v>
      </c>
      <c r="B58" s="3" t="s">
        <v>71</v>
      </c>
      <c r="C58" s="46">
        <v>49</v>
      </c>
      <c r="D58" s="45">
        <v>3</v>
      </c>
      <c r="E58" s="2" t="s">
        <v>70</v>
      </c>
      <c r="F58" s="4">
        <v>566</v>
      </c>
      <c r="G58" s="6">
        <v>596</v>
      </c>
      <c r="H58" s="6">
        <v>596</v>
      </c>
      <c r="I58" s="53"/>
      <c r="J58" s="48" t="s">
        <v>150</v>
      </c>
      <c r="K58" s="49" t="s">
        <v>151</v>
      </c>
      <c r="L58" s="50"/>
      <c r="M58" s="50"/>
      <c r="N58" s="50"/>
      <c r="O58" s="51">
        <v>566</v>
      </c>
    </row>
    <row r="59" spans="1:15" x14ac:dyDescent="0.25">
      <c r="A59" s="45">
        <v>1104620917</v>
      </c>
      <c r="B59" s="3" t="s">
        <v>72</v>
      </c>
      <c r="C59" s="46">
        <v>50</v>
      </c>
      <c r="D59" s="45">
        <v>1</v>
      </c>
      <c r="E59" s="2" t="s">
        <v>14</v>
      </c>
      <c r="F59" s="4">
        <v>531</v>
      </c>
      <c r="G59" s="6">
        <v>561</v>
      </c>
      <c r="H59" s="6">
        <v>561</v>
      </c>
      <c r="I59" s="53"/>
      <c r="J59" s="48" t="s">
        <v>150</v>
      </c>
      <c r="K59" s="49" t="s">
        <v>151</v>
      </c>
      <c r="L59" s="50"/>
      <c r="M59" s="50"/>
      <c r="N59" s="50"/>
      <c r="O59" s="51">
        <v>531</v>
      </c>
    </row>
    <row r="60" spans="1:15" x14ac:dyDescent="0.25">
      <c r="A60" s="45">
        <v>1104622772</v>
      </c>
      <c r="B60" s="3" t="s">
        <v>73</v>
      </c>
      <c r="C60" s="46">
        <v>51</v>
      </c>
      <c r="D60" s="45">
        <v>1</v>
      </c>
      <c r="E60" s="2" t="s">
        <v>14</v>
      </c>
      <c r="F60" s="4">
        <v>531</v>
      </c>
      <c r="G60" s="6">
        <v>561</v>
      </c>
      <c r="H60" s="6">
        <v>561</v>
      </c>
      <c r="I60" s="47"/>
      <c r="J60" s="48" t="s">
        <v>150</v>
      </c>
      <c r="K60" s="49" t="s">
        <v>151</v>
      </c>
      <c r="L60" s="50"/>
      <c r="M60" s="50"/>
      <c r="N60" s="50"/>
      <c r="O60" s="51">
        <v>531</v>
      </c>
    </row>
    <row r="61" spans="1:15" ht="33.75" x14ac:dyDescent="0.25">
      <c r="A61" s="45">
        <v>701820615</v>
      </c>
      <c r="B61" s="3" t="s">
        <v>74</v>
      </c>
      <c r="C61" s="46">
        <v>52</v>
      </c>
      <c r="D61" s="45">
        <v>3</v>
      </c>
      <c r="E61" s="2" t="s">
        <v>16</v>
      </c>
      <c r="F61" s="4">
        <v>584</v>
      </c>
      <c r="G61" s="6">
        <v>596</v>
      </c>
      <c r="H61" s="6">
        <v>596</v>
      </c>
      <c r="I61" s="47"/>
      <c r="J61" s="48" t="s">
        <v>150</v>
      </c>
      <c r="K61" s="49" t="s">
        <v>156</v>
      </c>
      <c r="L61" s="50"/>
      <c r="M61" s="50"/>
      <c r="N61" s="50"/>
      <c r="O61" s="51">
        <v>584</v>
      </c>
    </row>
    <row r="62" spans="1:15" x14ac:dyDescent="0.25">
      <c r="A62" s="45">
        <v>1101089934</v>
      </c>
      <c r="B62" s="3" t="s">
        <v>76</v>
      </c>
      <c r="C62" s="46">
        <v>53</v>
      </c>
      <c r="D62" s="45">
        <v>1</v>
      </c>
      <c r="E62" s="2" t="s">
        <v>75</v>
      </c>
      <c r="F62" s="4">
        <v>531</v>
      </c>
      <c r="G62" s="6">
        <v>561</v>
      </c>
      <c r="H62" s="6">
        <v>561</v>
      </c>
      <c r="I62" s="47"/>
      <c r="J62" s="48" t="s">
        <v>150</v>
      </c>
      <c r="K62" s="49" t="s">
        <v>151</v>
      </c>
      <c r="L62" s="50"/>
      <c r="M62" s="50"/>
      <c r="N62" s="50"/>
      <c r="O62" s="51">
        <v>531</v>
      </c>
    </row>
    <row r="63" spans="1:15" x14ac:dyDescent="0.25">
      <c r="A63" s="45">
        <v>1104517733</v>
      </c>
      <c r="B63" s="3" t="s">
        <v>77</v>
      </c>
      <c r="C63" s="46">
        <v>54</v>
      </c>
      <c r="D63" s="45">
        <v>1</v>
      </c>
      <c r="E63" s="2" t="s">
        <v>14</v>
      </c>
      <c r="F63" s="4">
        <v>531</v>
      </c>
      <c r="G63" s="6">
        <v>561</v>
      </c>
      <c r="H63" s="6">
        <v>561</v>
      </c>
      <c r="I63" s="47"/>
      <c r="J63" s="48"/>
      <c r="K63" s="49" t="s">
        <v>157</v>
      </c>
      <c r="L63" s="50"/>
      <c r="M63" s="50"/>
      <c r="N63" s="50"/>
      <c r="O63" s="51">
        <v>531</v>
      </c>
    </row>
    <row r="64" spans="1:15" x14ac:dyDescent="0.25">
      <c r="A64" s="45">
        <v>1103957625</v>
      </c>
      <c r="B64" s="3" t="s">
        <v>78</v>
      </c>
      <c r="C64" s="46">
        <v>55</v>
      </c>
      <c r="D64" s="45">
        <v>1</v>
      </c>
      <c r="E64" s="2" t="s">
        <v>14</v>
      </c>
      <c r="F64" s="4">
        <v>531</v>
      </c>
      <c r="G64" s="6">
        <v>561</v>
      </c>
      <c r="H64" s="6">
        <v>561</v>
      </c>
      <c r="I64" s="53"/>
      <c r="J64" s="48" t="s">
        <v>150</v>
      </c>
      <c r="K64" s="49" t="s">
        <v>151</v>
      </c>
      <c r="L64" s="50"/>
      <c r="M64" s="50"/>
      <c r="N64" s="50"/>
      <c r="O64" s="51">
        <v>531</v>
      </c>
    </row>
    <row r="65" spans="1:15" x14ac:dyDescent="0.25">
      <c r="A65" s="45">
        <v>1103955983</v>
      </c>
      <c r="B65" s="3" t="s">
        <v>79</v>
      </c>
      <c r="C65" s="46">
        <v>56</v>
      </c>
      <c r="D65" s="45">
        <v>1</v>
      </c>
      <c r="E65" s="2" t="s">
        <v>14</v>
      </c>
      <c r="F65" s="4">
        <v>531</v>
      </c>
      <c r="G65" s="6">
        <v>561</v>
      </c>
      <c r="H65" s="6">
        <v>561</v>
      </c>
      <c r="I65" s="47"/>
      <c r="J65" s="48" t="s">
        <v>150</v>
      </c>
      <c r="K65" s="49" t="s">
        <v>151</v>
      </c>
      <c r="L65" s="50"/>
      <c r="M65" s="50"/>
      <c r="N65" s="50"/>
      <c r="O65" s="51">
        <v>531</v>
      </c>
    </row>
    <row r="66" spans="1:15" x14ac:dyDescent="0.25">
      <c r="A66" s="45">
        <v>1103261838</v>
      </c>
      <c r="B66" s="3" t="s">
        <v>80</v>
      </c>
      <c r="C66" s="46">
        <v>57</v>
      </c>
      <c r="D66" s="45">
        <v>1</v>
      </c>
      <c r="E66" s="2" t="s">
        <v>14</v>
      </c>
      <c r="F66" s="8">
        <v>531</v>
      </c>
      <c r="G66" s="6">
        <v>561</v>
      </c>
      <c r="H66" s="6">
        <v>561</v>
      </c>
      <c r="I66" s="61"/>
      <c r="J66" s="48" t="s">
        <v>150</v>
      </c>
      <c r="K66" s="49" t="s">
        <v>158</v>
      </c>
      <c r="L66" s="50"/>
      <c r="M66" s="50"/>
      <c r="N66" s="50"/>
      <c r="O66" s="51">
        <v>531</v>
      </c>
    </row>
    <row r="67" spans="1:15" x14ac:dyDescent="0.25">
      <c r="A67" s="45">
        <v>1100617636</v>
      </c>
      <c r="B67" s="3" t="s">
        <v>81</v>
      </c>
      <c r="C67" s="46">
        <v>58</v>
      </c>
      <c r="D67" s="45">
        <v>1</v>
      </c>
      <c r="E67" s="2" t="s">
        <v>14</v>
      </c>
      <c r="F67" s="4">
        <v>531</v>
      </c>
      <c r="G67" s="6">
        <v>561</v>
      </c>
      <c r="H67" s="6">
        <v>561</v>
      </c>
      <c r="I67" s="47"/>
      <c r="J67" s="48"/>
      <c r="K67" s="49" t="s">
        <v>151</v>
      </c>
      <c r="L67" s="50"/>
      <c r="M67" s="50"/>
      <c r="N67" s="50"/>
      <c r="O67" s="51">
        <v>531</v>
      </c>
    </row>
    <row r="68" spans="1:15" x14ac:dyDescent="0.25">
      <c r="A68" s="45">
        <v>1102554571</v>
      </c>
      <c r="B68" s="3" t="s">
        <v>82</v>
      </c>
      <c r="C68" s="46">
        <v>59</v>
      </c>
      <c r="D68" s="45">
        <v>1</v>
      </c>
      <c r="E68" s="2" t="s">
        <v>14</v>
      </c>
      <c r="F68" s="4">
        <v>531</v>
      </c>
      <c r="G68" s="6">
        <v>561</v>
      </c>
      <c r="H68" s="6">
        <v>561</v>
      </c>
      <c r="I68" s="53"/>
      <c r="J68" s="48" t="s">
        <v>150</v>
      </c>
      <c r="K68" s="49" t="s">
        <v>151</v>
      </c>
      <c r="L68" s="50"/>
      <c r="M68" s="50"/>
      <c r="N68" s="50"/>
      <c r="O68" s="51">
        <v>531</v>
      </c>
    </row>
    <row r="69" spans="1:15" x14ac:dyDescent="0.25">
      <c r="A69" s="45">
        <v>1103834402</v>
      </c>
      <c r="B69" s="3" t="s">
        <v>83</v>
      </c>
      <c r="C69" s="46">
        <v>60</v>
      </c>
      <c r="D69" s="45">
        <v>1</v>
      </c>
      <c r="E69" s="2" t="s">
        <v>14</v>
      </c>
      <c r="F69" s="4">
        <v>531</v>
      </c>
      <c r="G69" s="6">
        <v>561</v>
      </c>
      <c r="H69" s="6">
        <v>561</v>
      </c>
      <c r="I69" s="47"/>
      <c r="J69" s="48" t="s">
        <v>150</v>
      </c>
      <c r="K69" s="49" t="s">
        <v>151</v>
      </c>
      <c r="L69" s="50"/>
      <c r="M69" s="50"/>
      <c r="N69" s="50"/>
      <c r="O69" s="51">
        <v>531</v>
      </c>
    </row>
    <row r="70" spans="1:15" x14ac:dyDescent="0.25">
      <c r="A70" s="45">
        <v>1104928724</v>
      </c>
      <c r="B70" s="3" t="s">
        <v>84</v>
      </c>
      <c r="C70" s="46">
        <v>61</v>
      </c>
      <c r="D70" s="45">
        <v>1</v>
      </c>
      <c r="E70" s="2" t="s">
        <v>14</v>
      </c>
      <c r="F70" s="4">
        <v>531</v>
      </c>
      <c r="G70" s="6">
        <v>561</v>
      </c>
      <c r="H70" s="6">
        <v>561</v>
      </c>
      <c r="I70" s="53"/>
      <c r="J70" s="48" t="s">
        <v>150</v>
      </c>
      <c r="K70" s="49" t="s">
        <v>151</v>
      </c>
      <c r="L70" s="50"/>
      <c r="M70" s="50"/>
      <c r="N70" s="50"/>
      <c r="O70" s="51">
        <v>531</v>
      </c>
    </row>
    <row r="71" spans="1:15" x14ac:dyDescent="0.25">
      <c r="A71" s="45">
        <v>1103559181</v>
      </c>
      <c r="B71" s="3" t="s">
        <v>85</v>
      </c>
      <c r="C71" s="46">
        <v>62</v>
      </c>
      <c r="D71" s="45">
        <v>1</v>
      </c>
      <c r="E71" s="2" t="s">
        <v>14</v>
      </c>
      <c r="F71" s="4">
        <v>531</v>
      </c>
      <c r="G71" s="6">
        <v>561</v>
      </c>
      <c r="H71" s="6">
        <v>561</v>
      </c>
      <c r="I71" s="53"/>
      <c r="J71" s="48" t="s">
        <v>150</v>
      </c>
      <c r="K71" s="49" t="s">
        <v>151</v>
      </c>
      <c r="L71" s="50"/>
      <c r="M71" s="50"/>
      <c r="N71" s="50"/>
      <c r="O71" s="51">
        <v>531</v>
      </c>
    </row>
    <row r="72" spans="1:15" ht="22.5" x14ac:dyDescent="0.25">
      <c r="A72" s="45">
        <v>1102980461</v>
      </c>
      <c r="B72" s="3" t="s">
        <v>87</v>
      </c>
      <c r="C72" s="46">
        <v>63</v>
      </c>
      <c r="D72" s="45">
        <v>1</v>
      </c>
      <c r="E72" s="2" t="s">
        <v>86</v>
      </c>
      <c r="F72" s="4">
        <v>531</v>
      </c>
      <c r="G72" s="6">
        <v>561</v>
      </c>
      <c r="H72" s="6">
        <v>561</v>
      </c>
      <c r="I72" s="53"/>
      <c r="J72" s="48" t="s">
        <v>150</v>
      </c>
      <c r="K72" s="49" t="s">
        <v>151</v>
      </c>
      <c r="L72" s="50"/>
      <c r="M72" s="50"/>
      <c r="N72" s="50"/>
      <c r="O72" s="51">
        <v>531</v>
      </c>
    </row>
    <row r="73" spans="1:15" x14ac:dyDescent="0.25">
      <c r="A73" s="45">
        <v>1104332265</v>
      </c>
      <c r="B73" s="3" t="s">
        <v>88</v>
      </c>
      <c r="C73" s="46">
        <v>64</v>
      </c>
      <c r="D73" s="45">
        <v>1</v>
      </c>
      <c r="E73" s="2" t="s">
        <v>45</v>
      </c>
      <c r="F73" s="4">
        <v>531</v>
      </c>
      <c r="G73" s="6">
        <v>561</v>
      </c>
      <c r="H73" s="6">
        <v>561</v>
      </c>
      <c r="I73" s="53"/>
      <c r="J73" s="48" t="s">
        <v>150</v>
      </c>
      <c r="K73" s="49" t="s">
        <v>151</v>
      </c>
      <c r="L73" s="50"/>
      <c r="M73" s="50"/>
      <c r="N73" s="50"/>
      <c r="O73" s="51">
        <v>531</v>
      </c>
    </row>
    <row r="74" spans="1:15" x14ac:dyDescent="0.25">
      <c r="A74" s="45">
        <v>1101950788</v>
      </c>
      <c r="B74" s="3" t="s">
        <v>89</v>
      </c>
      <c r="C74" s="46">
        <v>65</v>
      </c>
      <c r="D74" s="45">
        <v>1</v>
      </c>
      <c r="E74" s="2" t="s">
        <v>14</v>
      </c>
      <c r="F74" s="4">
        <v>531</v>
      </c>
      <c r="G74" s="6">
        <v>561</v>
      </c>
      <c r="H74" s="6">
        <v>561</v>
      </c>
      <c r="I74" s="53"/>
      <c r="J74" s="48" t="s">
        <v>150</v>
      </c>
      <c r="K74" s="49" t="s">
        <v>151</v>
      </c>
      <c r="L74" s="50"/>
      <c r="M74" s="50"/>
      <c r="N74" s="50"/>
      <c r="O74" s="51">
        <v>531</v>
      </c>
    </row>
    <row r="75" spans="1:15" ht="33.75" x14ac:dyDescent="0.25">
      <c r="A75" s="54">
        <v>1104741739</v>
      </c>
      <c r="B75" s="3" t="s">
        <v>91</v>
      </c>
      <c r="C75" s="55">
        <v>66</v>
      </c>
      <c r="D75" s="54">
        <v>9</v>
      </c>
      <c r="E75" s="14" t="s">
        <v>90</v>
      </c>
      <c r="F75" s="10">
        <v>876</v>
      </c>
      <c r="G75" s="12">
        <v>906</v>
      </c>
      <c r="H75" s="12">
        <v>906</v>
      </c>
      <c r="I75" s="62" t="s">
        <v>159</v>
      </c>
      <c r="J75" s="57" t="s">
        <v>150</v>
      </c>
      <c r="K75" s="58" t="s">
        <v>158</v>
      </c>
      <c r="L75" s="59"/>
      <c r="M75" s="59"/>
      <c r="N75" s="59"/>
      <c r="O75" s="60">
        <v>876</v>
      </c>
    </row>
    <row r="76" spans="1:15" x14ac:dyDescent="0.25">
      <c r="A76" s="45">
        <v>1103331805</v>
      </c>
      <c r="B76" s="3" t="s">
        <v>93</v>
      </c>
      <c r="C76" s="46">
        <v>67</v>
      </c>
      <c r="D76" s="45">
        <v>3</v>
      </c>
      <c r="E76" s="2" t="s">
        <v>92</v>
      </c>
      <c r="F76" s="4">
        <v>584</v>
      </c>
      <c r="G76" s="6">
        <v>596</v>
      </c>
      <c r="H76" s="6">
        <v>596</v>
      </c>
      <c r="I76" s="53"/>
      <c r="J76" s="48" t="s">
        <v>150</v>
      </c>
      <c r="K76" s="49" t="s">
        <v>151</v>
      </c>
      <c r="L76" s="50"/>
      <c r="M76" s="50"/>
      <c r="N76" s="50"/>
      <c r="O76" s="51">
        <v>584</v>
      </c>
    </row>
    <row r="77" spans="1:15" x14ac:dyDescent="0.25">
      <c r="A77" s="45">
        <v>1104364425</v>
      </c>
      <c r="B77" s="3" t="s">
        <v>94</v>
      </c>
      <c r="C77" s="46">
        <v>68</v>
      </c>
      <c r="D77" s="45">
        <v>1</v>
      </c>
      <c r="E77" s="2" t="s">
        <v>14</v>
      </c>
      <c r="F77" s="4">
        <v>531</v>
      </c>
      <c r="G77" s="6">
        <v>561</v>
      </c>
      <c r="H77" s="6">
        <v>561</v>
      </c>
      <c r="I77" s="53"/>
      <c r="J77" s="48" t="s">
        <v>150</v>
      </c>
      <c r="K77" s="49" t="s">
        <v>151</v>
      </c>
      <c r="L77" s="50"/>
      <c r="M77" s="50"/>
      <c r="N77" s="50"/>
      <c r="O77" s="51">
        <v>531</v>
      </c>
    </row>
    <row r="78" spans="1:15" x14ac:dyDescent="0.25">
      <c r="A78" s="45">
        <v>1103330443</v>
      </c>
      <c r="B78" s="3" t="s">
        <v>95</v>
      </c>
      <c r="C78" s="46">
        <v>69</v>
      </c>
      <c r="D78" s="45">
        <v>3</v>
      </c>
      <c r="E78" s="15" t="s">
        <v>14</v>
      </c>
      <c r="F78" s="4">
        <v>531</v>
      </c>
      <c r="G78" s="6">
        <v>561</v>
      </c>
      <c r="H78" s="6">
        <v>561</v>
      </c>
      <c r="I78" s="47"/>
      <c r="J78" s="48" t="s">
        <v>150</v>
      </c>
      <c r="K78" s="49" t="s">
        <v>151</v>
      </c>
      <c r="L78" s="50"/>
      <c r="M78" s="50"/>
      <c r="N78" s="50"/>
      <c r="O78" s="51">
        <v>531</v>
      </c>
    </row>
    <row r="79" spans="1:15" x14ac:dyDescent="0.25">
      <c r="A79" s="45">
        <v>1102895271</v>
      </c>
      <c r="B79" s="3" t="s">
        <v>96</v>
      </c>
      <c r="C79" s="46">
        <v>70</v>
      </c>
      <c r="D79" s="45">
        <v>1</v>
      </c>
      <c r="E79" s="2" t="s">
        <v>14</v>
      </c>
      <c r="F79" s="4">
        <v>566</v>
      </c>
      <c r="G79" s="6">
        <v>596</v>
      </c>
      <c r="H79" s="6">
        <v>596</v>
      </c>
      <c r="I79" s="53"/>
      <c r="J79" s="48" t="s">
        <v>150</v>
      </c>
      <c r="K79" s="49" t="s">
        <v>158</v>
      </c>
      <c r="L79" s="50"/>
      <c r="M79" s="50"/>
      <c r="N79" s="50"/>
      <c r="O79" s="51">
        <v>531</v>
      </c>
    </row>
    <row r="80" spans="1:15" ht="22.5" x14ac:dyDescent="0.25">
      <c r="A80" s="45">
        <v>1103513626</v>
      </c>
      <c r="B80" s="3" t="s">
        <v>98</v>
      </c>
      <c r="C80" s="46">
        <v>71</v>
      </c>
      <c r="D80" s="45">
        <v>3</v>
      </c>
      <c r="E80" s="2" t="s">
        <v>97</v>
      </c>
      <c r="F80" s="4">
        <v>566</v>
      </c>
      <c r="G80" s="6">
        <v>596</v>
      </c>
      <c r="H80" s="6">
        <v>596</v>
      </c>
      <c r="I80" s="53"/>
      <c r="J80" s="48" t="s">
        <v>150</v>
      </c>
      <c r="K80" s="49" t="s">
        <v>160</v>
      </c>
      <c r="L80" s="50"/>
      <c r="M80" s="50"/>
      <c r="N80" s="50"/>
      <c r="O80" s="51">
        <v>566</v>
      </c>
    </row>
    <row r="81" spans="1:15" x14ac:dyDescent="0.25">
      <c r="A81" s="45">
        <v>1104766454</v>
      </c>
      <c r="B81" s="9" t="s">
        <v>99</v>
      </c>
      <c r="C81" s="46">
        <v>72</v>
      </c>
      <c r="D81" s="45">
        <v>5</v>
      </c>
      <c r="E81" s="2" t="s">
        <v>21</v>
      </c>
      <c r="F81" s="4">
        <v>708</v>
      </c>
      <c r="G81" s="6">
        <v>738</v>
      </c>
      <c r="H81" s="6">
        <v>738</v>
      </c>
      <c r="I81" s="53"/>
      <c r="J81" s="48" t="s">
        <v>150</v>
      </c>
      <c r="K81" s="49" t="s">
        <v>151</v>
      </c>
      <c r="L81" s="50"/>
      <c r="M81" s="50"/>
      <c r="N81" s="50"/>
      <c r="O81" s="51">
        <v>708</v>
      </c>
    </row>
    <row r="82" spans="1:15" x14ac:dyDescent="0.25">
      <c r="A82" s="54">
        <v>1103767330</v>
      </c>
      <c r="B82" s="3" t="s">
        <v>100</v>
      </c>
      <c r="C82" s="55">
        <v>73</v>
      </c>
      <c r="D82" s="54">
        <v>3</v>
      </c>
      <c r="E82" s="14" t="s">
        <v>16</v>
      </c>
      <c r="F82" s="16">
        <v>584</v>
      </c>
      <c r="G82" s="12">
        <v>596</v>
      </c>
      <c r="H82" s="12">
        <v>596</v>
      </c>
      <c r="I82" s="62"/>
      <c r="J82" s="57" t="s">
        <v>150</v>
      </c>
      <c r="K82" s="58" t="s">
        <v>151</v>
      </c>
      <c r="L82" s="59"/>
      <c r="M82" s="59"/>
      <c r="N82" s="59"/>
      <c r="O82" s="60">
        <v>584</v>
      </c>
    </row>
    <row r="83" spans="1:15" x14ac:dyDescent="0.25">
      <c r="A83" s="45">
        <v>1102569611</v>
      </c>
      <c r="B83" s="9" t="s">
        <v>101</v>
      </c>
      <c r="C83" s="46">
        <v>74</v>
      </c>
      <c r="D83" s="45">
        <v>5</v>
      </c>
      <c r="E83" s="2" t="s">
        <v>21</v>
      </c>
      <c r="F83" s="4">
        <v>708</v>
      </c>
      <c r="G83" s="6">
        <v>738</v>
      </c>
      <c r="H83" s="6">
        <v>738</v>
      </c>
      <c r="I83" s="53"/>
      <c r="J83" s="48" t="s">
        <v>150</v>
      </c>
      <c r="K83" s="49" t="s">
        <v>151</v>
      </c>
      <c r="L83" s="50"/>
      <c r="M83" s="50"/>
      <c r="N83" s="50"/>
      <c r="O83" s="51">
        <v>708</v>
      </c>
    </row>
    <row r="84" spans="1:15" x14ac:dyDescent="0.25">
      <c r="A84" s="45">
        <v>1101666905</v>
      </c>
      <c r="B84" s="3" t="s">
        <v>102</v>
      </c>
      <c r="C84" s="46">
        <v>75</v>
      </c>
      <c r="D84" s="45">
        <v>1</v>
      </c>
      <c r="E84" s="2" t="s">
        <v>14</v>
      </c>
      <c r="F84" s="4">
        <v>531</v>
      </c>
      <c r="G84" s="6">
        <v>561</v>
      </c>
      <c r="H84" s="6">
        <v>561</v>
      </c>
      <c r="I84" s="53"/>
      <c r="J84" s="48" t="s">
        <v>150</v>
      </c>
      <c r="K84" s="49" t="s">
        <v>151</v>
      </c>
      <c r="L84" s="50"/>
      <c r="M84" s="50"/>
      <c r="N84" s="50"/>
      <c r="O84" s="51">
        <v>531</v>
      </c>
    </row>
    <row r="85" spans="1:15" x14ac:dyDescent="0.25">
      <c r="A85" s="45">
        <v>1105184020</v>
      </c>
      <c r="B85" s="3" t="s">
        <v>103</v>
      </c>
      <c r="C85" s="46">
        <v>76</v>
      </c>
      <c r="D85" s="45">
        <v>1</v>
      </c>
      <c r="E85" s="2" t="s">
        <v>45</v>
      </c>
      <c r="F85" s="4">
        <v>531</v>
      </c>
      <c r="G85" s="6">
        <v>561</v>
      </c>
      <c r="H85" s="6">
        <v>561</v>
      </c>
      <c r="I85" s="53"/>
      <c r="J85" s="48" t="s">
        <v>150</v>
      </c>
      <c r="K85" s="49" t="s">
        <v>151</v>
      </c>
      <c r="L85" s="50"/>
      <c r="M85" s="50"/>
      <c r="N85" s="50"/>
      <c r="O85" s="51">
        <v>531</v>
      </c>
    </row>
    <row r="86" spans="1:15" x14ac:dyDescent="0.25">
      <c r="A86" s="45">
        <v>1900429224</v>
      </c>
      <c r="B86" s="3" t="s">
        <v>104</v>
      </c>
      <c r="C86" s="46">
        <v>77</v>
      </c>
      <c r="D86" s="45">
        <v>1</v>
      </c>
      <c r="E86" s="2" t="s">
        <v>14</v>
      </c>
      <c r="F86" s="4">
        <v>531</v>
      </c>
      <c r="G86" s="6">
        <v>561</v>
      </c>
      <c r="H86" s="6">
        <v>561</v>
      </c>
      <c r="I86" s="61"/>
      <c r="J86" s="48" t="s">
        <v>150</v>
      </c>
      <c r="K86" s="49" t="s">
        <v>151</v>
      </c>
      <c r="L86" s="50"/>
      <c r="M86" s="50"/>
      <c r="N86" s="50"/>
      <c r="O86" s="51">
        <v>531</v>
      </c>
    </row>
    <row r="87" spans="1:15" x14ac:dyDescent="0.25">
      <c r="A87" s="45">
        <v>1900193481</v>
      </c>
      <c r="B87" s="3" t="s">
        <v>105</v>
      </c>
      <c r="C87" s="46">
        <v>78</v>
      </c>
      <c r="D87" s="45">
        <v>1</v>
      </c>
      <c r="E87" s="2" t="s">
        <v>14</v>
      </c>
      <c r="F87" s="4">
        <v>531</v>
      </c>
      <c r="G87" s="6">
        <v>561</v>
      </c>
      <c r="H87" s="6">
        <v>561</v>
      </c>
      <c r="I87" s="47"/>
      <c r="J87" s="48" t="s">
        <v>150</v>
      </c>
      <c r="K87" s="49" t="s">
        <v>151</v>
      </c>
      <c r="L87" s="50"/>
      <c r="M87" s="50"/>
      <c r="N87" s="50"/>
      <c r="O87" s="51">
        <v>531</v>
      </c>
    </row>
    <row r="88" spans="1:15" x14ac:dyDescent="0.25">
      <c r="A88" s="45">
        <v>1102484225</v>
      </c>
      <c r="B88" s="3" t="s">
        <v>107</v>
      </c>
      <c r="C88" s="46">
        <v>79</v>
      </c>
      <c r="D88" s="45">
        <v>1</v>
      </c>
      <c r="E88" s="2" t="s">
        <v>106</v>
      </c>
      <c r="F88" s="4">
        <v>494.1</v>
      </c>
      <c r="G88" s="6">
        <v>494.1</v>
      </c>
      <c r="H88" s="6">
        <v>531</v>
      </c>
      <c r="I88" s="53"/>
      <c r="J88" s="48" t="s">
        <v>150</v>
      </c>
      <c r="K88" s="49" t="s">
        <v>151</v>
      </c>
      <c r="L88" s="50"/>
      <c r="M88" s="50"/>
      <c r="N88" s="50"/>
      <c r="O88" s="51">
        <v>531</v>
      </c>
    </row>
    <row r="89" spans="1:15" x14ac:dyDescent="0.25">
      <c r="A89" s="45">
        <v>1104703077</v>
      </c>
      <c r="B89" s="3" t="s">
        <v>108</v>
      </c>
      <c r="C89" s="46">
        <v>80</v>
      </c>
      <c r="D89" s="45">
        <v>1</v>
      </c>
      <c r="E89" s="2" t="s">
        <v>14</v>
      </c>
      <c r="F89" s="4">
        <v>531</v>
      </c>
      <c r="G89" s="6">
        <v>561</v>
      </c>
      <c r="H89" s="6">
        <v>561</v>
      </c>
      <c r="I89" s="53"/>
      <c r="J89" s="48" t="s">
        <v>150</v>
      </c>
      <c r="K89" s="49" t="s">
        <v>151</v>
      </c>
      <c r="L89" s="50"/>
      <c r="M89" s="50"/>
      <c r="N89" s="50"/>
      <c r="O89" s="51">
        <v>531</v>
      </c>
    </row>
    <row r="90" spans="1:15" x14ac:dyDescent="0.25">
      <c r="A90" s="45">
        <v>1710549906</v>
      </c>
      <c r="B90" s="3" t="s">
        <v>109</v>
      </c>
      <c r="C90" s="46">
        <v>81</v>
      </c>
      <c r="D90" s="45">
        <v>3</v>
      </c>
      <c r="E90" s="2" t="s">
        <v>16</v>
      </c>
      <c r="F90" s="4">
        <v>584</v>
      </c>
      <c r="G90" s="6">
        <v>596</v>
      </c>
      <c r="H90" s="6">
        <v>596</v>
      </c>
      <c r="I90" s="53"/>
      <c r="J90" s="48" t="s">
        <v>150</v>
      </c>
      <c r="K90" s="49" t="s">
        <v>151</v>
      </c>
      <c r="L90" s="50"/>
      <c r="M90" s="50"/>
      <c r="N90" s="50"/>
      <c r="O90" s="51">
        <v>584</v>
      </c>
    </row>
    <row r="91" spans="1:15" x14ac:dyDescent="0.25">
      <c r="A91" s="45">
        <v>1102095500</v>
      </c>
      <c r="B91" s="3" t="s">
        <v>110</v>
      </c>
      <c r="C91" s="46">
        <v>82</v>
      </c>
      <c r="D91" s="45">
        <v>3</v>
      </c>
      <c r="E91" s="2" t="s">
        <v>16</v>
      </c>
      <c r="F91" s="4">
        <v>584</v>
      </c>
      <c r="G91" s="6">
        <v>596</v>
      </c>
      <c r="H91" s="6">
        <v>596</v>
      </c>
      <c r="I91" s="47"/>
      <c r="J91" s="48"/>
      <c r="K91" s="49" t="s">
        <v>151</v>
      </c>
      <c r="L91" s="50"/>
      <c r="M91" s="50"/>
      <c r="N91" s="50"/>
      <c r="O91" s="51">
        <v>584</v>
      </c>
    </row>
    <row r="92" spans="1:15" x14ac:dyDescent="0.25">
      <c r="A92" s="54">
        <v>1103607824</v>
      </c>
      <c r="B92" s="3" t="s">
        <v>111</v>
      </c>
      <c r="C92" s="46">
        <v>83</v>
      </c>
      <c r="D92" s="45">
        <v>3</v>
      </c>
      <c r="E92" s="2" t="s">
        <v>14</v>
      </c>
      <c r="F92" s="8">
        <v>531</v>
      </c>
      <c r="G92" s="6">
        <v>561</v>
      </c>
      <c r="H92" s="6"/>
      <c r="I92" s="53"/>
      <c r="J92" s="48" t="s">
        <v>161</v>
      </c>
      <c r="K92" s="49" t="s">
        <v>151</v>
      </c>
      <c r="L92" s="50"/>
      <c r="M92" s="50"/>
      <c r="N92" s="50"/>
      <c r="O92" s="51">
        <v>531</v>
      </c>
    </row>
    <row r="93" spans="1:15" x14ac:dyDescent="0.25">
      <c r="A93" s="54">
        <v>1103818660</v>
      </c>
      <c r="B93" s="3" t="s">
        <v>112</v>
      </c>
      <c r="C93" s="55">
        <v>84</v>
      </c>
      <c r="D93" s="54">
        <v>3</v>
      </c>
      <c r="E93" s="14" t="s">
        <v>16</v>
      </c>
      <c r="F93" s="10">
        <v>584</v>
      </c>
      <c r="G93" s="12">
        <v>596</v>
      </c>
      <c r="H93" s="12"/>
      <c r="I93" s="62"/>
      <c r="J93" s="57" t="s">
        <v>161</v>
      </c>
      <c r="K93" s="58" t="s">
        <v>151</v>
      </c>
      <c r="L93" s="59"/>
      <c r="M93" s="59"/>
      <c r="N93" s="59"/>
      <c r="O93" s="60">
        <v>584</v>
      </c>
    </row>
    <row r="94" spans="1:15" x14ac:dyDescent="0.25">
      <c r="A94" s="54">
        <v>1103956205</v>
      </c>
      <c r="B94" s="3" t="s">
        <v>113</v>
      </c>
      <c r="C94" s="55">
        <v>85</v>
      </c>
      <c r="D94" s="54">
        <v>1</v>
      </c>
      <c r="E94" s="14" t="s">
        <v>14</v>
      </c>
      <c r="F94" s="10"/>
      <c r="G94" s="12"/>
      <c r="H94" s="12"/>
      <c r="I94" s="62"/>
      <c r="J94" s="57" t="s">
        <v>162</v>
      </c>
      <c r="K94" s="58" t="s">
        <v>158</v>
      </c>
      <c r="L94" s="59"/>
      <c r="M94" s="59"/>
      <c r="N94" s="59"/>
      <c r="O94" s="60">
        <v>531</v>
      </c>
    </row>
    <row r="95" spans="1:15" x14ac:dyDescent="0.25">
      <c r="A95" s="54">
        <v>1103691620</v>
      </c>
      <c r="B95" s="3" t="s">
        <v>114</v>
      </c>
      <c r="C95" s="55">
        <v>86</v>
      </c>
      <c r="D95" s="54">
        <v>3</v>
      </c>
      <c r="E95" s="14" t="s">
        <v>14</v>
      </c>
      <c r="F95" s="10"/>
      <c r="G95" s="12"/>
      <c r="H95" s="12"/>
      <c r="I95" s="62"/>
      <c r="J95" s="57" t="s">
        <v>162</v>
      </c>
      <c r="K95" s="58" t="s">
        <v>151</v>
      </c>
      <c r="L95" s="59"/>
      <c r="M95" s="59"/>
      <c r="N95" s="59"/>
      <c r="O95" s="60">
        <v>531</v>
      </c>
    </row>
    <row r="96" spans="1:15" x14ac:dyDescent="0.25">
      <c r="A96" s="54">
        <v>1102569975</v>
      </c>
      <c r="B96" s="3" t="s">
        <v>115</v>
      </c>
      <c r="C96" s="55">
        <v>87</v>
      </c>
      <c r="D96" s="54">
        <v>1</v>
      </c>
      <c r="E96" s="14" t="s">
        <v>14</v>
      </c>
      <c r="F96" s="10"/>
      <c r="G96" s="12"/>
      <c r="H96" s="12"/>
      <c r="I96" s="62"/>
      <c r="J96" s="57" t="s">
        <v>162</v>
      </c>
      <c r="K96" s="58" t="s">
        <v>151</v>
      </c>
      <c r="L96" s="59"/>
      <c r="M96" s="59"/>
      <c r="N96" s="59"/>
      <c r="O96" s="60">
        <v>531</v>
      </c>
    </row>
    <row r="97" spans="1:15" x14ac:dyDescent="0.25">
      <c r="A97" s="54">
        <v>1309675641</v>
      </c>
      <c r="B97" s="3" t="s">
        <v>116</v>
      </c>
      <c r="C97" s="55">
        <v>88</v>
      </c>
      <c r="D97" s="54">
        <v>1</v>
      </c>
      <c r="E97" s="14" t="s">
        <v>14</v>
      </c>
      <c r="F97" s="10">
        <v>531</v>
      </c>
      <c r="G97" s="12">
        <v>561</v>
      </c>
      <c r="H97" s="12">
        <v>561</v>
      </c>
      <c r="I97" s="62"/>
      <c r="J97" s="57" t="s">
        <v>150</v>
      </c>
      <c r="K97" s="58" t="s">
        <v>151</v>
      </c>
      <c r="L97" s="59"/>
      <c r="M97" s="59"/>
      <c r="N97" s="59"/>
      <c r="O97" s="51">
        <v>531</v>
      </c>
    </row>
    <row r="98" spans="1:15" x14ac:dyDescent="0.25">
      <c r="A98" s="45">
        <v>2100326210</v>
      </c>
      <c r="B98" s="3" t="s">
        <v>117</v>
      </c>
      <c r="C98" s="46">
        <v>89</v>
      </c>
      <c r="D98" s="45">
        <v>1</v>
      </c>
      <c r="E98" s="2" t="s">
        <v>14</v>
      </c>
      <c r="F98" s="4">
        <v>531</v>
      </c>
      <c r="G98" s="6">
        <v>561</v>
      </c>
      <c r="H98" s="6">
        <v>561</v>
      </c>
      <c r="I98" s="53"/>
      <c r="J98" s="48" t="s">
        <v>150</v>
      </c>
      <c r="K98" s="49" t="s">
        <v>151</v>
      </c>
      <c r="L98" s="50"/>
      <c r="M98" s="50"/>
      <c r="N98" s="50"/>
      <c r="O98" s="51">
        <v>531</v>
      </c>
    </row>
    <row r="99" spans="1:15" x14ac:dyDescent="0.25">
      <c r="A99" s="45">
        <v>1102270467</v>
      </c>
      <c r="B99" s="3" t="s">
        <v>118</v>
      </c>
      <c r="C99" s="46">
        <v>90</v>
      </c>
      <c r="D99" s="45">
        <v>1</v>
      </c>
      <c r="E99" s="2" t="s">
        <v>14</v>
      </c>
      <c r="F99" s="4">
        <v>531</v>
      </c>
      <c r="G99" s="6">
        <v>561</v>
      </c>
      <c r="H99" s="6">
        <v>561</v>
      </c>
      <c r="I99" s="53"/>
      <c r="J99" s="48" t="s">
        <v>150</v>
      </c>
      <c r="K99" s="49" t="s">
        <v>151</v>
      </c>
      <c r="L99" s="50"/>
      <c r="M99" s="50"/>
      <c r="N99" s="50"/>
      <c r="O99" s="51">
        <v>531</v>
      </c>
    </row>
    <row r="100" spans="1:15" x14ac:dyDescent="0.25">
      <c r="A100" s="63">
        <v>1101631982</v>
      </c>
      <c r="B100" s="3" t="s">
        <v>119</v>
      </c>
      <c r="C100" s="46">
        <v>91</v>
      </c>
      <c r="D100" s="45">
        <v>1</v>
      </c>
      <c r="E100" s="17" t="s">
        <v>14</v>
      </c>
      <c r="F100" s="18">
        <v>531</v>
      </c>
      <c r="G100" s="6">
        <v>561</v>
      </c>
      <c r="H100" s="6">
        <v>561</v>
      </c>
      <c r="I100" s="53"/>
      <c r="J100" s="48" t="s">
        <v>150</v>
      </c>
      <c r="K100" s="49" t="s">
        <v>151</v>
      </c>
      <c r="L100" s="50"/>
      <c r="M100" s="50"/>
      <c r="N100" s="50"/>
      <c r="O100" s="51">
        <v>531</v>
      </c>
    </row>
    <row r="101" spans="1:15" x14ac:dyDescent="0.25">
      <c r="A101" s="45">
        <v>1102402813</v>
      </c>
      <c r="B101" s="3" t="s">
        <v>120</v>
      </c>
      <c r="C101" s="46">
        <v>92</v>
      </c>
      <c r="D101" s="45">
        <v>1</v>
      </c>
      <c r="E101" s="2" t="s">
        <v>14</v>
      </c>
      <c r="F101" s="4">
        <v>531</v>
      </c>
      <c r="G101" s="6">
        <v>561</v>
      </c>
      <c r="H101" s="6">
        <v>561</v>
      </c>
      <c r="I101" s="53"/>
      <c r="J101" s="48" t="s">
        <v>150</v>
      </c>
      <c r="K101" s="49" t="s">
        <v>151</v>
      </c>
      <c r="L101" s="50"/>
      <c r="M101" s="50"/>
      <c r="N101" s="50"/>
      <c r="O101" s="51">
        <v>531</v>
      </c>
    </row>
    <row r="102" spans="1:15" x14ac:dyDescent="0.25">
      <c r="A102" s="45">
        <v>1101634085</v>
      </c>
      <c r="B102" s="3" t="s">
        <v>121</v>
      </c>
      <c r="C102" s="46">
        <v>93</v>
      </c>
      <c r="D102" s="45">
        <v>1</v>
      </c>
      <c r="E102" s="2" t="s">
        <v>14</v>
      </c>
      <c r="F102" s="4">
        <v>531</v>
      </c>
      <c r="G102" s="6">
        <v>561</v>
      </c>
      <c r="H102" s="6">
        <v>561</v>
      </c>
      <c r="I102" s="53"/>
      <c r="J102" s="48" t="s">
        <v>150</v>
      </c>
      <c r="K102" s="49" t="s">
        <v>151</v>
      </c>
      <c r="L102" s="50"/>
      <c r="M102" s="50"/>
      <c r="N102" s="50"/>
      <c r="O102" s="51">
        <v>531</v>
      </c>
    </row>
    <row r="103" spans="1:15" x14ac:dyDescent="0.25">
      <c r="A103" s="45">
        <v>1711142420</v>
      </c>
      <c r="B103" s="3" t="s">
        <v>122</v>
      </c>
      <c r="C103" s="46">
        <v>94</v>
      </c>
      <c r="D103" s="45">
        <v>1</v>
      </c>
      <c r="E103" s="2" t="s">
        <v>14</v>
      </c>
      <c r="F103" s="8">
        <v>531</v>
      </c>
      <c r="G103" s="6">
        <v>561</v>
      </c>
      <c r="H103" s="6">
        <v>561</v>
      </c>
      <c r="I103" s="53"/>
      <c r="J103" s="48"/>
      <c r="K103" s="49" t="s">
        <v>151</v>
      </c>
      <c r="L103" s="50"/>
      <c r="M103" s="50"/>
      <c r="N103" s="50"/>
      <c r="O103" s="51">
        <v>531</v>
      </c>
    </row>
    <row r="104" spans="1:15" x14ac:dyDescent="0.25">
      <c r="A104" s="45">
        <v>1102109343</v>
      </c>
      <c r="B104" s="3" t="s">
        <v>123</v>
      </c>
      <c r="C104" s="46">
        <v>95</v>
      </c>
      <c r="D104" s="45">
        <v>1</v>
      </c>
      <c r="E104" s="2" t="s">
        <v>14</v>
      </c>
      <c r="F104" s="4">
        <v>531</v>
      </c>
      <c r="G104" s="6">
        <v>561</v>
      </c>
      <c r="H104" s="6">
        <v>561</v>
      </c>
      <c r="I104" s="53"/>
      <c r="J104" s="48" t="s">
        <v>150</v>
      </c>
      <c r="K104" s="49" t="s">
        <v>151</v>
      </c>
      <c r="L104" s="50"/>
      <c r="M104" s="50"/>
      <c r="N104" s="50"/>
      <c r="O104" s="51">
        <v>531</v>
      </c>
    </row>
    <row r="105" spans="1:15" x14ac:dyDescent="0.25">
      <c r="A105" s="45">
        <v>1103079057</v>
      </c>
      <c r="B105" s="3" t="s">
        <v>124</v>
      </c>
      <c r="C105" s="46">
        <v>96</v>
      </c>
      <c r="D105" s="45">
        <v>1</v>
      </c>
      <c r="E105" s="2" t="s">
        <v>14</v>
      </c>
      <c r="F105" s="4">
        <v>531</v>
      </c>
      <c r="G105" s="6">
        <v>561</v>
      </c>
      <c r="H105" s="6">
        <v>561</v>
      </c>
      <c r="I105" s="53"/>
      <c r="J105" s="48" t="s">
        <v>150</v>
      </c>
      <c r="K105" s="49" t="s">
        <v>151</v>
      </c>
      <c r="L105" s="50"/>
      <c r="M105" s="50"/>
      <c r="N105" s="50"/>
      <c r="O105" s="51">
        <v>531</v>
      </c>
    </row>
    <row r="106" spans="1:15" x14ac:dyDescent="0.25">
      <c r="A106" s="45">
        <v>1103001432</v>
      </c>
      <c r="B106" s="3" t="s">
        <v>125</v>
      </c>
      <c r="C106" s="46">
        <v>97</v>
      </c>
      <c r="D106" s="45">
        <v>1</v>
      </c>
      <c r="E106" s="2" t="s">
        <v>14</v>
      </c>
      <c r="F106" s="4">
        <v>531</v>
      </c>
      <c r="G106" s="6">
        <v>561</v>
      </c>
      <c r="H106" s="6">
        <v>561</v>
      </c>
      <c r="I106" s="53"/>
      <c r="J106" s="48" t="s">
        <v>150</v>
      </c>
      <c r="K106" s="49" t="s">
        <v>151</v>
      </c>
      <c r="L106" s="50"/>
      <c r="M106" s="50"/>
      <c r="N106" s="50"/>
      <c r="O106" s="51">
        <v>531</v>
      </c>
    </row>
    <row r="107" spans="1:15" x14ac:dyDescent="0.25">
      <c r="A107" s="45">
        <v>1102895354</v>
      </c>
      <c r="B107" s="3" t="s">
        <v>126</v>
      </c>
      <c r="C107" s="46">
        <v>98</v>
      </c>
      <c r="D107" s="45">
        <v>3</v>
      </c>
      <c r="E107" s="2" t="s">
        <v>16</v>
      </c>
      <c r="F107" s="4">
        <v>584</v>
      </c>
      <c r="G107" s="6">
        <v>596</v>
      </c>
      <c r="H107" s="6">
        <v>596</v>
      </c>
      <c r="I107" s="53"/>
      <c r="J107" s="48" t="s">
        <v>150</v>
      </c>
      <c r="K107" s="49" t="s">
        <v>151</v>
      </c>
      <c r="L107" s="50"/>
      <c r="M107" s="50"/>
      <c r="N107" s="50"/>
      <c r="O107" s="51">
        <v>584</v>
      </c>
    </row>
    <row r="108" spans="1:15" x14ac:dyDescent="0.25">
      <c r="A108" s="45">
        <v>1101630026</v>
      </c>
      <c r="B108" s="3" t="s">
        <v>127</v>
      </c>
      <c r="C108" s="46">
        <v>99</v>
      </c>
      <c r="D108" s="45">
        <v>1</v>
      </c>
      <c r="E108" s="2" t="s">
        <v>14</v>
      </c>
      <c r="F108" s="4">
        <v>531</v>
      </c>
      <c r="G108" s="6">
        <v>561</v>
      </c>
      <c r="H108" s="6">
        <v>561</v>
      </c>
      <c r="I108" s="53"/>
      <c r="J108" s="48" t="s">
        <v>150</v>
      </c>
      <c r="K108" s="49" t="s">
        <v>158</v>
      </c>
      <c r="L108" s="50"/>
      <c r="M108" s="50"/>
      <c r="N108" s="50"/>
      <c r="O108" s="51">
        <v>531</v>
      </c>
    </row>
    <row r="109" spans="1:15" x14ac:dyDescent="0.25">
      <c r="A109" s="45">
        <v>1103922942</v>
      </c>
      <c r="B109" s="3" t="s">
        <v>128</v>
      </c>
      <c r="C109" s="46">
        <v>100</v>
      </c>
      <c r="D109" s="45">
        <v>1</v>
      </c>
      <c r="E109" s="2" t="s">
        <v>14</v>
      </c>
      <c r="F109" s="4"/>
      <c r="G109" s="6">
        <v>375</v>
      </c>
      <c r="H109" s="6">
        <v>386</v>
      </c>
      <c r="I109" s="53"/>
      <c r="J109" s="48" t="s">
        <v>150</v>
      </c>
      <c r="K109" s="49" t="s">
        <v>151</v>
      </c>
      <c r="L109" s="50"/>
      <c r="M109" s="50"/>
      <c r="N109" s="50"/>
      <c r="O109" s="51">
        <v>531</v>
      </c>
    </row>
    <row r="110" spans="1:15" x14ac:dyDescent="0.25">
      <c r="A110" s="64"/>
      <c r="B110" s="65"/>
      <c r="C110" s="65"/>
      <c r="D110" s="64"/>
      <c r="E110" s="66"/>
      <c r="F110" s="67"/>
      <c r="G110" s="68"/>
      <c r="H110" s="68"/>
      <c r="I110" s="69"/>
      <c r="J110" s="70"/>
      <c r="K110" s="70"/>
      <c r="L110" s="71"/>
      <c r="M110" s="71"/>
      <c r="N110" s="71"/>
      <c r="O110" s="71"/>
    </row>
    <row r="111" spans="1:15" x14ac:dyDescent="0.25">
      <c r="A111" s="64"/>
      <c r="B111" s="65"/>
      <c r="C111" s="65"/>
      <c r="D111" s="64"/>
      <c r="E111" s="66"/>
      <c r="F111" s="67"/>
      <c r="G111" s="68"/>
      <c r="H111" s="68"/>
      <c r="I111" s="69"/>
      <c r="J111" s="70"/>
      <c r="K111" s="70"/>
      <c r="L111" s="71"/>
      <c r="M111" s="71"/>
      <c r="N111" s="71"/>
      <c r="O111" s="71"/>
    </row>
    <row r="112" spans="1:15" x14ac:dyDescent="0.25">
      <c r="A112" s="64"/>
      <c r="B112" s="65"/>
      <c r="C112" s="65"/>
      <c r="D112" s="64"/>
      <c r="E112" s="66"/>
      <c r="F112" s="67"/>
      <c r="G112" s="68"/>
      <c r="H112" s="68"/>
      <c r="I112" s="69"/>
      <c r="J112" s="70"/>
      <c r="K112" s="70"/>
      <c r="L112" s="71"/>
      <c r="M112" s="71"/>
      <c r="N112" s="71"/>
      <c r="O112" s="71"/>
    </row>
    <row r="113" spans="1:15" x14ac:dyDescent="0.25">
      <c r="A113" s="64"/>
      <c r="B113" s="65"/>
      <c r="C113" s="65"/>
      <c r="D113" s="64"/>
      <c r="E113" s="66"/>
      <c r="F113" s="67"/>
      <c r="G113" s="68"/>
      <c r="H113" s="68"/>
      <c r="I113" s="69"/>
      <c r="J113" s="70"/>
      <c r="K113" s="70"/>
      <c r="L113" s="71"/>
      <c r="M113" s="71"/>
      <c r="N113" s="71"/>
      <c r="O113" s="71"/>
    </row>
    <row r="114" spans="1:15" x14ac:dyDescent="0.25">
      <c r="A114" s="72"/>
      <c r="B114" s="72"/>
      <c r="C114" s="72"/>
      <c r="D114" s="73"/>
      <c r="E114" s="74"/>
      <c r="F114" s="75"/>
      <c r="G114" s="75"/>
      <c r="H114" s="75"/>
      <c r="I114" s="28"/>
      <c r="J114" s="29"/>
      <c r="K114" s="29"/>
      <c r="L114" s="30"/>
      <c r="M114" s="30"/>
      <c r="N114" s="30"/>
      <c r="O114" s="30"/>
    </row>
    <row r="115" spans="1:15" x14ac:dyDescent="0.25">
      <c r="A115" s="28"/>
      <c r="B115" s="72"/>
      <c r="C115" s="76"/>
      <c r="D115" s="73"/>
      <c r="E115" s="77"/>
      <c r="F115" s="72"/>
      <c r="G115" s="76"/>
      <c r="H115" s="72"/>
      <c r="I115" s="28"/>
      <c r="J115" s="29"/>
      <c r="K115" s="29"/>
      <c r="L115" s="30"/>
      <c r="M115" s="30"/>
      <c r="N115" s="30"/>
      <c r="O115" s="30"/>
    </row>
    <row r="116" spans="1:15" x14ac:dyDescent="0.25">
      <c r="A116" s="28"/>
      <c r="B116" s="188" t="s">
        <v>165</v>
      </c>
      <c r="C116" s="188"/>
      <c r="D116" s="188"/>
      <c r="E116" s="74"/>
      <c r="F116" s="193" t="s">
        <v>163</v>
      </c>
      <c r="G116" s="193"/>
      <c r="H116" s="193"/>
      <c r="I116" s="28"/>
      <c r="J116" s="29"/>
      <c r="K116" s="29"/>
      <c r="L116" s="30"/>
      <c r="M116" s="30"/>
      <c r="N116" s="30"/>
      <c r="O116" s="30"/>
    </row>
    <row r="117" spans="1:15" x14ac:dyDescent="0.25">
      <c r="A117" s="28"/>
      <c r="B117" s="81" t="s">
        <v>164</v>
      </c>
      <c r="C117" s="78"/>
      <c r="D117" s="79"/>
      <c r="E117" s="80"/>
      <c r="F117" s="81" t="s">
        <v>164</v>
      </c>
      <c r="G117" s="78"/>
      <c r="H117" s="78"/>
      <c r="I117" s="28"/>
      <c r="J117" s="29"/>
      <c r="K117" s="29"/>
      <c r="L117" s="30"/>
      <c r="M117" s="30"/>
      <c r="N117" s="30"/>
      <c r="O117" s="30"/>
    </row>
    <row r="118" spans="1:15" x14ac:dyDescent="0.25">
      <c r="A118" s="28"/>
      <c r="B118" s="81"/>
      <c r="C118" s="78"/>
      <c r="D118" s="79"/>
      <c r="E118" s="80"/>
      <c r="F118" s="82"/>
      <c r="G118" s="82"/>
      <c r="H118" s="82"/>
      <c r="I118" s="28"/>
      <c r="J118" s="29"/>
      <c r="K118" s="29"/>
      <c r="L118" s="30"/>
      <c r="M118" s="30"/>
      <c r="N118" s="30"/>
      <c r="O118" s="30"/>
    </row>
    <row r="119" spans="1:15" x14ac:dyDescent="0.25">
      <c r="A119" s="28"/>
      <c r="B119" s="81"/>
      <c r="C119" s="78"/>
      <c r="D119" s="79"/>
      <c r="E119" s="80"/>
      <c r="F119" s="82"/>
      <c r="G119" s="82"/>
      <c r="H119" s="82"/>
      <c r="I119" s="28"/>
      <c r="J119" s="29"/>
      <c r="K119" s="29"/>
      <c r="L119" s="30"/>
      <c r="M119" s="30"/>
      <c r="N119" s="30"/>
      <c r="O119" s="30"/>
    </row>
    <row r="120" spans="1:15" x14ac:dyDescent="0.25">
      <c r="A120" s="28"/>
      <c r="B120" s="81"/>
      <c r="C120" s="78"/>
      <c r="D120" s="79"/>
      <c r="E120" s="80"/>
      <c r="F120" s="82"/>
      <c r="G120" s="82"/>
      <c r="H120" s="82"/>
      <c r="I120" s="28"/>
      <c r="J120" s="29"/>
      <c r="K120" s="29"/>
      <c r="L120" s="30"/>
      <c r="M120" s="30"/>
      <c r="N120" s="30"/>
      <c r="O120" s="30"/>
    </row>
    <row r="121" spans="1:15" x14ac:dyDescent="0.25">
      <c r="A121" s="28"/>
      <c r="B121" s="81"/>
      <c r="C121" s="78"/>
      <c r="D121" s="79"/>
      <c r="E121" s="80"/>
      <c r="F121" s="82"/>
      <c r="G121" s="82"/>
      <c r="H121" s="82"/>
      <c r="I121" s="28"/>
      <c r="J121" s="29"/>
      <c r="K121" s="29"/>
      <c r="L121" s="30"/>
      <c r="M121" s="30"/>
      <c r="N121" s="30"/>
      <c r="O121" s="30"/>
    </row>
    <row r="122" spans="1:15" x14ac:dyDescent="0.25">
      <c r="A122" s="28"/>
      <c r="B122" s="72"/>
      <c r="C122" s="76"/>
      <c r="D122" s="73"/>
      <c r="E122" s="77"/>
      <c r="F122" s="72"/>
      <c r="G122" s="76"/>
      <c r="H122" s="72"/>
      <c r="I122" s="28"/>
      <c r="J122" s="29"/>
      <c r="K122" s="29"/>
      <c r="L122" s="30"/>
      <c r="M122" s="30"/>
      <c r="N122" s="30"/>
      <c r="O122" s="30"/>
    </row>
    <row r="123" spans="1:15" x14ac:dyDescent="0.25">
      <c r="A123" s="28"/>
      <c r="B123" s="188" t="s">
        <v>166</v>
      </c>
      <c r="C123" s="188"/>
      <c r="D123" s="188"/>
      <c r="E123" s="74"/>
      <c r="F123" s="82"/>
      <c r="G123" s="82"/>
      <c r="H123" s="82"/>
      <c r="I123" s="82"/>
      <c r="J123" s="29"/>
      <c r="K123" s="29"/>
      <c r="L123" s="30"/>
      <c r="M123" s="30"/>
      <c r="N123" s="30"/>
      <c r="O123" s="30"/>
    </row>
    <row r="124" spans="1:15" x14ac:dyDescent="0.25">
      <c r="A124" s="28"/>
      <c r="B124" s="81" t="s">
        <v>167</v>
      </c>
      <c r="C124" s="78"/>
      <c r="D124" s="79"/>
      <c r="E124" s="80"/>
      <c r="F124" s="82"/>
      <c r="G124" s="82"/>
      <c r="H124" s="82"/>
      <c r="I124" s="82"/>
      <c r="J124" s="29"/>
      <c r="K124" s="29"/>
      <c r="L124" s="30"/>
      <c r="M124" s="30"/>
      <c r="N124" s="30"/>
      <c r="O124" s="30"/>
    </row>
    <row r="125" spans="1:15" x14ac:dyDescent="0.25">
      <c r="A125" s="28"/>
      <c r="B125" s="81"/>
      <c r="C125" s="78"/>
      <c r="D125" s="79"/>
      <c r="E125" s="80"/>
      <c r="F125" s="82"/>
      <c r="G125" s="82"/>
      <c r="H125" s="82"/>
      <c r="I125" s="82"/>
      <c r="J125" s="29"/>
      <c r="K125" s="29"/>
      <c r="L125" s="30"/>
      <c r="M125" s="30"/>
      <c r="N125" s="30"/>
      <c r="O125" s="30"/>
    </row>
    <row r="126" spans="1:15" x14ac:dyDescent="0.25">
      <c r="A126" s="28"/>
      <c r="B126" s="81"/>
      <c r="C126" s="78"/>
      <c r="D126" s="79"/>
      <c r="E126" s="80"/>
      <c r="F126" s="82"/>
      <c r="G126" s="82"/>
      <c r="H126" s="82"/>
      <c r="I126" s="82"/>
      <c r="J126" s="29"/>
      <c r="K126" s="29"/>
      <c r="L126" s="30"/>
      <c r="M126" s="30"/>
      <c r="N126" s="30"/>
      <c r="O126" s="30"/>
    </row>
    <row r="127" spans="1:15" x14ac:dyDescent="0.25">
      <c r="A127" s="28"/>
      <c r="B127" s="81"/>
      <c r="C127" s="78"/>
      <c r="D127" s="79"/>
      <c r="E127" s="80"/>
      <c r="F127" s="82"/>
      <c r="G127" s="82"/>
      <c r="H127" s="82"/>
      <c r="I127" s="28"/>
      <c r="J127" s="29"/>
      <c r="K127" s="29"/>
      <c r="L127" s="30"/>
      <c r="M127" s="30"/>
      <c r="N127" s="30"/>
      <c r="O127" s="30"/>
    </row>
    <row r="128" spans="1:15" x14ac:dyDescent="0.25">
      <c r="A128" s="28"/>
      <c r="B128" s="81"/>
      <c r="C128" s="78"/>
      <c r="D128" s="79"/>
      <c r="E128" s="80"/>
      <c r="F128" s="82"/>
      <c r="G128" s="82"/>
      <c r="H128" s="82"/>
      <c r="I128" s="28"/>
      <c r="J128" s="29"/>
      <c r="K128" s="29"/>
      <c r="L128" s="30"/>
      <c r="M128" s="30"/>
      <c r="N128" s="30"/>
      <c r="O128" s="30"/>
    </row>
    <row r="129" spans="1:15" x14ac:dyDescent="0.25">
      <c r="A129" s="28"/>
      <c r="B129" s="72"/>
      <c r="C129" s="72"/>
      <c r="D129" s="73"/>
      <c r="E129" s="77"/>
      <c r="F129" s="83"/>
      <c r="G129" s="83"/>
      <c r="H129" s="83"/>
      <c r="I129" s="28"/>
      <c r="J129" s="29"/>
      <c r="K129" s="29"/>
      <c r="L129" s="30"/>
      <c r="M129" s="30"/>
      <c r="N129" s="30"/>
      <c r="O129" s="30"/>
    </row>
    <row r="130" spans="1:15" x14ac:dyDescent="0.25">
      <c r="A130" s="28"/>
      <c r="B130" s="81"/>
      <c r="C130" s="72"/>
      <c r="D130" s="73"/>
      <c r="E130" s="77"/>
      <c r="F130" s="83"/>
      <c r="G130" s="83"/>
      <c r="H130" s="83"/>
      <c r="I130" s="28"/>
      <c r="J130" s="29"/>
      <c r="K130" s="29"/>
      <c r="L130" s="30"/>
      <c r="M130" s="30"/>
      <c r="N130" s="30"/>
      <c r="O130" s="30"/>
    </row>
    <row r="131" spans="1:15" x14ac:dyDescent="0.25">
      <c r="A131" s="76"/>
      <c r="B131" s="81"/>
      <c r="C131" s="76"/>
      <c r="D131" s="84"/>
      <c r="E131" s="77"/>
      <c r="F131" s="83"/>
      <c r="G131" s="83"/>
      <c r="H131" s="83"/>
      <c r="I131" s="28"/>
      <c r="J131" s="29"/>
      <c r="K131" s="29"/>
      <c r="L131" s="30"/>
      <c r="M131" s="30"/>
      <c r="N131" s="30"/>
      <c r="O131" s="30"/>
    </row>
    <row r="132" spans="1:15" x14ac:dyDescent="0.25">
      <c r="A132" s="76"/>
      <c r="B132" s="76"/>
      <c r="C132" s="76"/>
      <c r="D132" s="84"/>
      <c r="E132" s="77"/>
      <c r="F132" s="83"/>
      <c r="G132" s="83"/>
      <c r="H132" s="83"/>
      <c r="I132" s="28"/>
      <c r="J132" s="29"/>
      <c r="K132" s="29"/>
      <c r="L132" s="30"/>
      <c r="M132" s="30"/>
      <c r="N132" s="30"/>
      <c r="O132" s="30"/>
    </row>
    <row r="133" spans="1:15" x14ac:dyDescent="0.25">
      <c r="A133" s="76"/>
      <c r="B133" s="76"/>
      <c r="C133" s="76"/>
      <c r="D133" s="84"/>
      <c r="E133" s="77"/>
      <c r="F133" s="83"/>
      <c r="G133" s="83"/>
      <c r="H133" s="83"/>
      <c r="I133" s="28"/>
      <c r="J133" s="29"/>
      <c r="K133" s="29"/>
      <c r="L133" s="30"/>
      <c r="M133" s="30"/>
      <c r="N133" s="30"/>
      <c r="O133" s="30"/>
    </row>
  </sheetData>
  <mergeCells count="6">
    <mergeCell ref="B123:D123"/>
    <mergeCell ref="A1:G1"/>
    <mergeCell ref="A2:G2"/>
    <mergeCell ref="A3:G3"/>
    <mergeCell ref="B116:D116"/>
    <mergeCell ref="F116:H116"/>
  </mergeCells>
  <conditionalFormatting sqref="B102:B109 B10:D11 B99:B100 B94 A95:B97 A62:B90 B15:B58 A10:A61 A98:A109 B12:B13 D12:D61 D98:F109 E10:E61 A91:A94 B92 D62:E97 F10:F97 C12:C109 A110:F113">
    <cfRule type="cellIs" dxfId="201" priority="7" operator="equal">
      <formula>"VACANTE"</formula>
    </cfRule>
  </conditionalFormatting>
  <conditionalFormatting sqref="B101 D101">
    <cfRule type="cellIs" dxfId="200" priority="6" operator="equal">
      <formula>"VACANTE"</formula>
    </cfRule>
  </conditionalFormatting>
  <conditionalFormatting sqref="B10:D11 B15:B58 A10:A61 B12:B13 D12:D61 D97:F109 E10:E61 A62:B109 D62:E96 F10:F96 C12:C109 A110:F113">
    <cfRule type="cellIs" dxfId="199" priority="4" operator="equal">
      <formula>"VACANTE"</formula>
    </cfRule>
    <cfRule type="containsText" dxfId="198" priority="5" operator="containsText" text="VACANTE">
      <formula>NOT(ISERROR(SEARCH("VACANTE",A10)))</formula>
    </cfRule>
  </conditionalFormatting>
  <conditionalFormatting sqref="B59:B60 D59:D60">
    <cfRule type="containsText" dxfId="197" priority="3" operator="containsText" text="VACANTE">
      <formula>NOT(ISERROR(SEARCH("VACANTE",B59)))</formula>
    </cfRule>
  </conditionalFormatting>
  <conditionalFormatting sqref="B93 D93">
    <cfRule type="cellIs" dxfId="196" priority="2" operator="equal">
      <formula>"VACANTE"</formula>
    </cfRule>
  </conditionalFormatting>
  <conditionalFormatting sqref="B61 D61">
    <cfRule type="containsText" dxfId="195" priority="1" operator="containsText" text="VACANTE">
      <formula>NOT(ISERROR(SEARCH("VACANTE",B61)))</formula>
    </cfRule>
  </conditionalFormatting>
  <pageMargins left="0.25" right="0.25" top="0.75" bottom="0.75" header="0.3" footer="0.3"/>
  <pageSetup paperSize="9" scale="58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8"/>
  <sheetViews>
    <sheetView workbookViewId="0">
      <selection activeCell="G107" sqref="G107"/>
    </sheetView>
  </sheetViews>
  <sheetFormatPr baseColWidth="10" defaultRowHeight="15" x14ac:dyDescent="0.25"/>
  <cols>
    <col min="1" max="1" width="15.7109375" customWidth="1"/>
    <col min="2" max="2" width="31.140625" customWidth="1"/>
    <col min="3" max="3" width="14.7109375" customWidth="1"/>
    <col min="4" max="4" width="12.7109375" customWidth="1"/>
    <col min="5" max="5" width="12.85546875" customWidth="1"/>
    <col min="6" max="6" width="12.7109375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172</v>
      </c>
      <c r="M1" s="1" t="s">
        <v>173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 t="s">
        <v>15</v>
      </c>
      <c r="C2" s="4">
        <v>531</v>
      </c>
      <c r="D2" s="5">
        <f t="shared" ref="D2:D65" si="0">C2*12</f>
        <v>6372</v>
      </c>
      <c r="E2" s="4">
        <v>531</v>
      </c>
      <c r="F2" s="5">
        <v>366</v>
      </c>
      <c r="G2" s="5">
        <v>750.61800000000005</v>
      </c>
      <c r="H2" s="6">
        <v>561</v>
      </c>
      <c r="I2" s="5">
        <v>1056</v>
      </c>
      <c r="J2" s="5">
        <v>132</v>
      </c>
      <c r="K2" s="5">
        <v>280.5</v>
      </c>
      <c r="L2" s="5">
        <v>87.84</v>
      </c>
      <c r="M2" s="5">
        <v>111.60000000000001</v>
      </c>
      <c r="N2" s="5">
        <v>160</v>
      </c>
      <c r="O2" s="5">
        <v>4</v>
      </c>
      <c r="P2" s="7">
        <f t="shared" ref="P2:P65" si="1">SUM(D2:K2)</f>
        <v>10049.118</v>
      </c>
    </row>
    <row r="3" spans="1:16" x14ac:dyDescent="0.25">
      <c r="A3" s="2" t="s">
        <v>16</v>
      </c>
      <c r="B3" s="3" t="s">
        <v>17</v>
      </c>
      <c r="C3" s="4">
        <v>584</v>
      </c>
      <c r="D3" s="5">
        <f t="shared" si="0"/>
        <v>7008</v>
      </c>
      <c r="E3" s="4">
        <v>584</v>
      </c>
      <c r="F3" s="5">
        <v>366</v>
      </c>
      <c r="G3" s="5">
        <v>797.44800000000009</v>
      </c>
      <c r="H3" s="6">
        <v>596</v>
      </c>
      <c r="I3" s="5">
        <v>1056</v>
      </c>
      <c r="J3" s="5">
        <v>132</v>
      </c>
      <c r="K3" s="5">
        <v>298</v>
      </c>
      <c r="L3" s="5">
        <v>0</v>
      </c>
      <c r="M3" s="5">
        <v>101.52000000000001</v>
      </c>
      <c r="N3" s="5">
        <v>160</v>
      </c>
      <c r="O3" s="5">
        <v>4</v>
      </c>
      <c r="P3" s="7">
        <f t="shared" si="1"/>
        <v>10837.448</v>
      </c>
    </row>
    <row r="4" spans="1:16" x14ac:dyDescent="0.25">
      <c r="A4" s="2" t="s">
        <v>14</v>
      </c>
      <c r="B4" s="3" t="s">
        <v>18</v>
      </c>
      <c r="C4" s="4">
        <v>531</v>
      </c>
      <c r="D4" s="5">
        <f t="shared" si="0"/>
        <v>6372</v>
      </c>
      <c r="E4" s="4">
        <v>531</v>
      </c>
      <c r="F4" s="5">
        <v>366</v>
      </c>
      <c r="G4" s="5">
        <v>750.61800000000005</v>
      </c>
      <c r="H4" s="6">
        <v>561</v>
      </c>
      <c r="I4" s="5">
        <v>1056</v>
      </c>
      <c r="J4" s="5">
        <v>132</v>
      </c>
      <c r="K4" s="5">
        <v>280.5</v>
      </c>
      <c r="L4" s="5">
        <v>219.60000000000002</v>
      </c>
      <c r="M4" s="5">
        <v>175.32</v>
      </c>
      <c r="N4" s="5">
        <v>160</v>
      </c>
      <c r="O4" s="5">
        <v>4</v>
      </c>
      <c r="P4" s="7">
        <f t="shared" si="1"/>
        <v>10049.118</v>
      </c>
    </row>
    <row r="5" spans="1:16" x14ac:dyDescent="0.25">
      <c r="A5" s="2" t="s">
        <v>19</v>
      </c>
      <c r="B5" s="3" t="s">
        <v>20</v>
      </c>
      <c r="C5" s="8">
        <v>531</v>
      </c>
      <c r="D5" s="5">
        <f t="shared" si="0"/>
        <v>6372</v>
      </c>
      <c r="E5" s="8">
        <v>531</v>
      </c>
      <c r="F5" s="5">
        <v>366</v>
      </c>
      <c r="G5" s="5">
        <v>750.61800000000005</v>
      </c>
      <c r="H5" s="6">
        <v>561</v>
      </c>
      <c r="I5" s="5">
        <v>1056</v>
      </c>
      <c r="J5" s="5">
        <v>132</v>
      </c>
      <c r="K5" s="5">
        <v>280.5</v>
      </c>
      <c r="L5" s="5">
        <v>87.84</v>
      </c>
      <c r="M5" s="5">
        <v>47.76</v>
      </c>
      <c r="N5" s="5">
        <v>160</v>
      </c>
      <c r="O5" s="5">
        <v>4</v>
      </c>
      <c r="P5" s="7">
        <f t="shared" si="1"/>
        <v>10049.118</v>
      </c>
    </row>
    <row r="6" spans="1:16" x14ac:dyDescent="0.25">
      <c r="A6" s="2" t="s">
        <v>21</v>
      </c>
      <c r="B6" s="9" t="s">
        <v>22</v>
      </c>
      <c r="C6" s="4">
        <v>708</v>
      </c>
      <c r="D6" s="5">
        <f t="shared" si="0"/>
        <v>8496</v>
      </c>
      <c r="E6" s="4">
        <v>708</v>
      </c>
      <c r="F6" s="5">
        <v>366</v>
      </c>
      <c r="G6" s="5">
        <v>987.44400000000007</v>
      </c>
      <c r="H6" s="6">
        <v>738</v>
      </c>
      <c r="I6" s="5">
        <v>1056</v>
      </c>
      <c r="J6" s="5">
        <v>132</v>
      </c>
      <c r="K6" s="5">
        <v>369</v>
      </c>
      <c r="L6" s="5">
        <v>43.92</v>
      </c>
      <c r="M6" s="5">
        <v>84.960000000000008</v>
      </c>
      <c r="N6" s="5">
        <v>160</v>
      </c>
      <c r="O6" s="5">
        <v>4</v>
      </c>
      <c r="P6" s="7">
        <f t="shared" si="1"/>
        <v>12852.444</v>
      </c>
    </row>
    <row r="7" spans="1:16" x14ac:dyDescent="0.25">
      <c r="A7" s="2" t="s">
        <v>14</v>
      </c>
      <c r="B7" s="3" t="s">
        <v>23</v>
      </c>
      <c r="C7" s="4">
        <v>531</v>
      </c>
      <c r="D7" s="5">
        <f t="shared" si="0"/>
        <v>6372</v>
      </c>
      <c r="E7" s="4">
        <v>531</v>
      </c>
      <c r="F7" s="5">
        <v>366</v>
      </c>
      <c r="G7" s="5">
        <v>750.61800000000005</v>
      </c>
      <c r="H7" s="6">
        <v>561</v>
      </c>
      <c r="I7" s="5">
        <v>1056</v>
      </c>
      <c r="J7" s="5">
        <v>132</v>
      </c>
      <c r="K7" s="5">
        <v>280.5</v>
      </c>
      <c r="L7" s="5">
        <v>87.84</v>
      </c>
      <c r="M7" s="5">
        <v>95.64</v>
      </c>
      <c r="N7" s="5">
        <v>160</v>
      </c>
      <c r="O7" s="5">
        <v>4</v>
      </c>
      <c r="P7" s="7">
        <f t="shared" si="1"/>
        <v>10049.118</v>
      </c>
    </row>
    <row r="8" spans="1:16" x14ac:dyDescent="0.25">
      <c r="A8" s="2" t="s">
        <v>14</v>
      </c>
      <c r="B8" s="3" t="s">
        <v>24</v>
      </c>
      <c r="C8" s="4">
        <v>531</v>
      </c>
      <c r="D8" s="5">
        <f t="shared" si="0"/>
        <v>6372</v>
      </c>
      <c r="E8" s="4">
        <v>531</v>
      </c>
      <c r="F8" s="5">
        <v>366</v>
      </c>
      <c r="G8" s="5">
        <v>750.61800000000005</v>
      </c>
      <c r="H8" s="6">
        <v>561</v>
      </c>
      <c r="I8" s="5">
        <v>1056</v>
      </c>
      <c r="J8" s="5">
        <v>132</v>
      </c>
      <c r="K8" s="5">
        <v>280.5</v>
      </c>
      <c r="L8" s="5">
        <v>175.68</v>
      </c>
      <c r="M8" s="5">
        <v>63.72</v>
      </c>
      <c r="N8" s="5">
        <v>160</v>
      </c>
      <c r="O8" s="5">
        <v>4</v>
      </c>
      <c r="P8" s="7">
        <f t="shared" si="1"/>
        <v>10049.118</v>
      </c>
    </row>
    <row r="9" spans="1:16" x14ac:dyDescent="0.25">
      <c r="A9" s="2" t="s">
        <v>16</v>
      </c>
      <c r="B9" s="3" t="s">
        <v>25</v>
      </c>
      <c r="C9" s="4">
        <v>584</v>
      </c>
      <c r="D9" s="5">
        <f t="shared" si="0"/>
        <v>7008</v>
      </c>
      <c r="E9" s="4">
        <v>584</v>
      </c>
      <c r="F9" s="5">
        <v>366</v>
      </c>
      <c r="G9" s="5">
        <v>797.44800000000009</v>
      </c>
      <c r="H9" s="6">
        <v>596</v>
      </c>
      <c r="I9" s="5">
        <v>1056</v>
      </c>
      <c r="J9" s="5">
        <v>132</v>
      </c>
      <c r="K9" s="5">
        <v>298</v>
      </c>
      <c r="L9" s="5">
        <v>43.92</v>
      </c>
      <c r="M9" s="5">
        <v>122.64000000000001</v>
      </c>
      <c r="N9" s="5">
        <v>160</v>
      </c>
      <c r="O9" s="5">
        <v>4</v>
      </c>
      <c r="P9" s="7">
        <f t="shared" si="1"/>
        <v>10837.448</v>
      </c>
    </row>
    <row r="10" spans="1:16" x14ac:dyDescent="0.25">
      <c r="A10" s="2" t="s">
        <v>14</v>
      </c>
      <c r="B10" s="3" t="s">
        <v>26</v>
      </c>
      <c r="C10" s="4">
        <v>531</v>
      </c>
      <c r="D10" s="5">
        <f t="shared" si="0"/>
        <v>6372</v>
      </c>
      <c r="E10" s="4">
        <v>531</v>
      </c>
      <c r="F10" s="5">
        <v>366</v>
      </c>
      <c r="G10" s="5">
        <v>750.61800000000005</v>
      </c>
      <c r="H10" s="6">
        <v>561</v>
      </c>
      <c r="I10" s="5">
        <v>1056</v>
      </c>
      <c r="J10" s="5">
        <v>132</v>
      </c>
      <c r="K10" s="5">
        <v>280.5</v>
      </c>
      <c r="L10" s="5">
        <v>0</v>
      </c>
      <c r="M10" s="5">
        <v>175.32</v>
      </c>
      <c r="N10" s="5">
        <v>160</v>
      </c>
      <c r="O10" s="5">
        <v>4</v>
      </c>
      <c r="P10" s="7">
        <f t="shared" si="1"/>
        <v>10049.118</v>
      </c>
    </row>
    <row r="11" spans="1:16" x14ac:dyDescent="0.25">
      <c r="A11" s="2" t="s">
        <v>21</v>
      </c>
      <c r="B11" s="9" t="s">
        <v>27</v>
      </c>
      <c r="C11" s="4">
        <v>708</v>
      </c>
      <c r="D11" s="5">
        <f t="shared" si="0"/>
        <v>8496</v>
      </c>
      <c r="E11" s="4">
        <v>708</v>
      </c>
      <c r="F11" s="5">
        <v>366</v>
      </c>
      <c r="G11" s="5">
        <v>987.44400000000007</v>
      </c>
      <c r="H11" s="6">
        <v>738</v>
      </c>
      <c r="I11" s="5">
        <v>1056</v>
      </c>
      <c r="J11" s="5">
        <v>132</v>
      </c>
      <c r="K11" s="5">
        <v>369</v>
      </c>
      <c r="L11" s="5">
        <v>43.92</v>
      </c>
      <c r="M11" s="5">
        <v>212.39999999999998</v>
      </c>
      <c r="N11" s="5">
        <v>160</v>
      </c>
      <c r="O11" s="5">
        <v>4</v>
      </c>
      <c r="P11" s="7">
        <f t="shared" si="1"/>
        <v>12852.444</v>
      </c>
    </row>
    <row r="12" spans="1:16" x14ac:dyDescent="0.25">
      <c r="A12" s="2" t="s">
        <v>28</v>
      </c>
      <c r="B12" s="3" t="s">
        <v>29</v>
      </c>
      <c r="C12" s="10"/>
      <c r="D12" s="11"/>
      <c r="E12" s="10"/>
      <c r="F12" s="11"/>
      <c r="G12" s="11"/>
      <c r="H12" s="12"/>
      <c r="I12" s="11"/>
      <c r="J12" s="11"/>
      <c r="K12" s="11"/>
      <c r="L12" s="11">
        <v>0</v>
      </c>
      <c r="M12" s="11">
        <v>0</v>
      </c>
      <c r="N12" s="11"/>
      <c r="O12" s="11"/>
      <c r="P12" s="13"/>
    </row>
    <row r="13" spans="1:16" ht="25.5" x14ac:dyDescent="0.25">
      <c r="A13" s="2" t="s">
        <v>14</v>
      </c>
      <c r="B13" s="3" t="s">
        <v>30</v>
      </c>
      <c r="C13" s="10"/>
      <c r="D13" s="11"/>
      <c r="E13" s="10"/>
      <c r="F13" s="11"/>
      <c r="G13" s="11"/>
      <c r="H13" s="12"/>
      <c r="I13" s="11"/>
      <c r="J13" s="11"/>
      <c r="K13" s="11"/>
      <c r="L13" s="11">
        <v>0</v>
      </c>
      <c r="M13" s="11">
        <v>0</v>
      </c>
      <c r="N13" s="11"/>
      <c r="O13" s="11"/>
      <c r="P13" s="13"/>
    </row>
    <row r="14" spans="1:16" x14ac:dyDescent="0.25">
      <c r="A14" s="2" t="s">
        <v>31</v>
      </c>
      <c r="B14" s="3" t="s">
        <v>32</v>
      </c>
      <c r="C14" s="4">
        <v>531</v>
      </c>
      <c r="D14" s="5">
        <f t="shared" si="0"/>
        <v>6372</v>
      </c>
      <c r="E14" s="4">
        <v>531</v>
      </c>
      <c r="F14" s="5">
        <v>366</v>
      </c>
      <c r="G14" s="5">
        <v>750.61800000000005</v>
      </c>
      <c r="H14" s="6">
        <v>561</v>
      </c>
      <c r="I14" s="5">
        <v>1056</v>
      </c>
      <c r="J14" s="5">
        <v>132</v>
      </c>
      <c r="K14" s="5">
        <v>280.5</v>
      </c>
      <c r="L14" s="5">
        <v>219.60000000000002</v>
      </c>
      <c r="M14" s="5">
        <v>95.64</v>
      </c>
      <c r="N14" s="5">
        <v>160</v>
      </c>
      <c r="O14" s="5">
        <v>4</v>
      </c>
      <c r="P14" s="7">
        <f t="shared" si="1"/>
        <v>10049.118</v>
      </c>
    </row>
    <row r="15" spans="1:16" x14ac:dyDescent="0.25">
      <c r="A15" s="2" t="s">
        <v>14</v>
      </c>
      <c r="B15" s="3" t="s">
        <v>33</v>
      </c>
      <c r="C15" s="4">
        <v>531</v>
      </c>
      <c r="D15" s="5">
        <f t="shared" si="0"/>
        <v>6372</v>
      </c>
      <c r="E15" s="4">
        <v>531</v>
      </c>
      <c r="F15" s="5">
        <v>366</v>
      </c>
      <c r="G15" s="5">
        <v>750.61800000000005</v>
      </c>
      <c r="H15" s="6">
        <v>561</v>
      </c>
      <c r="I15" s="5">
        <v>1056</v>
      </c>
      <c r="J15" s="5">
        <v>132</v>
      </c>
      <c r="K15" s="5">
        <v>280.5</v>
      </c>
      <c r="L15" s="5">
        <v>87.84</v>
      </c>
      <c r="M15" s="5">
        <v>111.60000000000001</v>
      </c>
      <c r="N15" s="5">
        <v>160</v>
      </c>
      <c r="O15" s="5">
        <v>4</v>
      </c>
      <c r="P15" s="7">
        <f t="shared" si="1"/>
        <v>10049.118</v>
      </c>
    </row>
    <row r="16" spans="1:16" x14ac:dyDescent="0.25">
      <c r="A16" s="2" t="s">
        <v>14</v>
      </c>
      <c r="B16" s="3" t="s">
        <v>34</v>
      </c>
      <c r="C16" s="10"/>
      <c r="D16" s="11"/>
      <c r="E16" s="10"/>
      <c r="F16" s="11"/>
      <c r="G16" s="11"/>
      <c r="H16" s="12"/>
      <c r="I16" s="11"/>
      <c r="J16" s="11"/>
      <c r="K16" s="11"/>
      <c r="L16" s="11">
        <v>0</v>
      </c>
      <c r="M16" s="11">
        <v>0</v>
      </c>
      <c r="N16" s="11"/>
      <c r="O16" s="11"/>
      <c r="P16" s="13"/>
    </row>
    <row r="17" spans="1:16" x14ac:dyDescent="0.25">
      <c r="A17" s="2" t="s">
        <v>28</v>
      </c>
      <c r="B17" s="3" t="s">
        <v>35</v>
      </c>
      <c r="C17" s="4">
        <v>531</v>
      </c>
      <c r="D17" s="5">
        <f t="shared" si="0"/>
        <v>6372</v>
      </c>
      <c r="E17" s="4">
        <v>531</v>
      </c>
      <c r="F17" s="5">
        <v>366</v>
      </c>
      <c r="G17" s="5">
        <v>750.61800000000005</v>
      </c>
      <c r="H17" s="6">
        <v>561</v>
      </c>
      <c r="I17" s="5">
        <v>1056</v>
      </c>
      <c r="J17" s="5">
        <v>132</v>
      </c>
      <c r="K17" s="5">
        <v>280.5</v>
      </c>
      <c r="L17" s="5">
        <v>43.92</v>
      </c>
      <c r="M17" s="5">
        <v>127.44</v>
      </c>
      <c r="N17" s="5">
        <v>160</v>
      </c>
      <c r="O17" s="5">
        <v>4</v>
      </c>
      <c r="P17" s="7">
        <f t="shared" si="1"/>
        <v>10049.118</v>
      </c>
    </row>
    <row r="18" spans="1:16" x14ac:dyDescent="0.25">
      <c r="A18" s="2" t="s">
        <v>14</v>
      </c>
      <c r="B18" s="3" t="s">
        <v>36</v>
      </c>
      <c r="C18" s="4">
        <v>531</v>
      </c>
      <c r="D18" s="5">
        <f t="shared" si="0"/>
        <v>6372</v>
      </c>
      <c r="E18" s="4">
        <v>531</v>
      </c>
      <c r="F18" s="5">
        <v>366</v>
      </c>
      <c r="G18" s="5">
        <v>750.61800000000005</v>
      </c>
      <c r="H18" s="6">
        <v>561</v>
      </c>
      <c r="I18" s="5">
        <v>1056</v>
      </c>
      <c r="J18" s="5">
        <v>132</v>
      </c>
      <c r="K18" s="5">
        <v>280.5</v>
      </c>
      <c r="L18" s="5">
        <v>0</v>
      </c>
      <c r="M18" s="5">
        <v>0</v>
      </c>
      <c r="N18" s="5">
        <v>160</v>
      </c>
      <c r="O18" s="5">
        <v>4</v>
      </c>
      <c r="P18" s="7">
        <f t="shared" si="1"/>
        <v>10049.118</v>
      </c>
    </row>
    <row r="19" spans="1:16" x14ac:dyDescent="0.25">
      <c r="A19" s="2" t="s">
        <v>28</v>
      </c>
      <c r="B19" s="3" t="s">
        <v>37</v>
      </c>
      <c r="C19" s="4">
        <v>531</v>
      </c>
      <c r="D19" s="5">
        <f t="shared" si="0"/>
        <v>6372</v>
      </c>
      <c r="E19" s="4">
        <v>531</v>
      </c>
      <c r="F19" s="5">
        <v>366</v>
      </c>
      <c r="G19" s="5">
        <v>750.61800000000005</v>
      </c>
      <c r="H19" s="6">
        <v>561</v>
      </c>
      <c r="I19" s="5">
        <v>1056</v>
      </c>
      <c r="J19" s="5">
        <v>132</v>
      </c>
      <c r="K19" s="5">
        <v>280.5</v>
      </c>
      <c r="L19" s="5">
        <v>131.76</v>
      </c>
      <c r="M19" s="5">
        <v>143.39999999999998</v>
      </c>
      <c r="N19" s="5">
        <v>160</v>
      </c>
      <c r="O19" s="5">
        <v>4</v>
      </c>
      <c r="P19" s="7">
        <f t="shared" si="1"/>
        <v>10049.118</v>
      </c>
    </row>
    <row r="20" spans="1:16" x14ac:dyDescent="0.25">
      <c r="A20" s="2" t="s">
        <v>14</v>
      </c>
      <c r="B20" s="3" t="s">
        <v>38</v>
      </c>
      <c r="C20" s="4">
        <v>531</v>
      </c>
      <c r="D20" s="5">
        <f t="shared" si="0"/>
        <v>6372</v>
      </c>
      <c r="E20" s="4">
        <v>531</v>
      </c>
      <c r="F20" s="5">
        <v>366</v>
      </c>
      <c r="G20" s="5">
        <v>750.61800000000005</v>
      </c>
      <c r="H20" s="6">
        <v>561</v>
      </c>
      <c r="I20" s="5">
        <v>1056</v>
      </c>
      <c r="J20" s="5">
        <v>132</v>
      </c>
      <c r="K20" s="5">
        <v>280.5</v>
      </c>
      <c r="L20" s="5">
        <v>131.76</v>
      </c>
      <c r="M20" s="5">
        <v>175.32</v>
      </c>
      <c r="N20" s="5">
        <v>160</v>
      </c>
      <c r="O20" s="5">
        <v>4</v>
      </c>
      <c r="P20" s="7">
        <f t="shared" si="1"/>
        <v>10049.118</v>
      </c>
    </row>
    <row r="21" spans="1:16" x14ac:dyDescent="0.25">
      <c r="A21" s="2" t="s">
        <v>14</v>
      </c>
      <c r="B21" s="3" t="s">
        <v>39</v>
      </c>
      <c r="C21" s="4">
        <v>531</v>
      </c>
      <c r="D21" s="5">
        <f t="shared" si="0"/>
        <v>6372</v>
      </c>
      <c r="E21" s="4">
        <v>531</v>
      </c>
      <c r="F21" s="5">
        <v>366</v>
      </c>
      <c r="G21" s="5">
        <v>750.61800000000005</v>
      </c>
      <c r="H21" s="6">
        <v>561</v>
      </c>
      <c r="I21" s="5">
        <v>1056</v>
      </c>
      <c r="J21" s="5">
        <v>132</v>
      </c>
      <c r="K21" s="5">
        <v>280.5</v>
      </c>
      <c r="L21" s="5">
        <v>0</v>
      </c>
      <c r="M21" s="5">
        <v>111.47999999999999</v>
      </c>
      <c r="N21" s="5">
        <v>160</v>
      </c>
      <c r="O21" s="5">
        <v>4</v>
      </c>
      <c r="P21" s="7">
        <f t="shared" si="1"/>
        <v>10049.118</v>
      </c>
    </row>
    <row r="22" spans="1:16" x14ac:dyDescent="0.25">
      <c r="A22" s="2" t="s">
        <v>14</v>
      </c>
      <c r="B22" s="3" t="s">
        <v>40</v>
      </c>
      <c r="C22" s="4">
        <v>531</v>
      </c>
      <c r="D22" s="5">
        <f t="shared" si="0"/>
        <v>6372</v>
      </c>
      <c r="E22" s="4">
        <v>531</v>
      </c>
      <c r="F22" s="5">
        <v>366</v>
      </c>
      <c r="G22" s="5">
        <v>750.61800000000005</v>
      </c>
      <c r="H22" s="6">
        <v>561</v>
      </c>
      <c r="I22" s="5">
        <v>1056</v>
      </c>
      <c r="J22" s="5">
        <v>132</v>
      </c>
      <c r="K22" s="5">
        <v>280.5</v>
      </c>
      <c r="L22" s="5">
        <v>87.84</v>
      </c>
      <c r="M22" s="5">
        <v>127.44</v>
      </c>
      <c r="N22" s="5">
        <v>160</v>
      </c>
      <c r="O22" s="5">
        <v>4</v>
      </c>
      <c r="P22" s="7">
        <f t="shared" si="1"/>
        <v>10049.118</v>
      </c>
    </row>
    <row r="23" spans="1:16" x14ac:dyDescent="0.25">
      <c r="A23" s="2" t="s">
        <v>14</v>
      </c>
      <c r="B23" s="3" t="s">
        <v>41</v>
      </c>
      <c r="C23" s="4">
        <v>531</v>
      </c>
      <c r="D23" s="5">
        <f t="shared" si="0"/>
        <v>6372</v>
      </c>
      <c r="E23" s="4">
        <v>531</v>
      </c>
      <c r="F23" s="5">
        <v>366</v>
      </c>
      <c r="G23" s="5">
        <v>750.61800000000005</v>
      </c>
      <c r="H23" s="6">
        <v>561</v>
      </c>
      <c r="I23" s="5">
        <v>1056</v>
      </c>
      <c r="J23" s="5">
        <v>132</v>
      </c>
      <c r="K23" s="5">
        <v>280.5</v>
      </c>
      <c r="L23" s="5">
        <v>0</v>
      </c>
      <c r="M23" s="5">
        <v>127.44</v>
      </c>
      <c r="N23" s="5">
        <v>160</v>
      </c>
      <c r="O23" s="5">
        <v>4</v>
      </c>
      <c r="P23" s="7">
        <f t="shared" si="1"/>
        <v>10049.118</v>
      </c>
    </row>
    <row r="24" spans="1:16" x14ac:dyDescent="0.25">
      <c r="A24" s="2" t="s">
        <v>14</v>
      </c>
      <c r="B24" s="3" t="s">
        <v>42</v>
      </c>
      <c r="C24" s="4">
        <v>531</v>
      </c>
      <c r="D24" s="5">
        <f t="shared" si="0"/>
        <v>6372</v>
      </c>
      <c r="E24" s="4">
        <v>531</v>
      </c>
      <c r="F24" s="5">
        <v>366</v>
      </c>
      <c r="G24" s="5">
        <v>750.61800000000005</v>
      </c>
      <c r="H24" s="6">
        <v>561</v>
      </c>
      <c r="I24" s="5">
        <v>1056</v>
      </c>
      <c r="J24" s="5">
        <v>132</v>
      </c>
      <c r="K24" s="5">
        <v>280.5</v>
      </c>
      <c r="L24" s="5">
        <v>43.92</v>
      </c>
      <c r="M24" s="5">
        <v>175.32</v>
      </c>
      <c r="N24" s="5">
        <v>160</v>
      </c>
      <c r="O24" s="5">
        <v>4</v>
      </c>
      <c r="P24" s="7">
        <f t="shared" si="1"/>
        <v>10049.118</v>
      </c>
    </row>
    <row r="25" spans="1:16" x14ac:dyDescent="0.25">
      <c r="A25" s="2" t="s">
        <v>14</v>
      </c>
      <c r="B25" s="3" t="s">
        <v>43</v>
      </c>
      <c r="C25" s="4">
        <v>531</v>
      </c>
      <c r="D25" s="5">
        <f t="shared" si="0"/>
        <v>6372</v>
      </c>
      <c r="E25" s="4">
        <v>531</v>
      </c>
      <c r="F25" s="5">
        <v>366</v>
      </c>
      <c r="G25" s="5">
        <v>750.61800000000005</v>
      </c>
      <c r="H25" s="6">
        <v>561</v>
      </c>
      <c r="I25" s="5">
        <v>1056</v>
      </c>
      <c r="J25" s="5">
        <v>132</v>
      </c>
      <c r="K25" s="5">
        <v>280.5</v>
      </c>
      <c r="L25" s="5">
        <v>87.84</v>
      </c>
      <c r="M25" s="5">
        <v>111.60000000000001</v>
      </c>
      <c r="N25" s="5">
        <v>160</v>
      </c>
      <c r="O25" s="5">
        <v>4</v>
      </c>
      <c r="P25" s="7">
        <f t="shared" si="1"/>
        <v>10049.118</v>
      </c>
    </row>
    <row r="26" spans="1:16" x14ac:dyDescent="0.25">
      <c r="A26" s="2" t="s">
        <v>21</v>
      </c>
      <c r="B26" s="9" t="s">
        <v>44</v>
      </c>
      <c r="C26" s="4">
        <v>708</v>
      </c>
      <c r="D26" s="5">
        <f t="shared" si="0"/>
        <v>8496</v>
      </c>
      <c r="E26" s="4">
        <v>708</v>
      </c>
      <c r="F26" s="5">
        <v>366</v>
      </c>
      <c r="G26" s="5">
        <v>987.44400000000007</v>
      </c>
      <c r="H26" s="6">
        <v>738</v>
      </c>
      <c r="I26" s="5">
        <v>1056</v>
      </c>
      <c r="J26" s="5">
        <v>132</v>
      </c>
      <c r="K26" s="5">
        <v>369</v>
      </c>
      <c r="L26" s="5">
        <v>87.84</v>
      </c>
      <c r="M26" s="5">
        <v>84.960000000000008</v>
      </c>
      <c r="N26" s="5">
        <v>160</v>
      </c>
      <c r="O26" s="5">
        <v>4</v>
      </c>
      <c r="P26" s="7">
        <f t="shared" si="1"/>
        <v>12852.444</v>
      </c>
    </row>
    <row r="27" spans="1:16" x14ac:dyDescent="0.25">
      <c r="A27" s="2" t="s">
        <v>45</v>
      </c>
      <c r="B27" s="3" t="s">
        <v>46</v>
      </c>
      <c r="C27" s="4">
        <v>531</v>
      </c>
      <c r="D27" s="5">
        <f t="shared" si="0"/>
        <v>6372</v>
      </c>
      <c r="E27" s="4">
        <v>531</v>
      </c>
      <c r="F27" s="5">
        <v>366</v>
      </c>
      <c r="G27" s="5">
        <v>750.61800000000005</v>
      </c>
      <c r="H27" s="6">
        <v>561</v>
      </c>
      <c r="I27" s="5">
        <v>1056</v>
      </c>
      <c r="J27" s="5">
        <v>132</v>
      </c>
      <c r="K27" s="5">
        <v>280.5</v>
      </c>
      <c r="L27" s="5">
        <v>0</v>
      </c>
      <c r="M27" s="5">
        <v>0</v>
      </c>
      <c r="N27" s="5">
        <v>160</v>
      </c>
      <c r="O27" s="5">
        <v>4</v>
      </c>
      <c r="P27" s="7">
        <f t="shared" si="1"/>
        <v>10049.118</v>
      </c>
    </row>
    <row r="28" spans="1:16" x14ac:dyDescent="0.25">
      <c r="A28" s="2" t="s">
        <v>21</v>
      </c>
      <c r="B28" s="9" t="s">
        <v>47</v>
      </c>
      <c r="C28" s="4">
        <v>708</v>
      </c>
      <c r="D28" s="5">
        <f t="shared" si="0"/>
        <v>8496</v>
      </c>
      <c r="E28" s="4">
        <v>708</v>
      </c>
      <c r="F28" s="5">
        <v>366</v>
      </c>
      <c r="G28" s="5">
        <v>987.44400000000007</v>
      </c>
      <c r="H28" s="6">
        <v>738</v>
      </c>
      <c r="I28" s="5">
        <v>1056</v>
      </c>
      <c r="J28" s="5">
        <v>132</v>
      </c>
      <c r="K28" s="5">
        <v>369</v>
      </c>
      <c r="L28" s="5">
        <v>43.92</v>
      </c>
      <c r="M28" s="5">
        <v>212.39999999999998</v>
      </c>
      <c r="N28" s="5">
        <v>160</v>
      </c>
      <c r="O28" s="5">
        <v>4</v>
      </c>
      <c r="P28" s="7">
        <f t="shared" si="1"/>
        <v>12852.444</v>
      </c>
    </row>
    <row r="29" spans="1:16" x14ac:dyDescent="0.25">
      <c r="A29" s="2" t="s">
        <v>16</v>
      </c>
      <c r="B29" s="3" t="s">
        <v>48</v>
      </c>
      <c r="C29" s="10"/>
      <c r="D29" s="11"/>
      <c r="E29" s="10"/>
      <c r="F29" s="11"/>
      <c r="G29" s="11"/>
      <c r="H29" s="12"/>
      <c r="I29" s="11"/>
      <c r="J29" s="11"/>
      <c r="K29" s="11"/>
      <c r="L29" s="11">
        <v>0</v>
      </c>
      <c r="M29" s="11">
        <v>0</v>
      </c>
      <c r="N29" s="11"/>
      <c r="O29" s="11"/>
      <c r="P29" s="13"/>
    </row>
    <row r="30" spans="1:16" x14ac:dyDescent="0.25">
      <c r="A30" s="2" t="s">
        <v>16</v>
      </c>
      <c r="B30" s="3" t="s">
        <v>49</v>
      </c>
      <c r="C30" s="4">
        <v>584</v>
      </c>
      <c r="D30" s="5">
        <f t="shared" si="0"/>
        <v>7008</v>
      </c>
      <c r="E30" s="4">
        <v>584</v>
      </c>
      <c r="F30" s="5">
        <v>366</v>
      </c>
      <c r="G30" s="5">
        <v>797.44800000000009</v>
      </c>
      <c r="H30" s="6">
        <v>596</v>
      </c>
      <c r="I30" s="5">
        <v>1056</v>
      </c>
      <c r="J30" s="5">
        <v>132</v>
      </c>
      <c r="K30" s="5">
        <v>298</v>
      </c>
      <c r="L30" s="5">
        <v>175.68</v>
      </c>
      <c r="M30" s="5">
        <v>140.16</v>
      </c>
      <c r="N30" s="5">
        <v>160</v>
      </c>
      <c r="O30" s="5">
        <v>4</v>
      </c>
      <c r="P30" s="7">
        <f t="shared" si="1"/>
        <v>10837.448</v>
      </c>
    </row>
    <row r="31" spans="1:16" x14ac:dyDescent="0.25">
      <c r="A31" s="2" t="s">
        <v>14</v>
      </c>
      <c r="B31" s="3" t="s">
        <v>50</v>
      </c>
      <c r="C31" s="4">
        <v>531</v>
      </c>
      <c r="D31" s="5">
        <f t="shared" si="0"/>
        <v>6372</v>
      </c>
      <c r="E31" s="4">
        <v>531</v>
      </c>
      <c r="F31" s="5">
        <v>366</v>
      </c>
      <c r="G31" s="5">
        <v>750.61800000000005</v>
      </c>
      <c r="H31" s="6">
        <v>561</v>
      </c>
      <c r="I31" s="5">
        <v>1056</v>
      </c>
      <c r="J31" s="5">
        <v>132</v>
      </c>
      <c r="K31" s="5">
        <v>280.5</v>
      </c>
      <c r="L31" s="5">
        <v>0</v>
      </c>
      <c r="M31" s="5">
        <v>175.32</v>
      </c>
      <c r="N31" s="5">
        <v>160</v>
      </c>
      <c r="O31" s="5">
        <v>4</v>
      </c>
      <c r="P31" s="7">
        <f t="shared" si="1"/>
        <v>10049.118</v>
      </c>
    </row>
    <row r="32" spans="1:16" x14ac:dyDescent="0.25">
      <c r="A32" s="2" t="s">
        <v>21</v>
      </c>
      <c r="B32" s="9" t="s">
        <v>51</v>
      </c>
      <c r="C32" s="4">
        <v>531</v>
      </c>
      <c r="D32" s="5">
        <f t="shared" si="0"/>
        <v>6372</v>
      </c>
      <c r="E32" s="4">
        <v>531</v>
      </c>
      <c r="F32" s="5">
        <v>366</v>
      </c>
      <c r="G32" s="5">
        <v>947.30400000000009</v>
      </c>
      <c r="H32" s="6">
        <v>708</v>
      </c>
      <c r="I32" s="5">
        <v>1056</v>
      </c>
      <c r="J32" s="5">
        <v>132</v>
      </c>
      <c r="K32" s="5">
        <v>354</v>
      </c>
      <c r="L32" s="5">
        <v>43.92</v>
      </c>
      <c r="M32" s="5">
        <v>95.64</v>
      </c>
      <c r="N32" s="5">
        <v>160</v>
      </c>
      <c r="O32" s="5">
        <v>4</v>
      </c>
      <c r="P32" s="7">
        <f t="shared" si="1"/>
        <v>10466.304</v>
      </c>
    </row>
    <row r="33" spans="1:16" x14ac:dyDescent="0.25">
      <c r="A33" s="2" t="s">
        <v>21</v>
      </c>
      <c r="B33" s="9" t="s">
        <v>52</v>
      </c>
      <c r="C33" s="4">
        <v>708</v>
      </c>
      <c r="D33" s="5">
        <f t="shared" si="0"/>
        <v>8496</v>
      </c>
      <c r="E33" s="4">
        <v>708</v>
      </c>
      <c r="F33" s="5">
        <v>366</v>
      </c>
      <c r="G33" s="5">
        <v>987.44400000000007</v>
      </c>
      <c r="H33" s="6">
        <v>738</v>
      </c>
      <c r="I33" s="5">
        <v>1056</v>
      </c>
      <c r="J33" s="5">
        <v>132</v>
      </c>
      <c r="K33" s="5">
        <v>369</v>
      </c>
      <c r="L33" s="5">
        <v>43.92</v>
      </c>
      <c r="M33" s="5">
        <v>63.72</v>
      </c>
      <c r="N33" s="5">
        <v>160</v>
      </c>
      <c r="O33" s="5">
        <v>4</v>
      </c>
      <c r="P33" s="7">
        <f t="shared" si="1"/>
        <v>12852.444</v>
      </c>
    </row>
    <row r="34" spans="1:16" x14ac:dyDescent="0.25">
      <c r="A34" s="2" t="s">
        <v>14</v>
      </c>
      <c r="B34" s="3" t="s">
        <v>53</v>
      </c>
      <c r="C34" s="4">
        <v>531</v>
      </c>
      <c r="D34" s="5">
        <f t="shared" si="0"/>
        <v>6372</v>
      </c>
      <c r="E34" s="4">
        <v>531</v>
      </c>
      <c r="F34" s="5">
        <v>366</v>
      </c>
      <c r="G34" s="5">
        <v>750.61800000000005</v>
      </c>
      <c r="H34" s="6">
        <v>561</v>
      </c>
      <c r="I34" s="5">
        <v>1056</v>
      </c>
      <c r="J34" s="5">
        <v>132</v>
      </c>
      <c r="K34" s="5">
        <v>280.5</v>
      </c>
      <c r="L34" s="5">
        <v>0</v>
      </c>
      <c r="M34" s="5">
        <v>0</v>
      </c>
      <c r="N34" s="5">
        <v>160</v>
      </c>
      <c r="O34" s="5">
        <v>4</v>
      </c>
      <c r="P34" s="7">
        <f t="shared" si="1"/>
        <v>10049.118</v>
      </c>
    </row>
    <row r="35" spans="1:16" x14ac:dyDescent="0.25">
      <c r="A35" s="2" t="s">
        <v>45</v>
      </c>
      <c r="B35" s="3" t="s">
        <v>54</v>
      </c>
      <c r="C35" s="4">
        <v>531</v>
      </c>
      <c r="D35" s="5">
        <f t="shared" si="0"/>
        <v>6372</v>
      </c>
      <c r="E35" s="4">
        <v>531</v>
      </c>
      <c r="F35" s="5">
        <v>366</v>
      </c>
      <c r="G35" s="5">
        <v>750.61800000000005</v>
      </c>
      <c r="H35" s="6">
        <v>561</v>
      </c>
      <c r="I35" s="5">
        <v>1056</v>
      </c>
      <c r="J35" s="5">
        <v>132</v>
      </c>
      <c r="K35" s="5">
        <v>280.5</v>
      </c>
      <c r="L35" s="5">
        <v>87.84</v>
      </c>
      <c r="M35" s="5">
        <v>127.44</v>
      </c>
      <c r="N35" s="5">
        <v>160</v>
      </c>
      <c r="O35" s="5">
        <v>4</v>
      </c>
      <c r="P35" s="7">
        <f t="shared" si="1"/>
        <v>10049.118</v>
      </c>
    </row>
    <row r="36" spans="1:16" x14ac:dyDescent="0.25">
      <c r="A36" s="2" t="s">
        <v>45</v>
      </c>
      <c r="B36" s="3" t="s">
        <v>55</v>
      </c>
      <c r="C36" s="4">
        <v>531</v>
      </c>
      <c r="D36" s="5">
        <f t="shared" si="0"/>
        <v>6372</v>
      </c>
      <c r="E36" s="4">
        <v>531</v>
      </c>
      <c r="F36" s="5">
        <v>366</v>
      </c>
      <c r="G36" s="5">
        <v>750.61800000000005</v>
      </c>
      <c r="H36" s="6">
        <v>561</v>
      </c>
      <c r="I36" s="5">
        <v>1056</v>
      </c>
      <c r="J36" s="5">
        <v>132</v>
      </c>
      <c r="K36" s="5">
        <v>280.5</v>
      </c>
      <c r="L36" s="5">
        <v>131.76</v>
      </c>
      <c r="M36" s="5">
        <v>127.44</v>
      </c>
      <c r="N36" s="5">
        <v>160</v>
      </c>
      <c r="O36" s="5">
        <v>4</v>
      </c>
      <c r="P36" s="7">
        <f t="shared" si="1"/>
        <v>10049.118</v>
      </c>
    </row>
    <row r="37" spans="1:16" x14ac:dyDescent="0.25">
      <c r="A37" s="2" t="s">
        <v>14</v>
      </c>
      <c r="B37" s="3" t="s">
        <v>56</v>
      </c>
      <c r="C37" s="4">
        <v>531</v>
      </c>
      <c r="D37" s="5">
        <f t="shared" si="0"/>
        <v>6372</v>
      </c>
      <c r="E37" s="4">
        <v>531</v>
      </c>
      <c r="F37" s="5">
        <v>366</v>
      </c>
      <c r="G37" s="5">
        <v>750.61800000000005</v>
      </c>
      <c r="H37" s="6">
        <v>561</v>
      </c>
      <c r="I37" s="5">
        <v>1056</v>
      </c>
      <c r="J37" s="5">
        <v>132</v>
      </c>
      <c r="K37" s="5">
        <v>280.5</v>
      </c>
      <c r="L37" s="5">
        <v>43.92</v>
      </c>
      <c r="M37" s="5">
        <v>63.72</v>
      </c>
      <c r="N37" s="5">
        <v>160</v>
      </c>
      <c r="O37" s="5">
        <v>4</v>
      </c>
      <c r="P37" s="7">
        <f t="shared" si="1"/>
        <v>10049.118</v>
      </c>
    </row>
    <row r="38" spans="1:16" x14ac:dyDescent="0.25">
      <c r="A38" s="2" t="s">
        <v>14</v>
      </c>
      <c r="B38" s="3" t="s">
        <v>57</v>
      </c>
      <c r="C38" s="4">
        <v>531</v>
      </c>
      <c r="D38" s="5">
        <f t="shared" si="0"/>
        <v>6372</v>
      </c>
      <c r="E38" s="4">
        <v>531</v>
      </c>
      <c r="F38" s="5">
        <v>366</v>
      </c>
      <c r="G38" s="5">
        <v>750.61800000000005</v>
      </c>
      <c r="H38" s="6">
        <v>561</v>
      </c>
      <c r="I38" s="5">
        <v>1056</v>
      </c>
      <c r="J38" s="5">
        <v>132</v>
      </c>
      <c r="K38" s="5">
        <v>280.5</v>
      </c>
      <c r="L38" s="5">
        <v>43.92</v>
      </c>
      <c r="M38" s="5">
        <v>0</v>
      </c>
      <c r="N38" s="5">
        <v>160</v>
      </c>
      <c r="O38" s="5">
        <v>4</v>
      </c>
      <c r="P38" s="7">
        <f t="shared" si="1"/>
        <v>10049.118</v>
      </c>
    </row>
    <row r="39" spans="1:16" x14ac:dyDescent="0.25">
      <c r="A39" s="2" t="s">
        <v>14</v>
      </c>
      <c r="B39" s="3" t="s">
        <v>58</v>
      </c>
      <c r="C39" s="4">
        <v>531</v>
      </c>
      <c r="D39" s="5">
        <f t="shared" si="0"/>
        <v>6372</v>
      </c>
      <c r="E39" s="4">
        <v>531</v>
      </c>
      <c r="F39" s="5">
        <v>366</v>
      </c>
      <c r="G39" s="5">
        <v>750.61800000000005</v>
      </c>
      <c r="H39" s="6">
        <v>561</v>
      </c>
      <c r="I39" s="5">
        <v>1056</v>
      </c>
      <c r="J39" s="5">
        <v>132</v>
      </c>
      <c r="K39" s="5">
        <v>280.5</v>
      </c>
      <c r="L39" s="5">
        <v>0</v>
      </c>
      <c r="M39" s="5">
        <v>0</v>
      </c>
      <c r="N39" s="5">
        <v>160</v>
      </c>
      <c r="O39" s="5">
        <v>4</v>
      </c>
      <c r="P39" s="7">
        <f t="shared" si="1"/>
        <v>10049.118</v>
      </c>
    </row>
    <row r="40" spans="1:16" x14ac:dyDescent="0.25">
      <c r="A40" s="2" t="s">
        <v>45</v>
      </c>
      <c r="B40" s="3" t="s">
        <v>59</v>
      </c>
      <c r="C40" s="4"/>
      <c r="D40" s="5">
        <f t="shared" si="0"/>
        <v>0</v>
      </c>
      <c r="E40" s="4"/>
      <c r="F40" s="5">
        <v>366</v>
      </c>
      <c r="G40" s="5">
        <v>710.47799999999995</v>
      </c>
      <c r="H40" s="6">
        <v>531</v>
      </c>
      <c r="I40" s="5">
        <v>1056</v>
      </c>
      <c r="J40" s="5">
        <v>132</v>
      </c>
      <c r="K40" s="5">
        <v>265.5</v>
      </c>
      <c r="L40" s="5">
        <v>0</v>
      </c>
      <c r="M40" s="5">
        <v>0</v>
      </c>
      <c r="N40" s="5">
        <v>160</v>
      </c>
      <c r="O40" s="5">
        <v>4</v>
      </c>
      <c r="P40" s="7">
        <f t="shared" si="1"/>
        <v>3060.9780000000001</v>
      </c>
    </row>
    <row r="41" spans="1:16" x14ac:dyDescent="0.25">
      <c r="A41" s="14" t="s">
        <v>45</v>
      </c>
      <c r="B41" s="3" t="s">
        <v>60</v>
      </c>
      <c r="C41" s="10">
        <v>531</v>
      </c>
      <c r="D41" s="5">
        <f t="shared" si="0"/>
        <v>6372</v>
      </c>
      <c r="E41" s="10">
        <v>531</v>
      </c>
      <c r="F41" s="5">
        <v>366</v>
      </c>
      <c r="G41" s="5">
        <v>750.61800000000005</v>
      </c>
      <c r="H41" s="12">
        <v>561</v>
      </c>
      <c r="I41" s="5">
        <v>1056</v>
      </c>
      <c r="J41" s="5">
        <v>132</v>
      </c>
      <c r="K41" s="5">
        <v>280.5</v>
      </c>
      <c r="L41" s="5">
        <v>87.84</v>
      </c>
      <c r="M41" s="5">
        <v>63.72</v>
      </c>
      <c r="N41" s="5">
        <v>160</v>
      </c>
      <c r="O41" s="5">
        <v>4</v>
      </c>
      <c r="P41" s="7">
        <f t="shared" si="1"/>
        <v>10049.118</v>
      </c>
    </row>
    <row r="42" spans="1:16" ht="22.5" x14ac:dyDescent="0.25">
      <c r="A42" s="2" t="s">
        <v>61</v>
      </c>
      <c r="B42" s="9" t="s">
        <v>62</v>
      </c>
      <c r="C42" s="4">
        <v>708</v>
      </c>
      <c r="D42" s="5">
        <f t="shared" si="0"/>
        <v>8496</v>
      </c>
      <c r="E42" s="4">
        <v>708</v>
      </c>
      <c r="F42" s="5">
        <v>366</v>
      </c>
      <c r="G42" s="5">
        <v>987.44400000000007</v>
      </c>
      <c r="H42" s="6">
        <v>738</v>
      </c>
      <c r="I42" s="5">
        <v>1056</v>
      </c>
      <c r="J42" s="5">
        <v>132</v>
      </c>
      <c r="K42" s="5">
        <v>369</v>
      </c>
      <c r="L42" s="5">
        <v>87.84</v>
      </c>
      <c r="M42" s="5">
        <v>191.16</v>
      </c>
      <c r="N42" s="5">
        <v>160</v>
      </c>
      <c r="O42" s="5">
        <v>4</v>
      </c>
      <c r="P42" s="7">
        <f t="shared" si="1"/>
        <v>12852.444</v>
      </c>
    </row>
    <row r="43" spans="1:16" x14ac:dyDescent="0.25">
      <c r="A43" s="2" t="s">
        <v>14</v>
      </c>
      <c r="B43" s="3" t="s">
        <v>63</v>
      </c>
      <c r="C43" s="4">
        <v>531</v>
      </c>
      <c r="D43" s="5">
        <f t="shared" si="0"/>
        <v>6372</v>
      </c>
      <c r="E43" s="4">
        <v>531</v>
      </c>
      <c r="F43" s="5">
        <v>366</v>
      </c>
      <c r="G43" s="5">
        <v>750.61800000000005</v>
      </c>
      <c r="H43" s="6">
        <v>561</v>
      </c>
      <c r="I43" s="5">
        <v>1056</v>
      </c>
      <c r="J43" s="5">
        <v>132</v>
      </c>
      <c r="K43" s="5">
        <v>280.5</v>
      </c>
      <c r="L43" s="5">
        <v>43.92</v>
      </c>
      <c r="M43" s="5">
        <v>159.35999999999999</v>
      </c>
      <c r="N43" s="5">
        <v>160</v>
      </c>
      <c r="O43" s="5">
        <v>4</v>
      </c>
      <c r="P43" s="7">
        <f t="shared" si="1"/>
        <v>10049.118</v>
      </c>
    </row>
    <row r="44" spans="1:16" x14ac:dyDescent="0.25">
      <c r="A44" s="2" t="s">
        <v>14</v>
      </c>
      <c r="B44" s="3" t="s">
        <v>64</v>
      </c>
      <c r="C44" s="4">
        <v>531</v>
      </c>
      <c r="D44" s="5">
        <f t="shared" si="0"/>
        <v>6372</v>
      </c>
      <c r="E44" s="4">
        <v>531</v>
      </c>
      <c r="F44" s="5">
        <v>366</v>
      </c>
      <c r="G44" s="5">
        <v>750.61800000000005</v>
      </c>
      <c r="H44" s="6">
        <v>561</v>
      </c>
      <c r="I44" s="5">
        <v>1056</v>
      </c>
      <c r="J44" s="5">
        <v>132</v>
      </c>
      <c r="K44" s="5">
        <v>280.5</v>
      </c>
      <c r="L44" s="5">
        <v>87.84</v>
      </c>
      <c r="M44" s="5">
        <v>47.76</v>
      </c>
      <c r="N44" s="5">
        <v>160</v>
      </c>
      <c r="O44" s="5">
        <v>4</v>
      </c>
      <c r="P44" s="7">
        <f t="shared" si="1"/>
        <v>10049.118</v>
      </c>
    </row>
    <row r="45" spans="1:16" x14ac:dyDescent="0.25">
      <c r="A45" s="2" t="s">
        <v>14</v>
      </c>
      <c r="B45" s="3" t="s">
        <v>65</v>
      </c>
      <c r="C45" s="4">
        <v>531</v>
      </c>
      <c r="D45" s="5">
        <f t="shared" si="0"/>
        <v>6372</v>
      </c>
      <c r="E45" s="4">
        <v>531</v>
      </c>
      <c r="F45" s="5">
        <v>366</v>
      </c>
      <c r="G45" s="5">
        <v>750.61800000000005</v>
      </c>
      <c r="H45" s="6">
        <v>561</v>
      </c>
      <c r="I45" s="5">
        <v>1056</v>
      </c>
      <c r="J45" s="5">
        <v>132</v>
      </c>
      <c r="K45" s="5">
        <v>280.5</v>
      </c>
      <c r="L45" s="5">
        <v>87.84</v>
      </c>
      <c r="M45" s="5">
        <v>127.44</v>
      </c>
      <c r="N45" s="5">
        <v>160</v>
      </c>
      <c r="O45" s="5">
        <v>4</v>
      </c>
      <c r="P45" s="7">
        <f t="shared" si="1"/>
        <v>10049.118</v>
      </c>
    </row>
    <row r="46" spans="1:16" ht="22.5" x14ac:dyDescent="0.25">
      <c r="A46" s="2" t="s">
        <v>61</v>
      </c>
      <c r="B46" s="9" t="s">
        <v>66</v>
      </c>
      <c r="C46" s="4">
        <v>708</v>
      </c>
      <c r="D46" s="5">
        <f t="shared" si="0"/>
        <v>8496</v>
      </c>
      <c r="E46" s="4">
        <v>708</v>
      </c>
      <c r="F46" s="5">
        <v>366</v>
      </c>
      <c r="G46" s="5">
        <v>987.44400000000007</v>
      </c>
      <c r="H46" s="6">
        <v>738</v>
      </c>
      <c r="I46" s="5">
        <v>1056</v>
      </c>
      <c r="J46" s="5">
        <v>132</v>
      </c>
      <c r="K46" s="5">
        <v>369</v>
      </c>
      <c r="L46" s="5">
        <v>0</v>
      </c>
      <c r="M46" s="5">
        <v>108</v>
      </c>
      <c r="N46" s="5">
        <v>160</v>
      </c>
      <c r="O46" s="5">
        <v>4</v>
      </c>
      <c r="P46" s="7">
        <f t="shared" si="1"/>
        <v>12852.444</v>
      </c>
    </row>
    <row r="47" spans="1:16" ht="25.5" x14ac:dyDescent="0.25">
      <c r="A47" s="2" t="s">
        <v>14</v>
      </c>
      <c r="B47" s="3" t="s">
        <v>67</v>
      </c>
      <c r="C47" s="4">
        <v>531</v>
      </c>
      <c r="D47" s="5">
        <f t="shared" si="0"/>
        <v>6372</v>
      </c>
      <c r="E47" s="4">
        <v>531</v>
      </c>
      <c r="F47" s="5">
        <v>366</v>
      </c>
      <c r="G47" s="5">
        <v>750.61800000000005</v>
      </c>
      <c r="H47" s="6">
        <v>561</v>
      </c>
      <c r="I47" s="5">
        <v>1056</v>
      </c>
      <c r="J47" s="5">
        <v>132</v>
      </c>
      <c r="K47" s="5">
        <v>280.5</v>
      </c>
      <c r="L47" s="5">
        <v>0</v>
      </c>
      <c r="M47" s="5">
        <v>127.44</v>
      </c>
      <c r="N47" s="5">
        <v>160</v>
      </c>
      <c r="O47" s="5">
        <v>4</v>
      </c>
      <c r="P47" s="7">
        <f t="shared" si="1"/>
        <v>10049.118</v>
      </c>
    </row>
    <row r="48" spans="1:16" x14ac:dyDescent="0.25">
      <c r="A48" s="2" t="s">
        <v>16</v>
      </c>
      <c r="B48" s="3" t="s">
        <v>68</v>
      </c>
      <c r="C48" s="4">
        <v>584</v>
      </c>
      <c r="D48" s="5">
        <f t="shared" si="0"/>
        <v>7008</v>
      </c>
      <c r="E48" s="4">
        <v>584</v>
      </c>
      <c r="F48" s="5">
        <v>366</v>
      </c>
      <c r="G48" s="5">
        <v>797.44800000000009</v>
      </c>
      <c r="H48" s="6">
        <v>596</v>
      </c>
      <c r="I48" s="5">
        <v>1056</v>
      </c>
      <c r="J48" s="5">
        <v>132</v>
      </c>
      <c r="K48" s="5">
        <v>298</v>
      </c>
      <c r="L48" s="5">
        <v>0</v>
      </c>
      <c r="M48" s="5">
        <v>192.71999999999997</v>
      </c>
      <c r="N48" s="5">
        <v>160</v>
      </c>
      <c r="O48" s="5">
        <v>4</v>
      </c>
      <c r="P48" s="7">
        <f t="shared" si="1"/>
        <v>10837.448</v>
      </c>
    </row>
    <row r="49" spans="1:16" x14ac:dyDescent="0.25">
      <c r="A49" s="2" t="s">
        <v>14</v>
      </c>
      <c r="B49" s="3" t="s">
        <v>69</v>
      </c>
      <c r="C49" s="4">
        <v>531</v>
      </c>
      <c r="D49" s="5">
        <f t="shared" si="0"/>
        <v>6372</v>
      </c>
      <c r="E49" s="4">
        <v>531</v>
      </c>
      <c r="F49" s="5">
        <v>366</v>
      </c>
      <c r="G49" s="5">
        <v>750.61800000000005</v>
      </c>
      <c r="H49" s="6">
        <v>561</v>
      </c>
      <c r="I49" s="5">
        <v>1056</v>
      </c>
      <c r="J49" s="5">
        <v>132</v>
      </c>
      <c r="K49" s="5">
        <v>280.5</v>
      </c>
      <c r="L49" s="5">
        <v>0</v>
      </c>
      <c r="M49" s="5">
        <v>175.32</v>
      </c>
      <c r="N49" s="5">
        <v>160</v>
      </c>
      <c r="O49" s="5">
        <v>4</v>
      </c>
      <c r="P49" s="7">
        <f t="shared" si="1"/>
        <v>10049.118</v>
      </c>
    </row>
    <row r="50" spans="1:16" x14ac:dyDescent="0.25">
      <c r="A50" s="2" t="s">
        <v>70</v>
      </c>
      <c r="B50" s="3" t="s">
        <v>71</v>
      </c>
      <c r="C50" s="4">
        <v>566</v>
      </c>
      <c r="D50" s="5">
        <f t="shared" si="0"/>
        <v>6792</v>
      </c>
      <c r="E50" s="4">
        <v>566</v>
      </c>
      <c r="F50" s="5">
        <v>366</v>
      </c>
      <c r="G50" s="5">
        <v>797.44800000000009</v>
      </c>
      <c r="H50" s="6">
        <v>596</v>
      </c>
      <c r="I50" s="5">
        <v>1056</v>
      </c>
      <c r="J50" s="5">
        <v>132</v>
      </c>
      <c r="K50" s="5">
        <v>298</v>
      </c>
      <c r="L50" s="5">
        <v>0</v>
      </c>
      <c r="M50" s="5">
        <v>0</v>
      </c>
      <c r="N50" s="5">
        <v>160</v>
      </c>
      <c r="O50" s="5">
        <v>4</v>
      </c>
      <c r="P50" s="7">
        <f t="shared" si="1"/>
        <v>10603.448</v>
      </c>
    </row>
    <row r="51" spans="1:16" x14ac:dyDescent="0.25">
      <c r="A51" s="2" t="s">
        <v>14</v>
      </c>
      <c r="B51" s="3" t="s">
        <v>72</v>
      </c>
      <c r="C51" s="4">
        <v>531</v>
      </c>
      <c r="D51" s="5">
        <f t="shared" si="0"/>
        <v>6372</v>
      </c>
      <c r="E51" s="4">
        <v>531</v>
      </c>
      <c r="F51" s="5">
        <v>366</v>
      </c>
      <c r="G51" s="5">
        <v>750.61800000000005</v>
      </c>
      <c r="H51" s="6">
        <v>561</v>
      </c>
      <c r="I51" s="5">
        <v>1056</v>
      </c>
      <c r="J51" s="5">
        <v>132</v>
      </c>
      <c r="K51" s="5">
        <v>280.5</v>
      </c>
      <c r="L51" s="5">
        <v>0</v>
      </c>
      <c r="M51" s="5">
        <v>175.44</v>
      </c>
      <c r="N51" s="5">
        <v>160</v>
      </c>
      <c r="O51" s="5">
        <v>4</v>
      </c>
      <c r="P51" s="7">
        <f t="shared" si="1"/>
        <v>10049.118</v>
      </c>
    </row>
    <row r="52" spans="1:16" x14ac:dyDescent="0.25">
      <c r="A52" s="2" t="s">
        <v>14</v>
      </c>
      <c r="B52" s="3" t="s">
        <v>73</v>
      </c>
      <c r="C52" s="4">
        <v>531</v>
      </c>
      <c r="D52" s="5">
        <f t="shared" si="0"/>
        <v>6372</v>
      </c>
      <c r="E52" s="4">
        <v>531</v>
      </c>
      <c r="F52" s="5">
        <v>366</v>
      </c>
      <c r="G52" s="5">
        <v>750.61800000000005</v>
      </c>
      <c r="H52" s="6">
        <v>561</v>
      </c>
      <c r="I52" s="5">
        <v>1056</v>
      </c>
      <c r="J52" s="5">
        <v>132</v>
      </c>
      <c r="K52" s="5">
        <v>280.5</v>
      </c>
      <c r="L52" s="5">
        <v>43.92</v>
      </c>
      <c r="M52" s="5">
        <v>111.47999999999999</v>
      </c>
      <c r="N52" s="5">
        <v>160</v>
      </c>
      <c r="O52" s="5">
        <v>4</v>
      </c>
      <c r="P52" s="7">
        <f t="shared" si="1"/>
        <v>10049.118</v>
      </c>
    </row>
    <row r="53" spans="1:16" x14ac:dyDescent="0.25">
      <c r="A53" s="2" t="s">
        <v>16</v>
      </c>
      <c r="B53" s="3" t="s">
        <v>74</v>
      </c>
      <c r="C53" s="4">
        <v>584</v>
      </c>
      <c r="D53" s="5">
        <f t="shared" si="0"/>
        <v>7008</v>
      </c>
      <c r="E53" s="4">
        <v>584</v>
      </c>
      <c r="F53" s="5">
        <v>366</v>
      </c>
      <c r="G53" s="5">
        <v>797.44800000000009</v>
      </c>
      <c r="H53" s="6">
        <v>596</v>
      </c>
      <c r="I53" s="5">
        <v>1056</v>
      </c>
      <c r="J53" s="5">
        <v>132</v>
      </c>
      <c r="K53" s="5">
        <v>298</v>
      </c>
      <c r="L53" s="5">
        <v>43.92</v>
      </c>
      <c r="M53" s="5">
        <v>157.68</v>
      </c>
      <c r="N53" s="5">
        <v>160</v>
      </c>
      <c r="O53" s="5">
        <v>4</v>
      </c>
      <c r="P53" s="7">
        <f t="shared" si="1"/>
        <v>10837.448</v>
      </c>
    </row>
    <row r="54" spans="1:16" x14ac:dyDescent="0.25">
      <c r="A54" s="2" t="s">
        <v>75</v>
      </c>
      <c r="B54" s="3" t="s">
        <v>76</v>
      </c>
      <c r="C54" s="4">
        <v>531</v>
      </c>
      <c r="D54" s="5">
        <f t="shared" si="0"/>
        <v>6372</v>
      </c>
      <c r="E54" s="4">
        <v>531</v>
      </c>
      <c r="F54" s="5">
        <v>366</v>
      </c>
      <c r="G54" s="5">
        <v>750.61800000000005</v>
      </c>
      <c r="H54" s="6">
        <v>561</v>
      </c>
      <c r="I54" s="5">
        <v>1056</v>
      </c>
      <c r="J54" s="5">
        <v>132</v>
      </c>
      <c r="K54" s="5">
        <v>280.5</v>
      </c>
      <c r="L54" s="5">
        <v>0</v>
      </c>
      <c r="M54" s="5">
        <v>127.44</v>
      </c>
      <c r="N54" s="5">
        <v>160</v>
      </c>
      <c r="O54" s="5">
        <v>4</v>
      </c>
      <c r="P54" s="7">
        <f t="shared" si="1"/>
        <v>10049.118</v>
      </c>
    </row>
    <row r="55" spans="1:16" x14ac:dyDescent="0.25">
      <c r="A55" s="2" t="s">
        <v>14</v>
      </c>
      <c r="B55" s="3" t="s">
        <v>77</v>
      </c>
      <c r="C55" s="4">
        <v>531</v>
      </c>
      <c r="D55" s="5">
        <f t="shared" si="0"/>
        <v>6372</v>
      </c>
      <c r="E55" s="4">
        <v>531</v>
      </c>
      <c r="F55" s="5">
        <v>366</v>
      </c>
      <c r="G55" s="5">
        <v>750.61800000000005</v>
      </c>
      <c r="H55" s="6">
        <v>561</v>
      </c>
      <c r="I55" s="5">
        <v>1056</v>
      </c>
      <c r="J55" s="5">
        <v>132</v>
      </c>
      <c r="K55" s="5">
        <v>280.5</v>
      </c>
      <c r="L55" s="5">
        <v>43.92</v>
      </c>
      <c r="M55" s="5">
        <v>127.44</v>
      </c>
      <c r="N55" s="5">
        <v>160</v>
      </c>
      <c r="O55" s="5">
        <v>4</v>
      </c>
      <c r="P55" s="7">
        <f t="shared" si="1"/>
        <v>10049.118</v>
      </c>
    </row>
    <row r="56" spans="1:16" x14ac:dyDescent="0.25">
      <c r="A56" s="2" t="s">
        <v>14</v>
      </c>
      <c r="B56" s="3" t="s">
        <v>78</v>
      </c>
      <c r="C56" s="4">
        <v>531</v>
      </c>
      <c r="D56" s="5">
        <f t="shared" si="0"/>
        <v>6372</v>
      </c>
      <c r="E56" s="4">
        <v>531</v>
      </c>
      <c r="F56" s="5">
        <v>366</v>
      </c>
      <c r="G56" s="5">
        <v>750.61800000000005</v>
      </c>
      <c r="H56" s="6">
        <v>561</v>
      </c>
      <c r="I56" s="5">
        <v>1056</v>
      </c>
      <c r="J56" s="5">
        <v>132</v>
      </c>
      <c r="K56" s="5">
        <v>280.5</v>
      </c>
      <c r="L56" s="5">
        <v>131.76</v>
      </c>
      <c r="M56" s="5">
        <v>79.679999999999993</v>
      </c>
      <c r="N56" s="5">
        <v>160</v>
      </c>
      <c r="O56" s="5">
        <v>4</v>
      </c>
      <c r="P56" s="7">
        <f t="shared" si="1"/>
        <v>10049.118</v>
      </c>
    </row>
    <row r="57" spans="1:16" x14ac:dyDescent="0.25">
      <c r="A57" s="2" t="s">
        <v>14</v>
      </c>
      <c r="B57" s="3" t="s">
        <v>79</v>
      </c>
      <c r="C57" s="4">
        <v>531</v>
      </c>
      <c r="D57" s="5">
        <f t="shared" si="0"/>
        <v>6372</v>
      </c>
      <c r="E57" s="4">
        <v>531</v>
      </c>
      <c r="F57" s="5">
        <v>366</v>
      </c>
      <c r="G57" s="5">
        <v>750.61800000000005</v>
      </c>
      <c r="H57" s="6">
        <v>561</v>
      </c>
      <c r="I57" s="5">
        <v>1056</v>
      </c>
      <c r="J57" s="5">
        <v>132</v>
      </c>
      <c r="K57" s="5">
        <v>280.5</v>
      </c>
      <c r="L57" s="5">
        <v>43.92</v>
      </c>
      <c r="M57" s="5">
        <v>111.60000000000001</v>
      </c>
      <c r="N57" s="5">
        <v>160</v>
      </c>
      <c r="O57" s="5">
        <v>4</v>
      </c>
      <c r="P57" s="7">
        <f t="shared" si="1"/>
        <v>10049.118</v>
      </c>
    </row>
    <row r="58" spans="1:16" x14ac:dyDescent="0.25">
      <c r="A58" s="2" t="s">
        <v>14</v>
      </c>
      <c r="B58" s="3" t="s">
        <v>80</v>
      </c>
      <c r="C58" s="8">
        <v>531</v>
      </c>
      <c r="D58" s="5">
        <f t="shared" si="0"/>
        <v>6372</v>
      </c>
      <c r="E58" s="8">
        <v>531</v>
      </c>
      <c r="F58" s="5">
        <v>366</v>
      </c>
      <c r="G58" s="5">
        <v>750.61800000000005</v>
      </c>
      <c r="H58" s="6">
        <v>561</v>
      </c>
      <c r="I58" s="5">
        <v>1056</v>
      </c>
      <c r="J58" s="5">
        <v>132</v>
      </c>
      <c r="K58" s="5">
        <v>280.5</v>
      </c>
      <c r="L58" s="5">
        <v>87.84</v>
      </c>
      <c r="M58" s="5">
        <v>111.60000000000001</v>
      </c>
      <c r="N58" s="5">
        <v>160</v>
      </c>
      <c r="O58" s="5">
        <v>4</v>
      </c>
      <c r="P58" s="7">
        <f t="shared" si="1"/>
        <v>10049.118</v>
      </c>
    </row>
    <row r="59" spans="1:16" x14ac:dyDescent="0.25">
      <c r="A59" s="2" t="s">
        <v>14</v>
      </c>
      <c r="B59" s="3" t="s">
        <v>81</v>
      </c>
      <c r="C59" s="4">
        <v>531</v>
      </c>
      <c r="D59" s="5">
        <f t="shared" si="0"/>
        <v>6372</v>
      </c>
      <c r="E59" s="4">
        <v>531</v>
      </c>
      <c r="F59" s="5">
        <v>366</v>
      </c>
      <c r="G59" s="5">
        <v>750.61800000000005</v>
      </c>
      <c r="H59" s="6">
        <v>561</v>
      </c>
      <c r="I59" s="5">
        <v>1056</v>
      </c>
      <c r="J59" s="5">
        <v>132</v>
      </c>
      <c r="K59" s="5">
        <v>280.5</v>
      </c>
      <c r="L59" s="5">
        <v>0</v>
      </c>
      <c r="M59" s="5">
        <v>127.44</v>
      </c>
      <c r="N59" s="5">
        <v>160</v>
      </c>
      <c r="O59" s="5">
        <v>4</v>
      </c>
      <c r="P59" s="7">
        <f t="shared" si="1"/>
        <v>10049.118</v>
      </c>
    </row>
    <row r="60" spans="1:16" x14ac:dyDescent="0.25">
      <c r="A60" s="2" t="s">
        <v>14</v>
      </c>
      <c r="B60" s="3" t="s">
        <v>82</v>
      </c>
      <c r="C60" s="4">
        <v>531</v>
      </c>
      <c r="D60" s="5">
        <f t="shared" si="0"/>
        <v>6372</v>
      </c>
      <c r="E60" s="4">
        <v>531</v>
      </c>
      <c r="F60" s="5">
        <v>366</v>
      </c>
      <c r="G60" s="5">
        <v>750.61800000000005</v>
      </c>
      <c r="H60" s="6">
        <v>561</v>
      </c>
      <c r="I60" s="5">
        <v>1056</v>
      </c>
      <c r="J60" s="5">
        <v>132</v>
      </c>
      <c r="K60" s="5">
        <v>280.5</v>
      </c>
      <c r="L60" s="5">
        <v>219.60000000000002</v>
      </c>
      <c r="M60" s="5">
        <v>79.679999999999993</v>
      </c>
      <c r="N60" s="5">
        <v>160</v>
      </c>
      <c r="O60" s="5">
        <v>4</v>
      </c>
      <c r="P60" s="7">
        <f t="shared" si="1"/>
        <v>10049.118</v>
      </c>
    </row>
    <row r="61" spans="1:16" x14ac:dyDescent="0.25">
      <c r="A61" s="2" t="s">
        <v>14</v>
      </c>
      <c r="B61" s="3" t="s">
        <v>83</v>
      </c>
      <c r="C61" s="4">
        <v>531</v>
      </c>
      <c r="D61" s="5">
        <f t="shared" si="0"/>
        <v>6372</v>
      </c>
      <c r="E61" s="4">
        <v>531</v>
      </c>
      <c r="F61" s="5">
        <v>366</v>
      </c>
      <c r="G61" s="5">
        <v>750.61800000000005</v>
      </c>
      <c r="H61" s="6">
        <v>561</v>
      </c>
      <c r="I61" s="5">
        <v>1056</v>
      </c>
      <c r="J61" s="5">
        <v>132</v>
      </c>
      <c r="K61" s="5">
        <v>280.5</v>
      </c>
      <c r="L61" s="5">
        <v>0</v>
      </c>
      <c r="M61" s="5">
        <v>127.44</v>
      </c>
      <c r="N61" s="5">
        <v>160</v>
      </c>
      <c r="O61" s="5">
        <v>4</v>
      </c>
      <c r="P61" s="7">
        <f t="shared" si="1"/>
        <v>10049.118</v>
      </c>
    </row>
    <row r="62" spans="1:16" x14ac:dyDescent="0.25">
      <c r="A62" s="2" t="s">
        <v>14</v>
      </c>
      <c r="B62" s="3" t="s">
        <v>84</v>
      </c>
      <c r="C62" s="4">
        <v>531</v>
      </c>
      <c r="D62" s="5">
        <f t="shared" si="0"/>
        <v>6372</v>
      </c>
      <c r="E62" s="4">
        <v>531</v>
      </c>
      <c r="F62" s="5">
        <v>366</v>
      </c>
      <c r="G62" s="5">
        <v>750.61800000000005</v>
      </c>
      <c r="H62" s="6">
        <v>561</v>
      </c>
      <c r="I62" s="5">
        <v>1056</v>
      </c>
      <c r="J62" s="5">
        <v>132</v>
      </c>
      <c r="K62" s="5">
        <v>280.5</v>
      </c>
      <c r="L62" s="5">
        <v>87.84</v>
      </c>
      <c r="M62" s="5">
        <v>47.76</v>
      </c>
      <c r="N62" s="5">
        <v>160</v>
      </c>
      <c r="O62" s="5">
        <v>4</v>
      </c>
      <c r="P62" s="7">
        <f t="shared" si="1"/>
        <v>10049.118</v>
      </c>
    </row>
    <row r="63" spans="1:16" x14ac:dyDescent="0.25">
      <c r="A63" s="2" t="s">
        <v>14</v>
      </c>
      <c r="B63" s="3" t="s">
        <v>85</v>
      </c>
      <c r="C63" s="4">
        <v>531</v>
      </c>
      <c r="D63" s="5">
        <f t="shared" si="0"/>
        <v>6372</v>
      </c>
      <c r="E63" s="4">
        <v>531</v>
      </c>
      <c r="F63" s="5">
        <v>366</v>
      </c>
      <c r="G63" s="5">
        <v>750.61800000000005</v>
      </c>
      <c r="H63" s="6">
        <v>561</v>
      </c>
      <c r="I63" s="5">
        <v>1056</v>
      </c>
      <c r="J63" s="5">
        <v>132</v>
      </c>
      <c r="K63" s="5">
        <v>280.5</v>
      </c>
      <c r="L63" s="5">
        <v>87.84</v>
      </c>
      <c r="M63" s="5">
        <v>143.39999999999998</v>
      </c>
      <c r="N63" s="5">
        <v>160</v>
      </c>
      <c r="O63" s="5">
        <v>4</v>
      </c>
      <c r="P63" s="7">
        <f t="shared" si="1"/>
        <v>10049.118</v>
      </c>
    </row>
    <row r="64" spans="1:16" ht="22.5" x14ac:dyDescent="0.25">
      <c r="A64" s="2" t="s">
        <v>86</v>
      </c>
      <c r="B64" s="3" t="s">
        <v>87</v>
      </c>
      <c r="C64" s="4">
        <v>531</v>
      </c>
      <c r="D64" s="5">
        <f t="shared" si="0"/>
        <v>6372</v>
      </c>
      <c r="E64" s="4">
        <v>531</v>
      </c>
      <c r="F64" s="5">
        <v>366</v>
      </c>
      <c r="G64" s="5">
        <v>750.61800000000005</v>
      </c>
      <c r="H64" s="6">
        <v>561</v>
      </c>
      <c r="I64" s="5">
        <v>1056</v>
      </c>
      <c r="J64" s="5">
        <v>132</v>
      </c>
      <c r="K64" s="5">
        <v>280.5</v>
      </c>
      <c r="L64" s="5">
        <v>87.84</v>
      </c>
      <c r="M64" s="5">
        <v>143.39999999999998</v>
      </c>
      <c r="N64" s="5">
        <v>160</v>
      </c>
      <c r="O64" s="5">
        <v>4</v>
      </c>
      <c r="P64" s="7">
        <f t="shared" si="1"/>
        <v>10049.118</v>
      </c>
    </row>
    <row r="65" spans="1:16" ht="25.5" x14ac:dyDescent="0.25">
      <c r="A65" s="2" t="s">
        <v>45</v>
      </c>
      <c r="B65" s="3" t="s">
        <v>88</v>
      </c>
      <c r="C65" s="4">
        <v>531</v>
      </c>
      <c r="D65" s="5">
        <f t="shared" si="0"/>
        <v>6372</v>
      </c>
      <c r="E65" s="4">
        <v>531</v>
      </c>
      <c r="F65" s="5">
        <v>366</v>
      </c>
      <c r="G65" s="5">
        <v>750.61800000000005</v>
      </c>
      <c r="H65" s="6">
        <v>561</v>
      </c>
      <c r="I65" s="5">
        <v>1056</v>
      </c>
      <c r="J65" s="5">
        <v>132</v>
      </c>
      <c r="K65" s="5">
        <v>280.5</v>
      </c>
      <c r="L65" s="5">
        <v>0</v>
      </c>
      <c r="M65" s="5">
        <v>0</v>
      </c>
      <c r="N65" s="5">
        <v>160</v>
      </c>
      <c r="O65" s="5">
        <v>4</v>
      </c>
      <c r="P65" s="7">
        <f t="shared" si="1"/>
        <v>10049.118</v>
      </c>
    </row>
    <row r="66" spans="1:16" x14ac:dyDescent="0.25">
      <c r="A66" s="2" t="s">
        <v>14</v>
      </c>
      <c r="B66" s="3" t="s">
        <v>89</v>
      </c>
      <c r="C66" s="4">
        <v>531</v>
      </c>
      <c r="D66" s="5">
        <f t="shared" ref="D66:D100" si="2">C66*12</f>
        <v>6372</v>
      </c>
      <c r="E66" s="4">
        <v>531</v>
      </c>
      <c r="F66" s="5">
        <v>366</v>
      </c>
      <c r="G66" s="5">
        <v>750.61800000000005</v>
      </c>
      <c r="H66" s="6">
        <v>561</v>
      </c>
      <c r="I66" s="5">
        <v>1056</v>
      </c>
      <c r="J66" s="5">
        <v>132</v>
      </c>
      <c r="K66" s="5">
        <v>280.5</v>
      </c>
      <c r="L66" s="5">
        <v>0</v>
      </c>
      <c r="M66" s="5">
        <v>159.35999999999999</v>
      </c>
      <c r="N66" s="5">
        <v>160</v>
      </c>
      <c r="O66" s="5">
        <v>4</v>
      </c>
      <c r="P66" s="7">
        <f t="shared" ref="P66:P100" si="3">SUM(D66:K66)</f>
        <v>10049.118</v>
      </c>
    </row>
    <row r="67" spans="1:16" ht="25.5" x14ac:dyDescent="0.25">
      <c r="A67" s="14" t="s">
        <v>90</v>
      </c>
      <c r="B67" s="3" t="s">
        <v>91</v>
      </c>
      <c r="C67" s="10">
        <v>876</v>
      </c>
      <c r="D67" s="5">
        <f t="shared" si="2"/>
        <v>10512</v>
      </c>
      <c r="E67" s="10">
        <v>876</v>
      </c>
      <c r="F67" s="5">
        <v>366</v>
      </c>
      <c r="G67" s="5">
        <v>1212.2280000000001</v>
      </c>
      <c r="H67" s="12">
        <v>906</v>
      </c>
      <c r="I67" s="5">
        <v>1056</v>
      </c>
      <c r="J67" s="5">
        <v>132</v>
      </c>
      <c r="K67" s="5">
        <v>453</v>
      </c>
      <c r="L67" s="5">
        <v>0</v>
      </c>
      <c r="M67" s="5">
        <v>0</v>
      </c>
      <c r="N67" s="5">
        <v>160</v>
      </c>
      <c r="O67" s="5">
        <v>4</v>
      </c>
      <c r="P67" s="7">
        <f t="shared" si="3"/>
        <v>15513.227999999999</v>
      </c>
    </row>
    <row r="68" spans="1:16" x14ac:dyDescent="0.25">
      <c r="A68" s="2" t="s">
        <v>92</v>
      </c>
      <c r="B68" s="3" t="s">
        <v>93</v>
      </c>
      <c r="C68" s="4">
        <v>584</v>
      </c>
      <c r="D68" s="5">
        <f t="shared" si="2"/>
        <v>7008</v>
      </c>
      <c r="E68" s="4">
        <v>584</v>
      </c>
      <c r="F68" s="5">
        <v>366</v>
      </c>
      <c r="G68" s="5">
        <v>797.44800000000009</v>
      </c>
      <c r="H68" s="6">
        <v>596</v>
      </c>
      <c r="I68" s="5">
        <v>1056</v>
      </c>
      <c r="J68" s="5">
        <v>132</v>
      </c>
      <c r="K68" s="5">
        <v>298</v>
      </c>
      <c r="L68" s="5">
        <v>0</v>
      </c>
      <c r="M68" s="5">
        <v>87.6</v>
      </c>
      <c r="N68" s="5">
        <v>160</v>
      </c>
      <c r="O68" s="5">
        <v>4</v>
      </c>
      <c r="P68" s="7">
        <f t="shared" si="3"/>
        <v>10837.448</v>
      </c>
    </row>
    <row r="69" spans="1:16" x14ac:dyDescent="0.25">
      <c r="A69" s="2" t="s">
        <v>14</v>
      </c>
      <c r="B69" s="3" t="s">
        <v>94</v>
      </c>
      <c r="C69" s="4">
        <v>531</v>
      </c>
      <c r="D69" s="5">
        <f t="shared" si="2"/>
        <v>6372</v>
      </c>
      <c r="E69" s="4">
        <v>531</v>
      </c>
      <c r="F69" s="5">
        <v>366</v>
      </c>
      <c r="G69" s="5">
        <v>750.61800000000005</v>
      </c>
      <c r="H69" s="6">
        <v>561</v>
      </c>
      <c r="I69" s="5">
        <v>1056</v>
      </c>
      <c r="J69" s="5">
        <v>132</v>
      </c>
      <c r="K69" s="5">
        <v>280.5</v>
      </c>
      <c r="L69" s="5">
        <v>0</v>
      </c>
      <c r="M69" s="5">
        <v>95.64</v>
      </c>
      <c r="N69" s="5">
        <v>160</v>
      </c>
      <c r="O69" s="5">
        <v>4</v>
      </c>
      <c r="P69" s="7">
        <f t="shared" si="3"/>
        <v>10049.118</v>
      </c>
    </row>
    <row r="70" spans="1:16" x14ac:dyDescent="0.25">
      <c r="A70" s="15" t="s">
        <v>14</v>
      </c>
      <c r="B70" s="3" t="s">
        <v>95</v>
      </c>
      <c r="C70" s="4">
        <v>531</v>
      </c>
      <c r="D70" s="5">
        <f t="shared" si="2"/>
        <v>6372</v>
      </c>
      <c r="E70" s="4">
        <v>531</v>
      </c>
      <c r="F70" s="5">
        <v>366</v>
      </c>
      <c r="G70" s="5">
        <v>750.61800000000005</v>
      </c>
      <c r="H70" s="6">
        <v>561</v>
      </c>
      <c r="I70" s="5">
        <v>1056</v>
      </c>
      <c r="J70" s="5">
        <v>132</v>
      </c>
      <c r="K70" s="5">
        <v>280.5</v>
      </c>
      <c r="L70" s="5">
        <v>0</v>
      </c>
      <c r="M70" s="5">
        <v>63.72</v>
      </c>
      <c r="N70" s="5">
        <v>160</v>
      </c>
      <c r="O70" s="5">
        <v>4</v>
      </c>
      <c r="P70" s="7">
        <f t="shared" si="3"/>
        <v>10049.118</v>
      </c>
    </row>
    <row r="71" spans="1:16" x14ac:dyDescent="0.25">
      <c r="A71" s="2" t="s">
        <v>14</v>
      </c>
      <c r="B71" s="3" t="s">
        <v>96</v>
      </c>
      <c r="C71" s="4">
        <v>566</v>
      </c>
      <c r="D71" s="5">
        <f t="shared" si="2"/>
        <v>6792</v>
      </c>
      <c r="E71" s="4">
        <v>566</v>
      </c>
      <c r="F71" s="5">
        <v>366</v>
      </c>
      <c r="G71" s="5">
        <v>797.44800000000009</v>
      </c>
      <c r="H71" s="6">
        <v>596</v>
      </c>
      <c r="I71" s="5">
        <v>1056</v>
      </c>
      <c r="J71" s="5">
        <v>132</v>
      </c>
      <c r="K71" s="5">
        <v>298</v>
      </c>
      <c r="L71" s="5">
        <v>0</v>
      </c>
      <c r="M71" s="5">
        <v>0</v>
      </c>
      <c r="N71" s="5">
        <v>160</v>
      </c>
      <c r="O71" s="5">
        <v>4</v>
      </c>
      <c r="P71" s="7">
        <f t="shared" si="3"/>
        <v>10603.448</v>
      </c>
    </row>
    <row r="72" spans="1:16" x14ac:dyDescent="0.25">
      <c r="A72" s="2" t="s">
        <v>97</v>
      </c>
      <c r="B72" s="3" t="s">
        <v>98</v>
      </c>
      <c r="C72" s="4">
        <v>566</v>
      </c>
      <c r="D72" s="5">
        <f t="shared" si="2"/>
        <v>6792</v>
      </c>
      <c r="E72" s="4">
        <v>566</v>
      </c>
      <c r="F72" s="5">
        <v>366</v>
      </c>
      <c r="G72" s="5">
        <v>797.44800000000009</v>
      </c>
      <c r="H72" s="6">
        <v>596</v>
      </c>
      <c r="I72" s="5">
        <v>1056</v>
      </c>
      <c r="J72" s="5">
        <v>132</v>
      </c>
      <c r="K72" s="5">
        <v>298</v>
      </c>
      <c r="L72" s="5">
        <v>0</v>
      </c>
      <c r="M72" s="5">
        <v>0</v>
      </c>
      <c r="N72" s="5">
        <v>160</v>
      </c>
      <c r="O72" s="5">
        <v>4</v>
      </c>
      <c r="P72" s="7">
        <f t="shared" si="3"/>
        <v>10603.448</v>
      </c>
    </row>
    <row r="73" spans="1:16" x14ac:dyDescent="0.25">
      <c r="A73" s="2" t="s">
        <v>21</v>
      </c>
      <c r="B73" s="9" t="s">
        <v>99</v>
      </c>
      <c r="C73" s="4">
        <v>708</v>
      </c>
      <c r="D73" s="5">
        <f t="shared" si="2"/>
        <v>8496</v>
      </c>
      <c r="E73" s="4">
        <v>708</v>
      </c>
      <c r="F73" s="5">
        <v>366</v>
      </c>
      <c r="G73" s="5">
        <v>987.44400000000007</v>
      </c>
      <c r="H73" s="6">
        <v>738</v>
      </c>
      <c r="I73" s="5">
        <v>1056</v>
      </c>
      <c r="J73" s="5">
        <v>132</v>
      </c>
      <c r="K73" s="5">
        <v>369</v>
      </c>
      <c r="L73" s="5">
        <v>0</v>
      </c>
      <c r="M73" s="5">
        <v>148.68</v>
      </c>
      <c r="N73" s="5">
        <v>160</v>
      </c>
      <c r="O73" s="5">
        <v>4</v>
      </c>
      <c r="P73" s="7">
        <f t="shared" si="3"/>
        <v>12852.444</v>
      </c>
    </row>
    <row r="74" spans="1:16" x14ac:dyDescent="0.25">
      <c r="A74" s="14" t="s">
        <v>16</v>
      </c>
      <c r="B74" s="3" t="s">
        <v>100</v>
      </c>
      <c r="C74" s="16">
        <v>584</v>
      </c>
      <c r="D74" s="5">
        <f t="shared" si="2"/>
        <v>7008</v>
      </c>
      <c r="E74" s="16">
        <v>584</v>
      </c>
      <c r="F74" s="5">
        <v>366</v>
      </c>
      <c r="G74" s="5">
        <v>797.44800000000009</v>
      </c>
      <c r="H74" s="12">
        <v>596</v>
      </c>
      <c r="I74" s="5">
        <v>1056</v>
      </c>
      <c r="J74" s="5">
        <v>132</v>
      </c>
      <c r="K74" s="5">
        <v>298</v>
      </c>
      <c r="L74" s="5">
        <v>131.76</v>
      </c>
      <c r="M74" s="5">
        <v>122.64000000000001</v>
      </c>
      <c r="N74" s="5">
        <v>160</v>
      </c>
      <c r="O74" s="5">
        <v>4</v>
      </c>
      <c r="P74" s="7">
        <f t="shared" si="3"/>
        <v>10837.448</v>
      </c>
    </row>
    <row r="75" spans="1:16" x14ac:dyDescent="0.25">
      <c r="A75" s="2" t="s">
        <v>21</v>
      </c>
      <c r="B75" s="9" t="s">
        <v>101</v>
      </c>
      <c r="C75" s="4">
        <v>708</v>
      </c>
      <c r="D75" s="5">
        <f t="shared" si="2"/>
        <v>8496</v>
      </c>
      <c r="E75" s="4">
        <v>708</v>
      </c>
      <c r="F75" s="5">
        <v>366</v>
      </c>
      <c r="G75" s="5">
        <v>987.44400000000007</v>
      </c>
      <c r="H75" s="6">
        <v>738</v>
      </c>
      <c r="I75" s="5">
        <v>1056</v>
      </c>
      <c r="J75" s="5">
        <v>132</v>
      </c>
      <c r="K75" s="5">
        <v>369</v>
      </c>
      <c r="L75" s="5">
        <v>131.76</v>
      </c>
      <c r="M75" s="5">
        <v>169.92000000000002</v>
      </c>
      <c r="N75" s="5">
        <v>160</v>
      </c>
      <c r="O75" s="5">
        <v>4</v>
      </c>
      <c r="P75" s="7">
        <f t="shared" si="3"/>
        <v>12852.444</v>
      </c>
    </row>
    <row r="76" spans="1:16" x14ac:dyDescent="0.25">
      <c r="A76" s="2" t="s">
        <v>14</v>
      </c>
      <c r="B76" s="3" t="s">
        <v>102</v>
      </c>
      <c r="C76" s="4">
        <v>531</v>
      </c>
      <c r="D76" s="5">
        <f t="shared" si="2"/>
        <v>6372</v>
      </c>
      <c r="E76" s="4">
        <v>531</v>
      </c>
      <c r="F76" s="5">
        <v>366</v>
      </c>
      <c r="G76" s="5">
        <v>750.61800000000005</v>
      </c>
      <c r="H76" s="6">
        <v>561</v>
      </c>
      <c r="I76" s="5">
        <v>1056</v>
      </c>
      <c r="J76" s="5">
        <v>132</v>
      </c>
      <c r="K76" s="5">
        <v>280.5</v>
      </c>
      <c r="L76" s="5">
        <v>131.76</v>
      </c>
      <c r="M76" s="5">
        <v>95.64</v>
      </c>
      <c r="N76" s="5">
        <v>160</v>
      </c>
      <c r="O76" s="5">
        <v>4</v>
      </c>
      <c r="P76" s="7">
        <f t="shared" si="3"/>
        <v>10049.118</v>
      </c>
    </row>
    <row r="77" spans="1:16" x14ac:dyDescent="0.25">
      <c r="A77" s="2" t="s">
        <v>45</v>
      </c>
      <c r="B77" s="3" t="s">
        <v>103</v>
      </c>
      <c r="C77" s="4">
        <v>531</v>
      </c>
      <c r="D77" s="5">
        <f t="shared" si="2"/>
        <v>6372</v>
      </c>
      <c r="E77" s="4">
        <v>531</v>
      </c>
      <c r="F77" s="5">
        <v>366</v>
      </c>
      <c r="G77" s="5">
        <v>750.61800000000005</v>
      </c>
      <c r="H77" s="6">
        <v>561</v>
      </c>
      <c r="I77" s="5">
        <v>1056</v>
      </c>
      <c r="J77" s="5">
        <v>132</v>
      </c>
      <c r="K77" s="5">
        <v>280.5</v>
      </c>
      <c r="L77" s="5">
        <v>0</v>
      </c>
      <c r="M77" s="5">
        <v>79.679999999999993</v>
      </c>
      <c r="N77" s="5">
        <v>160</v>
      </c>
      <c r="O77" s="5">
        <v>4</v>
      </c>
      <c r="P77" s="7">
        <f t="shared" si="3"/>
        <v>10049.118</v>
      </c>
    </row>
    <row r="78" spans="1:16" x14ac:dyDescent="0.25">
      <c r="A78" s="2" t="s">
        <v>14</v>
      </c>
      <c r="B78" s="3" t="s">
        <v>104</v>
      </c>
      <c r="C78" s="4">
        <v>531</v>
      </c>
      <c r="D78" s="5">
        <f t="shared" si="2"/>
        <v>6372</v>
      </c>
      <c r="E78" s="4">
        <v>531</v>
      </c>
      <c r="F78" s="5">
        <v>366</v>
      </c>
      <c r="G78" s="5">
        <v>750.61800000000005</v>
      </c>
      <c r="H78" s="6">
        <v>561</v>
      </c>
      <c r="I78" s="5">
        <v>1056</v>
      </c>
      <c r="J78" s="5">
        <v>132</v>
      </c>
      <c r="K78" s="5">
        <v>280.5</v>
      </c>
      <c r="L78" s="5">
        <v>131.76</v>
      </c>
      <c r="M78" s="5">
        <v>127.44</v>
      </c>
      <c r="N78" s="5">
        <v>160</v>
      </c>
      <c r="O78" s="5">
        <v>4</v>
      </c>
      <c r="P78" s="7">
        <f t="shared" si="3"/>
        <v>10049.118</v>
      </c>
    </row>
    <row r="79" spans="1:16" x14ac:dyDescent="0.25">
      <c r="A79" s="2" t="s">
        <v>14</v>
      </c>
      <c r="B79" s="3" t="s">
        <v>105</v>
      </c>
      <c r="C79" s="4">
        <v>531</v>
      </c>
      <c r="D79" s="5">
        <f t="shared" si="2"/>
        <v>6372</v>
      </c>
      <c r="E79" s="4">
        <v>531</v>
      </c>
      <c r="F79" s="5">
        <v>366</v>
      </c>
      <c r="G79" s="5">
        <v>750.61800000000005</v>
      </c>
      <c r="H79" s="6">
        <v>561</v>
      </c>
      <c r="I79" s="5">
        <v>1056</v>
      </c>
      <c r="J79" s="5">
        <v>132</v>
      </c>
      <c r="K79" s="5">
        <v>280.5</v>
      </c>
      <c r="L79" s="5">
        <v>43.92</v>
      </c>
      <c r="M79" s="5">
        <v>95.64</v>
      </c>
      <c r="N79" s="5">
        <v>160</v>
      </c>
      <c r="O79" s="5">
        <v>4</v>
      </c>
      <c r="P79" s="7">
        <f t="shared" si="3"/>
        <v>10049.118</v>
      </c>
    </row>
    <row r="80" spans="1:16" x14ac:dyDescent="0.25">
      <c r="A80" s="2" t="s">
        <v>106</v>
      </c>
      <c r="B80" s="3" t="s">
        <v>107</v>
      </c>
      <c r="C80" s="4">
        <v>494.1</v>
      </c>
      <c r="D80" s="5">
        <f t="shared" si="2"/>
        <v>5929.2000000000007</v>
      </c>
      <c r="E80" s="4">
        <v>494.1</v>
      </c>
      <c r="F80" s="5">
        <v>366</v>
      </c>
      <c r="G80" s="5">
        <v>661.10580000000004</v>
      </c>
      <c r="H80" s="6">
        <v>494.1</v>
      </c>
      <c r="I80" s="5">
        <v>1056</v>
      </c>
      <c r="J80" s="5">
        <v>132</v>
      </c>
      <c r="K80" s="5">
        <v>247.05</v>
      </c>
      <c r="L80" s="5">
        <v>0</v>
      </c>
      <c r="M80" s="5">
        <v>0</v>
      </c>
      <c r="N80" s="5">
        <v>160</v>
      </c>
      <c r="O80" s="5">
        <v>4</v>
      </c>
      <c r="P80" s="7">
        <f t="shared" si="3"/>
        <v>9379.5558000000019</v>
      </c>
    </row>
    <row r="81" spans="1:16" x14ac:dyDescent="0.25">
      <c r="A81" s="2" t="s">
        <v>14</v>
      </c>
      <c r="B81" s="3" t="s">
        <v>108</v>
      </c>
      <c r="C81" s="4">
        <v>531</v>
      </c>
      <c r="D81" s="5">
        <f t="shared" si="2"/>
        <v>6372</v>
      </c>
      <c r="E81" s="4">
        <v>531</v>
      </c>
      <c r="F81" s="5">
        <v>366</v>
      </c>
      <c r="G81" s="5">
        <v>750.61800000000005</v>
      </c>
      <c r="H81" s="6">
        <v>561</v>
      </c>
      <c r="I81" s="5">
        <v>1056</v>
      </c>
      <c r="J81" s="5">
        <v>132</v>
      </c>
      <c r="K81" s="5">
        <v>280.5</v>
      </c>
      <c r="L81" s="5">
        <v>0</v>
      </c>
      <c r="M81" s="5">
        <v>0</v>
      </c>
      <c r="N81" s="5">
        <v>160</v>
      </c>
      <c r="O81" s="5">
        <v>4</v>
      </c>
      <c r="P81" s="7">
        <f t="shared" si="3"/>
        <v>10049.118</v>
      </c>
    </row>
    <row r="82" spans="1:16" x14ac:dyDescent="0.25">
      <c r="A82" s="2" t="s">
        <v>16</v>
      </c>
      <c r="B82" s="3" t="s">
        <v>109</v>
      </c>
      <c r="C82" s="4">
        <v>584</v>
      </c>
      <c r="D82" s="5">
        <f t="shared" si="2"/>
        <v>7008</v>
      </c>
      <c r="E82" s="4">
        <v>584</v>
      </c>
      <c r="F82" s="5">
        <v>366</v>
      </c>
      <c r="G82" s="5">
        <v>797.44800000000009</v>
      </c>
      <c r="H82" s="6">
        <v>596</v>
      </c>
      <c r="I82" s="5">
        <v>1056</v>
      </c>
      <c r="J82" s="5">
        <v>132</v>
      </c>
      <c r="K82" s="5">
        <v>298</v>
      </c>
      <c r="L82" s="5">
        <v>131.76</v>
      </c>
      <c r="M82" s="5">
        <v>140.16</v>
      </c>
      <c r="N82" s="5">
        <v>160</v>
      </c>
      <c r="O82" s="5">
        <v>4</v>
      </c>
      <c r="P82" s="7">
        <f t="shared" si="3"/>
        <v>10837.448</v>
      </c>
    </row>
    <row r="83" spans="1:16" ht="25.5" x14ac:dyDescent="0.25">
      <c r="A83" s="2" t="s">
        <v>16</v>
      </c>
      <c r="B83" s="3" t="s">
        <v>110</v>
      </c>
      <c r="C83" s="4">
        <v>584</v>
      </c>
      <c r="D83" s="5">
        <f t="shared" si="2"/>
        <v>7008</v>
      </c>
      <c r="E83" s="4">
        <v>584</v>
      </c>
      <c r="F83" s="5">
        <v>366</v>
      </c>
      <c r="G83" s="5">
        <v>797.44800000000009</v>
      </c>
      <c r="H83" s="6">
        <v>596</v>
      </c>
      <c r="I83" s="5">
        <v>1056</v>
      </c>
      <c r="J83" s="5">
        <v>132</v>
      </c>
      <c r="K83" s="5">
        <v>298</v>
      </c>
      <c r="L83" s="5">
        <v>87.84</v>
      </c>
      <c r="M83" s="5">
        <v>192.71999999999997</v>
      </c>
      <c r="N83" s="5">
        <v>160</v>
      </c>
      <c r="O83" s="5">
        <v>4</v>
      </c>
      <c r="P83" s="7">
        <f t="shared" si="3"/>
        <v>10837.448</v>
      </c>
    </row>
    <row r="84" spans="1:16" x14ac:dyDescent="0.25">
      <c r="A84" s="2" t="s">
        <v>14</v>
      </c>
      <c r="B84" s="3" t="s">
        <v>111</v>
      </c>
      <c r="C84" s="8">
        <v>531</v>
      </c>
      <c r="D84" s="5">
        <f t="shared" si="2"/>
        <v>6372</v>
      </c>
      <c r="E84" s="8">
        <v>531</v>
      </c>
      <c r="F84" s="5">
        <v>366</v>
      </c>
      <c r="G84" s="5">
        <v>750.61800000000005</v>
      </c>
      <c r="H84" s="6">
        <v>561</v>
      </c>
      <c r="I84" s="5">
        <v>1056</v>
      </c>
      <c r="J84" s="5">
        <v>132</v>
      </c>
      <c r="K84" s="5">
        <v>280.5</v>
      </c>
      <c r="L84" s="5">
        <v>43.92</v>
      </c>
      <c r="M84" s="5">
        <v>175.44</v>
      </c>
      <c r="N84" s="5">
        <v>160</v>
      </c>
      <c r="O84" s="5">
        <v>4</v>
      </c>
      <c r="P84" s="7">
        <f t="shared" si="3"/>
        <v>10049.118</v>
      </c>
    </row>
    <row r="85" spans="1:16" x14ac:dyDescent="0.25">
      <c r="A85" s="2" t="s">
        <v>16</v>
      </c>
      <c r="B85" s="3" t="s">
        <v>112</v>
      </c>
      <c r="C85" s="4">
        <v>584</v>
      </c>
      <c r="D85" s="5">
        <f t="shared" si="2"/>
        <v>7008</v>
      </c>
      <c r="E85" s="4">
        <v>584</v>
      </c>
      <c r="F85" s="5">
        <v>366</v>
      </c>
      <c r="G85" s="5">
        <v>797.44800000000009</v>
      </c>
      <c r="H85" s="6">
        <v>596</v>
      </c>
      <c r="I85" s="5">
        <v>1056</v>
      </c>
      <c r="J85" s="5">
        <v>132</v>
      </c>
      <c r="K85" s="5">
        <v>298</v>
      </c>
      <c r="L85" s="5">
        <v>0</v>
      </c>
      <c r="M85" s="5">
        <v>192.71999999999997</v>
      </c>
      <c r="N85" s="5">
        <v>160</v>
      </c>
      <c r="O85" s="5">
        <v>4</v>
      </c>
      <c r="P85" s="7">
        <f t="shared" si="3"/>
        <v>10837.448</v>
      </c>
    </row>
    <row r="86" spans="1:16" x14ac:dyDescent="0.25">
      <c r="A86" s="14" t="s">
        <v>14</v>
      </c>
      <c r="B86" s="3" t="s">
        <v>113</v>
      </c>
      <c r="C86" s="10"/>
      <c r="D86" s="11"/>
      <c r="E86" s="10"/>
      <c r="F86" s="11"/>
      <c r="G86" s="11"/>
      <c r="H86" s="12"/>
      <c r="I86" s="11"/>
      <c r="J86" s="11"/>
      <c r="K86" s="11"/>
      <c r="L86" s="11">
        <v>0</v>
      </c>
      <c r="M86" s="11">
        <v>0</v>
      </c>
      <c r="N86" s="11"/>
      <c r="O86" s="11"/>
      <c r="P86" s="13"/>
    </row>
    <row r="87" spans="1:16" x14ac:dyDescent="0.25">
      <c r="A87" s="14" t="s">
        <v>14</v>
      </c>
      <c r="B87" s="3" t="s">
        <v>114</v>
      </c>
      <c r="C87" s="10"/>
      <c r="D87" s="11"/>
      <c r="E87" s="10"/>
      <c r="F87" s="11"/>
      <c r="G87" s="11"/>
      <c r="H87" s="12"/>
      <c r="I87" s="11"/>
      <c r="J87" s="11"/>
      <c r="K87" s="11"/>
      <c r="L87" s="11">
        <v>0</v>
      </c>
      <c r="M87" s="11">
        <v>0</v>
      </c>
      <c r="N87" s="11"/>
      <c r="O87" s="11"/>
      <c r="P87" s="13"/>
    </row>
    <row r="88" spans="1:16" x14ac:dyDescent="0.25">
      <c r="A88" s="14" t="s">
        <v>14</v>
      </c>
      <c r="B88" s="3" t="s">
        <v>115</v>
      </c>
      <c r="C88" s="10"/>
      <c r="D88" s="11"/>
      <c r="E88" s="10"/>
      <c r="F88" s="11"/>
      <c r="G88" s="11"/>
      <c r="H88" s="12"/>
      <c r="I88" s="11"/>
      <c r="J88" s="11"/>
      <c r="K88" s="11"/>
      <c r="L88" s="11">
        <v>0</v>
      </c>
      <c r="M88" s="11">
        <v>0</v>
      </c>
      <c r="N88" s="11"/>
      <c r="O88" s="11"/>
      <c r="P88" s="13"/>
    </row>
    <row r="89" spans="1:16" ht="25.5" x14ac:dyDescent="0.25">
      <c r="A89" s="14" t="s">
        <v>14</v>
      </c>
      <c r="B89" s="3" t="s">
        <v>116</v>
      </c>
      <c r="C89" s="10">
        <v>531</v>
      </c>
      <c r="D89" s="5">
        <f t="shared" si="2"/>
        <v>6372</v>
      </c>
      <c r="E89" s="10">
        <v>531</v>
      </c>
      <c r="F89" s="5">
        <v>366</v>
      </c>
      <c r="G89" s="5">
        <v>750.61800000000005</v>
      </c>
      <c r="H89" s="12">
        <v>561</v>
      </c>
      <c r="I89" s="5">
        <v>1056</v>
      </c>
      <c r="J89" s="5">
        <v>132</v>
      </c>
      <c r="K89" s="5">
        <v>280.5</v>
      </c>
      <c r="L89" s="5">
        <v>87.84</v>
      </c>
      <c r="M89" s="5">
        <v>159.35999999999999</v>
      </c>
      <c r="N89" s="5">
        <v>160</v>
      </c>
      <c r="O89" s="5">
        <v>4</v>
      </c>
      <c r="P89" s="7">
        <f t="shared" si="3"/>
        <v>10049.118</v>
      </c>
    </row>
    <row r="90" spans="1:16" x14ac:dyDescent="0.25">
      <c r="A90" s="2" t="s">
        <v>14</v>
      </c>
      <c r="B90" s="3" t="s">
        <v>117</v>
      </c>
      <c r="C90" s="4">
        <v>531</v>
      </c>
      <c r="D90" s="5">
        <f t="shared" si="2"/>
        <v>6372</v>
      </c>
      <c r="E90" s="4">
        <v>531</v>
      </c>
      <c r="F90" s="5">
        <v>366</v>
      </c>
      <c r="G90" s="5">
        <v>750.61800000000005</v>
      </c>
      <c r="H90" s="6">
        <v>561</v>
      </c>
      <c r="I90" s="5">
        <v>1056</v>
      </c>
      <c r="J90" s="5">
        <v>132</v>
      </c>
      <c r="K90" s="5">
        <v>280.5</v>
      </c>
      <c r="L90" s="5">
        <v>87.84</v>
      </c>
      <c r="M90" s="5">
        <v>111.60000000000001</v>
      </c>
      <c r="N90" s="5">
        <v>160</v>
      </c>
      <c r="O90" s="5">
        <v>4</v>
      </c>
      <c r="P90" s="7">
        <f t="shared" si="3"/>
        <v>10049.118</v>
      </c>
    </row>
    <row r="91" spans="1:16" x14ac:dyDescent="0.25">
      <c r="A91" s="2" t="s">
        <v>14</v>
      </c>
      <c r="B91" s="3" t="s">
        <v>118</v>
      </c>
      <c r="C91" s="4">
        <v>531</v>
      </c>
      <c r="D91" s="5">
        <f t="shared" si="2"/>
        <v>6372</v>
      </c>
      <c r="E91" s="4">
        <v>531</v>
      </c>
      <c r="F91" s="5">
        <v>366</v>
      </c>
      <c r="G91" s="5">
        <v>750.61800000000005</v>
      </c>
      <c r="H91" s="6">
        <v>561</v>
      </c>
      <c r="I91" s="5">
        <v>1056</v>
      </c>
      <c r="J91" s="5">
        <v>132</v>
      </c>
      <c r="K91" s="5">
        <v>280.5</v>
      </c>
      <c r="L91" s="5">
        <v>0</v>
      </c>
      <c r="M91" s="5">
        <v>143.39999999999998</v>
      </c>
      <c r="N91" s="5">
        <v>160</v>
      </c>
      <c r="O91" s="5">
        <v>4</v>
      </c>
      <c r="P91" s="7">
        <f t="shared" si="3"/>
        <v>10049.118</v>
      </c>
    </row>
    <row r="92" spans="1:16" x14ac:dyDescent="0.25">
      <c r="A92" s="17" t="s">
        <v>14</v>
      </c>
      <c r="B92" s="3" t="s">
        <v>119</v>
      </c>
      <c r="C92" s="18">
        <v>531</v>
      </c>
      <c r="D92" s="5">
        <f t="shared" si="2"/>
        <v>6372</v>
      </c>
      <c r="E92" s="18">
        <v>531</v>
      </c>
      <c r="F92" s="5">
        <v>366</v>
      </c>
      <c r="G92" s="5">
        <v>750.61800000000005</v>
      </c>
      <c r="H92" s="6">
        <v>561</v>
      </c>
      <c r="I92" s="5">
        <v>1056</v>
      </c>
      <c r="J92" s="5">
        <v>132</v>
      </c>
      <c r="K92" s="5">
        <v>280.5</v>
      </c>
      <c r="L92" s="5">
        <v>0</v>
      </c>
      <c r="M92" s="5">
        <v>143.39999999999998</v>
      </c>
      <c r="N92" s="5">
        <v>160</v>
      </c>
      <c r="O92" s="5">
        <v>4</v>
      </c>
      <c r="P92" s="7">
        <f t="shared" si="3"/>
        <v>10049.118</v>
      </c>
    </row>
    <row r="93" spans="1:16" x14ac:dyDescent="0.25">
      <c r="A93" s="2" t="s">
        <v>14</v>
      </c>
      <c r="B93" s="3" t="s">
        <v>120</v>
      </c>
      <c r="C93" s="4">
        <v>531</v>
      </c>
      <c r="D93" s="5">
        <f t="shared" si="2"/>
        <v>6372</v>
      </c>
      <c r="E93" s="4">
        <v>531</v>
      </c>
      <c r="F93" s="5">
        <v>366</v>
      </c>
      <c r="G93" s="5">
        <v>750.61800000000005</v>
      </c>
      <c r="H93" s="6">
        <v>561</v>
      </c>
      <c r="I93" s="5">
        <v>1056</v>
      </c>
      <c r="J93" s="5">
        <v>132</v>
      </c>
      <c r="K93" s="5">
        <v>280.5</v>
      </c>
      <c r="L93" s="5">
        <v>43.92</v>
      </c>
      <c r="M93" s="5">
        <v>95.64</v>
      </c>
      <c r="N93" s="5">
        <v>160</v>
      </c>
      <c r="O93" s="5">
        <v>4</v>
      </c>
      <c r="P93" s="7">
        <f t="shared" si="3"/>
        <v>10049.118</v>
      </c>
    </row>
    <row r="94" spans="1:16" x14ac:dyDescent="0.25">
      <c r="A94" s="2" t="s">
        <v>14</v>
      </c>
      <c r="B94" s="3" t="s">
        <v>121</v>
      </c>
      <c r="C94" s="4">
        <v>531</v>
      </c>
      <c r="D94" s="5">
        <f t="shared" si="2"/>
        <v>6372</v>
      </c>
      <c r="E94" s="4">
        <v>531</v>
      </c>
      <c r="F94" s="5">
        <v>366</v>
      </c>
      <c r="G94" s="5">
        <v>750.61800000000005</v>
      </c>
      <c r="H94" s="6">
        <v>561</v>
      </c>
      <c r="I94" s="5">
        <v>1056</v>
      </c>
      <c r="J94" s="5">
        <v>132</v>
      </c>
      <c r="K94" s="5">
        <v>280.5</v>
      </c>
      <c r="L94" s="5">
        <v>0</v>
      </c>
      <c r="M94" s="5">
        <v>175.32</v>
      </c>
      <c r="N94" s="5">
        <v>160</v>
      </c>
      <c r="O94" s="5">
        <v>4</v>
      </c>
      <c r="P94" s="7">
        <f t="shared" si="3"/>
        <v>10049.118</v>
      </c>
    </row>
    <row r="95" spans="1:16" x14ac:dyDescent="0.25">
      <c r="A95" s="2" t="s">
        <v>14</v>
      </c>
      <c r="B95" s="3" t="s">
        <v>122</v>
      </c>
      <c r="C95" s="8">
        <v>531</v>
      </c>
      <c r="D95" s="5">
        <f t="shared" si="2"/>
        <v>6372</v>
      </c>
      <c r="E95" s="8">
        <v>531</v>
      </c>
      <c r="F95" s="5">
        <v>366</v>
      </c>
      <c r="G95" s="5">
        <v>750.61800000000005</v>
      </c>
      <c r="H95" s="6">
        <v>561</v>
      </c>
      <c r="I95" s="5">
        <v>1056</v>
      </c>
      <c r="J95" s="5">
        <v>132</v>
      </c>
      <c r="K95" s="5">
        <v>280.5</v>
      </c>
      <c r="L95" s="5">
        <v>87.84</v>
      </c>
      <c r="M95" s="5">
        <v>79.679999999999993</v>
      </c>
      <c r="N95" s="5">
        <v>160</v>
      </c>
      <c r="O95" s="5">
        <v>4</v>
      </c>
      <c r="P95" s="7">
        <f t="shared" si="3"/>
        <v>10049.118</v>
      </c>
    </row>
    <row r="96" spans="1:16" x14ac:dyDescent="0.25">
      <c r="A96" s="2" t="s">
        <v>14</v>
      </c>
      <c r="B96" s="3" t="s">
        <v>123</v>
      </c>
      <c r="C96" s="4">
        <v>531</v>
      </c>
      <c r="D96" s="5">
        <f t="shared" si="2"/>
        <v>6372</v>
      </c>
      <c r="E96" s="4">
        <v>531</v>
      </c>
      <c r="F96" s="5">
        <v>366</v>
      </c>
      <c r="G96" s="5">
        <v>750.61800000000005</v>
      </c>
      <c r="H96" s="6">
        <v>561</v>
      </c>
      <c r="I96" s="5">
        <v>1056</v>
      </c>
      <c r="J96" s="5">
        <v>132</v>
      </c>
      <c r="K96" s="5">
        <v>280.5</v>
      </c>
      <c r="L96" s="5">
        <v>87.84</v>
      </c>
      <c r="M96" s="5">
        <v>143.39999999999998</v>
      </c>
      <c r="N96" s="5">
        <v>160</v>
      </c>
      <c r="O96" s="5">
        <v>4</v>
      </c>
      <c r="P96" s="7">
        <f t="shared" si="3"/>
        <v>10049.118</v>
      </c>
    </row>
    <row r="97" spans="1:16" x14ac:dyDescent="0.25">
      <c r="A97" s="2" t="s">
        <v>14</v>
      </c>
      <c r="B97" s="3" t="s">
        <v>124</v>
      </c>
      <c r="C97" s="4">
        <v>531</v>
      </c>
      <c r="D97" s="5">
        <f t="shared" si="2"/>
        <v>6372</v>
      </c>
      <c r="E97" s="4">
        <v>531</v>
      </c>
      <c r="F97" s="5">
        <v>366</v>
      </c>
      <c r="G97" s="5">
        <v>750.61800000000005</v>
      </c>
      <c r="H97" s="6">
        <v>561</v>
      </c>
      <c r="I97" s="5">
        <v>1056</v>
      </c>
      <c r="J97" s="5">
        <v>132</v>
      </c>
      <c r="K97" s="5">
        <v>280.5</v>
      </c>
      <c r="L97" s="5">
        <v>87.84</v>
      </c>
      <c r="M97" s="5">
        <v>79.679999999999993</v>
      </c>
      <c r="N97" s="5">
        <v>160</v>
      </c>
      <c r="O97" s="5">
        <v>4</v>
      </c>
      <c r="P97" s="7">
        <f t="shared" si="3"/>
        <v>10049.118</v>
      </c>
    </row>
    <row r="98" spans="1:16" x14ac:dyDescent="0.25">
      <c r="A98" s="2" t="s">
        <v>14</v>
      </c>
      <c r="B98" s="3" t="s">
        <v>125</v>
      </c>
      <c r="C98" s="4">
        <v>531</v>
      </c>
      <c r="D98" s="5">
        <f t="shared" si="2"/>
        <v>6372</v>
      </c>
      <c r="E98" s="4">
        <v>531</v>
      </c>
      <c r="F98" s="5">
        <v>366</v>
      </c>
      <c r="G98" s="5">
        <v>750.61800000000005</v>
      </c>
      <c r="H98" s="6">
        <v>561</v>
      </c>
      <c r="I98" s="5">
        <v>1056</v>
      </c>
      <c r="J98" s="5">
        <v>132</v>
      </c>
      <c r="K98" s="5">
        <v>280.5</v>
      </c>
      <c r="L98" s="5">
        <v>0</v>
      </c>
      <c r="M98" s="5">
        <v>159.35999999999999</v>
      </c>
      <c r="N98" s="5">
        <v>160</v>
      </c>
      <c r="O98" s="5">
        <v>4</v>
      </c>
      <c r="P98" s="7">
        <f t="shared" si="3"/>
        <v>10049.118</v>
      </c>
    </row>
    <row r="99" spans="1:16" x14ac:dyDescent="0.25">
      <c r="A99" s="2" t="s">
        <v>16</v>
      </c>
      <c r="B99" s="3" t="s">
        <v>126</v>
      </c>
      <c r="C99" s="4">
        <v>584</v>
      </c>
      <c r="D99" s="5">
        <f t="shared" si="2"/>
        <v>7008</v>
      </c>
      <c r="E99" s="4">
        <v>584</v>
      </c>
      <c r="F99" s="5">
        <v>366</v>
      </c>
      <c r="G99" s="5">
        <v>797.44800000000009</v>
      </c>
      <c r="H99" s="6">
        <v>596</v>
      </c>
      <c r="I99" s="5">
        <v>1056</v>
      </c>
      <c r="J99" s="5">
        <v>132</v>
      </c>
      <c r="K99" s="5">
        <v>298</v>
      </c>
      <c r="L99" s="5">
        <v>87.84</v>
      </c>
      <c r="M99" s="5">
        <v>192.71999999999997</v>
      </c>
      <c r="N99" s="5">
        <v>160</v>
      </c>
      <c r="O99" s="5">
        <v>4</v>
      </c>
      <c r="P99" s="7">
        <f t="shared" si="3"/>
        <v>10837.448</v>
      </c>
    </row>
    <row r="100" spans="1:16" x14ac:dyDescent="0.25">
      <c r="A100" s="2" t="s">
        <v>14</v>
      </c>
      <c r="B100" s="3" t="s">
        <v>127</v>
      </c>
      <c r="C100" s="4">
        <v>531</v>
      </c>
      <c r="D100" s="5">
        <f t="shared" si="2"/>
        <v>6372</v>
      </c>
      <c r="E100" s="4">
        <v>531</v>
      </c>
      <c r="F100" s="5">
        <v>366</v>
      </c>
      <c r="G100" s="5">
        <v>750.61800000000005</v>
      </c>
      <c r="H100" s="6">
        <v>561</v>
      </c>
      <c r="I100" s="5">
        <v>1056</v>
      </c>
      <c r="J100" s="5">
        <v>132</v>
      </c>
      <c r="K100" s="5">
        <v>280.5</v>
      </c>
      <c r="L100" s="5">
        <v>0</v>
      </c>
      <c r="M100" s="5">
        <v>159.35999999999999</v>
      </c>
      <c r="N100" s="5">
        <v>160</v>
      </c>
      <c r="O100" s="5">
        <v>4</v>
      </c>
      <c r="P100" s="7">
        <f t="shared" si="3"/>
        <v>10049.118</v>
      </c>
    </row>
    <row r="101" spans="1:16" ht="25.5" x14ac:dyDescent="0.25">
      <c r="A101" s="2" t="s">
        <v>14</v>
      </c>
      <c r="B101" s="3" t="s">
        <v>128</v>
      </c>
      <c r="C101" s="10"/>
      <c r="D101" s="11"/>
      <c r="E101" s="10"/>
      <c r="F101" s="11"/>
      <c r="G101" s="11"/>
      <c r="H101" s="12"/>
      <c r="I101" s="11"/>
      <c r="J101" s="11"/>
      <c r="K101" s="11"/>
      <c r="L101" s="11">
        <v>0</v>
      </c>
      <c r="M101" s="11">
        <v>0</v>
      </c>
      <c r="N101" s="11"/>
      <c r="O101" s="11"/>
      <c r="P101" s="13"/>
    </row>
    <row r="102" spans="1:16" x14ac:dyDescent="0.25">
      <c r="A102" s="194"/>
      <c r="B102" s="194"/>
      <c r="C102" s="164">
        <f t="shared" ref="C102:K102" si="4">SUM(C2:C101)</f>
        <v>50910.1</v>
      </c>
      <c r="D102" s="163">
        <f t="shared" si="4"/>
        <v>610921.19999999995</v>
      </c>
      <c r="E102" s="164">
        <f t="shared" si="4"/>
        <v>50910.1</v>
      </c>
      <c r="F102" s="163">
        <f t="shared" si="4"/>
        <v>33672</v>
      </c>
      <c r="G102" s="163">
        <f t="shared" si="4"/>
        <v>72372.553800000038</v>
      </c>
      <c r="H102" s="163">
        <f t="shared" si="4"/>
        <v>54090.1</v>
      </c>
      <c r="I102" s="163">
        <f t="shared" si="4"/>
        <v>97152</v>
      </c>
      <c r="J102" s="163">
        <f t="shared" si="4"/>
        <v>12144</v>
      </c>
      <c r="K102" s="163">
        <f t="shared" si="4"/>
        <v>27045.05</v>
      </c>
      <c r="L102" s="163">
        <f>SUM(L2:L101)</f>
        <v>5006.8800000000037</v>
      </c>
      <c r="M102" s="163">
        <f>SUM(M2:M101)</f>
        <v>10042.679999999998</v>
      </c>
      <c r="N102" s="163">
        <f>SUM(N2:N101)</f>
        <v>14720</v>
      </c>
      <c r="O102" s="163">
        <f>SUM(O2:O101)</f>
        <v>368</v>
      </c>
      <c r="P102" s="163">
        <f>SUBTOTAL(9,P2:P100)</f>
        <v>958307.00380000041</v>
      </c>
    </row>
    <row r="104" spans="1:16" ht="15.75" x14ac:dyDescent="0.25">
      <c r="B104" s="19" t="s">
        <v>129</v>
      </c>
    </row>
    <row r="105" spans="1:16" ht="15.75" x14ac:dyDescent="0.25">
      <c r="B105" s="19"/>
    </row>
    <row r="106" spans="1:16" ht="15.75" x14ac:dyDescent="0.25">
      <c r="B106" s="20"/>
    </row>
    <row r="107" spans="1:16" x14ac:dyDescent="0.25">
      <c r="B107" s="21" t="s">
        <v>130</v>
      </c>
    </row>
    <row r="108" spans="1:16" x14ac:dyDescent="0.25">
      <c r="B108" s="22" t="s">
        <v>131</v>
      </c>
    </row>
  </sheetData>
  <mergeCells count="1">
    <mergeCell ref="A102:B102"/>
  </mergeCells>
  <conditionalFormatting sqref="C102">
    <cfRule type="cellIs" dxfId="194" priority="65" operator="equal">
      <formula>"VACANTE"</formula>
    </cfRule>
    <cfRule type="containsText" dxfId="193" priority="66" operator="containsText" text="VACANTE">
      <formula>NOT(ISERROR(SEARCH("VACANTE",C102)))</formula>
    </cfRule>
  </conditionalFormatting>
  <conditionalFormatting sqref="C102">
    <cfRule type="cellIs" dxfId="192" priority="67" operator="equal">
      <formula>"VACANTE"</formula>
    </cfRule>
  </conditionalFormatting>
  <conditionalFormatting sqref="B100">
    <cfRule type="cellIs" dxfId="191" priority="28" operator="equal">
      <formula>"VACANTE"</formula>
    </cfRule>
    <cfRule type="containsText" dxfId="190" priority="29" operator="containsText" text="VACANTE">
      <formula>NOT(ISERROR(SEARCH("VACANTE",B100)))</formula>
    </cfRule>
  </conditionalFormatting>
  <conditionalFormatting sqref="B2">
    <cfRule type="cellIs" dxfId="189" priority="64" operator="equal">
      <formula>"VACANTE"</formula>
    </cfRule>
  </conditionalFormatting>
  <conditionalFormatting sqref="B2">
    <cfRule type="cellIs" dxfId="188" priority="62" operator="equal">
      <formula>"VACANTE"</formula>
    </cfRule>
    <cfRule type="containsText" dxfId="187" priority="63" operator="containsText" text="VACANTE">
      <formula>NOT(ISERROR(SEARCH("VACANTE",B2)))</formula>
    </cfRule>
  </conditionalFormatting>
  <conditionalFormatting sqref="A17:A32">
    <cfRule type="cellIs" dxfId="186" priority="19" operator="equal">
      <formula>"VACANTE"</formula>
    </cfRule>
    <cfRule type="containsText" dxfId="185" priority="20" operator="containsText" text="VACANTE">
      <formula>NOT(ISERROR(SEARCH("VACANTE",A17)))</formula>
    </cfRule>
  </conditionalFormatting>
  <conditionalFormatting sqref="B7:B9 B3:B5">
    <cfRule type="cellIs" dxfId="184" priority="61" operator="equal">
      <formula>"VACANTE"</formula>
    </cfRule>
  </conditionalFormatting>
  <conditionalFormatting sqref="B7:B9 B3:B5">
    <cfRule type="cellIs" dxfId="183" priority="59" operator="equal">
      <formula>"VACANTE"</formula>
    </cfRule>
    <cfRule type="containsText" dxfId="182" priority="60" operator="containsText" text="VACANTE">
      <formula>NOT(ISERROR(SEARCH("VACANTE",B3)))</formula>
    </cfRule>
  </conditionalFormatting>
  <conditionalFormatting sqref="A89:A101">
    <cfRule type="cellIs" dxfId="181" priority="10" operator="equal">
      <formula>"VACANTE"</formula>
    </cfRule>
    <cfRule type="containsText" dxfId="180" priority="11" operator="containsText" text="VACANTE">
      <formula>NOT(ISERROR(SEARCH("VACANTE",A89)))</formula>
    </cfRule>
  </conditionalFormatting>
  <conditionalFormatting sqref="B10:B19">
    <cfRule type="cellIs" dxfId="179" priority="58" operator="equal">
      <formula>"VACANTE"</formula>
    </cfRule>
  </conditionalFormatting>
  <conditionalFormatting sqref="B10:B19">
    <cfRule type="cellIs" dxfId="178" priority="56" operator="equal">
      <formula>"VACANTE"</formula>
    </cfRule>
    <cfRule type="containsText" dxfId="177" priority="57" operator="containsText" text="VACANTE">
      <formula>NOT(ISERROR(SEARCH("VACANTE",B10)))</formula>
    </cfRule>
  </conditionalFormatting>
  <conditionalFormatting sqref="B20:B37">
    <cfRule type="cellIs" dxfId="176" priority="55" operator="equal">
      <formula>"VACANTE"</formula>
    </cfRule>
  </conditionalFormatting>
  <conditionalFormatting sqref="B20:B37">
    <cfRule type="cellIs" dxfId="175" priority="53" operator="equal">
      <formula>"VACANTE"</formula>
    </cfRule>
    <cfRule type="containsText" dxfId="174" priority="54" operator="containsText" text="VACANTE">
      <formula>NOT(ISERROR(SEARCH("VACANTE",B20)))</formula>
    </cfRule>
  </conditionalFormatting>
  <conditionalFormatting sqref="B54:B63 B38:B50">
    <cfRule type="cellIs" dxfId="173" priority="52" operator="equal">
      <formula>"VACANTE"</formula>
    </cfRule>
  </conditionalFormatting>
  <conditionalFormatting sqref="B38:B50 B54:B63">
    <cfRule type="cellIs" dxfId="172" priority="50" operator="equal">
      <formula>"VACANTE"</formula>
    </cfRule>
    <cfRule type="containsText" dxfId="171" priority="51" operator="containsText" text="VACANTE">
      <formula>NOT(ISERROR(SEARCH("VACANTE",B38)))</formula>
    </cfRule>
  </conditionalFormatting>
  <conditionalFormatting sqref="B51:B52">
    <cfRule type="containsText" dxfId="170" priority="49" operator="containsText" text="VACANTE">
      <formula>NOT(ISERROR(SEARCH("VACANTE",B51)))</formula>
    </cfRule>
  </conditionalFormatting>
  <conditionalFormatting sqref="B53">
    <cfRule type="containsText" dxfId="169" priority="48" operator="containsText" text="VACANTE">
      <formula>NOT(ISERROR(SEARCH("VACANTE",B53)))</formula>
    </cfRule>
  </conditionalFormatting>
  <conditionalFormatting sqref="B86:B88 B64:B82 B84">
    <cfRule type="cellIs" dxfId="168" priority="47" operator="equal">
      <formula>"VACANTE"</formula>
    </cfRule>
  </conditionalFormatting>
  <conditionalFormatting sqref="B64:B88">
    <cfRule type="cellIs" dxfId="167" priority="45" operator="equal">
      <formula>"VACANTE"</formula>
    </cfRule>
    <cfRule type="containsText" dxfId="166" priority="46" operator="containsText" text="VACANTE">
      <formula>NOT(ISERROR(SEARCH("VACANTE",B64)))</formula>
    </cfRule>
  </conditionalFormatting>
  <conditionalFormatting sqref="B85">
    <cfRule type="cellIs" dxfId="165" priority="44" operator="equal">
      <formula>"VACANTE"</formula>
    </cfRule>
  </conditionalFormatting>
  <conditionalFormatting sqref="B91:B92 B89">
    <cfRule type="cellIs" dxfId="164" priority="43" operator="equal">
      <formula>"VACANTE"</formula>
    </cfRule>
  </conditionalFormatting>
  <conditionalFormatting sqref="B89:B92">
    <cfRule type="cellIs" dxfId="163" priority="41" operator="equal">
      <formula>"VACANTE"</formula>
    </cfRule>
    <cfRule type="containsText" dxfId="162" priority="42" operator="containsText" text="VACANTE">
      <formula>NOT(ISERROR(SEARCH("VACANTE",B89)))</formula>
    </cfRule>
  </conditionalFormatting>
  <conditionalFormatting sqref="B94:B95">
    <cfRule type="cellIs" dxfId="161" priority="40" operator="equal">
      <formula>"VACANTE"</formula>
    </cfRule>
  </conditionalFormatting>
  <conditionalFormatting sqref="B93">
    <cfRule type="cellIs" dxfId="160" priority="39" operator="equal">
      <formula>"VACANTE"</formula>
    </cfRule>
  </conditionalFormatting>
  <conditionalFormatting sqref="B93:B95">
    <cfRule type="cellIs" dxfId="159" priority="37" operator="equal">
      <formula>"VACANTE"</formula>
    </cfRule>
    <cfRule type="containsText" dxfId="158" priority="38" operator="containsText" text="VACANTE">
      <formula>NOT(ISERROR(SEARCH("VACANTE",B93)))</formula>
    </cfRule>
  </conditionalFormatting>
  <conditionalFormatting sqref="B96:B98">
    <cfRule type="cellIs" dxfId="157" priority="36" operator="equal">
      <formula>"VACANTE"</formula>
    </cfRule>
  </conditionalFormatting>
  <conditionalFormatting sqref="B96:B98">
    <cfRule type="cellIs" dxfId="156" priority="34" operator="equal">
      <formula>"VACANTE"</formula>
    </cfRule>
    <cfRule type="containsText" dxfId="155" priority="35" operator="containsText" text="VACANTE">
      <formula>NOT(ISERROR(SEARCH("VACANTE",B96)))</formula>
    </cfRule>
  </conditionalFormatting>
  <conditionalFormatting sqref="B99">
    <cfRule type="cellIs" dxfId="154" priority="33" operator="equal">
      <formula>"VACANTE"</formula>
    </cfRule>
  </conditionalFormatting>
  <conditionalFormatting sqref="B99">
    <cfRule type="cellIs" dxfId="153" priority="31" operator="equal">
      <formula>"VACANTE"</formula>
    </cfRule>
    <cfRule type="containsText" dxfId="152" priority="32" operator="containsText" text="VACANTE">
      <formula>NOT(ISERROR(SEARCH("VACANTE",B99)))</formula>
    </cfRule>
  </conditionalFormatting>
  <conditionalFormatting sqref="B100">
    <cfRule type="cellIs" dxfId="151" priority="30" operator="equal">
      <formula>"VACANTE"</formula>
    </cfRule>
  </conditionalFormatting>
  <conditionalFormatting sqref="B101">
    <cfRule type="cellIs" dxfId="150" priority="27" operator="equal">
      <formula>"VACANTE"</formula>
    </cfRule>
  </conditionalFormatting>
  <conditionalFormatting sqref="B101">
    <cfRule type="cellIs" dxfId="149" priority="25" operator="equal">
      <formula>"VACANTE"</formula>
    </cfRule>
    <cfRule type="containsText" dxfId="148" priority="26" operator="containsText" text="VACANTE">
      <formula>NOT(ISERROR(SEARCH("VACANTE",B101)))</formula>
    </cfRule>
  </conditionalFormatting>
  <conditionalFormatting sqref="A2:A16">
    <cfRule type="cellIs" dxfId="147" priority="24" operator="equal">
      <formula>"VACANTE"</formula>
    </cfRule>
  </conditionalFormatting>
  <conditionalFormatting sqref="A2:A16">
    <cfRule type="cellIs" dxfId="146" priority="22" operator="equal">
      <formula>"VACANTE"</formula>
    </cfRule>
    <cfRule type="containsText" dxfId="145" priority="23" operator="containsText" text="VACANTE">
      <formula>NOT(ISERROR(SEARCH("VACANTE",A2)))</formula>
    </cfRule>
  </conditionalFormatting>
  <conditionalFormatting sqref="A17:A32">
    <cfRule type="cellIs" dxfId="144" priority="21" operator="equal">
      <formula>"VACANTE"</formula>
    </cfRule>
  </conditionalFormatting>
  <conditionalFormatting sqref="A33:A59">
    <cfRule type="cellIs" dxfId="143" priority="18" operator="equal">
      <formula>"VACANTE"</formula>
    </cfRule>
  </conditionalFormatting>
  <conditionalFormatting sqref="A33:A59">
    <cfRule type="cellIs" dxfId="142" priority="16" operator="equal">
      <formula>"VACANTE"</formula>
    </cfRule>
    <cfRule type="containsText" dxfId="141" priority="17" operator="containsText" text="VACANTE">
      <formula>NOT(ISERROR(SEARCH("VACANTE",A33)))</formula>
    </cfRule>
  </conditionalFormatting>
  <conditionalFormatting sqref="A60:A88">
    <cfRule type="cellIs" dxfId="140" priority="15" operator="equal">
      <formula>"VACANTE"</formula>
    </cfRule>
  </conditionalFormatting>
  <conditionalFormatting sqref="A60:A88">
    <cfRule type="cellIs" dxfId="139" priority="13" operator="equal">
      <formula>"VACANTE"</formula>
    </cfRule>
    <cfRule type="containsText" dxfId="138" priority="14" operator="containsText" text="VACANTE">
      <formula>NOT(ISERROR(SEARCH("VACANTE",A60)))</formula>
    </cfRule>
  </conditionalFormatting>
  <conditionalFormatting sqref="A89:A101">
    <cfRule type="cellIs" dxfId="137" priority="12" operator="equal">
      <formula>"VACANTE"</formula>
    </cfRule>
  </conditionalFormatting>
  <conditionalFormatting sqref="E102">
    <cfRule type="cellIs" dxfId="136" priority="7" operator="equal">
      <formula>"VACANTE"</formula>
    </cfRule>
    <cfRule type="containsText" dxfId="135" priority="8" operator="containsText" text="VACANTE">
      <formula>NOT(ISERROR(SEARCH("VACANTE",E102)))</formula>
    </cfRule>
  </conditionalFormatting>
  <conditionalFormatting sqref="E102">
    <cfRule type="cellIs" dxfId="134" priority="9" operator="equal">
      <formula>"VACANTE"</formula>
    </cfRule>
  </conditionalFormatting>
  <conditionalFormatting sqref="C2:C101">
    <cfRule type="cellIs" dxfId="133" priority="6" operator="equal">
      <formula>"VACANTE"</formula>
    </cfRule>
  </conditionalFormatting>
  <conditionalFormatting sqref="C2:C101">
    <cfRule type="cellIs" dxfId="132" priority="4" operator="equal">
      <formula>"VACANTE"</formula>
    </cfRule>
    <cfRule type="containsText" dxfId="131" priority="5" operator="containsText" text="VACANTE">
      <formula>NOT(ISERROR(SEARCH("VACANTE",C2)))</formula>
    </cfRule>
  </conditionalFormatting>
  <conditionalFormatting sqref="E2:E101">
    <cfRule type="cellIs" dxfId="130" priority="3" operator="equal">
      <formula>"VACANTE"</formula>
    </cfRule>
  </conditionalFormatting>
  <conditionalFormatting sqref="E2:E101">
    <cfRule type="cellIs" dxfId="129" priority="1" operator="equal">
      <formula>"VACANTE"</formula>
    </cfRule>
    <cfRule type="containsText" dxfId="128" priority="2" operator="containsText" text="VACANTE">
      <formula>NOT(ISERROR(SEARCH("VACANTE",E2)))</formula>
    </cfRule>
  </conditionalFormatting>
  <pageMargins left="0.25" right="0.25" top="0.75" bottom="0.75" header="0.3" footer="0.3"/>
  <pageSetup paperSize="9" scale="67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9"/>
  <sheetViews>
    <sheetView workbookViewId="0">
      <selection activeCell="F115" sqref="F115"/>
    </sheetView>
  </sheetViews>
  <sheetFormatPr baseColWidth="10" defaultRowHeight="15" x14ac:dyDescent="0.25"/>
  <cols>
    <col min="1" max="1" width="18.140625" customWidth="1"/>
    <col min="2" max="2" width="33.42578125" customWidth="1"/>
    <col min="3" max="3" width="13.42578125" customWidth="1"/>
    <col min="4" max="4" width="13.85546875" customWidth="1"/>
    <col min="5" max="5" width="14.28515625" customWidth="1"/>
    <col min="6" max="6" width="14.140625" customWidth="1"/>
    <col min="7" max="7" width="13.140625" customWidth="1"/>
    <col min="8" max="8" width="10.7109375" customWidth="1"/>
    <col min="9" max="15" width="11" customWidth="1"/>
    <col min="16" max="16" width="11.85546875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170</v>
      </c>
      <c r="M1" s="1" t="s">
        <v>171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 t="s">
        <v>15</v>
      </c>
      <c r="C2" s="6">
        <v>561</v>
      </c>
      <c r="D2" s="5">
        <f t="shared" ref="D2:D65" si="0">C2*12</f>
        <v>6732</v>
      </c>
      <c r="E2" s="6">
        <v>561</v>
      </c>
      <c r="F2" s="5">
        <v>375</v>
      </c>
      <c r="G2" s="5">
        <f>C2*11.15%*12</f>
        <v>750.61800000000005</v>
      </c>
      <c r="H2" s="6">
        <v>561</v>
      </c>
      <c r="I2" s="5">
        <f>88*12</f>
        <v>1056</v>
      </c>
      <c r="J2" s="5">
        <f>11*12</f>
        <v>132</v>
      </c>
      <c r="K2" s="5">
        <f>C2/2</f>
        <v>280.5</v>
      </c>
      <c r="L2" s="5">
        <v>90</v>
      </c>
      <c r="M2" s="5">
        <v>135</v>
      </c>
      <c r="N2" s="5">
        <v>160</v>
      </c>
      <c r="O2" s="5">
        <v>4</v>
      </c>
      <c r="P2" s="7">
        <f t="shared" ref="P2:P65" si="1">SUM(D2:K2)</f>
        <v>10448.118</v>
      </c>
    </row>
    <row r="3" spans="1:16" x14ac:dyDescent="0.25">
      <c r="A3" s="2" t="s">
        <v>16</v>
      </c>
      <c r="B3" s="3" t="s">
        <v>17</v>
      </c>
      <c r="C3" s="6">
        <v>596</v>
      </c>
      <c r="D3" s="5">
        <f t="shared" si="0"/>
        <v>7152</v>
      </c>
      <c r="E3" s="6">
        <v>596</v>
      </c>
      <c r="F3" s="5">
        <v>375</v>
      </c>
      <c r="G3" s="5">
        <f t="shared" ref="G3:G66" si="2">C3*11.15%*12</f>
        <v>797.44800000000009</v>
      </c>
      <c r="H3" s="6">
        <v>596</v>
      </c>
      <c r="I3" s="5">
        <f t="shared" ref="I3:I66" si="3">88*12</f>
        <v>1056</v>
      </c>
      <c r="J3" s="5">
        <f t="shared" ref="J3:J66" si="4">11*12</f>
        <v>132</v>
      </c>
      <c r="K3" s="5">
        <f t="shared" ref="K3:K66" si="5">C3/2</f>
        <v>298</v>
      </c>
      <c r="L3" s="5">
        <v>0</v>
      </c>
      <c r="M3" s="5">
        <v>123.75</v>
      </c>
      <c r="N3" s="5">
        <v>160</v>
      </c>
      <c r="O3" s="5">
        <v>4</v>
      </c>
      <c r="P3" s="7">
        <f t="shared" si="1"/>
        <v>11002.448</v>
      </c>
    </row>
    <row r="4" spans="1:16" x14ac:dyDescent="0.25">
      <c r="A4" s="2" t="s">
        <v>14</v>
      </c>
      <c r="B4" s="3" t="s">
        <v>18</v>
      </c>
      <c r="C4" s="6">
        <v>561</v>
      </c>
      <c r="D4" s="5">
        <f t="shared" si="0"/>
        <v>6732</v>
      </c>
      <c r="E4" s="6">
        <v>561</v>
      </c>
      <c r="F4" s="5">
        <v>375</v>
      </c>
      <c r="G4" s="5">
        <f t="shared" si="2"/>
        <v>750.61800000000005</v>
      </c>
      <c r="H4" s="6">
        <v>561</v>
      </c>
      <c r="I4" s="5">
        <f t="shared" si="3"/>
        <v>1056</v>
      </c>
      <c r="J4" s="5">
        <f t="shared" si="4"/>
        <v>132</v>
      </c>
      <c r="K4" s="5">
        <f t="shared" si="5"/>
        <v>280.5</v>
      </c>
      <c r="L4" s="5">
        <v>225</v>
      </c>
      <c r="M4" s="5">
        <v>191.25</v>
      </c>
      <c r="N4" s="5">
        <v>160</v>
      </c>
      <c r="O4" s="5">
        <v>4</v>
      </c>
      <c r="P4" s="7">
        <f t="shared" si="1"/>
        <v>10448.118</v>
      </c>
    </row>
    <row r="5" spans="1:16" x14ac:dyDescent="0.25">
      <c r="A5" s="2" t="s">
        <v>19</v>
      </c>
      <c r="B5" s="3" t="s">
        <v>20</v>
      </c>
      <c r="C5" s="6">
        <v>561</v>
      </c>
      <c r="D5" s="5">
        <f t="shared" si="0"/>
        <v>6732</v>
      </c>
      <c r="E5" s="6">
        <v>561</v>
      </c>
      <c r="F5" s="5">
        <v>375</v>
      </c>
      <c r="G5" s="5">
        <f t="shared" si="2"/>
        <v>750.61800000000005</v>
      </c>
      <c r="H5" s="6">
        <v>561</v>
      </c>
      <c r="I5" s="5">
        <f t="shared" si="3"/>
        <v>1056</v>
      </c>
      <c r="J5" s="5">
        <f t="shared" si="4"/>
        <v>132</v>
      </c>
      <c r="K5" s="5">
        <f t="shared" si="5"/>
        <v>280.5</v>
      </c>
      <c r="L5" s="5">
        <v>90</v>
      </c>
      <c r="M5" s="5">
        <v>56.25</v>
      </c>
      <c r="N5" s="5">
        <v>160</v>
      </c>
      <c r="O5" s="5">
        <v>4</v>
      </c>
      <c r="P5" s="7">
        <f t="shared" si="1"/>
        <v>10448.118</v>
      </c>
    </row>
    <row r="6" spans="1:16" x14ac:dyDescent="0.25">
      <c r="A6" s="2" t="s">
        <v>21</v>
      </c>
      <c r="B6" s="9" t="s">
        <v>22</v>
      </c>
      <c r="C6" s="6">
        <v>738</v>
      </c>
      <c r="D6" s="5">
        <f t="shared" si="0"/>
        <v>8856</v>
      </c>
      <c r="E6" s="6">
        <v>738</v>
      </c>
      <c r="F6" s="5">
        <v>375</v>
      </c>
      <c r="G6" s="5">
        <f t="shared" si="2"/>
        <v>987.44400000000007</v>
      </c>
      <c r="H6" s="6">
        <v>738</v>
      </c>
      <c r="I6" s="5">
        <f t="shared" si="3"/>
        <v>1056</v>
      </c>
      <c r="J6" s="5">
        <f t="shared" si="4"/>
        <v>132</v>
      </c>
      <c r="K6" s="5">
        <f t="shared" si="5"/>
        <v>369</v>
      </c>
      <c r="L6" s="5">
        <v>45</v>
      </c>
      <c r="M6" s="5">
        <v>101.25</v>
      </c>
      <c r="N6" s="5">
        <v>160</v>
      </c>
      <c r="O6" s="5">
        <v>4</v>
      </c>
      <c r="P6" s="7">
        <f t="shared" si="1"/>
        <v>13251.444</v>
      </c>
    </row>
    <row r="7" spans="1:16" x14ac:dyDescent="0.25">
      <c r="A7" s="2" t="s">
        <v>14</v>
      </c>
      <c r="B7" s="3" t="s">
        <v>23</v>
      </c>
      <c r="C7" s="6">
        <v>561</v>
      </c>
      <c r="D7" s="5">
        <f t="shared" si="0"/>
        <v>6732</v>
      </c>
      <c r="E7" s="6">
        <v>561</v>
      </c>
      <c r="F7" s="5">
        <v>375</v>
      </c>
      <c r="G7" s="5">
        <f t="shared" si="2"/>
        <v>750.61800000000005</v>
      </c>
      <c r="H7" s="6">
        <v>561</v>
      </c>
      <c r="I7" s="5">
        <f t="shared" si="3"/>
        <v>1056</v>
      </c>
      <c r="J7" s="5">
        <f t="shared" si="4"/>
        <v>132</v>
      </c>
      <c r="K7" s="5">
        <f t="shared" si="5"/>
        <v>280.5</v>
      </c>
      <c r="L7" s="5">
        <v>90</v>
      </c>
      <c r="M7" s="5">
        <v>112.5</v>
      </c>
      <c r="N7" s="5">
        <v>160</v>
      </c>
      <c r="O7" s="5">
        <v>4</v>
      </c>
      <c r="P7" s="7">
        <f t="shared" si="1"/>
        <v>10448.118</v>
      </c>
    </row>
    <row r="8" spans="1:16" x14ac:dyDescent="0.25">
      <c r="A8" s="2" t="s">
        <v>14</v>
      </c>
      <c r="B8" s="3" t="s">
        <v>24</v>
      </c>
      <c r="C8" s="6">
        <v>561</v>
      </c>
      <c r="D8" s="5">
        <f t="shared" si="0"/>
        <v>6732</v>
      </c>
      <c r="E8" s="6">
        <v>561</v>
      </c>
      <c r="F8" s="5">
        <v>375</v>
      </c>
      <c r="G8" s="5">
        <f t="shared" si="2"/>
        <v>750.61800000000005</v>
      </c>
      <c r="H8" s="6">
        <v>561</v>
      </c>
      <c r="I8" s="5">
        <f t="shared" si="3"/>
        <v>1056</v>
      </c>
      <c r="J8" s="5">
        <f t="shared" si="4"/>
        <v>132</v>
      </c>
      <c r="K8" s="5">
        <f t="shared" si="5"/>
        <v>280.5</v>
      </c>
      <c r="L8" s="5">
        <v>180</v>
      </c>
      <c r="M8" s="5">
        <v>123.75</v>
      </c>
      <c r="N8" s="5">
        <v>160</v>
      </c>
      <c r="O8" s="5">
        <v>4</v>
      </c>
      <c r="P8" s="7">
        <f t="shared" si="1"/>
        <v>10448.118</v>
      </c>
    </row>
    <row r="9" spans="1:16" x14ac:dyDescent="0.25">
      <c r="A9" s="2" t="s">
        <v>16</v>
      </c>
      <c r="B9" s="3" t="s">
        <v>25</v>
      </c>
      <c r="C9" s="6">
        <v>596</v>
      </c>
      <c r="D9" s="5">
        <f t="shared" si="0"/>
        <v>7152</v>
      </c>
      <c r="E9" s="6">
        <v>596</v>
      </c>
      <c r="F9" s="5">
        <v>375</v>
      </c>
      <c r="G9" s="5">
        <f t="shared" si="2"/>
        <v>797.44800000000009</v>
      </c>
      <c r="H9" s="6">
        <v>596</v>
      </c>
      <c r="I9" s="5">
        <f t="shared" si="3"/>
        <v>1056</v>
      </c>
      <c r="J9" s="5">
        <f t="shared" si="4"/>
        <v>132</v>
      </c>
      <c r="K9" s="5">
        <f t="shared" si="5"/>
        <v>298</v>
      </c>
      <c r="L9" s="5">
        <v>45</v>
      </c>
      <c r="M9" s="5">
        <v>146.25</v>
      </c>
      <c r="N9" s="5">
        <v>160</v>
      </c>
      <c r="O9" s="5">
        <v>4</v>
      </c>
      <c r="P9" s="7">
        <f t="shared" si="1"/>
        <v>11002.448</v>
      </c>
    </row>
    <row r="10" spans="1:16" x14ac:dyDescent="0.25">
      <c r="A10" s="2" t="s">
        <v>14</v>
      </c>
      <c r="B10" s="3" t="s">
        <v>26</v>
      </c>
      <c r="C10" s="6">
        <v>561</v>
      </c>
      <c r="D10" s="5">
        <f t="shared" si="0"/>
        <v>6732</v>
      </c>
      <c r="E10" s="6">
        <v>561</v>
      </c>
      <c r="F10" s="5">
        <v>375</v>
      </c>
      <c r="G10" s="5">
        <f t="shared" si="2"/>
        <v>750.61800000000005</v>
      </c>
      <c r="H10" s="6">
        <v>561</v>
      </c>
      <c r="I10" s="5">
        <f t="shared" si="3"/>
        <v>1056</v>
      </c>
      <c r="J10" s="5">
        <f t="shared" si="4"/>
        <v>132</v>
      </c>
      <c r="K10" s="5">
        <f t="shared" si="5"/>
        <v>280.5</v>
      </c>
      <c r="L10" s="5">
        <v>0</v>
      </c>
      <c r="M10" s="5">
        <v>191.25</v>
      </c>
      <c r="N10" s="5">
        <v>160</v>
      </c>
      <c r="O10" s="5">
        <v>4</v>
      </c>
      <c r="P10" s="7">
        <f t="shared" si="1"/>
        <v>10448.118</v>
      </c>
    </row>
    <row r="11" spans="1:16" x14ac:dyDescent="0.25">
      <c r="A11" s="2" t="s">
        <v>21</v>
      </c>
      <c r="B11" s="9" t="s">
        <v>27</v>
      </c>
      <c r="C11" s="6">
        <v>738</v>
      </c>
      <c r="D11" s="5">
        <f t="shared" si="0"/>
        <v>8856</v>
      </c>
      <c r="E11" s="6">
        <v>738</v>
      </c>
      <c r="F11" s="5">
        <v>375</v>
      </c>
      <c r="G11" s="5">
        <f t="shared" si="2"/>
        <v>987.44400000000007</v>
      </c>
      <c r="H11" s="6">
        <v>738</v>
      </c>
      <c r="I11" s="5">
        <f t="shared" si="3"/>
        <v>1056</v>
      </c>
      <c r="J11" s="5">
        <f t="shared" si="4"/>
        <v>132</v>
      </c>
      <c r="K11" s="5">
        <f t="shared" si="5"/>
        <v>369</v>
      </c>
      <c r="L11" s="5">
        <v>45</v>
      </c>
      <c r="M11" s="5">
        <v>236.25</v>
      </c>
      <c r="N11" s="5">
        <v>160</v>
      </c>
      <c r="O11" s="5">
        <v>4</v>
      </c>
      <c r="P11" s="7">
        <f t="shared" si="1"/>
        <v>13251.444</v>
      </c>
    </row>
    <row r="12" spans="1:16" x14ac:dyDescent="0.25">
      <c r="A12" s="2" t="s">
        <v>28</v>
      </c>
      <c r="B12" s="3" t="s">
        <v>29</v>
      </c>
      <c r="C12" s="12"/>
      <c r="D12" s="11"/>
      <c r="E12" s="12"/>
      <c r="F12" s="11"/>
      <c r="G12" s="11"/>
      <c r="H12" s="12"/>
      <c r="I12" s="11"/>
      <c r="J12" s="11"/>
      <c r="K12" s="11"/>
      <c r="L12" s="11">
        <v>0</v>
      </c>
      <c r="M12" s="11">
        <v>0</v>
      </c>
      <c r="N12" s="11"/>
      <c r="O12" s="11"/>
      <c r="P12" s="13"/>
    </row>
    <row r="13" spans="1:16" ht="25.5" x14ac:dyDescent="0.25">
      <c r="A13" s="2" t="s">
        <v>14</v>
      </c>
      <c r="B13" s="3" t="s">
        <v>30</v>
      </c>
      <c r="C13" s="12"/>
      <c r="D13" s="11"/>
      <c r="E13" s="12"/>
      <c r="F13" s="11"/>
      <c r="G13" s="11"/>
      <c r="H13" s="12"/>
      <c r="I13" s="11"/>
      <c r="J13" s="11"/>
      <c r="K13" s="11"/>
      <c r="L13" s="11">
        <v>0</v>
      </c>
      <c r="M13" s="11">
        <v>0</v>
      </c>
      <c r="N13" s="11"/>
      <c r="O13" s="11"/>
      <c r="P13" s="13"/>
    </row>
    <row r="14" spans="1:16" x14ac:dyDescent="0.25">
      <c r="A14" s="2" t="s">
        <v>31</v>
      </c>
      <c r="B14" s="3" t="s">
        <v>32</v>
      </c>
      <c r="C14" s="6">
        <v>561</v>
      </c>
      <c r="D14" s="5">
        <f t="shared" si="0"/>
        <v>6732</v>
      </c>
      <c r="E14" s="6">
        <v>561</v>
      </c>
      <c r="F14" s="5">
        <v>375</v>
      </c>
      <c r="G14" s="5">
        <f t="shared" si="2"/>
        <v>750.61800000000005</v>
      </c>
      <c r="H14" s="6">
        <v>561</v>
      </c>
      <c r="I14" s="5">
        <f t="shared" si="3"/>
        <v>1056</v>
      </c>
      <c r="J14" s="5">
        <f t="shared" si="4"/>
        <v>132</v>
      </c>
      <c r="K14" s="5">
        <f t="shared" si="5"/>
        <v>280.5</v>
      </c>
      <c r="L14" s="5">
        <v>225</v>
      </c>
      <c r="M14" s="5">
        <v>112.5</v>
      </c>
      <c r="N14" s="5">
        <v>160</v>
      </c>
      <c r="O14" s="5">
        <v>4</v>
      </c>
      <c r="P14" s="7">
        <f t="shared" si="1"/>
        <v>10448.118</v>
      </c>
    </row>
    <row r="15" spans="1:16" x14ac:dyDescent="0.25">
      <c r="A15" s="2" t="s">
        <v>14</v>
      </c>
      <c r="B15" s="3" t="s">
        <v>33</v>
      </c>
      <c r="C15" s="6">
        <v>561</v>
      </c>
      <c r="D15" s="5">
        <f t="shared" si="0"/>
        <v>6732</v>
      </c>
      <c r="E15" s="6">
        <v>561</v>
      </c>
      <c r="F15" s="5">
        <v>375</v>
      </c>
      <c r="G15" s="5">
        <f t="shared" si="2"/>
        <v>750.61800000000005</v>
      </c>
      <c r="H15" s="6">
        <v>561</v>
      </c>
      <c r="I15" s="5">
        <f t="shared" si="3"/>
        <v>1056</v>
      </c>
      <c r="J15" s="5">
        <f t="shared" si="4"/>
        <v>132</v>
      </c>
      <c r="K15" s="5">
        <f t="shared" si="5"/>
        <v>280.5</v>
      </c>
      <c r="L15" s="5">
        <v>90</v>
      </c>
      <c r="M15" s="5">
        <v>135</v>
      </c>
      <c r="N15" s="5">
        <v>160</v>
      </c>
      <c r="O15" s="5">
        <v>4</v>
      </c>
      <c r="P15" s="7">
        <f t="shared" si="1"/>
        <v>10448.118</v>
      </c>
    </row>
    <row r="16" spans="1:16" x14ac:dyDescent="0.25">
      <c r="A16" s="2" t="s">
        <v>14</v>
      </c>
      <c r="B16" s="3" t="s">
        <v>34</v>
      </c>
      <c r="C16" s="6">
        <v>531</v>
      </c>
      <c r="D16" s="5">
        <f t="shared" si="0"/>
        <v>6372</v>
      </c>
      <c r="E16" s="6">
        <v>531</v>
      </c>
      <c r="F16" s="5">
        <v>375</v>
      </c>
      <c r="G16" s="5">
        <f t="shared" si="2"/>
        <v>710.47799999999995</v>
      </c>
      <c r="H16" s="6">
        <v>531</v>
      </c>
      <c r="I16" s="5">
        <f t="shared" si="3"/>
        <v>1056</v>
      </c>
      <c r="J16" s="5">
        <f t="shared" si="4"/>
        <v>132</v>
      </c>
      <c r="K16" s="5">
        <f t="shared" si="5"/>
        <v>265.5</v>
      </c>
      <c r="L16" s="11">
        <v>0</v>
      </c>
      <c r="M16" s="5">
        <v>0</v>
      </c>
      <c r="N16" s="5">
        <v>160</v>
      </c>
      <c r="O16" s="5">
        <v>4</v>
      </c>
      <c r="P16" s="7">
        <f t="shared" si="1"/>
        <v>9972.9779999999992</v>
      </c>
    </row>
    <row r="17" spans="1:16" x14ac:dyDescent="0.25">
      <c r="A17" s="2" t="s">
        <v>28</v>
      </c>
      <c r="B17" s="3" t="s">
        <v>35</v>
      </c>
      <c r="C17" s="6">
        <v>561</v>
      </c>
      <c r="D17" s="5">
        <f t="shared" si="0"/>
        <v>6732</v>
      </c>
      <c r="E17" s="6">
        <v>561</v>
      </c>
      <c r="F17" s="5">
        <v>375</v>
      </c>
      <c r="G17" s="5">
        <f t="shared" si="2"/>
        <v>750.61800000000005</v>
      </c>
      <c r="H17" s="6">
        <v>561</v>
      </c>
      <c r="I17" s="5">
        <f t="shared" si="3"/>
        <v>1056</v>
      </c>
      <c r="J17" s="5">
        <f t="shared" si="4"/>
        <v>132</v>
      </c>
      <c r="K17" s="5">
        <f t="shared" si="5"/>
        <v>280.5</v>
      </c>
      <c r="L17" s="5">
        <v>45</v>
      </c>
      <c r="M17" s="5">
        <v>146.25</v>
      </c>
      <c r="N17" s="5">
        <v>160</v>
      </c>
      <c r="O17" s="5">
        <v>4</v>
      </c>
      <c r="P17" s="7">
        <f t="shared" si="1"/>
        <v>10448.118</v>
      </c>
    </row>
    <row r="18" spans="1:16" x14ac:dyDescent="0.25">
      <c r="A18" s="2" t="s">
        <v>14</v>
      </c>
      <c r="B18" s="3" t="s">
        <v>36</v>
      </c>
      <c r="C18" s="6">
        <v>561</v>
      </c>
      <c r="D18" s="5">
        <f t="shared" si="0"/>
        <v>6732</v>
      </c>
      <c r="E18" s="6">
        <v>561</v>
      </c>
      <c r="F18" s="5">
        <v>375</v>
      </c>
      <c r="G18" s="5">
        <f t="shared" si="2"/>
        <v>750.61800000000005</v>
      </c>
      <c r="H18" s="6">
        <v>561</v>
      </c>
      <c r="I18" s="5">
        <f t="shared" si="3"/>
        <v>1056</v>
      </c>
      <c r="J18" s="5">
        <f t="shared" si="4"/>
        <v>132</v>
      </c>
      <c r="K18" s="5">
        <f t="shared" si="5"/>
        <v>280.5</v>
      </c>
      <c r="L18" s="5">
        <v>0</v>
      </c>
      <c r="M18" s="5">
        <v>0</v>
      </c>
      <c r="N18" s="5">
        <v>160</v>
      </c>
      <c r="O18" s="5">
        <v>4</v>
      </c>
      <c r="P18" s="7">
        <f t="shared" si="1"/>
        <v>10448.118</v>
      </c>
    </row>
    <row r="19" spans="1:16" x14ac:dyDescent="0.25">
      <c r="A19" s="2" t="s">
        <v>28</v>
      </c>
      <c r="B19" s="3" t="s">
        <v>37</v>
      </c>
      <c r="C19" s="6">
        <v>561</v>
      </c>
      <c r="D19" s="5">
        <f t="shared" si="0"/>
        <v>6732</v>
      </c>
      <c r="E19" s="6">
        <v>561</v>
      </c>
      <c r="F19" s="5">
        <v>375</v>
      </c>
      <c r="G19" s="5">
        <f t="shared" si="2"/>
        <v>750.61800000000005</v>
      </c>
      <c r="H19" s="6">
        <v>561</v>
      </c>
      <c r="I19" s="5">
        <f t="shared" si="3"/>
        <v>1056</v>
      </c>
      <c r="J19" s="5">
        <f t="shared" si="4"/>
        <v>132</v>
      </c>
      <c r="K19" s="5">
        <f t="shared" si="5"/>
        <v>280.5</v>
      </c>
      <c r="L19" s="5">
        <v>135</v>
      </c>
      <c r="M19" s="5">
        <v>157.5</v>
      </c>
      <c r="N19" s="5">
        <v>160</v>
      </c>
      <c r="O19" s="5">
        <v>4</v>
      </c>
      <c r="P19" s="7">
        <f t="shared" si="1"/>
        <v>10448.118</v>
      </c>
    </row>
    <row r="20" spans="1:16" x14ac:dyDescent="0.25">
      <c r="A20" s="2" t="s">
        <v>14</v>
      </c>
      <c r="B20" s="3" t="s">
        <v>38</v>
      </c>
      <c r="C20" s="6">
        <v>561</v>
      </c>
      <c r="D20" s="5">
        <f t="shared" si="0"/>
        <v>6732</v>
      </c>
      <c r="E20" s="6">
        <v>561</v>
      </c>
      <c r="F20" s="5">
        <v>375</v>
      </c>
      <c r="G20" s="5">
        <f t="shared" si="2"/>
        <v>750.61800000000005</v>
      </c>
      <c r="H20" s="6">
        <v>561</v>
      </c>
      <c r="I20" s="5">
        <f t="shared" si="3"/>
        <v>1056</v>
      </c>
      <c r="J20" s="5">
        <f t="shared" si="4"/>
        <v>132</v>
      </c>
      <c r="K20" s="5">
        <f t="shared" si="5"/>
        <v>280.5</v>
      </c>
      <c r="L20" s="5">
        <v>135</v>
      </c>
      <c r="M20" s="5">
        <v>191.25</v>
      </c>
      <c r="N20" s="5">
        <v>160</v>
      </c>
      <c r="O20" s="5">
        <v>4</v>
      </c>
      <c r="P20" s="7">
        <f t="shared" si="1"/>
        <v>10448.118</v>
      </c>
    </row>
    <row r="21" spans="1:16" x14ac:dyDescent="0.25">
      <c r="A21" s="2" t="s">
        <v>14</v>
      </c>
      <c r="B21" s="3" t="s">
        <v>39</v>
      </c>
      <c r="C21" s="6">
        <v>561</v>
      </c>
      <c r="D21" s="5">
        <f t="shared" si="0"/>
        <v>6732</v>
      </c>
      <c r="E21" s="6">
        <v>561</v>
      </c>
      <c r="F21" s="5">
        <v>375</v>
      </c>
      <c r="G21" s="5">
        <f t="shared" si="2"/>
        <v>750.61800000000005</v>
      </c>
      <c r="H21" s="6">
        <v>561</v>
      </c>
      <c r="I21" s="5">
        <f t="shared" si="3"/>
        <v>1056</v>
      </c>
      <c r="J21" s="5">
        <f t="shared" si="4"/>
        <v>132</v>
      </c>
      <c r="K21" s="5">
        <f t="shared" si="5"/>
        <v>280.5</v>
      </c>
      <c r="L21" s="5">
        <v>0</v>
      </c>
      <c r="M21" s="5">
        <v>135</v>
      </c>
      <c r="N21" s="5">
        <v>160</v>
      </c>
      <c r="O21" s="5">
        <v>4</v>
      </c>
      <c r="P21" s="7">
        <f t="shared" si="1"/>
        <v>10448.118</v>
      </c>
    </row>
    <row r="22" spans="1:16" x14ac:dyDescent="0.25">
      <c r="A22" s="2" t="s">
        <v>14</v>
      </c>
      <c r="B22" s="3" t="s">
        <v>40</v>
      </c>
      <c r="C22" s="6">
        <v>561</v>
      </c>
      <c r="D22" s="5">
        <f t="shared" si="0"/>
        <v>6732</v>
      </c>
      <c r="E22" s="6">
        <v>561</v>
      </c>
      <c r="F22" s="5">
        <v>375</v>
      </c>
      <c r="G22" s="5">
        <f t="shared" si="2"/>
        <v>750.61800000000005</v>
      </c>
      <c r="H22" s="6">
        <v>561</v>
      </c>
      <c r="I22" s="5">
        <f t="shared" si="3"/>
        <v>1056</v>
      </c>
      <c r="J22" s="5">
        <f t="shared" si="4"/>
        <v>132</v>
      </c>
      <c r="K22" s="5">
        <f t="shared" si="5"/>
        <v>280.5</v>
      </c>
      <c r="L22" s="5">
        <v>90</v>
      </c>
      <c r="M22" s="5">
        <v>146.25</v>
      </c>
      <c r="N22" s="5">
        <v>160</v>
      </c>
      <c r="O22" s="5">
        <v>4</v>
      </c>
      <c r="P22" s="7">
        <f t="shared" si="1"/>
        <v>10448.118</v>
      </c>
    </row>
    <row r="23" spans="1:16" x14ac:dyDescent="0.25">
      <c r="A23" s="2" t="s">
        <v>14</v>
      </c>
      <c r="B23" s="3" t="s">
        <v>41</v>
      </c>
      <c r="C23" s="6">
        <v>561</v>
      </c>
      <c r="D23" s="5">
        <f t="shared" si="0"/>
        <v>6732</v>
      </c>
      <c r="E23" s="6">
        <v>561</v>
      </c>
      <c r="F23" s="5">
        <v>375</v>
      </c>
      <c r="G23" s="5">
        <f t="shared" si="2"/>
        <v>750.61800000000005</v>
      </c>
      <c r="H23" s="6">
        <v>561</v>
      </c>
      <c r="I23" s="5">
        <f t="shared" si="3"/>
        <v>1056</v>
      </c>
      <c r="J23" s="5">
        <f t="shared" si="4"/>
        <v>132</v>
      </c>
      <c r="K23" s="5">
        <f t="shared" si="5"/>
        <v>280.5</v>
      </c>
      <c r="L23" s="5">
        <v>0</v>
      </c>
      <c r="M23" s="5">
        <v>146.25</v>
      </c>
      <c r="N23" s="5">
        <v>160</v>
      </c>
      <c r="O23" s="5">
        <v>4</v>
      </c>
      <c r="P23" s="7">
        <f t="shared" si="1"/>
        <v>10448.118</v>
      </c>
    </row>
    <row r="24" spans="1:16" x14ac:dyDescent="0.25">
      <c r="A24" s="2" t="s">
        <v>14</v>
      </c>
      <c r="B24" s="3" t="s">
        <v>42</v>
      </c>
      <c r="C24" s="6">
        <v>561</v>
      </c>
      <c r="D24" s="5">
        <f t="shared" si="0"/>
        <v>6732</v>
      </c>
      <c r="E24" s="6">
        <v>561</v>
      </c>
      <c r="F24" s="5">
        <v>375</v>
      </c>
      <c r="G24" s="5">
        <f t="shared" si="2"/>
        <v>750.61800000000005</v>
      </c>
      <c r="H24" s="6">
        <v>561</v>
      </c>
      <c r="I24" s="5">
        <f t="shared" si="3"/>
        <v>1056</v>
      </c>
      <c r="J24" s="5">
        <f t="shared" si="4"/>
        <v>132</v>
      </c>
      <c r="K24" s="5">
        <f t="shared" si="5"/>
        <v>280.5</v>
      </c>
      <c r="L24" s="5">
        <v>45</v>
      </c>
      <c r="M24" s="5">
        <v>191.25</v>
      </c>
      <c r="N24" s="5">
        <v>160</v>
      </c>
      <c r="O24" s="5">
        <v>4</v>
      </c>
      <c r="P24" s="7">
        <f t="shared" si="1"/>
        <v>10448.118</v>
      </c>
    </row>
    <row r="25" spans="1:16" x14ac:dyDescent="0.25">
      <c r="A25" s="2" t="s">
        <v>14</v>
      </c>
      <c r="B25" s="3" t="s">
        <v>43</v>
      </c>
      <c r="C25" s="6">
        <v>561</v>
      </c>
      <c r="D25" s="5">
        <f t="shared" si="0"/>
        <v>6732</v>
      </c>
      <c r="E25" s="6">
        <v>561</v>
      </c>
      <c r="F25" s="5">
        <v>375</v>
      </c>
      <c r="G25" s="5">
        <f t="shared" si="2"/>
        <v>750.61800000000005</v>
      </c>
      <c r="H25" s="6">
        <v>561</v>
      </c>
      <c r="I25" s="5">
        <f t="shared" si="3"/>
        <v>1056</v>
      </c>
      <c r="J25" s="5">
        <f t="shared" si="4"/>
        <v>132</v>
      </c>
      <c r="K25" s="5">
        <f t="shared" si="5"/>
        <v>280.5</v>
      </c>
      <c r="L25" s="5">
        <v>90</v>
      </c>
      <c r="M25" s="5">
        <v>135</v>
      </c>
      <c r="N25" s="5">
        <v>160</v>
      </c>
      <c r="O25" s="5">
        <v>4</v>
      </c>
      <c r="P25" s="7">
        <f t="shared" si="1"/>
        <v>10448.118</v>
      </c>
    </row>
    <row r="26" spans="1:16" x14ac:dyDescent="0.25">
      <c r="A26" s="2" t="s">
        <v>21</v>
      </c>
      <c r="B26" s="9" t="s">
        <v>44</v>
      </c>
      <c r="C26" s="6">
        <v>738</v>
      </c>
      <c r="D26" s="5">
        <f t="shared" si="0"/>
        <v>8856</v>
      </c>
      <c r="E26" s="6">
        <v>738</v>
      </c>
      <c r="F26" s="5">
        <v>375</v>
      </c>
      <c r="G26" s="5">
        <f t="shared" si="2"/>
        <v>987.44400000000007</v>
      </c>
      <c r="H26" s="6">
        <v>738</v>
      </c>
      <c r="I26" s="5">
        <f t="shared" si="3"/>
        <v>1056</v>
      </c>
      <c r="J26" s="5">
        <f t="shared" si="4"/>
        <v>132</v>
      </c>
      <c r="K26" s="5">
        <f t="shared" si="5"/>
        <v>369</v>
      </c>
      <c r="L26" s="5">
        <v>90</v>
      </c>
      <c r="M26" s="5">
        <v>101.25</v>
      </c>
      <c r="N26" s="5">
        <v>160</v>
      </c>
      <c r="O26" s="5">
        <v>4</v>
      </c>
      <c r="P26" s="7">
        <f t="shared" si="1"/>
        <v>13251.444</v>
      </c>
    </row>
    <row r="27" spans="1:16" x14ac:dyDescent="0.25">
      <c r="A27" s="2" t="s">
        <v>45</v>
      </c>
      <c r="B27" s="3" t="s">
        <v>46</v>
      </c>
      <c r="C27" s="6">
        <v>561</v>
      </c>
      <c r="D27" s="5">
        <f t="shared" si="0"/>
        <v>6732</v>
      </c>
      <c r="E27" s="6">
        <v>561</v>
      </c>
      <c r="F27" s="5">
        <v>375</v>
      </c>
      <c r="G27" s="5">
        <f t="shared" si="2"/>
        <v>750.61800000000005</v>
      </c>
      <c r="H27" s="6">
        <v>561</v>
      </c>
      <c r="I27" s="5">
        <f t="shared" si="3"/>
        <v>1056</v>
      </c>
      <c r="J27" s="5">
        <f t="shared" si="4"/>
        <v>132</v>
      </c>
      <c r="K27" s="5">
        <f t="shared" si="5"/>
        <v>280.5</v>
      </c>
      <c r="L27" s="5">
        <v>0</v>
      </c>
      <c r="M27" s="5">
        <v>0</v>
      </c>
      <c r="N27" s="5">
        <v>160</v>
      </c>
      <c r="O27" s="5">
        <v>4</v>
      </c>
      <c r="P27" s="7">
        <f t="shared" si="1"/>
        <v>10448.118</v>
      </c>
    </row>
    <row r="28" spans="1:16" x14ac:dyDescent="0.25">
      <c r="A28" s="2" t="s">
        <v>21</v>
      </c>
      <c r="B28" s="9" t="s">
        <v>47</v>
      </c>
      <c r="C28" s="6">
        <v>738</v>
      </c>
      <c r="D28" s="5">
        <f t="shared" si="0"/>
        <v>8856</v>
      </c>
      <c r="E28" s="6">
        <v>738</v>
      </c>
      <c r="F28" s="5">
        <v>375</v>
      </c>
      <c r="G28" s="5">
        <f t="shared" si="2"/>
        <v>987.44400000000007</v>
      </c>
      <c r="H28" s="6">
        <v>738</v>
      </c>
      <c r="I28" s="5">
        <f t="shared" si="3"/>
        <v>1056</v>
      </c>
      <c r="J28" s="5">
        <f t="shared" si="4"/>
        <v>132</v>
      </c>
      <c r="K28" s="5">
        <f t="shared" si="5"/>
        <v>369</v>
      </c>
      <c r="L28" s="5">
        <v>45</v>
      </c>
      <c r="M28" s="5">
        <v>236.25</v>
      </c>
      <c r="N28" s="5">
        <v>160</v>
      </c>
      <c r="O28" s="5">
        <v>4</v>
      </c>
      <c r="P28" s="7">
        <f t="shared" si="1"/>
        <v>13251.444</v>
      </c>
    </row>
    <row r="29" spans="1:16" x14ac:dyDescent="0.25">
      <c r="A29" s="2" t="s">
        <v>16</v>
      </c>
      <c r="B29" s="3" t="s">
        <v>48</v>
      </c>
      <c r="C29" s="12"/>
      <c r="D29" s="11"/>
      <c r="E29" s="12"/>
      <c r="F29" s="11"/>
      <c r="G29" s="11"/>
      <c r="H29" s="12"/>
      <c r="I29" s="11"/>
      <c r="J29" s="11"/>
      <c r="K29" s="11"/>
      <c r="L29" s="11">
        <v>0</v>
      </c>
      <c r="M29" s="11">
        <v>0</v>
      </c>
      <c r="N29" s="11"/>
      <c r="O29" s="11"/>
      <c r="P29" s="13"/>
    </row>
    <row r="30" spans="1:16" x14ac:dyDescent="0.25">
      <c r="A30" s="2" t="s">
        <v>16</v>
      </c>
      <c r="B30" s="3" t="s">
        <v>49</v>
      </c>
      <c r="C30" s="6">
        <v>596</v>
      </c>
      <c r="D30" s="5">
        <f t="shared" si="0"/>
        <v>7152</v>
      </c>
      <c r="E30" s="6">
        <v>596</v>
      </c>
      <c r="F30" s="5">
        <v>375</v>
      </c>
      <c r="G30" s="5">
        <f t="shared" si="2"/>
        <v>797.44800000000009</v>
      </c>
      <c r="H30" s="6">
        <v>596</v>
      </c>
      <c r="I30" s="5">
        <f t="shared" si="3"/>
        <v>1056</v>
      </c>
      <c r="J30" s="5">
        <f t="shared" si="4"/>
        <v>132</v>
      </c>
      <c r="K30" s="5">
        <f t="shared" si="5"/>
        <v>298</v>
      </c>
      <c r="L30" s="5">
        <v>180</v>
      </c>
      <c r="M30" s="5">
        <v>157.5</v>
      </c>
      <c r="N30" s="5">
        <v>160</v>
      </c>
      <c r="O30" s="5">
        <v>4</v>
      </c>
      <c r="P30" s="7">
        <f t="shared" si="1"/>
        <v>11002.448</v>
      </c>
    </row>
    <row r="31" spans="1:16" x14ac:dyDescent="0.25">
      <c r="A31" s="2" t="s">
        <v>14</v>
      </c>
      <c r="B31" s="3" t="s">
        <v>50</v>
      </c>
      <c r="C31" s="6">
        <v>561</v>
      </c>
      <c r="D31" s="5">
        <f t="shared" si="0"/>
        <v>6732</v>
      </c>
      <c r="E31" s="6">
        <v>561</v>
      </c>
      <c r="F31" s="5">
        <v>375</v>
      </c>
      <c r="G31" s="5">
        <f t="shared" si="2"/>
        <v>750.61800000000005</v>
      </c>
      <c r="H31" s="6">
        <v>561</v>
      </c>
      <c r="I31" s="5">
        <f t="shared" si="3"/>
        <v>1056</v>
      </c>
      <c r="J31" s="5">
        <f t="shared" si="4"/>
        <v>132</v>
      </c>
      <c r="K31" s="5">
        <f t="shared" si="5"/>
        <v>280.5</v>
      </c>
      <c r="L31" s="5">
        <v>0</v>
      </c>
      <c r="M31" s="5">
        <v>191.25</v>
      </c>
      <c r="N31" s="5">
        <v>160</v>
      </c>
      <c r="O31" s="5">
        <v>4</v>
      </c>
      <c r="P31" s="7">
        <f t="shared" si="1"/>
        <v>10448.118</v>
      </c>
    </row>
    <row r="32" spans="1:16" x14ac:dyDescent="0.25">
      <c r="A32" s="2" t="s">
        <v>21</v>
      </c>
      <c r="B32" s="9" t="s">
        <v>51</v>
      </c>
      <c r="C32" s="6">
        <v>708</v>
      </c>
      <c r="D32" s="5">
        <f t="shared" si="0"/>
        <v>8496</v>
      </c>
      <c r="E32" s="6">
        <v>708</v>
      </c>
      <c r="F32" s="5">
        <v>375</v>
      </c>
      <c r="G32" s="5">
        <f t="shared" si="2"/>
        <v>947.30400000000009</v>
      </c>
      <c r="H32" s="6">
        <v>708</v>
      </c>
      <c r="I32" s="5">
        <f t="shared" si="3"/>
        <v>1056</v>
      </c>
      <c r="J32" s="5">
        <f t="shared" si="4"/>
        <v>132</v>
      </c>
      <c r="K32" s="5">
        <f t="shared" si="5"/>
        <v>354</v>
      </c>
      <c r="L32" s="5">
        <v>45</v>
      </c>
      <c r="M32" s="5">
        <v>112.5</v>
      </c>
      <c r="N32" s="5">
        <v>160</v>
      </c>
      <c r="O32" s="5">
        <v>4</v>
      </c>
      <c r="P32" s="7">
        <f t="shared" si="1"/>
        <v>12776.304</v>
      </c>
    </row>
    <row r="33" spans="1:16" x14ac:dyDescent="0.25">
      <c r="A33" s="2" t="s">
        <v>21</v>
      </c>
      <c r="B33" s="9" t="s">
        <v>52</v>
      </c>
      <c r="C33" s="6">
        <v>738</v>
      </c>
      <c r="D33" s="5">
        <f t="shared" si="0"/>
        <v>8856</v>
      </c>
      <c r="E33" s="6">
        <v>738</v>
      </c>
      <c r="F33" s="5">
        <v>375</v>
      </c>
      <c r="G33" s="5">
        <f t="shared" si="2"/>
        <v>987.44400000000007</v>
      </c>
      <c r="H33" s="6">
        <v>738</v>
      </c>
      <c r="I33" s="5">
        <f t="shared" si="3"/>
        <v>1056</v>
      </c>
      <c r="J33" s="5">
        <f t="shared" si="4"/>
        <v>132</v>
      </c>
      <c r="K33" s="5">
        <f t="shared" si="5"/>
        <v>369</v>
      </c>
      <c r="L33" s="5">
        <v>45</v>
      </c>
      <c r="M33" s="5">
        <v>78.75</v>
      </c>
      <c r="N33" s="5">
        <v>160</v>
      </c>
      <c r="O33" s="5">
        <v>4</v>
      </c>
      <c r="P33" s="7">
        <f t="shared" si="1"/>
        <v>13251.444</v>
      </c>
    </row>
    <row r="34" spans="1:16" x14ac:dyDescent="0.25">
      <c r="A34" s="2" t="s">
        <v>14</v>
      </c>
      <c r="B34" s="3" t="s">
        <v>53</v>
      </c>
      <c r="C34" s="6">
        <v>561</v>
      </c>
      <c r="D34" s="5">
        <f t="shared" si="0"/>
        <v>6732</v>
      </c>
      <c r="E34" s="6">
        <v>561</v>
      </c>
      <c r="F34" s="5">
        <v>375</v>
      </c>
      <c r="G34" s="5">
        <f t="shared" si="2"/>
        <v>750.61800000000005</v>
      </c>
      <c r="H34" s="6">
        <v>561</v>
      </c>
      <c r="I34" s="5">
        <f t="shared" si="3"/>
        <v>1056</v>
      </c>
      <c r="J34" s="5">
        <f t="shared" si="4"/>
        <v>132</v>
      </c>
      <c r="K34" s="5">
        <f t="shared" si="5"/>
        <v>280.5</v>
      </c>
      <c r="L34" s="5">
        <v>0</v>
      </c>
      <c r="M34" s="5">
        <v>0</v>
      </c>
      <c r="N34" s="5">
        <v>160</v>
      </c>
      <c r="O34" s="5">
        <v>4</v>
      </c>
      <c r="P34" s="7">
        <f t="shared" si="1"/>
        <v>10448.118</v>
      </c>
    </row>
    <row r="35" spans="1:16" x14ac:dyDescent="0.25">
      <c r="A35" s="2" t="s">
        <v>45</v>
      </c>
      <c r="B35" s="3" t="s">
        <v>54</v>
      </c>
      <c r="C35" s="6">
        <v>561</v>
      </c>
      <c r="D35" s="5">
        <f t="shared" si="0"/>
        <v>6732</v>
      </c>
      <c r="E35" s="6">
        <v>561</v>
      </c>
      <c r="F35" s="5">
        <v>375</v>
      </c>
      <c r="G35" s="5">
        <f t="shared" si="2"/>
        <v>750.61800000000005</v>
      </c>
      <c r="H35" s="6">
        <v>561</v>
      </c>
      <c r="I35" s="5">
        <f t="shared" si="3"/>
        <v>1056</v>
      </c>
      <c r="J35" s="5">
        <f t="shared" si="4"/>
        <v>132</v>
      </c>
      <c r="K35" s="5">
        <f t="shared" si="5"/>
        <v>280.5</v>
      </c>
      <c r="L35" s="5">
        <v>90</v>
      </c>
      <c r="M35" s="5">
        <v>146.25</v>
      </c>
      <c r="N35" s="5">
        <v>160</v>
      </c>
      <c r="O35" s="5">
        <v>4</v>
      </c>
      <c r="P35" s="7">
        <f t="shared" si="1"/>
        <v>10448.118</v>
      </c>
    </row>
    <row r="36" spans="1:16" x14ac:dyDescent="0.25">
      <c r="A36" s="2" t="s">
        <v>45</v>
      </c>
      <c r="B36" s="3" t="s">
        <v>55</v>
      </c>
      <c r="C36" s="6">
        <v>561</v>
      </c>
      <c r="D36" s="5">
        <f t="shared" si="0"/>
        <v>6732</v>
      </c>
      <c r="E36" s="6">
        <v>561</v>
      </c>
      <c r="F36" s="5">
        <v>375</v>
      </c>
      <c r="G36" s="5">
        <f t="shared" si="2"/>
        <v>750.61800000000005</v>
      </c>
      <c r="H36" s="6">
        <v>561</v>
      </c>
      <c r="I36" s="5">
        <f t="shared" si="3"/>
        <v>1056</v>
      </c>
      <c r="J36" s="5">
        <f t="shared" si="4"/>
        <v>132</v>
      </c>
      <c r="K36" s="5">
        <f t="shared" si="5"/>
        <v>280.5</v>
      </c>
      <c r="L36" s="5">
        <v>135</v>
      </c>
      <c r="M36" s="5">
        <v>146.25</v>
      </c>
      <c r="N36" s="5">
        <v>160</v>
      </c>
      <c r="O36" s="5">
        <v>4</v>
      </c>
      <c r="P36" s="7">
        <f t="shared" si="1"/>
        <v>10448.118</v>
      </c>
    </row>
    <row r="37" spans="1:16" x14ac:dyDescent="0.25">
      <c r="A37" s="2" t="s">
        <v>14</v>
      </c>
      <c r="B37" s="3" t="s">
        <v>56</v>
      </c>
      <c r="C37" s="6">
        <v>561</v>
      </c>
      <c r="D37" s="5">
        <f t="shared" si="0"/>
        <v>6732</v>
      </c>
      <c r="E37" s="6">
        <v>561</v>
      </c>
      <c r="F37" s="5">
        <v>375</v>
      </c>
      <c r="G37" s="5">
        <f t="shared" si="2"/>
        <v>750.61800000000005</v>
      </c>
      <c r="H37" s="6">
        <v>561</v>
      </c>
      <c r="I37" s="5">
        <f t="shared" si="3"/>
        <v>1056</v>
      </c>
      <c r="J37" s="5">
        <f t="shared" si="4"/>
        <v>132</v>
      </c>
      <c r="K37" s="5">
        <f t="shared" si="5"/>
        <v>280.5</v>
      </c>
      <c r="L37" s="5">
        <v>45</v>
      </c>
      <c r="M37" s="5">
        <v>78.75</v>
      </c>
      <c r="N37" s="5">
        <v>160</v>
      </c>
      <c r="O37" s="5">
        <v>4</v>
      </c>
      <c r="P37" s="7">
        <f t="shared" si="1"/>
        <v>10448.118</v>
      </c>
    </row>
    <row r="38" spans="1:16" x14ac:dyDescent="0.25">
      <c r="A38" s="2" t="s">
        <v>14</v>
      </c>
      <c r="B38" s="3" t="s">
        <v>57</v>
      </c>
      <c r="C38" s="6">
        <v>561</v>
      </c>
      <c r="D38" s="5">
        <f t="shared" si="0"/>
        <v>6732</v>
      </c>
      <c r="E38" s="6">
        <v>561</v>
      </c>
      <c r="F38" s="5">
        <v>375</v>
      </c>
      <c r="G38" s="5">
        <f t="shared" si="2"/>
        <v>750.61800000000005</v>
      </c>
      <c r="H38" s="6">
        <v>561</v>
      </c>
      <c r="I38" s="5">
        <f t="shared" si="3"/>
        <v>1056</v>
      </c>
      <c r="J38" s="5">
        <f t="shared" si="4"/>
        <v>132</v>
      </c>
      <c r="K38" s="5">
        <f t="shared" si="5"/>
        <v>280.5</v>
      </c>
      <c r="L38" s="5">
        <v>45</v>
      </c>
      <c r="M38" s="5">
        <v>0</v>
      </c>
      <c r="N38" s="5">
        <v>160</v>
      </c>
      <c r="O38" s="5">
        <v>4</v>
      </c>
      <c r="P38" s="7">
        <f t="shared" si="1"/>
        <v>10448.118</v>
      </c>
    </row>
    <row r="39" spans="1:16" x14ac:dyDescent="0.25">
      <c r="A39" s="2" t="s">
        <v>14</v>
      </c>
      <c r="B39" s="3" t="s">
        <v>58</v>
      </c>
      <c r="C39" s="6">
        <v>561</v>
      </c>
      <c r="D39" s="5">
        <f t="shared" si="0"/>
        <v>6732</v>
      </c>
      <c r="E39" s="6">
        <v>561</v>
      </c>
      <c r="F39" s="5">
        <v>375</v>
      </c>
      <c r="G39" s="5">
        <f t="shared" si="2"/>
        <v>750.61800000000005</v>
      </c>
      <c r="H39" s="6">
        <v>561</v>
      </c>
      <c r="I39" s="5">
        <f t="shared" si="3"/>
        <v>1056</v>
      </c>
      <c r="J39" s="5">
        <f t="shared" si="4"/>
        <v>132</v>
      </c>
      <c r="K39" s="5">
        <f t="shared" si="5"/>
        <v>280.5</v>
      </c>
      <c r="L39" s="5">
        <v>0</v>
      </c>
      <c r="M39" s="5">
        <v>0</v>
      </c>
      <c r="N39" s="5">
        <v>160</v>
      </c>
      <c r="O39" s="5">
        <v>4</v>
      </c>
      <c r="P39" s="7">
        <f t="shared" si="1"/>
        <v>10448.118</v>
      </c>
    </row>
    <row r="40" spans="1:16" x14ac:dyDescent="0.25">
      <c r="A40" s="2" t="s">
        <v>45</v>
      </c>
      <c r="B40" s="3" t="s">
        <v>59</v>
      </c>
      <c r="C40" s="6">
        <v>531</v>
      </c>
      <c r="D40" s="5">
        <f t="shared" si="0"/>
        <v>6372</v>
      </c>
      <c r="E40" s="6">
        <v>531</v>
      </c>
      <c r="F40" s="5">
        <v>375</v>
      </c>
      <c r="G40" s="5">
        <f t="shared" si="2"/>
        <v>710.47799999999995</v>
      </c>
      <c r="H40" s="6">
        <v>531</v>
      </c>
      <c r="I40" s="5">
        <f t="shared" si="3"/>
        <v>1056</v>
      </c>
      <c r="J40" s="5">
        <f t="shared" si="4"/>
        <v>132</v>
      </c>
      <c r="K40" s="5">
        <f t="shared" si="5"/>
        <v>265.5</v>
      </c>
      <c r="L40" s="5">
        <v>0</v>
      </c>
      <c r="M40" s="5">
        <v>0</v>
      </c>
      <c r="N40" s="5">
        <v>160</v>
      </c>
      <c r="O40" s="5">
        <v>4</v>
      </c>
      <c r="P40" s="7">
        <f t="shared" si="1"/>
        <v>9972.9779999999992</v>
      </c>
    </row>
    <row r="41" spans="1:16" x14ac:dyDescent="0.25">
      <c r="A41" s="14" t="s">
        <v>45</v>
      </c>
      <c r="B41" s="3" t="s">
        <v>60</v>
      </c>
      <c r="C41" s="12">
        <v>561</v>
      </c>
      <c r="D41" s="5">
        <f t="shared" si="0"/>
        <v>6732</v>
      </c>
      <c r="E41" s="12">
        <v>561</v>
      </c>
      <c r="F41" s="5">
        <v>375</v>
      </c>
      <c r="G41" s="5">
        <f t="shared" si="2"/>
        <v>750.61800000000005</v>
      </c>
      <c r="H41" s="12">
        <v>561</v>
      </c>
      <c r="I41" s="5">
        <f t="shared" si="3"/>
        <v>1056</v>
      </c>
      <c r="J41" s="5">
        <f t="shared" si="4"/>
        <v>132</v>
      </c>
      <c r="K41" s="5">
        <f t="shared" si="5"/>
        <v>280.5</v>
      </c>
      <c r="L41" s="5">
        <v>90</v>
      </c>
      <c r="M41" s="5">
        <v>78.75</v>
      </c>
      <c r="N41" s="5">
        <v>160</v>
      </c>
      <c r="O41" s="5">
        <v>4</v>
      </c>
      <c r="P41" s="7">
        <f t="shared" si="1"/>
        <v>10448.118</v>
      </c>
    </row>
    <row r="42" spans="1:16" ht="22.5" x14ac:dyDescent="0.25">
      <c r="A42" s="2" t="s">
        <v>61</v>
      </c>
      <c r="B42" s="9" t="s">
        <v>62</v>
      </c>
      <c r="C42" s="6">
        <v>738</v>
      </c>
      <c r="D42" s="5">
        <f t="shared" si="0"/>
        <v>8856</v>
      </c>
      <c r="E42" s="6">
        <v>738</v>
      </c>
      <c r="F42" s="5">
        <v>375</v>
      </c>
      <c r="G42" s="5">
        <f t="shared" si="2"/>
        <v>987.44400000000007</v>
      </c>
      <c r="H42" s="6">
        <v>738</v>
      </c>
      <c r="I42" s="5">
        <f t="shared" si="3"/>
        <v>1056</v>
      </c>
      <c r="J42" s="5">
        <f t="shared" si="4"/>
        <v>132</v>
      </c>
      <c r="K42" s="5">
        <f t="shared" si="5"/>
        <v>369</v>
      </c>
      <c r="L42" s="5">
        <v>90</v>
      </c>
      <c r="M42" s="5">
        <v>202.5</v>
      </c>
      <c r="N42" s="5">
        <v>160</v>
      </c>
      <c r="O42" s="5">
        <v>4</v>
      </c>
      <c r="P42" s="7">
        <f t="shared" si="1"/>
        <v>13251.444</v>
      </c>
    </row>
    <row r="43" spans="1:16" x14ac:dyDescent="0.25">
      <c r="A43" s="2" t="s">
        <v>14</v>
      </c>
      <c r="B43" s="3" t="s">
        <v>63</v>
      </c>
      <c r="C43" s="6">
        <v>561</v>
      </c>
      <c r="D43" s="5">
        <f t="shared" si="0"/>
        <v>6732</v>
      </c>
      <c r="E43" s="6">
        <v>561</v>
      </c>
      <c r="F43" s="5">
        <v>375</v>
      </c>
      <c r="G43" s="5">
        <f t="shared" si="2"/>
        <v>750.61800000000005</v>
      </c>
      <c r="H43" s="6">
        <v>561</v>
      </c>
      <c r="I43" s="5">
        <f t="shared" si="3"/>
        <v>1056</v>
      </c>
      <c r="J43" s="5">
        <f t="shared" si="4"/>
        <v>132</v>
      </c>
      <c r="K43" s="5">
        <f t="shared" si="5"/>
        <v>280.5</v>
      </c>
      <c r="L43" s="5">
        <v>45</v>
      </c>
      <c r="M43" s="5">
        <v>180</v>
      </c>
      <c r="N43" s="5">
        <v>160</v>
      </c>
      <c r="O43" s="5">
        <v>4</v>
      </c>
      <c r="P43" s="7">
        <f t="shared" si="1"/>
        <v>10448.118</v>
      </c>
    </row>
    <row r="44" spans="1:16" x14ac:dyDescent="0.25">
      <c r="A44" s="2" t="s">
        <v>14</v>
      </c>
      <c r="B44" s="3" t="s">
        <v>64</v>
      </c>
      <c r="C44" s="6">
        <v>561</v>
      </c>
      <c r="D44" s="5">
        <f t="shared" si="0"/>
        <v>6732</v>
      </c>
      <c r="E44" s="6">
        <v>561</v>
      </c>
      <c r="F44" s="5">
        <v>375</v>
      </c>
      <c r="G44" s="5">
        <f t="shared" si="2"/>
        <v>750.61800000000005</v>
      </c>
      <c r="H44" s="6">
        <v>561</v>
      </c>
      <c r="I44" s="5">
        <f t="shared" si="3"/>
        <v>1056</v>
      </c>
      <c r="J44" s="5">
        <f t="shared" si="4"/>
        <v>132</v>
      </c>
      <c r="K44" s="5">
        <f t="shared" si="5"/>
        <v>280.5</v>
      </c>
      <c r="L44" s="5">
        <v>90</v>
      </c>
      <c r="M44" s="5">
        <v>56.25</v>
      </c>
      <c r="N44" s="5">
        <v>160</v>
      </c>
      <c r="O44" s="5">
        <v>4</v>
      </c>
      <c r="P44" s="7">
        <f t="shared" si="1"/>
        <v>10448.118</v>
      </c>
    </row>
    <row r="45" spans="1:16" x14ac:dyDescent="0.25">
      <c r="A45" s="2" t="s">
        <v>14</v>
      </c>
      <c r="B45" s="3" t="s">
        <v>65</v>
      </c>
      <c r="C45" s="6">
        <v>561</v>
      </c>
      <c r="D45" s="5">
        <f t="shared" si="0"/>
        <v>6732</v>
      </c>
      <c r="E45" s="6">
        <v>561</v>
      </c>
      <c r="F45" s="5">
        <v>375</v>
      </c>
      <c r="G45" s="5">
        <f t="shared" si="2"/>
        <v>750.61800000000005</v>
      </c>
      <c r="H45" s="6">
        <v>561</v>
      </c>
      <c r="I45" s="5">
        <f t="shared" si="3"/>
        <v>1056</v>
      </c>
      <c r="J45" s="5">
        <f t="shared" si="4"/>
        <v>132</v>
      </c>
      <c r="K45" s="5">
        <f t="shared" si="5"/>
        <v>280.5</v>
      </c>
      <c r="L45" s="5">
        <v>90</v>
      </c>
      <c r="M45" s="5">
        <v>146.25</v>
      </c>
      <c r="N45" s="5">
        <v>160</v>
      </c>
      <c r="O45" s="5">
        <v>4</v>
      </c>
      <c r="P45" s="7">
        <f t="shared" si="1"/>
        <v>10448.118</v>
      </c>
    </row>
    <row r="46" spans="1:16" ht="22.5" x14ac:dyDescent="0.25">
      <c r="A46" s="2" t="s">
        <v>61</v>
      </c>
      <c r="B46" s="9" t="s">
        <v>66</v>
      </c>
      <c r="C46" s="6">
        <v>738</v>
      </c>
      <c r="D46" s="5">
        <f t="shared" si="0"/>
        <v>8856</v>
      </c>
      <c r="E46" s="6">
        <v>738</v>
      </c>
      <c r="F46" s="5">
        <v>375</v>
      </c>
      <c r="G46" s="5">
        <f t="shared" si="2"/>
        <v>987.44400000000007</v>
      </c>
      <c r="H46" s="6">
        <v>738</v>
      </c>
      <c r="I46" s="5">
        <f t="shared" si="3"/>
        <v>1056</v>
      </c>
      <c r="J46" s="5">
        <f t="shared" si="4"/>
        <v>132</v>
      </c>
      <c r="K46" s="5">
        <f t="shared" si="5"/>
        <v>369</v>
      </c>
      <c r="L46" s="5">
        <v>0</v>
      </c>
      <c r="M46" s="5">
        <v>123.75</v>
      </c>
      <c r="N46" s="5">
        <v>160</v>
      </c>
      <c r="O46" s="5">
        <v>4</v>
      </c>
      <c r="P46" s="7">
        <f t="shared" si="1"/>
        <v>13251.444</v>
      </c>
    </row>
    <row r="47" spans="1:16" ht="25.5" x14ac:dyDescent="0.25">
      <c r="A47" s="2" t="s">
        <v>14</v>
      </c>
      <c r="B47" s="3" t="s">
        <v>67</v>
      </c>
      <c r="C47" s="6">
        <v>561</v>
      </c>
      <c r="D47" s="5">
        <f t="shared" si="0"/>
        <v>6732</v>
      </c>
      <c r="E47" s="6">
        <v>561</v>
      </c>
      <c r="F47" s="5">
        <v>375</v>
      </c>
      <c r="G47" s="5">
        <f t="shared" si="2"/>
        <v>750.61800000000005</v>
      </c>
      <c r="H47" s="6">
        <v>561</v>
      </c>
      <c r="I47" s="5">
        <f t="shared" si="3"/>
        <v>1056</v>
      </c>
      <c r="J47" s="5">
        <f t="shared" si="4"/>
        <v>132</v>
      </c>
      <c r="K47" s="5">
        <f t="shared" si="5"/>
        <v>280.5</v>
      </c>
      <c r="L47" s="5">
        <v>0</v>
      </c>
      <c r="M47" s="5">
        <v>146.25</v>
      </c>
      <c r="N47" s="5">
        <v>160</v>
      </c>
      <c r="O47" s="5">
        <v>4</v>
      </c>
      <c r="P47" s="7">
        <f t="shared" si="1"/>
        <v>10448.118</v>
      </c>
    </row>
    <row r="48" spans="1:16" x14ac:dyDescent="0.25">
      <c r="A48" s="2" t="s">
        <v>16</v>
      </c>
      <c r="B48" s="3" t="s">
        <v>68</v>
      </c>
      <c r="C48" s="6">
        <v>596</v>
      </c>
      <c r="D48" s="5">
        <f t="shared" si="0"/>
        <v>7152</v>
      </c>
      <c r="E48" s="6">
        <v>596</v>
      </c>
      <c r="F48" s="5">
        <v>375</v>
      </c>
      <c r="G48" s="5">
        <f t="shared" si="2"/>
        <v>797.44800000000009</v>
      </c>
      <c r="H48" s="6">
        <v>596</v>
      </c>
      <c r="I48" s="5">
        <f t="shared" si="3"/>
        <v>1056</v>
      </c>
      <c r="J48" s="5">
        <f t="shared" si="4"/>
        <v>132</v>
      </c>
      <c r="K48" s="5">
        <f t="shared" si="5"/>
        <v>298</v>
      </c>
      <c r="L48" s="5">
        <v>0</v>
      </c>
      <c r="M48" s="5">
        <v>213.75</v>
      </c>
      <c r="N48" s="5">
        <v>160</v>
      </c>
      <c r="O48" s="5">
        <v>4</v>
      </c>
      <c r="P48" s="7">
        <f t="shared" si="1"/>
        <v>11002.448</v>
      </c>
    </row>
    <row r="49" spans="1:16" x14ac:dyDescent="0.25">
      <c r="A49" s="2" t="s">
        <v>14</v>
      </c>
      <c r="B49" s="3" t="s">
        <v>69</v>
      </c>
      <c r="C49" s="6">
        <v>561</v>
      </c>
      <c r="D49" s="5">
        <f t="shared" si="0"/>
        <v>6732</v>
      </c>
      <c r="E49" s="6">
        <v>561</v>
      </c>
      <c r="F49" s="5">
        <v>375</v>
      </c>
      <c r="G49" s="5">
        <f t="shared" si="2"/>
        <v>750.61800000000005</v>
      </c>
      <c r="H49" s="6">
        <v>561</v>
      </c>
      <c r="I49" s="5">
        <f t="shared" si="3"/>
        <v>1056</v>
      </c>
      <c r="J49" s="5">
        <f t="shared" si="4"/>
        <v>132</v>
      </c>
      <c r="K49" s="5">
        <f t="shared" si="5"/>
        <v>280.5</v>
      </c>
      <c r="L49" s="5">
        <v>0</v>
      </c>
      <c r="M49" s="5">
        <v>191.25</v>
      </c>
      <c r="N49" s="5">
        <v>160</v>
      </c>
      <c r="O49" s="5">
        <v>4</v>
      </c>
      <c r="P49" s="7">
        <f t="shared" si="1"/>
        <v>10448.118</v>
      </c>
    </row>
    <row r="50" spans="1:16" x14ac:dyDescent="0.25">
      <c r="A50" s="2" t="s">
        <v>70</v>
      </c>
      <c r="B50" s="3" t="s">
        <v>71</v>
      </c>
      <c r="C50" s="6">
        <v>596</v>
      </c>
      <c r="D50" s="5">
        <f t="shared" si="0"/>
        <v>7152</v>
      </c>
      <c r="E50" s="6">
        <v>596</v>
      </c>
      <c r="F50" s="5">
        <v>375</v>
      </c>
      <c r="G50" s="5">
        <f t="shared" si="2"/>
        <v>797.44800000000009</v>
      </c>
      <c r="H50" s="6">
        <v>596</v>
      </c>
      <c r="I50" s="5">
        <f t="shared" si="3"/>
        <v>1056</v>
      </c>
      <c r="J50" s="5">
        <f t="shared" si="4"/>
        <v>132</v>
      </c>
      <c r="K50" s="5">
        <f t="shared" si="5"/>
        <v>298</v>
      </c>
      <c r="L50" s="5">
        <v>0</v>
      </c>
      <c r="M50" s="5">
        <v>0</v>
      </c>
      <c r="N50" s="5">
        <v>160</v>
      </c>
      <c r="O50" s="5">
        <v>4</v>
      </c>
      <c r="P50" s="7">
        <f t="shared" si="1"/>
        <v>11002.448</v>
      </c>
    </row>
    <row r="51" spans="1:16" x14ac:dyDescent="0.25">
      <c r="A51" s="2" t="s">
        <v>14</v>
      </c>
      <c r="B51" s="3" t="s">
        <v>72</v>
      </c>
      <c r="C51" s="6">
        <v>561</v>
      </c>
      <c r="D51" s="5">
        <f t="shared" si="0"/>
        <v>6732</v>
      </c>
      <c r="E51" s="6">
        <v>561</v>
      </c>
      <c r="F51" s="5">
        <v>375</v>
      </c>
      <c r="G51" s="5">
        <f t="shared" si="2"/>
        <v>750.61800000000005</v>
      </c>
      <c r="H51" s="6">
        <v>561</v>
      </c>
      <c r="I51" s="5">
        <f t="shared" si="3"/>
        <v>1056</v>
      </c>
      <c r="J51" s="5">
        <f t="shared" si="4"/>
        <v>132</v>
      </c>
      <c r="K51" s="5">
        <f t="shared" si="5"/>
        <v>280.5</v>
      </c>
      <c r="L51" s="5">
        <v>0</v>
      </c>
      <c r="M51" s="5">
        <v>191.25</v>
      </c>
      <c r="N51" s="5">
        <v>160</v>
      </c>
      <c r="O51" s="5">
        <v>4</v>
      </c>
      <c r="P51" s="7">
        <f t="shared" si="1"/>
        <v>10448.118</v>
      </c>
    </row>
    <row r="52" spans="1:16" x14ac:dyDescent="0.25">
      <c r="A52" s="2" t="s">
        <v>14</v>
      </c>
      <c r="B52" s="3" t="s">
        <v>73</v>
      </c>
      <c r="C52" s="6">
        <v>561</v>
      </c>
      <c r="D52" s="5">
        <f t="shared" si="0"/>
        <v>6732</v>
      </c>
      <c r="E52" s="6">
        <v>561</v>
      </c>
      <c r="F52" s="5">
        <v>375</v>
      </c>
      <c r="G52" s="5">
        <f t="shared" si="2"/>
        <v>750.61800000000005</v>
      </c>
      <c r="H52" s="6">
        <v>561</v>
      </c>
      <c r="I52" s="5">
        <f t="shared" si="3"/>
        <v>1056</v>
      </c>
      <c r="J52" s="5">
        <f t="shared" si="4"/>
        <v>132</v>
      </c>
      <c r="K52" s="5">
        <f t="shared" si="5"/>
        <v>280.5</v>
      </c>
      <c r="L52" s="5">
        <v>45</v>
      </c>
      <c r="M52" s="5">
        <v>135</v>
      </c>
      <c r="N52" s="5">
        <v>160</v>
      </c>
      <c r="O52" s="5">
        <v>4</v>
      </c>
      <c r="P52" s="7">
        <f t="shared" si="1"/>
        <v>10448.118</v>
      </c>
    </row>
    <row r="53" spans="1:16" x14ac:dyDescent="0.25">
      <c r="A53" s="2" t="s">
        <v>16</v>
      </c>
      <c r="B53" s="3" t="s">
        <v>74</v>
      </c>
      <c r="C53" s="6">
        <v>596</v>
      </c>
      <c r="D53" s="5">
        <f t="shared" si="0"/>
        <v>7152</v>
      </c>
      <c r="E53" s="6">
        <v>596</v>
      </c>
      <c r="F53" s="5">
        <v>375</v>
      </c>
      <c r="G53" s="5">
        <f t="shared" si="2"/>
        <v>797.44800000000009</v>
      </c>
      <c r="H53" s="6">
        <v>596</v>
      </c>
      <c r="I53" s="5">
        <f t="shared" si="3"/>
        <v>1056</v>
      </c>
      <c r="J53" s="5">
        <f t="shared" si="4"/>
        <v>132</v>
      </c>
      <c r="K53" s="5">
        <f t="shared" si="5"/>
        <v>298</v>
      </c>
      <c r="L53" s="5">
        <v>45</v>
      </c>
      <c r="M53" s="5">
        <v>180</v>
      </c>
      <c r="N53" s="5">
        <v>160</v>
      </c>
      <c r="O53" s="5">
        <v>4</v>
      </c>
      <c r="P53" s="7">
        <f t="shared" si="1"/>
        <v>11002.448</v>
      </c>
    </row>
    <row r="54" spans="1:16" x14ac:dyDescent="0.25">
      <c r="A54" s="2" t="s">
        <v>75</v>
      </c>
      <c r="B54" s="3" t="s">
        <v>76</v>
      </c>
      <c r="C54" s="6">
        <v>561</v>
      </c>
      <c r="D54" s="5">
        <f t="shared" si="0"/>
        <v>6732</v>
      </c>
      <c r="E54" s="6">
        <v>561</v>
      </c>
      <c r="F54" s="5">
        <v>375</v>
      </c>
      <c r="G54" s="5">
        <f t="shared" si="2"/>
        <v>750.61800000000005</v>
      </c>
      <c r="H54" s="6">
        <v>561</v>
      </c>
      <c r="I54" s="5">
        <f t="shared" si="3"/>
        <v>1056</v>
      </c>
      <c r="J54" s="5">
        <f t="shared" si="4"/>
        <v>132</v>
      </c>
      <c r="K54" s="5">
        <f t="shared" si="5"/>
        <v>280.5</v>
      </c>
      <c r="L54" s="5">
        <v>0</v>
      </c>
      <c r="M54" s="5">
        <v>146.25</v>
      </c>
      <c r="N54" s="5">
        <v>160</v>
      </c>
      <c r="O54" s="5">
        <v>4</v>
      </c>
      <c r="P54" s="7">
        <f t="shared" si="1"/>
        <v>10448.118</v>
      </c>
    </row>
    <row r="55" spans="1:16" x14ac:dyDescent="0.25">
      <c r="A55" s="2" t="s">
        <v>14</v>
      </c>
      <c r="B55" s="3" t="s">
        <v>77</v>
      </c>
      <c r="C55" s="6">
        <v>561</v>
      </c>
      <c r="D55" s="5">
        <f t="shared" si="0"/>
        <v>6732</v>
      </c>
      <c r="E55" s="6">
        <v>561</v>
      </c>
      <c r="F55" s="5">
        <v>375</v>
      </c>
      <c r="G55" s="5">
        <f t="shared" si="2"/>
        <v>750.61800000000005</v>
      </c>
      <c r="H55" s="6">
        <v>561</v>
      </c>
      <c r="I55" s="5">
        <f t="shared" si="3"/>
        <v>1056</v>
      </c>
      <c r="J55" s="5">
        <f t="shared" si="4"/>
        <v>132</v>
      </c>
      <c r="K55" s="5">
        <f t="shared" si="5"/>
        <v>280.5</v>
      </c>
      <c r="L55" s="5">
        <v>45</v>
      </c>
      <c r="M55" s="5">
        <v>146.25</v>
      </c>
      <c r="N55" s="5">
        <v>160</v>
      </c>
      <c r="O55" s="5">
        <v>4</v>
      </c>
      <c r="P55" s="7">
        <f t="shared" si="1"/>
        <v>10448.118</v>
      </c>
    </row>
    <row r="56" spans="1:16" x14ac:dyDescent="0.25">
      <c r="A56" s="2" t="s">
        <v>14</v>
      </c>
      <c r="B56" s="3" t="s">
        <v>78</v>
      </c>
      <c r="C56" s="6">
        <v>561</v>
      </c>
      <c r="D56" s="5">
        <f t="shared" si="0"/>
        <v>6732</v>
      </c>
      <c r="E56" s="6">
        <v>561</v>
      </c>
      <c r="F56" s="5">
        <v>375</v>
      </c>
      <c r="G56" s="5">
        <f t="shared" si="2"/>
        <v>750.61800000000005</v>
      </c>
      <c r="H56" s="6">
        <v>561</v>
      </c>
      <c r="I56" s="5">
        <f t="shared" si="3"/>
        <v>1056</v>
      </c>
      <c r="J56" s="5">
        <f t="shared" si="4"/>
        <v>132</v>
      </c>
      <c r="K56" s="5">
        <f t="shared" si="5"/>
        <v>280.5</v>
      </c>
      <c r="L56" s="5">
        <v>135</v>
      </c>
      <c r="M56" s="5">
        <v>90</v>
      </c>
      <c r="N56" s="5">
        <v>160</v>
      </c>
      <c r="O56" s="5">
        <v>4</v>
      </c>
      <c r="P56" s="7">
        <f t="shared" si="1"/>
        <v>10448.118</v>
      </c>
    </row>
    <row r="57" spans="1:16" x14ac:dyDescent="0.25">
      <c r="A57" s="2" t="s">
        <v>14</v>
      </c>
      <c r="B57" s="3" t="s">
        <v>79</v>
      </c>
      <c r="C57" s="6">
        <v>561</v>
      </c>
      <c r="D57" s="5">
        <f t="shared" si="0"/>
        <v>6732</v>
      </c>
      <c r="E57" s="6">
        <v>561</v>
      </c>
      <c r="F57" s="5">
        <v>375</v>
      </c>
      <c r="G57" s="5">
        <f t="shared" si="2"/>
        <v>750.61800000000005</v>
      </c>
      <c r="H57" s="6">
        <v>561</v>
      </c>
      <c r="I57" s="5">
        <f t="shared" si="3"/>
        <v>1056</v>
      </c>
      <c r="J57" s="5">
        <f t="shared" si="4"/>
        <v>132</v>
      </c>
      <c r="K57" s="5">
        <f t="shared" si="5"/>
        <v>280.5</v>
      </c>
      <c r="L57" s="5">
        <v>45</v>
      </c>
      <c r="M57" s="5">
        <v>135</v>
      </c>
      <c r="N57" s="5">
        <v>160</v>
      </c>
      <c r="O57" s="5">
        <v>4</v>
      </c>
      <c r="P57" s="7">
        <f t="shared" si="1"/>
        <v>10448.118</v>
      </c>
    </row>
    <row r="58" spans="1:16" x14ac:dyDescent="0.25">
      <c r="A58" s="2" t="s">
        <v>14</v>
      </c>
      <c r="B58" s="3" t="s">
        <v>80</v>
      </c>
      <c r="C58" s="6">
        <v>561</v>
      </c>
      <c r="D58" s="5">
        <f t="shared" si="0"/>
        <v>6732</v>
      </c>
      <c r="E58" s="6">
        <v>561</v>
      </c>
      <c r="F58" s="5">
        <v>375</v>
      </c>
      <c r="G58" s="5">
        <f t="shared" si="2"/>
        <v>750.61800000000005</v>
      </c>
      <c r="H58" s="6">
        <v>561</v>
      </c>
      <c r="I58" s="5">
        <f t="shared" si="3"/>
        <v>1056</v>
      </c>
      <c r="J58" s="5">
        <f t="shared" si="4"/>
        <v>132</v>
      </c>
      <c r="K58" s="5">
        <f t="shared" si="5"/>
        <v>280.5</v>
      </c>
      <c r="L58" s="5">
        <v>90</v>
      </c>
      <c r="M58" s="5">
        <v>135</v>
      </c>
      <c r="N58" s="5">
        <v>160</v>
      </c>
      <c r="O58" s="5">
        <v>4</v>
      </c>
      <c r="P58" s="7">
        <f t="shared" si="1"/>
        <v>10448.118</v>
      </c>
    </row>
    <row r="59" spans="1:16" x14ac:dyDescent="0.25">
      <c r="A59" s="2" t="s">
        <v>14</v>
      </c>
      <c r="B59" s="3" t="s">
        <v>81</v>
      </c>
      <c r="C59" s="6">
        <v>561</v>
      </c>
      <c r="D59" s="5">
        <f t="shared" si="0"/>
        <v>6732</v>
      </c>
      <c r="E59" s="6">
        <v>561</v>
      </c>
      <c r="F59" s="5">
        <v>375</v>
      </c>
      <c r="G59" s="5">
        <f t="shared" si="2"/>
        <v>750.61800000000005</v>
      </c>
      <c r="H59" s="6">
        <v>561</v>
      </c>
      <c r="I59" s="5">
        <f t="shared" si="3"/>
        <v>1056</v>
      </c>
      <c r="J59" s="5">
        <f t="shared" si="4"/>
        <v>132</v>
      </c>
      <c r="K59" s="5">
        <f t="shared" si="5"/>
        <v>280.5</v>
      </c>
      <c r="L59" s="5">
        <v>0</v>
      </c>
      <c r="M59" s="5">
        <v>146.25</v>
      </c>
      <c r="N59" s="5">
        <v>160</v>
      </c>
      <c r="O59" s="5">
        <v>4</v>
      </c>
      <c r="P59" s="7">
        <f t="shared" si="1"/>
        <v>10448.118</v>
      </c>
    </row>
    <row r="60" spans="1:16" x14ac:dyDescent="0.25">
      <c r="A60" s="2" t="s">
        <v>14</v>
      </c>
      <c r="B60" s="3" t="s">
        <v>82</v>
      </c>
      <c r="C60" s="6">
        <v>561</v>
      </c>
      <c r="D60" s="5">
        <f t="shared" si="0"/>
        <v>6732</v>
      </c>
      <c r="E60" s="6">
        <v>561</v>
      </c>
      <c r="F60" s="5">
        <v>375</v>
      </c>
      <c r="G60" s="5">
        <f t="shared" si="2"/>
        <v>750.61800000000005</v>
      </c>
      <c r="H60" s="6">
        <v>561</v>
      </c>
      <c r="I60" s="5">
        <f t="shared" si="3"/>
        <v>1056</v>
      </c>
      <c r="J60" s="5">
        <f t="shared" si="4"/>
        <v>132</v>
      </c>
      <c r="K60" s="5">
        <f t="shared" si="5"/>
        <v>280.5</v>
      </c>
      <c r="L60" s="5">
        <v>225</v>
      </c>
      <c r="M60" s="5">
        <v>90</v>
      </c>
      <c r="N60" s="5">
        <v>160</v>
      </c>
      <c r="O60" s="5">
        <v>4</v>
      </c>
      <c r="P60" s="7">
        <f t="shared" si="1"/>
        <v>10448.118</v>
      </c>
    </row>
    <row r="61" spans="1:16" x14ac:dyDescent="0.25">
      <c r="A61" s="2" t="s">
        <v>14</v>
      </c>
      <c r="B61" s="3" t="s">
        <v>83</v>
      </c>
      <c r="C61" s="6">
        <v>561</v>
      </c>
      <c r="D61" s="5">
        <f t="shared" si="0"/>
        <v>6732</v>
      </c>
      <c r="E61" s="6">
        <v>561</v>
      </c>
      <c r="F61" s="5">
        <v>375</v>
      </c>
      <c r="G61" s="5">
        <f t="shared" si="2"/>
        <v>750.61800000000005</v>
      </c>
      <c r="H61" s="6">
        <v>561</v>
      </c>
      <c r="I61" s="5">
        <f t="shared" si="3"/>
        <v>1056</v>
      </c>
      <c r="J61" s="5">
        <f t="shared" si="4"/>
        <v>132</v>
      </c>
      <c r="K61" s="5">
        <f t="shared" si="5"/>
        <v>280.5</v>
      </c>
      <c r="L61" s="5">
        <v>0</v>
      </c>
      <c r="M61" s="5">
        <v>146.25</v>
      </c>
      <c r="N61" s="5">
        <v>160</v>
      </c>
      <c r="O61" s="5">
        <v>4</v>
      </c>
      <c r="P61" s="7">
        <f t="shared" si="1"/>
        <v>10448.118</v>
      </c>
    </row>
    <row r="62" spans="1:16" x14ac:dyDescent="0.25">
      <c r="A62" s="2" t="s">
        <v>14</v>
      </c>
      <c r="B62" s="3" t="s">
        <v>84</v>
      </c>
      <c r="C62" s="6">
        <v>561</v>
      </c>
      <c r="D62" s="5">
        <f t="shared" si="0"/>
        <v>6732</v>
      </c>
      <c r="E62" s="6">
        <v>561</v>
      </c>
      <c r="F62" s="5">
        <v>375</v>
      </c>
      <c r="G62" s="5">
        <f t="shared" si="2"/>
        <v>750.61800000000005</v>
      </c>
      <c r="H62" s="6">
        <v>561</v>
      </c>
      <c r="I62" s="5">
        <f t="shared" si="3"/>
        <v>1056</v>
      </c>
      <c r="J62" s="5">
        <f t="shared" si="4"/>
        <v>132</v>
      </c>
      <c r="K62" s="5">
        <f t="shared" si="5"/>
        <v>280.5</v>
      </c>
      <c r="L62" s="5">
        <v>90</v>
      </c>
      <c r="M62" s="5">
        <v>56.25</v>
      </c>
      <c r="N62" s="5">
        <v>160</v>
      </c>
      <c r="O62" s="5">
        <v>4</v>
      </c>
      <c r="P62" s="7">
        <f t="shared" si="1"/>
        <v>10448.118</v>
      </c>
    </row>
    <row r="63" spans="1:16" x14ac:dyDescent="0.25">
      <c r="A63" s="2" t="s">
        <v>14</v>
      </c>
      <c r="B63" s="3" t="s">
        <v>85</v>
      </c>
      <c r="C63" s="6">
        <v>561</v>
      </c>
      <c r="D63" s="5">
        <f t="shared" si="0"/>
        <v>6732</v>
      </c>
      <c r="E63" s="6">
        <v>561</v>
      </c>
      <c r="F63" s="5">
        <v>375</v>
      </c>
      <c r="G63" s="5">
        <f t="shared" si="2"/>
        <v>750.61800000000005</v>
      </c>
      <c r="H63" s="6">
        <v>561</v>
      </c>
      <c r="I63" s="5">
        <f t="shared" si="3"/>
        <v>1056</v>
      </c>
      <c r="J63" s="5">
        <f t="shared" si="4"/>
        <v>132</v>
      </c>
      <c r="K63" s="5">
        <f t="shared" si="5"/>
        <v>280.5</v>
      </c>
      <c r="L63" s="5">
        <v>90</v>
      </c>
      <c r="M63" s="5">
        <v>157.5</v>
      </c>
      <c r="N63" s="5">
        <v>160</v>
      </c>
      <c r="O63" s="5">
        <v>4</v>
      </c>
      <c r="P63" s="7">
        <f t="shared" si="1"/>
        <v>10448.118</v>
      </c>
    </row>
    <row r="64" spans="1:16" x14ac:dyDescent="0.25">
      <c r="A64" s="2" t="s">
        <v>86</v>
      </c>
      <c r="B64" s="3" t="s">
        <v>87</v>
      </c>
      <c r="C64" s="6">
        <v>561</v>
      </c>
      <c r="D64" s="5">
        <f t="shared" si="0"/>
        <v>6732</v>
      </c>
      <c r="E64" s="6">
        <v>561</v>
      </c>
      <c r="F64" s="5">
        <v>375</v>
      </c>
      <c r="G64" s="5">
        <f t="shared" si="2"/>
        <v>750.61800000000005</v>
      </c>
      <c r="H64" s="6">
        <v>561</v>
      </c>
      <c r="I64" s="5">
        <f t="shared" si="3"/>
        <v>1056</v>
      </c>
      <c r="J64" s="5">
        <f t="shared" si="4"/>
        <v>132</v>
      </c>
      <c r="K64" s="5">
        <f t="shared" si="5"/>
        <v>280.5</v>
      </c>
      <c r="L64" s="5">
        <v>90</v>
      </c>
      <c r="M64" s="5">
        <v>157.5</v>
      </c>
      <c r="N64" s="5">
        <v>160</v>
      </c>
      <c r="O64" s="5">
        <v>4</v>
      </c>
      <c r="P64" s="7">
        <f t="shared" si="1"/>
        <v>10448.118</v>
      </c>
    </row>
    <row r="65" spans="1:16" x14ac:dyDescent="0.25">
      <c r="A65" s="2" t="s">
        <v>45</v>
      </c>
      <c r="B65" s="3" t="s">
        <v>88</v>
      </c>
      <c r="C65" s="6">
        <v>561</v>
      </c>
      <c r="D65" s="5">
        <f t="shared" si="0"/>
        <v>6732</v>
      </c>
      <c r="E65" s="6">
        <v>561</v>
      </c>
      <c r="F65" s="5">
        <v>375</v>
      </c>
      <c r="G65" s="5">
        <f t="shared" si="2"/>
        <v>750.61800000000005</v>
      </c>
      <c r="H65" s="6">
        <v>561</v>
      </c>
      <c r="I65" s="5">
        <f t="shared" si="3"/>
        <v>1056</v>
      </c>
      <c r="J65" s="5">
        <f t="shared" si="4"/>
        <v>132</v>
      </c>
      <c r="K65" s="5">
        <f t="shared" si="5"/>
        <v>280.5</v>
      </c>
      <c r="L65" s="5">
        <v>0</v>
      </c>
      <c r="M65" s="5">
        <v>0</v>
      </c>
      <c r="N65" s="5">
        <v>160</v>
      </c>
      <c r="O65" s="5">
        <v>4</v>
      </c>
      <c r="P65" s="7">
        <f t="shared" si="1"/>
        <v>10448.118</v>
      </c>
    </row>
    <row r="66" spans="1:16" x14ac:dyDescent="0.25">
      <c r="A66" s="2" t="s">
        <v>14</v>
      </c>
      <c r="B66" s="3" t="s">
        <v>89</v>
      </c>
      <c r="C66" s="6">
        <v>561</v>
      </c>
      <c r="D66" s="5">
        <f t="shared" ref="D66:D101" si="6">C66*12</f>
        <v>6732</v>
      </c>
      <c r="E66" s="6">
        <v>561</v>
      </c>
      <c r="F66" s="5">
        <v>375</v>
      </c>
      <c r="G66" s="5">
        <f t="shared" si="2"/>
        <v>750.61800000000005</v>
      </c>
      <c r="H66" s="6">
        <v>561</v>
      </c>
      <c r="I66" s="5">
        <f t="shared" si="3"/>
        <v>1056</v>
      </c>
      <c r="J66" s="5">
        <f t="shared" si="4"/>
        <v>132</v>
      </c>
      <c r="K66" s="5">
        <f t="shared" si="5"/>
        <v>280.5</v>
      </c>
      <c r="L66" s="5">
        <v>0</v>
      </c>
      <c r="M66" s="5">
        <v>180</v>
      </c>
      <c r="N66" s="5">
        <v>160</v>
      </c>
      <c r="O66" s="5">
        <v>4</v>
      </c>
      <c r="P66" s="7">
        <f t="shared" ref="P66:P97" si="7">SUM(D66:K66)</f>
        <v>10448.118</v>
      </c>
    </row>
    <row r="67" spans="1:16" ht="22.5" x14ac:dyDescent="0.25">
      <c r="A67" s="14" t="s">
        <v>90</v>
      </c>
      <c r="B67" s="3" t="s">
        <v>91</v>
      </c>
      <c r="C67" s="12">
        <v>906</v>
      </c>
      <c r="D67" s="5">
        <f t="shared" si="6"/>
        <v>10872</v>
      </c>
      <c r="E67" s="12">
        <v>906</v>
      </c>
      <c r="F67" s="5">
        <v>375</v>
      </c>
      <c r="G67" s="5">
        <f t="shared" ref="G67:G101" si="8">C67*11.15%*12</f>
        <v>1212.2280000000001</v>
      </c>
      <c r="H67" s="12">
        <v>906</v>
      </c>
      <c r="I67" s="5">
        <f t="shared" ref="I67:I101" si="9">88*12</f>
        <v>1056</v>
      </c>
      <c r="J67" s="5">
        <f t="shared" ref="J67:J101" si="10">11*12</f>
        <v>132</v>
      </c>
      <c r="K67" s="5">
        <f t="shared" ref="K67:K101" si="11">C67/2</f>
        <v>453</v>
      </c>
      <c r="L67" s="5">
        <v>0</v>
      </c>
      <c r="M67" s="5">
        <v>0</v>
      </c>
      <c r="N67" s="5">
        <v>160</v>
      </c>
      <c r="O67" s="5">
        <v>4</v>
      </c>
      <c r="P67" s="7">
        <f t="shared" si="7"/>
        <v>15912.227999999999</v>
      </c>
    </row>
    <row r="68" spans="1:16" x14ac:dyDescent="0.25">
      <c r="A68" s="2" t="s">
        <v>92</v>
      </c>
      <c r="B68" s="3" t="s">
        <v>93</v>
      </c>
      <c r="C68" s="6">
        <v>596</v>
      </c>
      <c r="D68" s="5">
        <f t="shared" si="6"/>
        <v>7152</v>
      </c>
      <c r="E68" s="6">
        <v>596</v>
      </c>
      <c r="F68" s="5">
        <v>375</v>
      </c>
      <c r="G68" s="5">
        <f t="shared" si="8"/>
        <v>797.44800000000009</v>
      </c>
      <c r="H68" s="6">
        <v>596</v>
      </c>
      <c r="I68" s="5">
        <f t="shared" si="9"/>
        <v>1056</v>
      </c>
      <c r="J68" s="5">
        <f t="shared" si="10"/>
        <v>132</v>
      </c>
      <c r="K68" s="5">
        <f t="shared" si="11"/>
        <v>298</v>
      </c>
      <c r="L68" s="5">
        <v>0</v>
      </c>
      <c r="M68" s="5">
        <v>101.25</v>
      </c>
      <c r="N68" s="5">
        <v>160</v>
      </c>
      <c r="O68" s="5">
        <v>4</v>
      </c>
      <c r="P68" s="7">
        <f t="shared" si="7"/>
        <v>11002.448</v>
      </c>
    </row>
    <row r="69" spans="1:16" x14ac:dyDescent="0.25">
      <c r="A69" s="2" t="s">
        <v>14</v>
      </c>
      <c r="B69" s="3" t="s">
        <v>94</v>
      </c>
      <c r="C69" s="6">
        <v>561</v>
      </c>
      <c r="D69" s="5">
        <f t="shared" si="6"/>
        <v>6732</v>
      </c>
      <c r="E69" s="6">
        <v>561</v>
      </c>
      <c r="F69" s="5">
        <v>375</v>
      </c>
      <c r="G69" s="5">
        <f t="shared" si="8"/>
        <v>750.61800000000005</v>
      </c>
      <c r="H69" s="6">
        <v>561</v>
      </c>
      <c r="I69" s="5">
        <f t="shared" si="9"/>
        <v>1056</v>
      </c>
      <c r="J69" s="5">
        <f t="shared" si="10"/>
        <v>132</v>
      </c>
      <c r="K69" s="5">
        <f t="shared" si="11"/>
        <v>280.5</v>
      </c>
      <c r="L69" s="5">
        <v>0</v>
      </c>
      <c r="M69" s="5">
        <v>112.5</v>
      </c>
      <c r="N69" s="5">
        <v>160</v>
      </c>
      <c r="O69" s="5">
        <v>4</v>
      </c>
      <c r="P69" s="7">
        <f t="shared" si="7"/>
        <v>10448.118</v>
      </c>
    </row>
    <row r="70" spans="1:16" x14ac:dyDescent="0.25">
      <c r="A70" s="15" t="s">
        <v>14</v>
      </c>
      <c r="B70" s="3" t="s">
        <v>95</v>
      </c>
      <c r="C70" s="6">
        <v>561</v>
      </c>
      <c r="D70" s="5">
        <f t="shared" si="6"/>
        <v>6732</v>
      </c>
      <c r="E70" s="6">
        <v>561</v>
      </c>
      <c r="F70" s="5">
        <v>375</v>
      </c>
      <c r="G70" s="5">
        <f t="shared" si="8"/>
        <v>750.61800000000005</v>
      </c>
      <c r="H70" s="6">
        <v>561</v>
      </c>
      <c r="I70" s="5">
        <f t="shared" si="9"/>
        <v>1056</v>
      </c>
      <c r="J70" s="5">
        <f t="shared" si="10"/>
        <v>132</v>
      </c>
      <c r="K70" s="5">
        <f t="shared" si="11"/>
        <v>280.5</v>
      </c>
      <c r="L70" s="5">
        <v>0</v>
      </c>
      <c r="M70" s="5">
        <v>78.75</v>
      </c>
      <c r="N70" s="5">
        <v>160</v>
      </c>
      <c r="O70" s="5">
        <v>4</v>
      </c>
      <c r="P70" s="7">
        <f t="shared" si="7"/>
        <v>10448.118</v>
      </c>
    </row>
    <row r="71" spans="1:16" x14ac:dyDescent="0.25">
      <c r="A71" s="2" t="s">
        <v>14</v>
      </c>
      <c r="B71" s="3" t="s">
        <v>96</v>
      </c>
      <c r="C71" s="6">
        <v>596</v>
      </c>
      <c r="D71" s="5">
        <f t="shared" si="6"/>
        <v>7152</v>
      </c>
      <c r="E71" s="6">
        <v>596</v>
      </c>
      <c r="F71" s="5">
        <v>375</v>
      </c>
      <c r="G71" s="5">
        <f t="shared" si="8"/>
        <v>797.44800000000009</v>
      </c>
      <c r="H71" s="6">
        <v>596</v>
      </c>
      <c r="I71" s="5">
        <f t="shared" si="9"/>
        <v>1056</v>
      </c>
      <c r="J71" s="5">
        <f t="shared" si="10"/>
        <v>132</v>
      </c>
      <c r="K71" s="5">
        <f t="shared" si="11"/>
        <v>298</v>
      </c>
      <c r="L71" s="5">
        <v>0</v>
      </c>
      <c r="M71" s="5">
        <v>0</v>
      </c>
      <c r="N71" s="5">
        <v>160</v>
      </c>
      <c r="O71" s="5">
        <v>4</v>
      </c>
      <c r="P71" s="7">
        <f t="shared" si="7"/>
        <v>11002.448</v>
      </c>
    </row>
    <row r="72" spans="1:16" x14ac:dyDescent="0.25">
      <c r="A72" s="2" t="s">
        <v>97</v>
      </c>
      <c r="B72" s="3" t="s">
        <v>98</v>
      </c>
      <c r="C72" s="6">
        <v>596</v>
      </c>
      <c r="D72" s="5">
        <f t="shared" si="6"/>
        <v>7152</v>
      </c>
      <c r="E72" s="6">
        <v>596</v>
      </c>
      <c r="F72" s="5">
        <v>375</v>
      </c>
      <c r="G72" s="5">
        <f t="shared" si="8"/>
        <v>797.44800000000009</v>
      </c>
      <c r="H72" s="6">
        <v>596</v>
      </c>
      <c r="I72" s="5">
        <f t="shared" si="9"/>
        <v>1056</v>
      </c>
      <c r="J72" s="5">
        <f t="shared" si="10"/>
        <v>132</v>
      </c>
      <c r="K72" s="5">
        <f t="shared" si="11"/>
        <v>298</v>
      </c>
      <c r="L72" s="5">
        <v>0</v>
      </c>
      <c r="M72" s="5">
        <v>0</v>
      </c>
      <c r="N72" s="5">
        <v>160</v>
      </c>
      <c r="O72" s="5">
        <v>4</v>
      </c>
      <c r="P72" s="7">
        <f t="shared" si="7"/>
        <v>11002.448</v>
      </c>
    </row>
    <row r="73" spans="1:16" x14ac:dyDescent="0.25">
      <c r="A73" s="2" t="s">
        <v>21</v>
      </c>
      <c r="B73" s="9" t="s">
        <v>99</v>
      </c>
      <c r="C73" s="6">
        <v>738</v>
      </c>
      <c r="D73" s="5">
        <f t="shared" si="6"/>
        <v>8856</v>
      </c>
      <c r="E73" s="6">
        <v>738</v>
      </c>
      <c r="F73" s="5">
        <v>375</v>
      </c>
      <c r="G73" s="5">
        <f t="shared" si="8"/>
        <v>987.44400000000007</v>
      </c>
      <c r="H73" s="6">
        <v>738</v>
      </c>
      <c r="I73" s="5">
        <f t="shared" si="9"/>
        <v>1056</v>
      </c>
      <c r="J73" s="5">
        <f t="shared" si="10"/>
        <v>132</v>
      </c>
      <c r="K73" s="5">
        <f t="shared" si="11"/>
        <v>369</v>
      </c>
      <c r="L73" s="5">
        <v>0</v>
      </c>
      <c r="M73" s="5">
        <v>168.75</v>
      </c>
      <c r="N73" s="5">
        <v>160</v>
      </c>
      <c r="O73" s="5">
        <v>4</v>
      </c>
      <c r="P73" s="7">
        <f t="shared" si="7"/>
        <v>13251.444</v>
      </c>
    </row>
    <row r="74" spans="1:16" x14ac:dyDescent="0.25">
      <c r="A74" s="14" t="s">
        <v>16</v>
      </c>
      <c r="B74" s="3" t="s">
        <v>100</v>
      </c>
      <c r="C74" s="12">
        <v>596</v>
      </c>
      <c r="D74" s="5">
        <f t="shared" si="6"/>
        <v>7152</v>
      </c>
      <c r="E74" s="12">
        <v>596</v>
      </c>
      <c r="F74" s="5">
        <v>375</v>
      </c>
      <c r="G74" s="5">
        <f t="shared" si="8"/>
        <v>797.44800000000009</v>
      </c>
      <c r="H74" s="12">
        <v>596</v>
      </c>
      <c r="I74" s="5">
        <f t="shared" si="9"/>
        <v>1056</v>
      </c>
      <c r="J74" s="5">
        <f t="shared" si="10"/>
        <v>132</v>
      </c>
      <c r="K74" s="5">
        <f t="shared" si="11"/>
        <v>298</v>
      </c>
      <c r="L74" s="5">
        <v>135</v>
      </c>
      <c r="M74" s="5">
        <v>146.25</v>
      </c>
      <c r="N74" s="5">
        <v>160</v>
      </c>
      <c r="O74" s="5">
        <v>4</v>
      </c>
      <c r="P74" s="7">
        <f t="shared" si="7"/>
        <v>11002.448</v>
      </c>
    </row>
    <row r="75" spans="1:16" x14ac:dyDescent="0.25">
      <c r="A75" s="2" t="s">
        <v>21</v>
      </c>
      <c r="B75" s="9" t="s">
        <v>101</v>
      </c>
      <c r="C75" s="6">
        <v>738</v>
      </c>
      <c r="D75" s="5">
        <f t="shared" si="6"/>
        <v>8856</v>
      </c>
      <c r="E75" s="6">
        <v>738</v>
      </c>
      <c r="F75" s="5">
        <v>375</v>
      </c>
      <c r="G75" s="5">
        <f t="shared" si="8"/>
        <v>987.44400000000007</v>
      </c>
      <c r="H75" s="6">
        <v>738</v>
      </c>
      <c r="I75" s="5">
        <f t="shared" si="9"/>
        <v>1056</v>
      </c>
      <c r="J75" s="5">
        <f t="shared" si="10"/>
        <v>132</v>
      </c>
      <c r="K75" s="5">
        <f t="shared" si="11"/>
        <v>369</v>
      </c>
      <c r="L75" s="5">
        <v>135</v>
      </c>
      <c r="M75" s="5">
        <v>191.25</v>
      </c>
      <c r="N75" s="5">
        <v>160</v>
      </c>
      <c r="O75" s="5">
        <v>4</v>
      </c>
      <c r="P75" s="7">
        <f t="shared" si="7"/>
        <v>13251.444</v>
      </c>
    </row>
    <row r="76" spans="1:16" x14ac:dyDescent="0.25">
      <c r="A76" s="2" t="s">
        <v>14</v>
      </c>
      <c r="B76" s="3" t="s">
        <v>102</v>
      </c>
      <c r="C76" s="6">
        <v>561</v>
      </c>
      <c r="D76" s="5">
        <f t="shared" si="6"/>
        <v>6732</v>
      </c>
      <c r="E76" s="6">
        <v>561</v>
      </c>
      <c r="F76" s="5">
        <v>375</v>
      </c>
      <c r="G76" s="5">
        <f t="shared" si="8"/>
        <v>750.61800000000005</v>
      </c>
      <c r="H76" s="6">
        <v>561</v>
      </c>
      <c r="I76" s="5">
        <f t="shared" si="9"/>
        <v>1056</v>
      </c>
      <c r="J76" s="5">
        <f t="shared" si="10"/>
        <v>132</v>
      </c>
      <c r="K76" s="5">
        <f t="shared" si="11"/>
        <v>280.5</v>
      </c>
      <c r="L76" s="5">
        <v>135</v>
      </c>
      <c r="M76" s="5">
        <v>112.5</v>
      </c>
      <c r="N76" s="5">
        <v>160</v>
      </c>
      <c r="O76" s="5">
        <v>4</v>
      </c>
      <c r="P76" s="7">
        <f t="shared" si="7"/>
        <v>10448.118</v>
      </c>
    </row>
    <row r="77" spans="1:16" x14ac:dyDescent="0.25">
      <c r="A77" s="2" t="s">
        <v>45</v>
      </c>
      <c r="B77" s="3" t="s">
        <v>103</v>
      </c>
      <c r="C77" s="6">
        <v>561</v>
      </c>
      <c r="D77" s="5">
        <f t="shared" si="6"/>
        <v>6732</v>
      </c>
      <c r="E77" s="6">
        <v>561</v>
      </c>
      <c r="F77" s="5">
        <v>375</v>
      </c>
      <c r="G77" s="5">
        <f t="shared" si="8"/>
        <v>750.61800000000005</v>
      </c>
      <c r="H77" s="6">
        <v>561</v>
      </c>
      <c r="I77" s="5">
        <f t="shared" si="9"/>
        <v>1056</v>
      </c>
      <c r="J77" s="5">
        <f t="shared" si="10"/>
        <v>132</v>
      </c>
      <c r="K77" s="5">
        <f t="shared" si="11"/>
        <v>280.5</v>
      </c>
      <c r="L77" s="5">
        <v>0</v>
      </c>
      <c r="M77" s="5">
        <v>90</v>
      </c>
      <c r="N77" s="5">
        <v>160</v>
      </c>
      <c r="O77" s="5">
        <v>4</v>
      </c>
      <c r="P77" s="7">
        <f t="shared" si="7"/>
        <v>10448.118</v>
      </c>
    </row>
    <row r="78" spans="1:16" x14ac:dyDescent="0.25">
      <c r="A78" s="2" t="s">
        <v>14</v>
      </c>
      <c r="B78" s="3" t="s">
        <v>104</v>
      </c>
      <c r="C78" s="6">
        <v>561</v>
      </c>
      <c r="D78" s="5">
        <f t="shared" si="6"/>
        <v>6732</v>
      </c>
      <c r="E78" s="6">
        <v>561</v>
      </c>
      <c r="F78" s="5">
        <v>375</v>
      </c>
      <c r="G78" s="5">
        <f t="shared" si="8"/>
        <v>750.61800000000005</v>
      </c>
      <c r="H78" s="6">
        <v>561</v>
      </c>
      <c r="I78" s="5">
        <f t="shared" si="9"/>
        <v>1056</v>
      </c>
      <c r="J78" s="5">
        <f t="shared" si="10"/>
        <v>132</v>
      </c>
      <c r="K78" s="5">
        <f t="shared" si="11"/>
        <v>280.5</v>
      </c>
      <c r="L78" s="5">
        <v>135</v>
      </c>
      <c r="M78" s="5">
        <v>135</v>
      </c>
      <c r="N78" s="5">
        <v>160</v>
      </c>
      <c r="O78" s="5">
        <v>4</v>
      </c>
      <c r="P78" s="7">
        <f t="shared" si="7"/>
        <v>10448.118</v>
      </c>
    </row>
    <row r="79" spans="1:16" x14ac:dyDescent="0.25">
      <c r="A79" s="2" t="s">
        <v>14</v>
      </c>
      <c r="B79" s="3" t="s">
        <v>105</v>
      </c>
      <c r="C79" s="6">
        <v>561</v>
      </c>
      <c r="D79" s="5">
        <f t="shared" si="6"/>
        <v>6732</v>
      </c>
      <c r="E79" s="6">
        <v>561</v>
      </c>
      <c r="F79" s="5">
        <v>375</v>
      </c>
      <c r="G79" s="5">
        <f t="shared" si="8"/>
        <v>750.61800000000005</v>
      </c>
      <c r="H79" s="6">
        <v>561</v>
      </c>
      <c r="I79" s="5">
        <f t="shared" si="9"/>
        <v>1056</v>
      </c>
      <c r="J79" s="5">
        <f t="shared" si="10"/>
        <v>132</v>
      </c>
      <c r="K79" s="5">
        <f t="shared" si="11"/>
        <v>280.5</v>
      </c>
      <c r="L79" s="5">
        <v>45</v>
      </c>
      <c r="M79" s="5">
        <v>112.5</v>
      </c>
      <c r="N79" s="5">
        <v>160</v>
      </c>
      <c r="O79" s="5">
        <v>4</v>
      </c>
      <c r="P79" s="7">
        <f t="shared" si="7"/>
        <v>10448.118</v>
      </c>
    </row>
    <row r="80" spans="1:16" x14ac:dyDescent="0.25">
      <c r="A80" s="2" t="s">
        <v>106</v>
      </c>
      <c r="B80" s="3" t="s">
        <v>107</v>
      </c>
      <c r="C80" s="6">
        <v>494.1</v>
      </c>
      <c r="D80" s="5">
        <f t="shared" si="6"/>
        <v>5929.2000000000007</v>
      </c>
      <c r="E80" s="6">
        <v>494.1</v>
      </c>
      <c r="F80" s="5">
        <v>375</v>
      </c>
      <c r="G80" s="5">
        <f t="shared" si="8"/>
        <v>661.10580000000004</v>
      </c>
      <c r="H80" s="6">
        <v>494.1</v>
      </c>
      <c r="I80" s="5">
        <f t="shared" si="9"/>
        <v>1056</v>
      </c>
      <c r="J80" s="5">
        <f t="shared" si="10"/>
        <v>132</v>
      </c>
      <c r="K80" s="5">
        <f t="shared" si="11"/>
        <v>247.05</v>
      </c>
      <c r="L80" s="5">
        <v>0</v>
      </c>
      <c r="M80" s="5">
        <v>0</v>
      </c>
      <c r="N80" s="5">
        <v>160</v>
      </c>
      <c r="O80" s="5">
        <v>4</v>
      </c>
      <c r="P80" s="7">
        <f t="shared" si="7"/>
        <v>9388.5558000000019</v>
      </c>
    </row>
    <row r="81" spans="1:16" x14ac:dyDescent="0.25">
      <c r="A81" s="2" t="s">
        <v>14</v>
      </c>
      <c r="B81" s="3" t="s">
        <v>108</v>
      </c>
      <c r="C81" s="6">
        <v>561</v>
      </c>
      <c r="D81" s="5">
        <f t="shared" si="6"/>
        <v>6732</v>
      </c>
      <c r="E81" s="6">
        <v>561</v>
      </c>
      <c r="F81" s="5">
        <v>375</v>
      </c>
      <c r="G81" s="5">
        <f t="shared" si="8"/>
        <v>750.61800000000005</v>
      </c>
      <c r="H81" s="6">
        <v>561</v>
      </c>
      <c r="I81" s="5">
        <f t="shared" si="9"/>
        <v>1056</v>
      </c>
      <c r="J81" s="5">
        <f t="shared" si="10"/>
        <v>132</v>
      </c>
      <c r="K81" s="5">
        <f t="shared" si="11"/>
        <v>280.5</v>
      </c>
      <c r="L81" s="5">
        <v>0</v>
      </c>
      <c r="M81" s="5">
        <v>0</v>
      </c>
      <c r="N81" s="5">
        <v>160</v>
      </c>
      <c r="O81" s="5">
        <v>4</v>
      </c>
      <c r="P81" s="7">
        <f t="shared" si="7"/>
        <v>10448.118</v>
      </c>
    </row>
    <row r="82" spans="1:16" x14ac:dyDescent="0.25">
      <c r="A82" s="2" t="s">
        <v>16</v>
      </c>
      <c r="B82" s="3" t="s">
        <v>109</v>
      </c>
      <c r="C82" s="6">
        <v>596</v>
      </c>
      <c r="D82" s="5">
        <f t="shared" si="6"/>
        <v>7152</v>
      </c>
      <c r="E82" s="6">
        <v>596</v>
      </c>
      <c r="F82" s="5">
        <v>375</v>
      </c>
      <c r="G82" s="5">
        <f t="shared" si="8"/>
        <v>797.44800000000009</v>
      </c>
      <c r="H82" s="6">
        <v>596</v>
      </c>
      <c r="I82" s="5">
        <f t="shared" si="9"/>
        <v>1056</v>
      </c>
      <c r="J82" s="5">
        <f t="shared" si="10"/>
        <v>132</v>
      </c>
      <c r="K82" s="5">
        <f t="shared" si="11"/>
        <v>298</v>
      </c>
      <c r="L82" s="5">
        <v>135</v>
      </c>
      <c r="M82" s="5">
        <v>146.25</v>
      </c>
      <c r="N82" s="5">
        <v>160</v>
      </c>
      <c r="O82" s="5">
        <v>4</v>
      </c>
      <c r="P82" s="7">
        <f t="shared" si="7"/>
        <v>11002.448</v>
      </c>
    </row>
    <row r="83" spans="1:16" x14ac:dyDescent="0.25">
      <c r="A83" s="2" t="s">
        <v>16</v>
      </c>
      <c r="B83" s="3" t="s">
        <v>110</v>
      </c>
      <c r="C83" s="6">
        <v>596</v>
      </c>
      <c r="D83" s="5">
        <f t="shared" si="6"/>
        <v>7152</v>
      </c>
      <c r="E83" s="6">
        <v>596</v>
      </c>
      <c r="F83" s="5">
        <v>375</v>
      </c>
      <c r="G83" s="5">
        <f t="shared" si="8"/>
        <v>797.44800000000009</v>
      </c>
      <c r="H83" s="6">
        <v>596</v>
      </c>
      <c r="I83" s="5">
        <f t="shared" si="9"/>
        <v>1056</v>
      </c>
      <c r="J83" s="5">
        <f t="shared" si="10"/>
        <v>132</v>
      </c>
      <c r="K83" s="5">
        <f t="shared" si="11"/>
        <v>298</v>
      </c>
      <c r="L83" s="5">
        <v>90</v>
      </c>
      <c r="M83" s="5">
        <v>213.75</v>
      </c>
      <c r="N83" s="5">
        <v>160</v>
      </c>
      <c r="O83" s="5">
        <v>4</v>
      </c>
      <c r="P83" s="7">
        <f t="shared" si="7"/>
        <v>11002.448</v>
      </c>
    </row>
    <row r="84" spans="1:16" x14ac:dyDescent="0.25">
      <c r="A84" s="2" t="s">
        <v>14</v>
      </c>
      <c r="B84" s="3" t="s">
        <v>111</v>
      </c>
      <c r="C84" s="12">
        <v>561</v>
      </c>
      <c r="D84" s="11">
        <f t="shared" si="6"/>
        <v>6732</v>
      </c>
      <c r="E84" s="12">
        <v>561</v>
      </c>
      <c r="F84" s="11">
        <v>375</v>
      </c>
      <c r="G84" s="11">
        <f t="shared" si="8"/>
        <v>750.61800000000005</v>
      </c>
      <c r="H84" s="12">
        <v>561</v>
      </c>
      <c r="I84" s="11">
        <f t="shared" si="9"/>
        <v>1056</v>
      </c>
      <c r="J84" s="11">
        <f t="shared" si="10"/>
        <v>132</v>
      </c>
      <c r="K84" s="11">
        <f t="shared" si="11"/>
        <v>280.5</v>
      </c>
      <c r="L84" s="5">
        <v>45</v>
      </c>
      <c r="M84" s="11">
        <v>191.25</v>
      </c>
      <c r="N84" s="11">
        <v>160</v>
      </c>
      <c r="O84" s="11">
        <v>4</v>
      </c>
      <c r="P84" s="13">
        <f t="shared" si="7"/>
        <v>10448.118</v>
      </c>
    </row>
    <row r="85" spans="1:16" x14ac:dyDescent="0.25">
      <c r="A85" s="2" t="s">
        <v>16</v>
      </c>
      <c r="B85" s="3" t="s">
        <v>112</v>
      </c>
      <c r="C85" s="12">
        <v>596</v>
      </c>
      <c r="D85" s="11">
        <f t="shared" si="6"/>
        <v>7152</v>
      </c>
      <c r="E85" s="12">
        <v>596</v>
      </c>
      <c r="F85" s="11">
        <v>375</v>
      </c>
      <c r="G85" s="11">
        <f t="shared" si="8"/>
        <v>797.44800000000009</v>
      </c>
      <c r="H85" s="12">
        <v>596</v>
      </c>
      <c r="I85" s="11">
        <f t="shared" si="9"/>
        <v>1056</v>
      </c>
      <c r="J85" s="11">
        <f t="shared" si="10"/>
        <v>132</v>
      </c>
      <c r="K85" s="11">
        <f t="shared" si="11"/>
        <v>298</v>
      </c>
      <c r="L85" s="5">
        <v>0</v>
      </c>
      <c r="M85" s="11">
        <v>213.75</v>
      </c>
      <c r="N85" s="11">
        <v>160</v>
      </c>
      <c r="O85" s="11">
        <v>4</v>
      </c>
      <c r="P85" s="13">
        <f t="shared" si="7"/>
        <v>11002.448</v>
      </c>
    </row>
    <row r="86" spans="1:16" x14ac:dyDescent="0.25">
      <c r="A86" s="14" t="s">
        <v>14</v>
      </c>
      <c r="B86" s="3" t="s">
        <v>113</v>
      </c>
      <c r="C86" s="12"/>
      <c r="D86" s="11"/>
      <c r="E86" s="12"/>
      <c r="F86" s="11"/>
      <c r="G86" s="11"/>
      <c r="H86" s="12"/>
      <c r="I86" s="11"/>
      <c r="J86" s="11"/>
      <c r="K86" s="11"/>
      <c r="L86" s="11">
        <v>0</v>
      </c>
      <c r="M86" s="11">
        <v>0</v>
      </c>
      <c r="N86" s="11"/>
      <c r="O86" s="11"/>
      <c r="P86" s="13"/>
    </row>
    <row r="87" spans="1:16" x14ac:dyDescent="0.25">
      <c r="A87" s="14" t="s">
        <v>14</v>
      </c>
      <c r="B87" s="3" t="s">
        <v>114</v>
      </c>
      <c r="C87" s="12"/>
      <c r="D87" s="11"/>
      <c r="E87" s="12"/>
      <c r="F87" s="11"/>
      <c r="G87" s="11"/>
      <c r="H87" s="12"/>
      <c r="I87" s="11"/>
      <c r="J87" s="11"/>
      <c r="K87" s="11"/>
      <c r="L87" s="11">
        <v>0</v>
      </c>
      <c r="M87" s="11">
        <v>0</v>
      </c>
      <c r="N87" s="11"/>
      <c r="O87" s="11"/>
      <c r="P87" s="13"/>
    </row>
    <row r="88" spans="1:16" x14ac:dyDescent="0.25">
      <c r="A88" s="14" t="s">
        <v>14</v>
      </c>
      <c r="B88" s="3" t="s">
        <v>115</v>
      </c>
      <c r="C88" s="12"/>
      <c r="D88" s="11"/>
      <c r="E88" s="12"/>
      <c r="F88" s="11"/>
      <c r="G88" s="11"/>
      <c r="H88" s="12"/>
      <c r="I88" s="11"/>
      <c r="J88" s="11"/>
      <c r="K88" s="11"/>
      <c r="L88" s="11">
        <v>0</v>
      </c>
      <c r="M88" s="11">
        <v>0</v>
      </c>
      <c r="N88" s="11"/>
      <c r="O88" s="11"/>
      <c r="P88" s="13"/>
    </row>
    <row r="89" spans="1:16" ht="25.5" x14ac:dyDescent="0.25">
      <c r="A89" s="14" t="s">
        <v>14</v>
      </c>
      <c r="B89" s="3" t="s">
        <v>116</v>
      </c>
      <c r="C89" s="12">
        <v>561</v>
      </c>
      <c r="D89" s="5">
        <f t="shared" si="6"/>
        <v>6732</v>
      </c>
      <c r="E89" s="12">
        <v>561</v>
      </c>
      <c r="F89" s="5">
        <v>375</v>
      </c>
      <c r="G89" s="5">
        <f t="shared" si="8"/>
        <v>750.61800000000005</v>
      </c>
      <c r="H89" s="12">
        <v>561</v>
      </c>
      <c r="I89" s="5">
        <f t="shared" si="9"/>
        <v>1056</v>
      </c>
      <c r="J89" s="5">
        <f t="shared" si="10"/>
        <v>132</v>
      </c>
      <c r="K89" s="5">
        <f t="shared" si="11"/>
        <v>280.5</v>
      </c>
      <c r="L89" s="5">
        <v>90</v>
      </c>
      <c r="M89" s="5">
        <v>180</v>
      </c>
      <c r="N89" s="5">
        <v>160</v>
      </c>
      <c r="O89" s="5">
        <v>4</v>
      </c>
      <c r="P89" s="7">
        <f t="shared" si="7"/>
        <v>10448.118</v>
      </c>
    </row>
    <row r="90" spans="1:16" x14ac:dyDescent="0.25">
      <c r="A90" s="2" t="s">
        <v>14</v>
      </c>
      <c r="B90" s="3" t="s">
        <v>117</v>
      </c>
      <c r="C90" s="6">
        <v>561</v>
      </c>
      <c r="D90" s="5">
        <f t="shared" si="6"/>
        <v>6732</v>
      </c>
      <c r="E90" s="6">
        <v>561</v>
      </c>
      <c r="F90" s="5">
        <v>375</v>
      </c>
      <c r="G90" s="5">
        <f t="shared" si="8"/>
        <v>750.61800000000005</v>
      </c>
      <c r="H90" s="6">
        <v>561</v>
      </c>
      <c r="I90" s="5">
        <f t="shared" si="9"/>
        <v>1056</v>
      </c>
      <c r="J90" s="5">
        <f t="shared" si="10"/>
        <v>132</v>
      </c>
      <c r="K90" s="5">
        <f t="shared" si="11"/>
        <v>280.5</v>
      </c>
      <c r="L90" s="5">
        <v>90</v>
      </c>
      <c r="M90" s="5">
        <v>135</v>
      </c>
      <c r="N90" s="5">
        <v>160</v>
      </c>
      <c r="O90" s="5">
        <v>4</v>
      </c>
      <c r="P90" s="7">
        <f t="shared" si="7"/>
        <v>10448.118</v>
      </c>
    </row>
    <row r="91" spans="1:16" x14ac:dyDescent="0.25">
      <c r="A91" s="2" t="s">
        <v>14</v>
      </c>
      <c r="B91" s="3" t="s">
        <v>118</v>
      </c>
      <c r="C91" s="6">
        <v>561</v>
      </c>
      <c r="D91" s="5">
        <f t="shared" si="6"/>
        <v>6732</v>
      </c>
      <c r="E91" s="6">
        <v>561</v>
      </c>
      <c r="F91" s="5">
        <v>375</v>
      </c>
      <c r="G91" s="5">
        <f t="shared" si="8"/>
        <v>750.61800000000005</v>
      </c>
      <c r="H91" s="6">
        <v>561</v>
      </c>
      <c r="I91" s="5">
        <f t="shared" si="9"/>
        <v>1056</v>
      </c>
      <c r="J91" s="5">
        <f t="shared" si="10"/>
        <v>132</v>
      </c>
      <c r="K91" s="5">
        <f t="shared" si="11"/>
        <v>280.5</v>
      </c>
      <c r="L91" s="5">
        <v>0</v>
      </c>
      <c r="M91" s="5">
        <v>157.5</v>
      </c>
      <c r="N91" s="5">
        <v>160</v>
      </c>
      <c r="O91" s="5">
        <v>4</v>
      </c>
      <c r="P91" s="7">
        <f t="shared" si="7"/>
        <v>10448.118</v>
      </c>
    </row>
    <row r="92" spans="1:16" x14ac:dyDescent="0.25">
      <c r="A92" s="17" t="s">
        <v>14</v>
      </c>
      <c r="B92" s="3" t="s">
        <v>119</v>
      </c>
      <c r="C92" s="6">
        <v>561</v>
      </c>
      <c r="D92" s="5">
        <f t="shared" si="6"/>
        <v>6732</v>
      </c>
      <c r="E92" s="6">
        <v>561</v>
      </c>
      <c r="F92" s="5">
        <v>375</v>
      </c>
      <c r="G92" s="5">
        <f t="shared" si="8"/>
        <v>750.61800000000005</v>
      </c>
      <c r="H92" s="6">
        <v>561</v>
      </c>
      <c r="I92" s="5">
        <f t="shared" si="9"/>
        <v>1056</v>
      </c>
      <c r="J92" s="5">
        <f t="shared" si="10"/>
        <v>132</v>
      </c>
      <c r="K92" s="5">
        <f t="shared" si="11"/>
        <v>280.5</v>
      </c>
      <c r="L92" s="5">
        <v>0</v>
      </c>
      <c r="M92" s="5">
        <v>157.5</v>
      </c>
      <c r="N92" s="5">
        <v>160</v>
      </c>
      <c r="O92" s="5">
        <v>4</v>
      </c>
      <c r="P92" s="7">
        <f t="shared" si="7"/>
        <v>10448.118</v>
      </c>
    </row>
    <row r="93" spans="1:16" x14ac:dyDescent="0.25">
      <c r="A93" s="2" t="s">
        <v>14</v>
      </c>
      <c r="B93" s="3" t="s">
        <v>120</v>
      </c>
      <c r="C93" s="6">
        <v>561</v>
      </c>
      <c r="D93" s="5">
        <f t="shared" si="6"/>
        <v>6732</v>
      </c>
      <c r="E93" s="6">
        <v>561</v>
      </c>
      <c r="F93" s="5">
        <v>375</v>
      </c>
      <c r="G93" s="5">
        <f t="shared" si="8"/>
        <v>750.61800000000005</v>
      </c>
      <c r="H93" s="6">
        <v>561</v>
      </c>
      <c r="I93" s="5">
        <f t="shared" si="9"/>
        <v>1056</v>
      </c>
      <c r="J93" s="5">
        <f t="shared" si="10"/>
        <v>132</v>
      </c>
      <c r="K93" s="5">
        <f t="shared" si="11"/>
        <v>280.5</v>
      </c>
      <c r="L93" s="5">
        <v>45</v>
      </c>
      <c r="M93" s="5">
        <v>112.5</v>
      </c>
      <c r="N93" s="5">
        <v>160</v>
      </c>
      <c r="O93" s="5">
        <v>4</v>
      </c>
      <c r="P93" s="7">
        <f t="shared" si="7"/>
        <v>10448.118</v>
      </c>
    </row>
    <row r="94" spans="1:16" x14ac:dyDescent="0.25">
      <c r="A94" s="2" t="s">
        <v>14</v>
      </c>
      <c r="B94" s="3" t="s">
        <v>121</v>
      </c>
      <c r="C94" s="6">
        <v>561</v>
      </c>
      <c r="D94" s="5">
        <f t="shared" si="6"/>
        <v>6732</v>
      </c>
      <c r="E94" s="6">
        <v>561</v>
      </c>
      <c r="F94" s="5">
        <v>375</v>
      </c>
      <c r="G94" s="5">
        <f t="shared" si="8"/>
        <v>750.61800000000005</v>
      </c>
      <c r="H94" s="6">
        <v>561</v>
      </c>
      <c r="I94" s="5">
        <f t="shared" si="9"/>
        <v>1056</v>
      </c>
      <c r="J94" s="5">
        <f t="shared" si="10"/>
        <v>132</v>
      </c>
      <c r="K94" s="5">
        <f t="shared" si="11"/>
        <v>280.5</v>
      </c>
      <c r="L94" s="5">
        <v>0</v>
      </c>
      <c r="M94" s="5">
        <v>180</v>
      </c>
      <c r="N94" s="5">
        <v>160</v>
      </c>
      <c r="O94" s="5">
        <v>4</v>
      </c>
      <c r="P94" s="7">
        <f t="shared" si="7"/>
        <v>10448.118</v>
      </c>
    </row>
    <row r="95" spans="1:16" x14ac:dyDescent="0.25">
      <c r="A95" s="2" t="s">
        <v>14</v>
      </c>
      <c r="B95" s="3" t="s">
        <v>122</v>
      </c>
      <c r="C95" s="6">
        <v>561</v>
      </c>
      <c r="D95" s="5">
        <f t="shared" si="6"/>
        <v>6732</v>
      </c>
      <c r="E95" s="6">
        <v>561</v>
      </c>
      <c r="F95" s="5">
        <v>375</v>
      </c>
      <c r="G95" s="5">
        <f t="shared" si="8"/>
        <v>750.61800000000005</v>
      </c>
      <c r="H95" s="6">
        <v>561</v>
      </c>
      <c r="I95" s="5">
        <f t="shared" si="9"/>
        <v>1056</v>
      </c>
      <c r="J95" s="5">
        <f t="shared" si="10"/>
        <v>132</v>
      </c>
      <c r="K95" s="5">
        <f t="shared" si="11"/>
        <v>280.5</v>
      </c>
      <c r="L95" s="5">
        <v>90</v>
      </c>
      <c r="M95" s="5">
        <v>90</v>
      </c>
      <c r="N95" s="5">
        <v>160</v>
      </c>
      <c r="O95" s="5">
        <v>4</v>
      </c>
      <c r="P95" s="7">
        <f t="shared" si="7"/>
        <v>10448.118</v>
      </c>
    </row>
    <row r="96" spans="1:16" x14ac:dyDescent="0.25">
      <c r="A96" s="2" t="s">
        <v>14</v>
      </c>
      <c r="B96" s="3" t="s">
        <v>123</v>
      </c>
      <c r="C96" s="6">
        <v>561</v>
      </c>
      <c r="D96" s="5">
        <f t="shared" si="6"/>
        <v>6732</v>
      </c>
      <c r="E96" s="6">
        <v>561</v>
      </c>
      <c r="F96" s="5">
        <v>375</v>
      </c>
      <c r="G96" s="5">
        <f t="shared" si="8"/>
        <v>750.61800000000005</v>
      </c>
      <c r="H96" s="6">
        <v>561</v>
      </c>
      <c r="I96" s="5">
        <f t="shared" si="9"/>
        <v>1056</v>
      </c>
      <c r="J96" s="5">
        <f t="shared" si="10"/>
        <v>132</v>
      </c>
      <c r="K96" s="5">
        <f t="shared" si="11"/>
        <v>280.5</v>
      </c>
      <c r="L96" s="5">
        <v>90</v>
      </c>
      <c r="M96" s="5">
        <v>157.5</v>
      </c>
      <c r="N96" s="5">
        <v>160</v>
      </c>
      <c r="O96" s="5">
        <v>4</v>
      </c>
      <c r="P96" s="7">
        <f t="shared" si="7"/>
        <v>10448.118</v>
      </c>
    </row>
    <row r="97" spans="1:16" x14ac:dyDescent="0.25">
      <c r="A97" s="2" t="s">
        <v>14</v>
      </c>
      <c r="B97" s="3" t="s">
        <v>124</v>
      </c>
      <c r="C97" s="6">
        <v>561</v>
      </c>
      <c r="D97" s="5">
        <f t="shared" si="6"/>
        <v>6732</v>
      </c>
      <c r="E97" s="6">
        <v>561</v>
      </c>
      <c r="F97" s="5">
        <v>375</v>
      </c>
      <c r="G97" s="5">
        <f t="shared" si="8"/>
        <v>750.61800000000005</v>
      </c>
      <c r="H97" s="6">
        <v>561</v>
      </c>
      <c r="I97" s="5">
        <f t="shared" si="9"/>
        <v>1056</v>
      </c>
      <c r="J97" s="5">
        <f t="shared" si="10"/>
        <v>132</v>
      </c>
      <c r="K97" s="5">
        <f t="shared" si="11"/>
        <v>280.5</v>
      </c>
      <c r="L97" s="5">
        <v>90</v>
      </c>
      <c r="M97" s="5">
        <v>90</v>
      </c>
      <c r="N97" s="5">
        <v>160</v>
      </c>
      <c r="O97" s="5">
        <v>4</v>
      </c>
      <c r="P97" s="7">
        <f t="shared" si="7"/>
        <v>10448.118</v>
      </c>
    </row>
    <row r="98" spans="1:16" x14ac:dyDescent="0.25">
      <c r="A98" s="2" t="s">
        <v>14</v>
      </c>
      <c r="B98" s="3" t="s">
        <v>125</v>
      </c>
      <c r="C98" s="6">
        <v>561</v>
      </c>
      <c r="D98" s="5">
        <f t="shared" si="6"/>
        <v>6732</v>
      </c>
      <c r="E98" s="6">
        <v>561</v>
      </c>
      <c r="F98" s="5">
        <v>375</v>
      </c>
      <c r="G98" s="5">
        <f t="shared" si="8"/>
        <v>750.61800000000005</v>
      </c>
      <c r="H98" s="6">
        <v>561</v>
      </c>
      <c r="I98" s="5">
        <f t="shared" si="9"/>
        <v>1056</v>
      </c>
      <c r="J98" s="5">
        <f t="shared" si="10"/>
        <v>132</v>
      </c>
      <c r="K98" s="5">
        <f t="shared" si="11"/>
        <v>280.5</v>
      </c>
      <c r="L98" s="5">
        <v>0</v>
      </c>
      <c r="M98" s="5">
        <v>180</v>
      </c>
      <c r="N98" s="5">
        <v>160</v>
      </c>
      <c r="O98" s="5">
        <v>4</v>
      </c>
      <c r="P98" s="7">
        <f t="shared" ref="P98:P100" si="12">SUM(D98:K98)</f>
        <v>10448.118</v>
      </c>
    </row>
    <row r="99" spans="1:16" x14ac:dyDescent="0.25">
      <c r="A99" s="2" t="s">
        <v>16</v>
      </c>
      <c r="B99" s="3" t="s">
        <v>126</v>
      </c>
      <c r="C99" s="6">
        <v>596</v>
      </c>
      <c r="D99" s="5">
        <f t="shared" si="6"/>
        <v>7152</v>
      </c>
      <c r="E99" s="6">
        <v>596</v>
      </c>
      <c r="F99" s="5">
        <v>375</v>
      </c>
      <c r="G99" s="5">
        <f t="shared" si="8"/>
        <v>797.44800000000009</v>
      </c>
      <c r="H99" s="6">
        <v>596</v>
      </c>
      <c r="I99" s="5">
        <f t="shared" si="9"/>
        <v>1056</v>
      </c>
      <c r="J99" s="5">
        <f t="shared" si="10"/>
        <v>132</v>
      </c>
      <c r="K99" s="5">
        <f t="shared" si="11"/>
        <v>298</v>
      </c>
      <c r="L99" s="5">
        <v>90</v>
      </c>
      <c r="M99" s="5">
        <v>213.75</v>
      </c>
      <c r="N99" s="5">
        <v>160</v>
      </c>
      <c r="O99" s="5">
        <v>4</v>
      </c>
      <c r="P99" s="7">
        <f t="shared" si="12"/>
        <v>11002.448</v>
      </c>
    </row>
    <row r="100" spans="1:16" x14ac:dyDescent="0.25">
      <c r="A100" s="2" t="s">
        <v>14</v>
      </c>
      <c r="B100" s="3" t="s">
        <v>127</v>
      </c>
      <c r="C100" s="6">
        <v>561</v>
      </c>
      <c r="D100" s="5">
        <f t="shared" si="6"/>
        <v>6732</v>
      </c>
      <c r="E100" s="6">
        <v>561</v>
      </c>
      <c r="F100" s="5">
        <v>375</v>
      </c>
      <c r="G100" s="5">
        <f t="shared" si="8"/>
        <v>750.61800000000005</v>
      </c>
      <c r="H100" s="6">
        <v>561</v>
      </c>
      <c r="I100" s="5">
        <f t="shared" si="9"/>
        <v>1056</v>
      </c>
      <c r="J100" s="5">
        <f t="shared" si="10"/>
        <v>132</v>
      </c>
      <c r="K100" s="5">
        <f t="shared" si="11"/>
        <v>280.5</v>
      </c>
      <c r="L100" s="5">
        <v>0</v>
      </c>
      <c r="M100" s="5">
        <v>180</v>
      </c>
      <c r="N100" s="5">
        <v>160</v>
      </c>
      <c r="O100" s="5">
        <v>4</v>
      </c>
      <c r="P100" s="7">
        <f t="shared" si="12"/>
        <v>10448.118</v>
      </c>
    </row>
    <row r="101" spans="1:16" x14ac:dyDescent="0.25">
      <c r="A101" s="2" t="s">
        <v>14</v>
      </c>
      <c r="B101" s="3" t="s">
        <v>128</v>
      </c>
      <c r="C101" s="6">
        <v>375</v>
      </c>
      <c r="D101" s="5">
        <f t="shared" si="6"/>
        <v>4500</v>
      </c>
      <c r="E101" s="6">
        <v>375</v>
      </c>
      <c r="F101" s="5">
        <v>375</v>
      </c>
      <c r="G101" s="5">
        <f t="shared" si="8"/>
        <v>501.75</v>
      </c>
      <c r="H101" s="6">
        <v>375</v>
      </c>
      <c r="I101" s="5">
        <f t="shared" si="9"/>
        <v>1056</v>
      </c>
      <c r="J101" s="5">
        <f t="shared" si="10"/>
        <v>132</v>
      </c>
      <c r="K101" s="5">
        <f t="shared" si="11"/>
        <v>187.5</v>
      </c>
      <c r="L101" s="11">
        <v>0</v>
      </c>
      <c r="M101" s="5">
        <v>0</v>
      </c>
      <c r="N101" s="5">
        <v>160</v>
      </c>
      <c r="O101" s="5">
        <v>4</v>
      </c>
      <c r="P101" s="7"/>
    </row>
    <row r="102" spans="1:16" x14ac:dyDescent="0.25">
      <c r="A102" s="194"/>
      <c r="B102" s="194"/>
      <c r="C102" s="164">
        <f t="shared" ref="C102:K102" si="13">SUM(C2:C101)</f>
        <v>54996.1</v>
      </c>
      <c r="D102" s="163">
        <f t="shared" si="13"/>
        <v>659953.19999999995</v>
      </c>
      <c r="E102" s="164">
        <f t="shared" si="13"/>
        <v>54996.1</v>
      </c>
      <c r="F102" s="163">
        <f t="shared" si="13"/>
        <v>35250</v>
      </c>
      <c r="G102" s="163">
        <f t="shared" si="13"/>
        <v>73584.781800000041</v>
      </c>
      <c r="H102" s="163">
        <f t="shared" si="13"/>
        <v>54996.1</v>
      </c>
      <c r="I102" s="163">
        <f t="shared" si="13"/>
        <v>99264</v>
      </c>
      <c r="J102" s="163">
        <f t="shared" si="13"/>
        <v>12408</v>
      </c>
      <c r="K102" s="163">
        <f t="shared" si="13"/>
        <v>27498.05</v>
      </c>
      <c r="L102" s="163">
        <f>SUM(L2:L101)</f>
        <v>5130</v>
      </c>
      <c r="M102" s="163">
        <f>SUM(M2:M101)</f>
        <v>11441.25</v>
      </c>
      <c r="N102" s="163">
        <f>SUM(N2:N101)</f>
        <v>15040</v>
      </c>
      <c r="O102" s="163">
        <f>SUM(O2:O101)</f>
        <v>376</v>
      </c>
      <c r="P102" s="163">
        <f>SUBTOTAL(9,P2:P100)</f>
        <v>1010447.9818000004</v>
      </c>
    </row>
    <row r="103" spans="1:16" x14ac:dyDescent="0.25">
      <c r="A103" s="23"/>
      <c r="B103" s="23"/>
      <c r="C103" s="24"/>
      <c r="D103" s="25"/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x14ac:dyDescent="0.25">
      <c r="A104" s="23"/>
      <c r="B104" s="26"/>
      <c r="C104" s="19" t="s">
        <v>129</v>
      </c>
      <c r="D104" s="26"/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x14ac:dyDescent="0.25">
      <c r="A105" s="26"/>
      <c r="B105" s="26"/>
      <c r="C105" s="20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  <row r="106" spans="1:16" ht="15.75" x14ac:dyDescent="0.25">
      <c r="A106" s="26"/>
      <c r="B106" s="26"/>
      <c r="C106" s="20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 spans="1:16" x14ac:dyDescent="0.25">
      <c r="A107" s="26"/>
      <c r="B107" s="26"/>
      <c r="C107" s="21" t="s">
        <v>130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</row>
    <row r="108" spans="1:16" x14ac:dyDescent="0.25">
      <c r="A108" s="26"/>
      <c r="B108" s="26"/>
      <c r="C108" s="22" t="s">
        <v>131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 spans="1:16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</sheetData>
  <mergeCells count="1">
    <mergeCell ref="A102:B102"/>
  </mergeCells>
  <conditionalFormatting sqref="C102:C104">
    <cfRule type="cellIs" dxfId="127" priority="62" operator="equal">
      <formula>"VACANTE"</formula>
    </cfRule>
    <cfRule type="containsText" dxfId="126" priority="63" operator="containsText" text="VACANTE">
      <formula>NOT(ISERROR(SEARCH("VACANTE",C102)))</formula>
    </cfRule>
  </conditionalFormatting>
  <conditionalFormatting sqref="C102:C104">
    <cfRule type="cellIs" dxfId="125" priority="64" operator="equal">
      <formula>"VACANTE"</formula>
    </cfRule>
  </conditionalFormatting>
  <conditionalFormatting sqref="B100">
    <cfRule type="cellIs" dxfId="124" priority="25" operator="equal">
      <formula>"VACANTE"</formula>
    </cfRule>
    <cfRule type="containsText" dxfId="123" priority="26" operator="containsText" text="VACANTE">
      <formula>NOT(ISERROR(SEARCH("VACANTE",B100)))</formula>
    </cfRule>
  </conditionalFormatting>
  <conditionalFormatting sqref="B2">
    <cfRule type="cellIs" dxfId="122" priority="61" operator="equal">
      <formula>"VACANTE"</formula>
    </cfRule>
  </conditionalFormatting>
  <conditionalFormatting sqref="B2">
    <cfRule type="cellIs" dxfId="121" priority="59" operator="equal">
      <formula>"VACANTE"</formula>
    </cfRule>
    <cfRule type="containsText" dxfId="120" priority="60" operator="containsText" text="VACANTE">
      <formula>NOT(ISERROR(SEARCH("VACANTE",B2)))</formula>
    </cfRule>
  </conditionalFormatting>
  <conditionalFormatting sqref="A17:A32">
    <cfRule type="cellIs" dxfId="119" priority="16" operator="equal">
      <formula>"VACANTE"</formula>
    </cfRule>
    <cfRule type="containsText" dxfId="118" priority="17" operator="containsText" text="VACANTE">
      <formula>NOT(ISERROR(SEARCH("VACANTE",A17)))</formula>
    </cfRule>
  </conditionalFormatting>
  <conditionalFormatting sqref="B7:B9 B3:B5">
    <cfRule type="cellIs" dxfId="117" priority="58" operator="equal">
      <formula>"VACANTE"</formula>
    </cfRule>
  </conditionalFormatting>
  <conditionalFormatting sqref="B7:B9 B3:B5">
    <cfRule type="cellIs" dxfId="116" priority="56" operator="equal">
      <formula>"VACANTE"</formula>
    </cfRule>
    <cfRule type="containsText" dxfId="115" priority="57" operator="containsText" text="VACANTE">
      <formula>NOT(ISERROR(SEARCH("VACANTE",B3)))</formula>
    </cfRule>
  </conditionalFormatting>
  <conditionalFormatting sqref="A89:A101">
    <cfRule type="cellIs" dxfId="114" priority="7" operator="equal">
      <formula>"VACANTE"</formula>
    </cfRule>
    <cfRule type="containsText" dxfId="113" priority="8" operator="containsText" text="VACANTE">
      <formula>NOT(ISERROR(SEARCH("VACANTE",A89)))</formula>
    </cfRule>
  </conditionalFormatting>
  <conditionalFormatting sqref="B10:B19">
    <cfRule type="cellIs" dxfId="112" priority="55" operator="equal">
      <formula>"VACANTE"</formula>
    </cfRule>
  </conditionalFormatting>
  <conditionalFormatting sqref="B10:B19">
    <cfRule type="cellIs" dxfId="111" priority="53" operator="equal">
      <formula>"VACANTE"</formula>
    </cfRule>
    <cfRule type="containsText" dxfId="110" priority="54" operator="containsText" text="VACANTE">
      <formula>NOT(ISERROR(SEARCH("VACANTE",B10)))</formula>
    </cfRule>
  </conditionalFormatting>
  <conditionalFormatting sqref="B20:B37">
    <cfRule type="cellIs" dxfId="109" priority="52" operator="equal">
      <formula>"VACANTE"</formula>
    </cfRule>
  </conditionalFormatting>
  <conditionalFormatting sqref="B20:B37">
    <cfRule type="cellIs" dxfId="108" priority="50" operator="equal">
      <formula>"VACANTE"</formula>
    </cfRule>
    <cfRule type="containsText" dxfId="107" priority="51" operator="containsText" text="VACANTE">
      <formula>NOT(ISERROR(SEARCH("VACANTE",B20)))</formula>
    </cfRule>
  </conditionalFormatting>
  <conditionalFormatting sqref="B54:B63 B38:B50">
    <cfRule type="cellIs" dxfId="106" priority="49" operator="equal">
      <formula>"VACANTE"</formula>
    </cfRule>
  </conditionalFormatting>
  <conditionalFormatting sqref="B38:B50 B54:B63">
    <cfRule type="cellIs" dxfId="105" priority="47" operator="equal">
      <formula>"VACANTE"</formula>
    </cfRule>
    <cfRule type="containsText" dxfId="104" priority="48" operator="containsText" text="VACANTE">
      <formula>NOT(ISERROR(SEARCH("VACANTE",B38)))</formula>
    </cfRule>
  </conditionalFormatting>
  <conditionalFormatting sqref="B51:B52">
    <cfRule type="containsText" dxfId="103" priority="46" operator="containsText" text="VACANTE">
      <formula>NOT(ISERROR(SEARCH("VACANTE",B51)))</formula>
    </cfRule>
  </conditionalFormatting>
  <conditionalFormatting sqref="B53">
    <cfRule type="containsText" dxfId="102" priority="45" operator="containsText" text="VACANTE">
      <formula>NOT(ISERROR(SEARCH("VACANTE",B53)))</formula>
    </cfRule>
  </conditionalFormatting>
  <conditionalFormatting sqref="B64:B82 B84">
    <cfRule type="cellIs" dxfId="101" priority="44" operator="equal">
      <formula>"VACANTE"</formula>
    </cfRule>
  </conditionalFormatting>
  <conditionalFormatting sqref="B64:B85">
    <cfRule type="cellIs" dxfId="100" priority="42" operator="equal">
      <formula>"VACANTE"</formula>
    </cfRule>
    <cfRule type="containsText" dxfId="99" priority="43" operator="containsText" text="VACANTE">
      <formula>NOT(ISERROR(SEARCH("VACANTE",B64)))</formula>
    </cfRule>
  </conditionalFormatting>
  <conditionalFormatting sqref="B85">
    <cfRule type="cellIs" dxfId="98" priority="41" operator="equal">
      <formula>"VACANTE"</formula>
    </cfRule>
  </conditionalFormatting>
  <conditionalFormatting sqref="B91:B92 B89">
    <cfRule type="cellIs" dxfId="97" priority="40" operator="equal">
      <formula>"VACANTE"</formula>
    </cfRule>
  </conditionalFormatting>
  <conditionalFormatting sqref="B89:B92">
    <cfRule type="cellIs" dxfId="96" priority="38" operator="equal">
      <formula>"VACANTE"</formula>
    </cfRule>
    <cfRule type="containsText" dxfId="95" priority="39" operator="containsText" text="VACANTE">
      <formula>NOT(ISERROR(SEARCH("VACANTE",B89)))</formula>
    </cfRule>
  </conditionalFormatting>
  <conditionalFormatting sqref="B94:B95">
    <cfRule type="cellIs" dxfId="94" priority="37" operator="equal">
      <formula>"VACANTE"</formula>
    </cfRule>
  </conditionalFormatting>
  <conditionalFormatting sqref="B93">
    <cfRule type="cellIs" dxfId="93" priority="36" operator="equal">
      <formula>"VACANTE"</formula>
    </cfRule>
  </conditionalFormatting>
  <conditionalFormatting sqref="B93:B95">
    <cfRule type="cellIs" dxfId="92" priority="34" operator="equal">
      <formula>"VACANTE"</formula>
    </cfRule>
    <cfRule type="containsText" dxfId="91" priority="35" operator="containsText" text="VACANTE">
      <formula>NOT(ISERROR(SEARCH("VACANTE",B93)))</formula>
    </cfRule>
  </conditionalFormatting>
  <conditionalFormatting sqref="B96:B98">
    <cfRule type="cellIs" dxfId="90" priority="33" operator="equal">
      <formula>"VACANTE"</formula>
    </cfRule>
  </conditionalFormatting>
  <conditionalFormatting sqref="B96:B98">
    <cfRule type="cellIs" dxfId="89" priority="31" operator="equal">
      <formula>"VACANTE"</formula>
    </cfRule>
    <cfRule type="containsText" dxfId="88" priority="32" operator="containsText" text="VACANTE">
      <formula>NOT(ISERROR(SEARCH("VACANTE",B96)))</formula>
    </cfRule>
  </conditionalFormatting>
  <conditionalFormatting sqref="B99">
    <cfRule type="cellIs" dxfId="87" priority="30" operator="equal">
      <formula>"VACANTE"</formula>
    </cfRule>
  </conditionalFormatting>
  <conditionalFormatting sqref="B99">
    <cfRule type="cellIs" dxfId="86" priority="28" operator="equal">
      <formula>"VACANTE"</formula>
    </cfRule>
    <cfRule type="containsText" dxfId="85" priority="29" operator="containsText" text="VACANTE">
      <formula>NOT(ISERROR(SEARCH("VACANTE",B99)))</formula>
    </cfRule>
  </conditionalFormatting>
  <conditionalFormatting sqref="B100">
    <cfRule type="cellIs" dxfId="84" priority="27" operator="equal">
      <formula>"VACANTE"</formula>
    </cfRule>
  </conditionalFormatting>
  <conditionalFormatting sqref="B101">
    <cfRule type="cellIs" dxfId="83" priority="24" operator="equal">
      <formula>"VACANTE"</formula>
    </cfRule>
  </conditionalFormatting>
  <conditionalFormatting sqref="B101">
    <cfRule type="cellIs" dxfId="82" priority="22" operator="equal">
      <formula>"VACANTE"</formula>
    </cfRule>
    <cfRule type="containsText" dxfId="81" priority="23" operator="containsText" text="VACANTE">
      <formula>NOT(ISERROR(SEARCH("VACANTE",B101)))</formula>
    </cfRule>
  </conditionalFormatting>
  <conditionalFormatting sqref="A2:A16">
    <cfRule type="cellIs" dxfId="80" priority="21" operator="equal">
      <formula>"VACANTE"</formula>
    </cfRule>
  </conditionalFormatting>
  <conditionalFormatting sqref="A2:A16">
    <cfRule type="cellIs" dxfId="79" priority="19" operator="equal">
      <formula>"VACANTE"</formula>
    </cfRule>
    <cfRule type="containsText" dxfId="78" priority="20" operator="containsText" text="VACANTE">
      <formula>NOT(ISERROR(SEARCH("VACANTE",A2)))</formula>
    </cfRule>
  </conditionalFormatting>
  <conditionalFormatting sqref="A17:A32">
    <cfRule type="cellIs" dxfId="77" priority="18" operator="equal">
      <formula>"VACANTE"</formula>
    </cfRule>
  </conditionalFormatting>
  <conditionalFormatting sqref="A33:A59">
    <cfRule type="cellIs" dxfId="76" priority="15" operator="equal">
      <formula>"VACANTE"</formula>
    </cfRule>
  </conditionalFormatting>
  <conditionalFormatting sqref="A33:A59">
    <cfRule type="cellIs" dxfId="75" priority="13" operator="equal">
      <formula>"VACANTE"</formula>
    </cfRule>
    <cfRule type="containsText" dxfId="74" priority="14" operator="containsText" text="VACANTE">
      <formula>NOT(ISERROR(SEARCH("VACANTE",A33)))</formula>
    </cfRule>
  </conditionalFormatting>
  <conditionalFormatting sqref="A60:A88">
    <cfRule type="cellIs" dxfId="73" priority="12" operator="equal">
      <formula>"VACANTE"</formula>
    </cfRule>
  </conditionalFormatting>
  <conditionalFormatting sqref="A60:A88">
    <cfRule type="cellIs" dxfId="72" priority="10" operator="equal">
      <formula>"VACANTE"</formula>
    </cfRule>
    <cfRule type="containsText" dxfId="71" priority="11" operator="containsText" text="VACANTE">
      <formula>NOT(ISERROR(SEARCH("VACANTE",A60)))</formula>
    </cfRule>
  </conditionalFormatting>
  <conditionalFormatting sqref="A89:A101">
    <cfRule type="cellIs" dxfId="70" priority="9" operator="equal">
      <formula>"VACANTE"</formula>
    </cfRule>
  </conditionalFormatting>
  <conditionalFormatting sqref="E102:E104">
    <cfRule type="cellIs" dxfId="69" priority="4" operator="equal">
      <formula>"VACANTE"</formula>
    </cfRule>
    <cfRule type="containsText" dxfId="68" priority="5" operator="containsText" text="VACANTE">
      <formula>NOT(ISERROR(SEARCH("VACANTE",E102)))</formula>
    </cfRule>
  </conditionalFormatting>
  <conditionalFormatting sqref="E102:E104">
    <cfRule type="cellIs" dxfId="67" priority="6" operator="equal">
      <formula>"VACANTE"</formula>
    </cfRule>
  </conditionalFormatting>
  <conditionalFormatting sqref="B86:B88">
    <cfRule type="cellIs" dxfId="66" priority="3" operator="equal">
      <formula>"VACANTE"</formula>
    </cfRule>
  </conditionalFormatting>
  <conditionalFormatting sqref="B86:B88">
    <cfRule type="cellIs" dxfId="65" priority="1" operator="equal">
      <formula>"VACANTE"</formula>
    </cfRule>
    <cfRule type="containsText" dxfId="64" priority="2" operator="containsText" text="VACANTE">
      <formula>NOT(ISERROR(SEARCH("VACANTE",B86)))</formula>
    </cfRule>
  </conditionalFormatting>
  <pageMargins left="0.25" right="0.25" top="0.75" bottom="0.75" header="0.3" footer="0.3"/>
  <pageSetup paperSize="9" scale="65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8"/>
  <sheetViews>
    <sheetView topLeftCell="A91" workbookViewId="0">
      <selection activeCell="H119" sqref="H119"/>
    </sheetView>
  </sheetViews>
  <sheetFormatPr baseColWidth="10" defaultRowHeight="15" x14ac:dyDescent="0.25"/>
  <cols>
    <col min="1" max="1" width="21" customWidth="1"/>
    <col min="2" max="2" width="28.85546875" customWidth="1"/>
    <col min="3" max="3" width="12.5703125" customWidth="1"/>
    <col min="4" max="4" width="14.7109375" customWidth="1"/>
    <col min="5" max="5" width="14" customWidth="1"/>
    <col min="6" max="6" width="12.7109375" customWidth="1"/>
    <col min="7" max="7" width="13.28515625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 t="s">
        <v>15</v>
      </c>
      <c r="C2" s="6">
        <v>561</v>
      </c>
      <c r="D2" s="5">
        <f t="shared" ref="D2:D65" si="0">C2*12</f>
        <v>6732</v>
      </c>
      <c r="E2" s="6">
        <v>561</v>
      </c>
      <c r="F2" s="5">
        <v>386</v>
      </c>
      <c r="G2" s="5">
        <f>C2*11.15%*12</f>
        <v>750.61800000000005</v>
      </c>
      <c r="H2" s="6">
        <v>561</v>
      </c>
      <c r="I2" s="5">
        <f>88*12</f>
        <v>1056</v>
      </c>
      <c r="J2" s="5">
        <f>11*12</f>
        <v>132</v>
      </c>
      <c r="K2" s="5">
        <f>C2/2</f>
        <v>280.5</v>
      </c>
      <c r="L2" s="5">
        <v>92.64</v>
      </c>
      <c r="M2" s="5">
        <v>150.54</v>
      </c>
      <c r="N2" s="5">
        <v>160</v>
      </c>
      <c r="O2" s="5">
        <v>4</v>
      </c>
      <c r="P2" s="7">
        <f t="shared" ref="P2:P65" si="1">SUM(D2:K2)</f>
        <v>10459.118</v>
      </c>
    </row>
    <row r="3" spans="1:16" x14ac:dyDescent="0.25">
      <c r="A3" s="2" t="s">
        <v>16</v>
      </c>
      <c r="B3" s="3" t="s">
        <v>17</v>
      </c>
      <c r="C3" s="6">
        <v>596</v>
      </c>
      <c r="D3" s="5">
        <f t="shared" si="0"/>
        <v>7152</v>
      </c>
      <c r="E3" s="6">
        <v>596</v>
      </c>
      <c r="F3" s="5">
        <v>386</v>
      </c>
      <c r="G3" s="5">
        <f t="shared" ref="G3:G66" si="2">C3*11.15%*12</f>
        <v>797.44800000000009</v>
      </c>
      <c r="H3" s="6">
        <v>596</v>
      </c>
      <c r="I3" s="5">
        <f t="shared" ref="I3:I66" si="3">88*12</f>
        <v>1056</v>
      </c>
      <c r="J3" s="5">
        <f t="shared" ref="J3:J66" si="4">11*12</f>
        <v>132</v>
      </c>
      <c r="K3" s="5">
        <f t="shared" ref="K3:K66" si="5">C3/2</f>
        <v>298</v>
      </c>
      <c r="L3" s="5">
        <v>0</v>
      </c>
      <c r="M3" s="5">
        <v>138.96</v>
      </c>
      <c r="N3" s="5">
        <v>160</v>
      </c>
      <c r="O3" s="5">
        <v>4</v>
      </c>
      <c r="P3" s="7">
        <f t="shared" si="1"/>
        <v>11013.448</v>
      </c>
    </row>
    <row r="4" spans="1:16" ht="25.5" x14ac:dyDescent="0.25">
      <c r="A4" s="2" t="s">
        <v>14</v>
      </c>
      <c r="B4" s="3" t="s">
        <v>18</v>
      </c>
      <c r="C4" s="6">
        <v>561</v>
      </c>
      <c r="D4" s="5">
        <f t="shared" si="0"/>
        <v>6732</v>
      </c>
      <c r="E4" s="6">
        <v>561</v>
      </c>
      <c r="F4" s="5">
        <v>386</v>
      </c>
      <c r="G4" s="5">
        <f t="shared" si="2"/>
        <v>750.61800000000005</v>
      </c>
      <c r="H4" s="6">
        <v>561</v>
      </c>
      <c r="I4" s="5">
        <f t="shared" si="3"/>
        <v>1056</v>
      </c>
      <c r="J4" s="5">
        <f t="shared" si="4"/>
        <v>132</v>
      </c>
      <c r="K4" s="5">
        <f t="shared" si="5"/>
        <v>280.5</v>
      </c>
      <c r="L4" s="5">
        <v>231.60000000000002</v>
      </c>
      <c r="M4" s="5">
        <v>208.44</v>
      </c>
      <c r="N4" s="5">
        <v>160</v>
      </c>
      <c r="O4" s="5">
        <v>4</v>
      </c>
      <c r="P4" s="7">
        <f t="shared" si="1"/>
        <v>10459.118</v>
      </c>
    </row>
    <row r="5" spans="1:16" ht="25.5" x14ac:dyDescent="0.25">
      <c r="A5" s="2" t="s">
        <v>19</v>
      </c>
      <c r="B5" s="3" t="s">
        <v>20</v>
      </c>
      <c r="C5" s="6">
        <v>561</v>
      </c>
      <c r="D5" s="5">
        <f t="shared" si="0"/>
        <v>6732</v>
      </c>
      <c r="E5" s="6">
        <v>561</v>
      </c>
      <c r="F5" s="5">
        <v>386</v>
      </c>
      <c r="G5" s="5">
        <f t="shared" si="2"/>
        <v>750.61800000000005</v>
      </c>
      <c r="H5" s="6">
        <v>561</v>
      </c>
      <c r="I5" s="5">
        <f t="shared" si="3"/>
        <v>1056</v>
      </c>
      <c r="J5" s="5">
        <f t="shared" si="4"/>
        <v>132</v>
      </c>
      <c r="K5" s="5">
        <f t="shared" si="5"/>
        <v>280.5</v>
      </c>
      <c r="L5" s="5">
        <v>92.64</v>
      </c>
      <c r="M5" s="5">
        <v>69.48</v>
      </c>
      <c r="N5" s="5">
        <v>160</v>
      </c>
      <c r="O5" s="5">
        <v>4</v>
      </c>
      <c r="P5" s="7">
        <f t="shared" si="1"/>
        <v>10459.118</v>
      </c>
    </row>
    <row r="6" spans="1:16" x14ac:dyDescent="0.25">
      <c r="A6" s="2" t="s">
        <v>21</v>
      </c>
      <c r="B6" s="9" t="s">
        <v>22</v>
      </c>
      <c r="C6" s="6">
        <v>738</v>
      </c>
      <c r="D6" s="5">
        <f t="shared" si="0"/>
        <v>8856</v>
      </c>
      <c r="E6" s="6">
        <v>738</v>
      </c>
      <c r="F6" s="5">
        <v>386</v>
      </c>
      <c r="G6" s="5">
        <f t="shared" si="2"/>
        <v>987.44400000000007</v>
      </c>
      <c r="H6" s="6">
        <v>738</v>
      </c>
      <c r="I6" s="5">
        <f t="shared" si="3"/>
        <v>1056</v>
      </c>
      <c r="J6" s="5">
        <f t="shared" si="4"/>
        <v>132</v>
      </c>
      <c r="K6" s="5">
        <f t="shared" si="5"/>
        <v>369</v>
      </c>
      <c r="L6" s="5">
        <v>46.32</v>
      </c>
      <c r="M6" s="5">
        <v>115.80000000000001</v>
      </c>
      <c r="N6" s="5">
        <v>160</v>
      </c>
      <c r="O6" s="5">
        <v>4</v>
      </c>
      <c r="P6" s="7">
        <f t="shared" si="1"/>
        <v>13262.444</v>
      </c>
    </row>
    <row r="7" spans="1:16" x14ac:dyDescent="0.25">
      <c r="A7" s="2" t="s">
        <v>14</v>
      </c>
      <c r="B7" s="3" t="s">
        <v>23</v>
      </c>
      <c r="C7" s="6">
        <v>561</v>
      </c>
      <c r="D7" s="5">
        <f t="shared" si="0"/>
        <v>6732</v>
      </c>
      <c r="E7" s="6">
        <v>561</v>
      </c>
      <c r="F7" s="5">
        <v>386</v>
      </c>
      <c r="G7" s="5">
        <f t="shared" si="2"/>
        <v>750.61800000000005</v>
      </c>
      <c r="H7" s="6">
        <v>561</v>
      </c>
      <c r="I7" s="5">
        <f t="shared" si="3"/>
        <v>1056</v>
      </c>
      <c r="J7" s="5">
        <f t="shared" si="4"/>
        <v>132</v>
      </c>
      <c r="K7" s="5">
        <f t="shared" si="5"/>
        <v>280.5</v>
      </c>
      <c r="L7" s="5">
        <v>92.64</v>
      </c>
      <c r="M7" s="5">
        <v>127.38</v>
      </c>
      <c r="N7" s="5">
        <v>160</v>
      </c>
      <c r="O7" s="5">
        <v>4</v>
      </c>
      <c r="P7" s="7">
        <f t="shared" si="1"/>
        <v>10459.118</v>
      </c>
    </row>
    <row r="8" spans="1:16" x14ac:dyDescent="0.25">
      <c r="A8" s="2" t="s">
        <v>14</v>
      </c>
      <c r="B8" s="3" t="s">
        <v>24</v>
      </c>
      <c r="C8" s="6">
        <v>561</v>
      </c>
      <c r="D8" s="5">
        <f t="shared" si="0"/>
        <v>6732</v>
      </c>
      <c r="E8" s="6">
        <v>561</v>
      </c>
      <c r="F8" s="5">
        <v>386</v>
      </c>
      <c r="G8" s="5">
        <f t="shared" si="2"/>
        <v>750.61800000000005</v>
      </c>
      <c r="H8" s="6">
        <v>561</v>
      </c>
      <c r="I8" s="5">
        <f t="shared" si="3"/>
        <v>1056</v>
      </c>
      <c r="J8" s="5">
        <f t="shared" si="4"/>
        <v>132</v>
      </c>
      <c r="K8" s="5">
        <f t="shared" si="5"/>
        <v>280.5</v>
      </c>
      <c r="L8" s="5">
        <v>185.28</v>
      </c>
      <c r="M8" s="5">
        <v>138.96</v>
      </c>
      <c r="N8" s="5">
        <v>160</v>
      </c>
      <c r="O8" s="5">
        <v>4</v>
      </c>
      <c r="P8" s="7">
        <f t="shared" si="1"/>
        <v>10459.118</v>
      </c>
    </row>
    <row r="9" spans="1:16" x14ac:dyDescent="0.25">
      <c r="A9" s="2" t="s">
        <v>16</v>
      </c>
      <c r="B9" s="3" t="s">
        <v>25</v>
      </c>
      <c r="C9" s="6">
        <v>596</v>
      </c>
      <c r="D9" s="5">
        <f t="shared" si="0"/>
        <v>7152</v>
      </c>
      <c r="E9" s="6">
        <v>596</v>
      </c>
      <c r="F9" s="5">
        <v>386</v>
      </c>
      <c r="G9" s="5">
        <f t="shared" si="2"/>
        <v>797.44800000000009</v>
      </c>
      <c r="H9" s="6">
        <v>596</v>
      </c>
      <c r="I9" s="5">
        <f t="shared" si="3"/>
        <v>1056</v>
      </c>
      <c r="J9" s="5">
        <f t="shared" si="4"/>
        <v>132</v>
      </c>
      <c r="K9" s="5">
        <f t="shared" si="5"/>
        <v>298</v>
      </c>
      <c r="L9" s="5">
        <v>46.32</v>
      </c>
      <c r="M9" s="5">
        <v>162.12</v>
      </c>
      <c r="N9" s="5">
        <v>160</v>
      </c>
      <c r="O9" s="5">
        <v>4</v>
      </c>
      <c r="P9" s="7">
        <f t="shared" si="1"/>
        <v>11013.448</v>
      </c>
    </row>
    <row r="10" spans="1:16" ht="25.5" x14ac:dyDescent="0.25">
      <c r="A10" s="2" t="s">
        <v>14</v>
      </c>
      <c r="B10" s="3" t="s">
        <v>26</v>
      </c>
      <c r="C10" s="6">
        <v>561</v>
      </c>
      <c r="D10" s="5">
        <f t="shared" si="0"/>
        <v>6732</v>
      </c>
      <c r="E10" s="6">
        <v>561</v>
      </c>
      <c r="F10" s="5">
        <v>386</v>
      </c>
      <c r="G10" s="5">
        <f t="shared" si="2"/>
        <v>750.61800000000005</v>
      </c>
      <c r="H10" s="6">
        <v>561</v>
      </c>
      <c r="I10" s="5">
        <f t="shared" si="3"/>
        <v>1056</v>
      </c>
      <c r="J10" s="5">
        <f t="shared" si="4"/>
        <v>132</v>
      </c>
      <c r="K10" s="5">
        <f t="shared" si="5"/>
        <v>280.5</v>
      </c>
      <c r="L10" s="5">
        <v>0</v>
      </c>
      <c r="M10" s="5">
        <v>208.44</v>
      </c>
      <c r="N10" s="5">
        <v>160</v>
      </c>
      <c r="O10" s="5">
        <v>4</v>
      </c>
      <c r="P10" s="7">
        <f t="shared" si="1"/>
        <v>10459.118</v>
      </c>
    </row>
    <row r="11" spans="1:16" ht="25.5" x14ac:dyDescent="0.25">
      <c r="A11" s="2" t="s">
        <v>21</v>
      </c>
      <c r="B11" s="9" t="s">
        <v>27</v>
      </c>
      <c r="C11" s="6">
        <v>738</v>
      </c>
      <c r="D11" s="5">
        <f t="shared" si="0"/>
        <v>8856</v>
      </c>
      <c r="E11" s="6">
        <v>738</v>
      </c>
      <c r="F11" s="5">
        <v>386</v>
      </c>
      <c r="G11" s="5">
        <f t="shared" si="2"/>
        <v>987.44400000000007</v>
      </c>
      <c r="H11" s="6">
        <v>738</v>
      </c>
      <c r="I11" s="5">
        <f t="shared" si="3"/>
        <v>1056</v>
      </c>
      <c r="J11" s="5">
        <f t="shared" si="4"/>
        <v>132</v>
      </c>
      <c r="K11" s="5">
        <f t="shared" si="5"/>
        <v>369</v>
      </c>
      <c r="L11" s="5">
        <v>46.32</v>
      </c>
      <c r="M11" s="5">
        <v>254.76</v>
      </c>
      <c r="N11" s="5">
        <v>160</v>
      </c>
      <c r="O11" s="5">
        <v>4</v>
      </c>
      <c r="P11" s="7">
        <f t="shared" si="1"/>
        <v>13262.444</v>
      </c>
    </row>
    <row r="12" spans="1:16" ht="25.5" x14ac:dyDescent="0.25">
      <c r="A12" s="2" t="s">
        <v>28</v>
      </c>
      <c r="B12" s="3" t="s">
        <v>29</v>
      </c>
      <c r="C12" s="6">
        <v>531</v>
      </c>
      <c r="D12" s="5">
        <f t="shared" si="0"/>
        <v>6372</v>
      </c>
      <c r="E12" s="6"/>
      <c r="F12" s="5">
        <v>386</v>
      </c>
      <c r="G12" s="5">
        <f t="shared" si="2"/>
        <v>710.47799999999995</v>
      </c>
      <c r="H12" s="6"/>
      <c r="I12" s="5">
        <f t="shared" si="3"/>
        <v>1056</v>
      </c>
      <c r="J12" s="5">
        <f t="shared" si="4"/>
        <v>132</v>
      </c>
      <c r="K12" s="5">
        <f t="shared" si="5"/>
        <v>265.5</v>
      </c>
      <c r="L12" s="11">
        <v>0</v>
      </c>
      <c r="M12" s="5">
        <v>0</v>
      </c>
      <c r="N12" s="5">
        <v>160</v>
      </c>
      <c r="O12" s="5">
        <v>4</v>
      </c>
      <c r="P12" s="7">
        <f t="shared" si="1"/>
        <v>8921.9779999999992</v>
      </c>
    </row>
    <row r="13" spans="1:16" ht="25.5" x14ac:dyDescent="0.25">
      <c r="A13" s="2" t="s">
        <v>14</v>
      </c>
      <c r="B13" s="3" t="s">
        <v>30</v>
      </c>
      <c r="C13" s="6">
        <v>531</v>
      </c>
      <c r="D13" s="5">
        <f t="shared" si="0"/>
        <v>6372</v>
      </c>
      <c r="E13" s="6"/>
      <c r="F13" s="5">
        <v>386</v>
      </c>
      <c r="G13" s="5">
        <f t="shared" si="2"/>
        <v>710.47799999999995</v>
      </c>
      <c r="H13" s="6"/>
      <c r="I13" s="5">
        <f t="shared" si="3"/>
        <v>1056</v>
      </c>
      <c r="J13" s="5">
        <f t="shared" si="4"/>
        <v>132</v>
      </c>
      <c r="K13" s="5">
        <f t="shared" si="5"/>
        <v>265.5</v>
      </c>
      <c r="L13" s="11">
        <v>0</v>
      </c>
      <c r="M13" s="5">
        <v>0</v>
      </c>
      <c r="N13" s="5">
        <v>160</v>
      </c>
      <c r="O13" s="5">
        <v>4</v>
      </c>
      <c r="P13" s="7">
        <f t="shared" si="1"/>
        <v>8921.9779999999992</v>
      </c>
    </row>
    <row r="14" spans="1:16" x14ac:dyDescent="0.25">
      <c r="A14" s="2" t="s">
        <v>31</v>
      </c>
      <c r="B14" s="3" t="s">
        <v>32</v>
      </c>
      <c r="C14" s="6">
        <v>561</v>
      </c>
      <c r="D14" s="5">
        <f t="shared" si="0"/>
        <v>6732</v>
      </c>
      <c r="E14" s="6">
        <v>561</v>
      </c>
      <c r="F14" s="5">
        <v>386</v>
      </c>
      <c r="G14" s="5">
        <f t="shared" si="2"/>
        <v>750.61800000000005</v>
      </c>
      <c r="H14" s="6">
        <v>561</v>
      </c>
      <c r="I14" s="5">
        <f t="shared" si="3"/>
        <v>1056</v>
      </c>
      <c r="J14" s="5">
        <f t="shared" si="4"/>
        <v>132</v>
      </c>
      <c r="K14" s="5">
        <f t="shared" si="5"/>
        <v>280.5</v>
      </c>
      <c r="L14" s="5">
        <v>231.60000000000002</v>
      </c>
      <c r="M14" s="5">
        <v>127.38</v>
      </c>
      <c r="N14" s="5">
        <v>160</v>
      </c>
      <c r="O14" s="5">
        <v>4</v>
      </c>
      <c r="P14" s="7">
        <f t="shared" si="1"/>
        <v>10459.118</v>
      </c>
    </row>
    <row r="15" spans="1:16" ht="25.5" x14ac:dyDescent="0.25">
      <c r="A15" s="2" t="s">
        <v>14</v>
      </c>
      <c r="B15" s="3" t="s">
        <v>33</v>
      </c>
      <c r="C15" s="6">
        <v>561</v>
      </c>
      <c r="D15" s="5">
        <f t="shared" si="0"/>
        <v>6732</v>
      </c>
      <c r="E15" s="6">
        <v>561</v>
      </c>
      <c r="F15" s="5">
        <v>386</v>
      </c>
      <c r="G15" s="5">
        <f t="shared" si="2"/>
        <v>750.61800000000005</v>
      </c>
      <c r="H15" s="6">
        <v>561</v>
      </c>
      <c r="I15" s="5">
        <f t="shared" si="3"/>
        <v>1056</v>
      </c>
      <c r="J15" s="5">
        <f t="shared" si="4"/>
        <v>132</v>
      </c>
      <c r="K15" s="5">
        <f t="shared" si="5"/>
        <v>280.5</v>
      </c>
      <c r="L15" s="5">
        <v>92.64</v>
      </c>
      <c r="M15" s="5">
        <v>150.54</v>
      </c>
      <c r="N15" s="5">
        <v>160</v>
      </c>
      <c r="O15" s="5">
        <v>4</v>
      </c>
      <c r="P15" s="7">
        <f t="shared" si="1"/>
        <v>10459.118</v>
      </c>
    </row>
    <row r="16" spans="1:16" x14ac:dyDescent="0.25">
      <c r="A16" s="2" t="s">
        <v>14</v>
      </c>
      <c r="B16" s="3" t="s">
        <v>34</v>
      </c>
      <c r="C16" s="6">
        <v>561</v>
      </c>
      <c r="D16" s="5">
        <f t="shared" si="0"/>
        <v>6732</v>
      </c>
      <c r="E16" s="6">
        <v>531</v>
      </c>
      <c r="F16" s="5">
        <v>386</v>
      </c>
      <c r="G16" s="5">
        <f t="shared" si="2"/>
        <v>750.61800000000005</v>
      </c>
      <c r="H16" s="6">
        <v>531</v>
      </c>
      <c r="I16" s="5">
        <f t="shared" si="3"/>
        <v>1056</v>
      </c>
      <c r="J16" s="5">
        <f t="shared" si="4"/>
        <v>132</v>
      </c>
      <c r="K16" s="5">
        <f t="shared" si="5"/>
        <v>280.5</v>
      </c>
      <c r="L16" s="11">
        <v>0</v>
      </c>
      <c r="M16" s="5">
        <v>0</v>
      </c>
      <c r="N16" s="5">
        <v>160</v>
      </c>
      <c r="O16" s="5">
        <v>4</v>
      </c>
      <c r="P16" s="7">
        <f t="shared" si="1"/>
        <v>10399.118</v>
      </c>
    </row>
    <row r="17" spans="1:16" x14ac:dyDescent="0.25">
      <c r="A17" s="2" t="s">
        <v>28</v>
      </c>
      <c r="B17" s="3" t="s">
        <v>35</v>
      </c>
      <c r="C17" s="6">
        <v>561</v>
      </c>
      <c r="D17" s="5">
        <f t="shared" si="0"/>
        <v>6732</v>
      </c>
      <c r="E17" s="6">
        <v>561</v>
      </c>
      <c r="F17" s="5">
        <v>386</v>
      </c>
      <c r="G17" s="5">
        <f t="shared" si="2"/>
        <v>750.61800000000005</v>
      </c>
      <c r="H17" s="6">
        <v>561</v>
      </c>
      <c r="I17" s="5">
        <f t="shared" si="3"/>
        <v>1056</v>
      </c>
      <c r="J17" s="5">
        <f t="shared" si="4"/>
        <v>132</v>
      </c>
      <c r="K17" s="5">
        <f t="shared" si="5"/>
        <v>280.5</v>
      </c>
      <c r="L17" s="5">
        <v>46.32</v>
      </c>
      <c r="M17" s="5">
        <v>162.12</v>
      </c>
      <c r="N17" s="5">
        <v>160</v>
      </c>
      <c r="O17" s="5">
        <v>4</v>
      </c>
      <c r="P17" s="7">
        <f t="shared" si="1"/>
        <v>10459.118</v>
      </c>
    </row>
    <row r="18" spans="1:16" x14ac:dyDescent="0.25">
      <c r="A18" s="2" t="s">
        <v>14</v>
      </c>
      <c r="B18" s="3" t="s">
        <v>36</v>
      </c>
      <c r="C18" s="6">
        <v>561</v>
      </c>
      <c r="D18" s="5">
        <f t="shared" si="0"/>
        <v>6732</v>
      </c>
      <c r="E18" s="6">
        <v>561</v>
      </c>
      <c r="F18" s="5">
        <v>386</v>
      </c>
      <c r="G18" s="5">
        <f t="shared" si="2"/>
        <v>750.61800000000005</v>
      </c>
      <c r="H18" s="6">
        <v>561</v>
      </c>
      <c r="I18" s="5">
        <f t="shared" si="3"/>
        <v>1056</v>
      </c>
      <c r="J18" s="5">
        <f t="shared" si="4"/>
        <v>132</v>
      </c>
      <c r="K18" s="5">
        <f t="shared" si="5"/>
        <v>280.5</v>
      </c>
      <c r="L18" s="5">
        <v>0</v>
      </c>
      <c r="M18" s="5">
        <v>0</v>
      </c>
      <c r="N18" s="5">
        <v>160</v>
      </c>
      <c r="O18" s="5">
        <v>4</v>
      </c>
      <c r="P18" s="7">
        <f t="shared" si="1"/>
        <v>10459.118</v>
      </c>
    </row>
    <row r="19" spans="1:16" ht="25.5" x14ac:dyDescent="0.25">
      <c r="A19" s="2" t="s">
        <v>28</v>
      </c>
      <c r="B19" s="3" t="s">
        <v>37</v>
      </c>
      <c r="C19" s="6">
        <v>531</v>
      </c>
      <c r="D19" s="5">
        <f t="shared" si="0"/>
        <v>6372</v>
      </c>
      <c r="E19" s="6">
        <v>561</v>
      </c>
      <c r="F19" s="5">
        <v>386</v>
      </c>
      <c r="G19" s="5">
        <f t="shared" si="2"/>
        <v>710.47799999999995</v>
      </c>
      <c r="H19" s="6">
        <v>561</v>
      </c>
      <c r="I19" s="5">
        <f t="shared" si="3"/>
        <v>1056</v>
      </c>
      <c r="J19" s="5">
        <f t="shared" si="4"/>
        <v>132</v>
      </c>
      <c r="K19" s="5">
        <f t="shared" si="5"/>
        <v>265.5</v>
      </c>
      <c r="L19" s="5">
        <v>138.96</v>
      </c>
      <c r="M19" s="5">
        <v>173.7</v>
      </c>
      <c r="N19" s="5">
        <v>160</v>
      </c>
      <c r="O19" s="5">
        <v>4</v>
      </c>
      <c r="P19" s="7">
        <f t="shared" si="1"/>
        <v>10043.977999999999</v>
      </c>
    </row>
    <row r="20" spans="1:16" x14ac:dyDescent="0.25">
      <c r="A20" s="2" t="s">
        <v>14</v>
      </c>
      <c r="B20" s="3" t="s">
        <v>38</v>
      </c>
      <c r="C20" s="6">
        <v>561</v>
      </c>
      <c r="D20" s="5">
        <f t="shared" si="0"/>
        <v>6732</v>
      </c>
      <c r="E20" s="6">
        <v>561</v>
      </c>
      <c r="F20" s="5">
        <v>386</v>
      </c>
      <c r="G20" s="5">
        <f t="shared" si="2"/>
        <v>750.61800000000005</v>
      </c>
      <c r="H20" s="6">
        <v>561</v>
      </c>
      <c r="I20" s="5">
        <f t="shared" si="3"/>
        <v>1056</v>
      </c>
      <c r="J20" s="5">
        <f t="shared" si="4"/>
        <v>132</v>
      </c>
      <c r="K20" s="5">
        <f t="shared" si="5"/>
        <v>280.5</v>
      </c>
      <c r="L20" s="5">
        <v>138.96</v>
      </c>
      <c r="M20" s="5">
        <v>208.44</v>
      </c>
      <c r="N20" s="5">
        <v>160</v>
      </c>
      <c r="O20" s="5">
        <v>4</v>
      </c>
      <c r="P20" s="7">
        <f t="shared" si="1"/>
        <v>10459.118</v>
      </c>
    </row>
    <row r="21" spans="1:16" ht="25.5" x14ac:dyDescent="0.25">
      <c r="A21" s="2" t="s">
        <v>14</v>
      </c>
      <c r="B21" s="3" t="s">
        <v>39</v>
      </c>
      <c r="C21" s="6">
        <v>561</v>
      </c>
      <c r="D21" s="5">
        <f t="shared" si="0"/>
        <v>6732</v>
      </c>
      <c r="E21" s="6">
        <v>561</v>
      </c>
      <c r="F21" s="5">
        <v>386</v>
      </c>
      <c r="G21" s="5">
        <f t="shared" si="2"/>
        <v>750.61800000000005</v>
      </c>
      <c r="H21" s="6">
        <v>561</v>
      </c>
      <c r="I21" s="5">
        <f t="shared" si="3"/>
        <v>1056</v>
      </c>
      <c r="J21" s="5">
        <f t="shared" si="4"/>
        <v>132</v>
      </c>
      <c r="K21" s="5">
        <f t="shared" si="5"/>
        <v>280.5</v>
      </c>
      <c r="L21" s="5">
        <v>0</v>
      </c>
      <c r="M21" s="5">
        <v>150.54</v>
      </c>
      <c r="N21" s="5">
        <v>160</v>
      </c>
      <c r="O21" s="5">
        <v>4</v>
      </c>
      <c r="P21" s="7">
        <f t="shared" si="1"/>
        <v>10459.118</v>
      </c>
    </row>
    <row r="22" spans="1:16" x14ac:dyDescent="0.25">
      <c r="A22" s="2" t="s">
        <v>14</v>
      </c>
      <c r="B22" s="3" t="s">
        <v>40</v>
      </c>
      <c r="C22" s="6">
        <v>561</v>
      </c>
      <c r="D22" s="5">
        <f t="shared" si="0"/>
        <v>6732</v>
      </c>
      <c r="E22" s="6">
        <v>561</v>
      </c>
      <c r="F22" s="5">
        <v>386</v>
      </c>
      <c r="G22" s="5">
        <f t="shared" si="2"/>
        <v>750.61800000000005</v>
      </c>
      <c r="H22" s="6">
        <v>561</v>
      </c>
      <c r="I22" s="5">
        <f t="shared" si="3"/>
        <v>1056</v>
      </c>
      <c r="J22" s="5">
        <f t="shared" si="4"/>
        <v>132</v>
      </c>
      <c r="K22" s="5">
        <f t="shared" si="5"/>
        <v>280.5</v>
      </c>
      <c r="L22" s="5">
        <v>92.64</v>
      </c>
      <c r="M22" s="5">
        <v>162.12</v>
      </c>
      <c r="N22" s="5">
        <v>160</v>
      </c>
      <c r="O22" s="5">
        <v>4</v>
      </c>
      <c r="P22" s="7">
        <f t="shared" si="1"/>
        <v>10459.118</v>
      </c>
    </row>
    <row r="23" spans="1:16" x14ac:dyDescent="0.25">
      <c r="A23" s="2" t="s">
        <v>14</v>
      </c>
      <c r="B23" s="3" t="s">
        <v>41</v>
      </c>
      <c r="C23" s="6">
        <v>561</v>
      </c>
      <c r="D23" s="5">
        <f t="shared" si="0"/>
        <v>6732</v>
      </c>
      <c r="E23" s="6">
        <v>561</v>
      </c>
      <c r="F23" s="5">
        <v>386</v>
      </c>
      <c r="G23" s="5">
        <f t="shared" si="2"/>
        <v>750.61800000000005</v>
      </c>
      <c r="H23" s="6">
        <v>561</v>
      </c>
      <c r="I23" s="5">
        <f t="shared" si="3"/>
        <v>1056</v>
      </c>
      <c r="J23" s="5">
        <f t="shared" si="4"/>
        <v>132</v>
      </c>
      <c r="K23" s="5">
        <f t="shared" si="5"/>
        <v>280.5</v>
      </c>
      <c r="L23" s="5">
        <v>0</v>
      </c>
      <c r="M23" s="5">
        <v>162.12</v>
      </c>
      <c r="N23" s="5">
        <v>160</v>
      </c>
      <c r="O23" s="5">
        <v>4</v>
      </c>
      <c r="P23" s="7">
        <f t="shared" si="1"/>
        <v>10459.118</v>
      </c>
    </row>
    <row r="24" spans="1:16" x14ac:dyDescent="0.25">
      <c r="A24" s="2" t="s">
        <v>14</v>
      </c>
      <c r="B24" s="3" t="s">
        <v>42</v>
      </c>
      <c r="C24" s="6">
        <v>561</v>
      </c>
      <c r="D24" s="5">
        <f t="shared" si="0"/>
        <v>6732</v>
      </c>
      <c r="E24" s="6">
        <v>561</v>
      </c>
      <c r="F24" s="5">
        <v>386</v>
      </c>
      <c r="G24" s="5">
        <f t="shared" si="2"/>
        <v>750.61800000000005</v>
      </c>
      <c r="H24" s="6">
        <v>561</v>
      </c>
      <c r="I24" s="5">
        <f t="shared" si="3"/>
        <v>1056</v>
      </c>
      <c r="J24" s="5">
        <f t="shared" si="4"/>
        <v>132</v>
      </c>
      <c r="K24" s="5">
        <f t="shared" si="5"/>
        <v>280.5</v>
      </c>
      <c r="L24" s="5">
        <v>46.32</v>
      </c>
      <c r="M24" s="5">
        <v>208.44</v>
      </c>
      <c r="N24" s="5">
        <v>160</v>
      </c>
      <c r="O24" s="5">
        <v>4</v>
      </c>
      <c r="P24" s="7">
        <f t="shared" si="1"/>
        <v>10459.118</v>
      </c>
    </row>
    <row r="25" spans="1:16" x14ac:dyDescent="0.25">
      <c r="A25" s="2" t="s">
        <v>14</v>
      </c>
      <c r="B25" s="3" t="s">
        <v>43</v>
      </c>
      <c r="C25" s="6">
        <v>561</v>
      </c>
      <c r="D25" s="5">
        <f t="shared" si="0"/>
        <v>6732</v>
      </c>
      <c r="E25" s="6">
        <v>561</v>
      </c>
      <c r="F25" s="5">
        <v>386</v>
      </c>
      <c r="G25" s="5">
        <f t="shared" si="2"/>
        <v>750.61800000000005</v>
      </c>
      <c r="H25" s="6">
        <v>561</v>
      </c>
      <c r="I25" s="5">
        <f t="shared" si="3"/>
        <v>1056</v>
      </c>
      <c r="J25" s="5">
        <f t="shared" si="4"/>
        <v>132</v>
      </c>
      <c r="K25" s="5">
        <f t="shared" si="5"/>
        <v>280.5</v>
      </c>
      <c r="L25" s="5">
        <v>92.64</v>
      </c>
      <c r="M25" s="5">
        <v>150.54</v>
      </c>
      <c r="N25" s="5">
        <v>160</v>
      </c>
      <c r="O25" s="5">
        <v>4</v>
      </c>
      <c r="P25" s="7">
        <f t="shared" si="1"/>
        <v>10459.118</v>
      </c>
    </row>
    <row r="26" spans="1:16" x14ac:dyDescent="0.25">
      <c r="A26" s="2" t="s">
        <v>21</v>
      </c>
      <c r="B26" s="9" t="s">
        <v>44</v>
      </c>
      <c r="C26" s="6">
        <v>738</v>
      </c>
      <c r="D26" s="5">
        <f t="shared" si="0"/>
        <v>8856</v>
      </c>
      <c r="E26" s="6">
        <v>738</v>
      </c>
      <c r="F26" s="5">
        <v>386</v>
      </c>
      <c r="G26" s="5">
        <f t="shared" si="2"/>
        <v>987.44400000000007</v>
      </c>
      <c r="H26" s="6">
        <v>738</v>
      </c>
      <c r="I26" s="5">
        <f t="shared" si="3"/>
        <v>1056</v>
      </c>
      <c r="J26" s="5">
        <f t="shared" si="4"/>
        <v>132</v>
      </c>
      <c r="K26" s="5">
        <f t="shared" si="5"/>
        <v>369</v>
      </c>
      <c r="L26" s="5">
        <v>92.64</v>
      </c>
      <c r="M26" s="5">
        <v>115.80000000000001</v>
      </c>
      <c r="N26" s="5">
        <v>160</v>
      </c>
      <c r="O26" s="5">
        <v>4</v>
      </c>
      <c r="P26" s="7">
        <f t="shared" si="1"/>
        <v>13262.444</v>
      </c>
    </row>
    <row r="27" spans="1:16" x14ac:dyDescent="0.25">
      <c r="A27" s="2" t="s">
        <v>45</v>
      </c>
      <c r="B27" s="3" t="s">
        <v>46</v>
      </c>
      <c r="C27" s="6">
        <v>561</v>
      </c>
      <c r="D27" s="5">
        <f t="shared" si="0"/>
        <v>6732</v>
      </c>
      <c r="E27" s="6">
        <v>561</v>
      </c>
      <c r="F27" s="5">
        <v>386</v>
      </c>
      <c r="G27" s="5">
        <f t="shared" si="2"/>
        <v>750.61800000000005</v>
      </c>
      <c r="H27" s="6">
        <v>561</v>
      </c>
      <c r="I27" s="5">
        <f t="shared" si="3"/>
        <v>1056</v>
      </c>
      <c r="J27" s="5">
        <f t="shared" si="4"/>
        <v>132</v>
      </c>
      <c r="K27" s="5">
        <f t="shared" si="5"/>
        <v>280.5</v>
      </c>
      <c r="L27" s="5">
        <v>0</v>
      </c>
      <c r="M27" s="5">
        <v>0</v>
      </c>
      <c r="N27" s="5">
        <v>160</v>
      </c>
      <c r="O27" s="5">
        <v>4</v>
      </c>
      <c r="P27" s="7">
        <f t="shared" si="1"/>
        <v>10459.118</v>
      </c>
    </row>
    <row r="28" spans="1:16" x14ac:dyDescent="0.25">
      <c r="A28" s="2" t="s">
        <v>21</v>
      </c>
      <c r="B28" s="9" t="s">
        <v>47</v>
      </c>
      <c r="C28" s="6">
        <v>738</v>
      </c>
      <c r="D28" s="5">
        <f t="shared" si="0"/>
        <v>8856</v>
      </c>
      <c r="E28" s="6">
        <v>738</v>
      </c>
      <c r="F28" s="5">
        <v>386</v>
      </c>
      <c r="G28" s="5">
        <f t="shared" si="2"/>
        <v>987.44400000000007</v>
      </c>
      <c r="H28" s="6">
        <v>738</v>
      </c>
      <c r="I28" s="5">
        <f t="shared" si="3"/>
        <v>1056</v>
      </c>
      <c r="J28" s="5">
        <f t="shared" si="4"/>
        <v>132</v>
      </c>
      <c r="K28" s="5">
        <f t="shared" si="5"/>
        <v>369</v>
      </c>
      <c r="L28" s="5">
        <v>46.32</v>
      </c>
      <c r="M28" s="5">
        <v>254.76</v>
      </c>
      <c r="N28" s="5">
        <v>160</v>
      </c>
      <c r="O28" s="5">
        <v>4</v>
      </c>
      <c r="P28" s="7">
        <f t="shared" si="1"/>
        <v>13262.444</v>
      </c>
    </row>
    <row r="29" spans="1:16" ht="25.5" x14ac:dyDescent="0.25">
      <c r="A29" s="2" t="s">
        <v>16</v>
      </c>
      <c r="B29" s="3" t="s">
        <v>48</v>
      </c>
      <c r="C29" s="6">
        <v>584</v>
      </c>
      <c r="D29" s="5">
        <f t="shared" si="0"/>
        <v>7008</v>
      </c>
      <c r="E29" s="6"/>
      <c r="F29" s="5">
        <v>386</v>
      </c>
      <c r="G29" s="5">
        <f t="shared" si="2"/>
        <v>781.39200000000005</v>
      </c>
      <c r="H29" s="6"/>
      <c r="I29" s="5">
        <f t="shared" si="3"/>
        <v>1056</v>
      </c>
      <c r="J29" s="5">
        <f t="shared" si="4"/>
        <v>132</v>
      </c>
      <c r="K29" s="5">
        <f t="shared" si="5"/>
        <v>292</v>
      </c>
      <c r="L29" s="11">
        <v>0</v>
      </c>
      <c r="M29" s="5">
        <v>0</v>
      </c>
      <c r="N29" s="5">
        <v>160</v>
      </c>
      <c r="O29" s="5">
        <v>4</v>
      </c>
      <c r="P29" s="7">
        <f t="shared" si="1"/>
        <v>9655.3919999999998</v>
      </c>
    </row>
    <row r="30" spans="1:16" ht="25.5" x14ac:dyDescent="0.25">
      <c r="A30" s="2" t="s">
        <v>16</v>
      </c>
      <c r="B30" s="3" t="s">
        <v>49</v>
      </c>
      <c r="C30" s="6">
        <v>596</v>
      </c>
      <c r="D30" s="5">
        <f t="shared" si="0"/>
        <v>7152</v>
      </c>
      <c r="E30" s="6">
        <v>596</v>
      </c>
      <c r="F30" s="5">
        <v>386</v>
      </c>
      <c r="G30" s="5">
        <f t="shared" si="2"/>
        <v>797.44800000000009</v>
      </c>
      <c r="H30" s="6">
        <v>596</v>
      </c>
      <c r="I30" s="5">
        <f t="shared" si="3"/>
        <v>1056</v>
      </c>
      <c r="J30" s="5">
        <f t="shared" si="4"/>
        <v>132</v>
      </c>
      <c r="K30" s="5">
        <f t="shared" si="5"/>
        <v>298</v>
      </c>
      <c r="L30" s="5">
        <v>185.28</v>
      </c>
      <c r="M30" s="5">
        <v>173.7</v>
      </c>
      <c r="N30" s="5">
        <v>160</v>
      </c>
      <c r="O30" s="5">
        <v>4</v>
      </c>
      <c r="P30" s="7">
        <f t="shared" si="1"/>
        <v>11013.448</v>
      </c>
    </row>
    <row r="31" spans="1:16" ht="25.5" x14ac:dyDescent="0.25">
      <c r="A31" s="2" t="s">
        <v>14</v>
      </c>
      <c r="B31" s="3" t="s">
        <v>50</v>
      </c>
      <c r="C31" s="6">
        <v>561</v>
      </c>
      <c r="D31" s="5">
        <f t="shared" si="0"/>
        <v>6732</v>
      </c>
      <c r="E31" s="6">
        <v>561</v>
      </c>
      <c r="F31" s="5">
        <v>386</v>
      </c>
      <c r="G31" s="5">
        <f t="shared" si="2"/>
        <v>750.61800000000005</v>
      </c>
      <c r="H31" s="6">
        <v>561</v>
      </c>
      <c r="I31" s="5">
        <f t="shared" si="3"/>
        <v>1056</v>
      </c>
      <c r="J31" s="5">
        <f t="shared" si="4"/>
        <v>132</v>
      </c>
      <c r="K31" s="5">
        <f t="shared" si="5"/>
        <v>280.5</v>
      </c>
      <c r="L31" s="5">
        <v>0</v>
      </c>
      <c r="M31" s="5">
        <v>208.44</v>
      </c>
      <c r="N31" s="5">
        <v>160</v>
      </c>
      <c r="O31" s="5">
        <v>4</v>
      </c>
      <c r="P31" s="7">
        <f t="shared" si="1"/>
        <v>10459.118</v>
      </c>
    </row>
    <row r="32" spans="1:16" ht="25.5" x14ac:dyDescent="0.25">
      <c r="A32" s="2" t="s">
        <v>21</v>
      </c>
      <c r="B32" s="9" t="s">
        <v>51</v>
      </c>
      <c r="C32" s="6">
        <v>738</v>
      </c>
      <c r="D32" s="5">
        <f t="shared" si="0"/>
        <v>8856</v>
      </c>
      <c r="E32" s="6">
        <v>708</v>
      </c>
      <c r="F32" s="5">
        <v>386</v>
      </c>
      <c r="G32" s="5">
        <f t="shared" si="2"/>
        <v>987.44400000000007</v>
      </c>
      <c r="H32" s="6">
        <v>708</v>
      </c>
      <c r="I32" s="5">
        <f t="shared" si="3"/>
        <v>1056</v>
      </c>
      <c r="J32" s="5">
        <f t="shared" si="4"/>
        <v>132</v>
      </c>
      <c r="K32" s="5">
        <f t="shared" si="5"/>
        <v>369</v>
      </c>
      <c r="L32" s="5">
        <v>46.32</v>
      </c>
      <c r="M32" s="5">
        <v>127.38</v>
      </c>
      <c r="N32" s="5">
        <v>160</v>
      </c>
      <c r="O32" s="5">
        <v>4</v>
      </c>
      <c r="P32" s="7">
        <f t="shared" si="1"/>
        <v>13202.444</v>
      </c>
    </row>
    <row r="33" spans="1:16" x14ac:dyDescent="0.25">
      <c r="A33" s="2" t="s">
        <v>21</v>
      </c>
      <c r="B33" s="9" t="s">
        <v>52</v>
      </c>
      <c r="C33" s="6">
        <v>738</v>
      </c>
      <c r="D33" s="5">
        <f t="shared" si="0"/>
        <v>8856</v>
      </c>
      <c r="E33" s="6">
        <v>738</v>
      </c>
      <c r="F33" s="5">
        <v>386</v>
      </c>
      <c r="G33" s="5">
        <f t="shared" si="2"/>
        <v>987.44400000000007</v>
      </c>
      <c r="H33" s="6">
        <v>738</v>
      </c>
      <c r="I33" s="5">
        <f t="shared" si="3"/>
        <v>1056</v>
      </c>
      <c r="J33" s="5">
        <f t="shared" si="4"/>
        <v>132</v>
      </c>
      <c r="K33" s="5">
        <f t="shared" si="5"/>
        <v>369</v>
      </c>
      <c r="L33" s="5">
        <v>46.32</v>
      </c>
      <c r="M33" s="5">
        <v>92.64</v>
      </c>
      <c r="N33" s="5">
        <v>160</v>
      </c>
      <c r="O33" s="5">
        <v>4</v>
      </c>
      <c r="P33" s="7">
        <f t="shared" si="1"/>
        <v>13262.444</v>
      </c>
    </row>
    <row r="34" spans="1:16" x14ac:dyDescent="0.25">
      <c r="A34" s="2" t="s">
        <v>14</v>
      </c>
      <c r="B34" s="3" t="s">
        <v>53</v>
      </c>
      <c r="C34" s="6">
        <v>561</v>
      </c>
      <c r="D34" s="5">
        <f t="shared" si="0"/>
        <v>6732</v>
      </c>
      <c r="E34" s="6">
        <v>561</v>
      </c>
      <c r="F34" s="5">
        <v>386</v>
      </c>
      <c r="G34" s="5">
        <f t="shared" si="2"/>
        <v>750.61800000000005</v>
      </c>
      <c r="H34" s="6">
        <v>561</v>
      </c>
      <c r="I34" s="5">
        <f t="shared" si="3"/>
        <v>1056</v>
      </c>
      <c r="J34" s="5">
        <f t="shared" si="4"/>
        <v>132</v>
      </c>
      <c r="K34" s="5">
        <f t="shared" si="5"/>
        <v>280.5</v>
      </c>
      <c r="L34" s="5">
        <v>0</v>
      </c>
      <c r="M34" s="5">
        <v>0</v>
      </c>
      <c r="N34" s="5">
        <v>160</v>
      </c>
      <c r="O34" s="5">
        <v>4</v>
      </c>
      <c r="P34" s="7">
        <f t="shared" si="1"/>
        <v>10459.118</v>
      </c>
    </row>
    <row r="35" spans="1:16" ht="25.5" x14ac:dyDescent="0.25">
      <c r="A35" s="2" t="s">
        <v>45</v>
      </c>
      <c r="B35" s="3" t="s">
        <v>54</v>
      </c>
      <c r="C35" s="6">
        <v>561</v>
      </c>
      <c r="D35" s="5">
        <f t="shared" si="0"/>
        <v>6732</v>
      </c>
      <c r="E35" s="6">
        <v>561</v>
      </c>
      <c r="F35" s="5">
        <v>386</v>
      </c>
      <c r="G35" s="5">
        <f t="shared" si="2"/>
        <v>750.61800000000005</v>
      </c>
      <c r="H35" s="6">
        <v>561</v>
      </c>
      <c r="I35" s="5">
        <f t="shared" si="3"/>
        <v>1056</v>
      </c>
      <c r="J35" s="5">
        <f t="shared" si="4"/>
        <v>132</v>
      </c>
      <c r="K35" s="5">
        <f t="shared" si="5"/>
        <v>280.5</v>
      </c>
      <c r="L35" s="5">
        <v>92.64</v>
      </c>
      <c r="M35" s="5">
        <v>162.12</v>
      </c>
      <c r="N35" s="5">
        <v>160</v>
      </c>
      <c r="O35" s="5">
        <v>4</v>
      </c>
      <c r="P35" s="7">
        <f t="shared" si="1"/>
        <v>10459.118</v>
      </c>
    </row>
    <row r="36" spans="1:16" x14ac:dyDescent="0.25">
      <c r="A36" s="2" t="s">
        <v>45</v>
      </c>
      <c r="B36" s="3" t="s">
        <v>55</v>
      </c>
      <c r="C36" s="6">
        <v>561</v>
      </c>
      <c r="D36" s="5">
        <f t="shared" si="0"/>
        <v>6732</v>
      </c>
      <c r="E36" s="6">
        <v>561</v>
      </c>
      <c r="F36" s="5">
        <v>386</v>
      </c>
      <c r="G36" s="5">
        <f t="shared" si="2"/>
        <v>750.61800000000005</v>
      </c>
      <c r="H36" s="6">
        <v>561</v>
      </c>
      <c r="I36" s="5">
        <f t="shared" si="3"/>
        <v>1056</v>
      </c>
      <c r="J36" s="5">
        <f t="shared" si="4"/>
        <v>132</v>
      </c>
      <c r="K36" s="5">
        <f t="shared" si="5"/>
        <v>280.5</v>
      </c>
      <c r="L36" s="5">
        <v>138.96</v>
      </c>
      <c r="M36" s="5">
        <v>162.12</v>
      </c>
      <c r="N36" s="5">
        <v>160</v>
      </c>
      <c r="O36" s="5">
        <v>4</v>
      </c>
      <c r="P36" s="7">
        <f t="shared" si="1"/>
        <v>10459.118</v>
      </c>
    </row>
    <row r="37" spans="1:16" x14ac:dyDescent="0.25">
      <c r="A37" s="2" t="s">
        <v>14</v>
      </c>
      <c r="B37" s="3" t="s">
        <v>56</v>
      </c>
      <c r="C37" s="6">
        <v>561</v>
      </c>
      <c r="D37" s="5">
        <f t="shared" si="0"/>
        <v>6732</v>
      </c>
      <c r="E37" s="6">
        <v>561</v>
      </c>
      <c r="F37" s="5">
        <v>386</v>
      </c>
      <c r="G37" s="5">
        <f t="shared" si="2"/>
        <v>750.61800000000005</v>
      </c>
      <c r="H37" s="6">
        <v>561</v>
      </c>
      <c r="I37" s="5">
        <f t="shared" si="3"/>
        <v>1056</v>
      </c>
      <c r="J37" s="5">
        <f t="shared" si="4"/>
        <v>132</v>
      </c>
      <c r="K37" s="5">
        <f t="shared" si="5"/>
        <v>280.5</v>
      </c>
      <c r="L37" s="5">
        <v>46.32</v>
      </c>
      <c r="M37" s="5">
        <v>92.64</v>
      </c>
      <c r="N37" s="5">
        <v>160</v>
      </c>
      <c r="O37" s="5">
        <v>4</v>
      </c>
      <c r="P37" s="7">
        <f t="shared" si="1"/>
        <v>10459.118</v>
      </c>
    </row>
    <row r="38" spans="1:16" x14ac:dyDescent="0.25">
      <c r="A38" s="2" t="s">
        <v>14</v>
      </c>
      <c r="B38" s="3" t="s">
        <v>57</v>
      </c>
      <c r="C38" s="6">
        <v>561</v>
      </c>
      <c r="D38" s="5">
        <f t="shared" si="0"/>
        <v>6732</v>
      </c>
      <c r="E38" s="6">
        <v>561</v>
      </c>
      <c r="F38" s="5">
        <v>386</v>
      </c>
      <c r="G38" s="5">
        <f t="shared" si="2"/>
        <v>750.61800000000005</v>
      </c>
      <c r="H38" s="6">
        <v>561</v>
      </c>
      <c r="I38" s="5">
        <f t="shared" si="3"/>
        <v>1056</v>
      </c>
      <c r="J38" s="5">
        <f t="shared" si="4"/>
        <v>132</v>
      </c>
      <c r="K38" s="5">
        <f t="shared" si="5"/>
        <v>280.5</v>
      </c>
      <c r="L38" s="5">
        <v>46.32</v>
      </c>
      <c r="M38" s="5">
        <v>0</v>
      </c>
      <c r="N38" s="5">
        <v>160</v>
      </c>
      <c r="O38" s="5">
        <v>4</v>
      </c>
      <c r="P38" s="7">
        <f t="shared" si="1"/>
        <v>10459.118</v>
      </c>
    </row>
    <row r="39" spans="1:16" ht="25.5" x14ac:dyDescent="0.25">
      <c r="A39" s="2" t="s">
        <v>14</v>
      </c>
      <c r="B39" s="3" t="s">
        <v>58</v>
      </c>
      <c r="C39" s="6">
        <v>561</v>
      </c>
      <c r="D39" s="5">
        <f t="shared" si="0"/>
        <v>6732</v>
      </c>
      <c r="E39" s="6">
        <v>561</v>
      </c>
      <c r="F39" s="5">
        <v>386</v>
      </c>
      <c r="G39" s="5">
        <f t="shared" si="2"/>
        <v>750.61800000000005</v>
      </c>
      <c r="H39" s="6">
        <v>561</v>
      </c>
      <c r="I39" s="5">
        <f t="shared" si="3"/>
        <v>1056</v>
      </c>
      <c r="J39" s="5">
        <f t="shared" si="4"/>
        <v>132</v>
      </c>
      <c r="K39" s="5">
        <f t="shared" si="5"/>
        <v>280.5</v>
      </c>
      <c r="L39" s="5">
        <v>0</v>
      </c>
      <c r="M39" s="5">
        <v>0</v>
      </c>
      <c r="N39" s="5">
        <v>160</v>
      </c>
      <c r="O39" s="5">
        <v>4</v>
      </c>
      <c r="P39" s="7">
        <f t="shared" si="1"/>
        <v>10459.118</v>
      </c>
    </row>
    <row r="40" spans="1:16" x14ac:dyDescent="0.25">
      <c r="A40" s="2" t="s">
        <v>45</v>
      </c>
      <c r="B40" s="3" t="s">
        <v>59</v>
      </c>
      <c r="C40" s="6">
        <v>561</v>
      </c>
      <c r="D40" s="5">
        <f t="shared" si="0"/>
        <v>6732</v>
      </c>
      <c r="E40" s="6">
        <v>531</v>
      </c>
      <c r="F40" s="5">
        <v>386</v>
      </c>
      <c r="G40" s="5">
        <f t="shared" si="2"/>
        <v>750.61800000000005</v>
      </c>
      <c r="H40" s="6">
        <v>531</v>
      </c>
      <c r="I40" s="5">
        <f t="shared" si="3"/>
        <v>1056</v>
      </c>
      <c r="J40" s="5">
        <f t="shared" si="4"/>
        <v>132</v>
      </c>
      <c r="K40" s="5">
        <f t="shared" si="5"/>
        <v>280.5</v>
      </c>
      <c r="L40" s="5">
        <v>0</v>
      </c>
      <c r="M40" s="5">
        <v>0</v>
      </c>
      <c r="N40" s="5">
        <v>160</v>
      </c>
      <c r="O40" s="5">
        <v>4</v>
      </c>
      <c r="P40" s="7">
        <f t="shared" si="1"/>
        <v>10399.118</v>
      </c>
    </row>
    <row r="41" spans="1:16" x14ac:dyDescent="0.25">
      <c r="A41" s="14" t="s">
        <v>45</v>
      </c>
      <c r="B41" s="3" t="s">
        <v>60</v>
      </c>
      <c r="C41" s="12">
        <v>561</v>
      </c>
      <c r="D41" s="5">
        <f t="shared" si="0"/>
        <v>6732</v>
      </c>
      <c r="E41" s="12">
        <v>561</v>
      </c>
      <c r="F41" s="5">
        <v>386</v>
      </c>
      <c r="G41" s="5">
        <f t="shared" si="2"/>
        <v>750.61800000000005</v>
      </c>
      <c r="H41" s="12">
        <v>561</v>
      </c>
      <c r="I41" s="5">
        <f t="shared" si="3"/>
        <v>1056</v>
      </c>
      <c r="J41" s="5">
        <f t="shared" si="4"/>
        <v>132</v>
      </c>
      <c r="K41" s="5">
        <f t="shared" si="5"/>
        <v>280.5</v>
      </c>
      <c r="L41" s="5">
        <v>92.64</v>
      </c>
      <c r="M41" s="5">
        <v>92.64</v>
      </c>
      <c r="N41" s="5">
        <v>160</v>
      </c>
      <c r="O41" s="5">
        <v>4</v>
      </c>
      <c r="P41" s="7">
        <f t="shared" si="1"/>
        <v>10459.118</v>
      </c>
    </row>
    <row r="42" spans="1:16" ht="25.5" x14ac:dyDescent="0.25">
      <c r="A42" s="2" t="s">
        <v>61</v>
      </c>
      <c r="B42" s="9" t="s">
        <v>62</v>
      </c>
      <c r="C42" s="6">
        <v>738</v>
      </c>
      <c r="D42" s="5">
        <f t="shared" si="0"/>
        <v>8856</v>
      </c>
      <c r="E42" s="6">
        <v>738</v>
      </c>
      <c r="F42" s="5">
        <v>386</v>
      </c>
      <c r="G42" s="5">
        <f t="shared" si="2"/>
        <v>987.44400000000007</v>
      </c>
      <c r="H42" s="6">
        <v>738</v>
      </c>
      <c r="I42" s="5">
        <f t="shared" si="3"/>
        <v>1056</v>
      </c>
      <c r="J42" s="5">
        <f t="shared" si="4"/>
        <v>132</v>
      </c>
      <c r="K42" s="5">
        <f t="shared" si="5"/>
        <v>369</v>
      </c>
      <c r="L42" s="5">
        <v>92.64</v>
      </c>
      <c r="M42" s="5">
        <v>220.02</v>
      </c>
      <c r="N42" s="5">
        <v>160</v>
      </c>
      <c r="O42" s="5">
        <v>4</v>
      </c>
      <c r="P42" s="7">
        <f t="shared" si="1"/>
        <v>13262.444</v>
      </c>
    </row>
    <row r="43" spans="1:16" x14ac:dyDescent="0.25">
      <c r="A43" s="2" t="s">
        <v>14</v>
      </c>
      <c r="B43" s="3" t="s">
        <v>63</v>
      </c>
      <c r="C43" s="6">
        <v>561</v>
      </c>
      <c r="D43" s="5">
        <f t="shared" si="0"/>
        <v>6732</v>
      </c>
      <c r="E43" s="6">
        <v>561</v>
      </c>
      <c r="F43" s="5">
        <v>386</v>
      </c>
      <c r="G43" s="5">
        <f t="shared" si="2"/>
        <v>750.61800000000005</v>
      </c>
      <c r="H43" s="6">
        <v>561</v>
      </c>
      <c r="I43" s="5">
        <f t="shared" si="3"/>
        <v>1056</v>
      </c>
      <c r="J43" s="5">
        <f t="shared" si="4"/>
        <v>132</v>
      </c>
      <c r="K43" s="5">
        <f t="shared" si="5"/>
        <v>280.5</v>
      </c>
      <c r="L43" s="5">
        <v>46.32</v>
      </c>
      <c r="M43" s="5">
        <v>196.86</v>
      </c>
      <c r="N43" s="5">
        <v>160</v>
      </c>
      <c r="O43" s="5">
        <v>4</v>
      </c>
      <c r="P43" s="7">
        <f t="shared" si="1"/>
        <v>10459.118</v>
      </c>
    </row>
    <row r="44" spans="1:16" x14ac:dyDescent="0.25">
      <c r="A44" s="2" t="s">
        <v>14</v>
      </c>
      <c r="B44" s="3" t="s">
        <v>64</v>
      </c>
      <c r="C44" s="6">
        <v>561</v>
      </c>
      <c r="D44" s="5">
        <f t="shared" si="0"/>
        <v>6732</v>
      </c>
      <c r="E44" s="6">
        <v>561</v>
      </c>
      <c r="F44" s="5">
        <v>386</v>
      </c>
      <c r="G44" s="5">
        <f t="shared" si="2"/>
        <v>750.61800000000005</v>
      </c>
      <c r="H44" s="6">
        <v>561</v>
      </c>
      <c r="I44" s="5">
        <f t="shared" si="3"/>
        <v>1056</v>
      </c>
      <c r="J44" s="5">
        <f t="shared" si="4"/>
        <v>132</v>
      </c>
      <c r="K44" s="5">
        <f t="shared" si="5"/>
        <v>280.5</v>
      </c>
      <c r="L44" s="5">
        <v>92.64</v>
      </c>
      <c r="M44" s="5">
        <v>69.48</v>
      </c>
      <c r="N44" s="5">
        <v>160</v>
      </c>
      <c r="O44" s="5">
        <v>4</v>
      </c>
      <c r="P44" s="7">
        <f t="shared" si="1"/>
        <v>10459.118</v>
      </c>
    </row>
    <row r="45" spans="1:16" x14ac:dyDescent="0.25">
      <c r="A45" s="2" t="s">
        <v>14</v>
      </c>
      <c r="B45" s="3" t="s">
        <v>65</v>
      </c>
      <c r="C45" s="6">
        <v>561</v>
      </c>
      <c r="D45" s="5">
        <f t="shared" si="0"/>
        <v>6732</v>
      </c>
      <c r="E45" s="6">
        <v>561</v>
      </c>
      <c r="F45" s="5">
        <v>386</v>
      </c>
      <c r="G45" s="5">
        <f t="shared" si="2"/>
        <v>750.61800000000005</v>
      </c>
      <c r="H45" s="6">
        <v>561</v>
      </c>
      <c r="I45" s="5">
        <f t="shared" si="3"/>
        <v>1056</v>
      </c>
      <c r="J45" s="5">
        <f t="shared" si="4"/>
        <v>132</v>
      </c>
      <c r="K45" s="5">
        <f t="shared" si="5"/>
        <v>280.5</v>
      </c>
      <c r="L45" s="5">
        <v>92.64</v>
      </c>
      <c r="M45" s="5">
        <v>162.12</v>
      </c>
      <c r="N45" s="5">
        <v>160</v>
      </c>
      <c r="O45" s="5">
        <v>4</v>
      </c>
      <c r="P45" s="7">
        <f t="shared" si="1"/>
        <v>10459.118</v>
      </c>
    </row>
    <row r="46" spans="1:16" ht="22.5" x14ac:dyDescent="0.25">
      <c r="A46" s="2" t="s">
        <v>61</v>
      </c>
      <c r="B46" s="9" t="s">
        <v>66</v>
      </c>
      <c r="C46" s="6">
        <v>738</v>
      </c>
      <c r="D46" s="5">
        <f t="shared" si="0"/>
        <v>8856</v>
      </c>
      <c r="E46" s="6">
        <v>738</v>
      </c>
      <c r="F46" s="5">
        <v>386</v>
      </c>
      <c r="G46" s="5">
        <f t="shared" si="2"/>
        <v>987.44400000000007</v>
      </c>
      <c r="H46" s="6">
        <v>738</v>
      </c>
      <c r="I46" s="5">
        <f t="shared" si="3"/>
        <v>1056</v>
      </c>
      <c r="J46" s="5">
        <f t="shared" si="4"/>
        <v>132</v>
      </c>
      <c r="K46" s="5">
        <f t="shared" si="5"/>
        <v>369</v>
      </c>
      <c r="L46" s="5">
        <v>0</v>
      </c>
      <c r="M46" s="5">
        <v>138.96</v>
      </c>
      <c r="N46" s="5">
        <v>160</v>
      </c>
      <c r="O46" s="5">
        <v>4</v>
      </c>
      <c r="P46" s="7">
        <f t="shared" si="1"/>
        <v>13262.444</v>
      </c>
    </row>
    <row r="47" spans="1:16" ht="25.5" x14ac:dyDescent="0.25">
      <c r="A47" s="2" t="s">
        <v>14</v>
      </c>
      <c r="B47" s="3" t="s">
        <v>67</v>
      </c>
      <c r="C47" s="6">
        <v>561</v>
      </c>
      <c r="D47" s="5">
        <f t="shared" si="0"/>
        <v>6732</v>
      </c>
      <c r="E47" s="6">
        <v>561</v>
      </c>
      <c r="F47" s="5">
        <v>386</v>
      </c>
      <c r="G47" s="5">
        <f t="shared" si="2"/>
        <v>750.61800000000005</v>
      </c>
      <c r="H47" s="6">
        <v>561</v>
      </c>
      <c r="I47" s="5">
        <f t="shared" si="3"/>
        <v>1056</v>
      </c>
      <c r="J47" s="5">
        <f t="shared" si="4"/>
        <v>132</v>
      </c>
      <c r="K47" s="5">
        <f t="shared" si="5"/>
        <v>280.5</v>
      </c>
      <c r="L47" s="5">
        <v>0</v>
      </c>
      <c r="M47" s="5">
        <v>162.12</v>
      </c>
      <c r="N47" s="5">
        <v>160</v>
      </c>
      <c r="O47" s="5">
        <v>4</v>
      </c>
      <c r="P47" s="7">
        <f t="shared" si="1"/>
        <v>10459.118</v>
      </c>
    </row>
    <row r="48" spans="1:16" x14ac:dyDescent="0.25">
      <c r="A48" s="2" t="s">
        <v>16</v>
      </c>
      <c r="B48" s="3" t="s">
        <v>68</v>
      </c>
      <c r="C48" s="6">
        <v>596</v>
      </c>
      <c r="D48" s="5">
        <f t="shared" si="0"/>
        <v>7152</v>
      </c>
      <c r="E48" s="6">
        <v>596</v>
      </c>
      <c r="F48" s="5">
        <v>386</v>
      </c>
      <c r="G48" s="5">
        <f t="shared" si="2"/>
        <v>797.44800000000009</v>
      </c>
      <c r="H48" s="6">
        <v>596</v>
      </c>
      <c r="I48" s="5">
        <f t="shared" si="3"/>
        <v>1056</v>
      </c>
      <c r="J48" s="5">
        <f t="shared" si="4"/>
        <v>132</v>
      </c>
      <c r="K48" s="5">
        <f t="shared" si="5"/>
        <v>298</v>
      </c>
      <c r="L48" s="5">
        <v>0</v>
      </c>
      <c r="M48" s="5">
        <v>231.60000000000002</v>
      </c>
      <c r="N48" s="5">
        <v>160</v>
      </c>
      <c r="O48" s="5">
        <v>4</v>
      </c>
      <c r="P48" s="7">
        <f t="shared" si="1"/>
        <v>11013.448</v>
      </c>
    </row>
    <row r="49" spans="1:16" x14ac:dyDescent="0.25">
      <c r="A49" s="2" t="s">
        <v>14</v>
      </c>
      <c r="B49" s="3" t="s">
        <v>69</v>
      </c>
      <c r="C49" s="6">
        <v>561</v>
      </c>
      <c r="D49" s="5">
        <f t="shared" si="0"/>
        <v>6732</v>
      </c>
      <c r="E49" s="6">
        <v>561</v>
      </c>
      <c r="F49" s="5">
        <v>386</v>
      </c>
      <c r="G49" s="5">
        <f t="shared" si="2"/>
        <v>750.61800000000005</v>
      </c>
      <c r="H49" s="6">
        <v>561</v>
      </c>
      <c r="I49" s="5">
        <f t="shared" si="3"/>
        <v>1056</v>
      </c>
      <c r="J49" s="5">
        <f t="shared" si="4"/>
        <v>132</v>
      </c>
      <c r="K49" s="5">
        <f t="shared" si="5"/>
        <v>280.5</v>
      </c>
      <c r="L49" s="5">
        <v>0</v>
      </c>
      <c r="M49" s="5">
        <v>208.44</v>
      </c>
      <c r="N49" s="5">
        <v>160</v>
      </c>
      <c r="O49" s="5">
        <v>4</v>
      </c>
      <c r="P49" s="7">
        <f t="shared" si="1"/>
        <v>10459.118</v>
      </c>
    </row>
    <row r="50" spans="1:16" x14ac:dyDescent="0.25">
      <c r="A50" s="2" t="s">
        <v>70</v>
      </c>
      <c r="B50" s="3" t="s">
        <v>71</v>
      </c>
      <c r="C50" s="6">
        <v>596</v>
      </c>
      <c r="D50" s="5">
        <f t="shared" si="0"/>
        <v>7152</v>
      </c>
      <c r="E50" s="6">
        <v>596</v>
      </c>
      <c r="F50" s="5">
        <v>386</v>
      </c>
      <c r="G50" s="5">
        <f t="shared" si="2"/>
        <v>797.44800000000009</v>
      </c>
      <c r="H50" s="6">
        <v>596</v>
      </c>
      <c r="I50" s="5">
        <f t="shared" si="3"/>
        <v>1056</v>
      </c>
      <c r="J50" s="5">
        <f t="shared" si="4"/>
        <v>132</v>
      </c>
      <c r="K50" s="5">
        <f t="shared" si="5"/>
        <v>298</v>
      </c>
      <c r="L50" s="5">
        <v>0</v>
      </c>
      <c r="M50" s="5">
        <v>0</v>
      </c>
      <c r="N50" s="5">
        <v>160</v>
      </c>
      <c r="O50" s="5">
        <v>4</v>
      </c>
      <c r="P50" s="7">
        <f t="shared" si="1"/>
        <v>11013.448</v>
      </c>
    </row>
    <row r="51" spans="1:16" x14ac:dyDescent="0.25">
      <c r="A51" s="2" t="s">
        <v>14</v>
      </c>
      <c r="B51" s="3" t="s">
        <v>72</v>
      </c>
      <c r="C51" s="6">
        <v>561</v>
      </c>
      <c r="D51" s="5">
        <f t="shared" si="0"/>
        <v>6732</v>
      </c>
      <c r="E51" s="6">
        <v>561</v>
      </c>
      <c r="F51" s="5">
        <v>386</v>
      </c>
      <c r="G51" s="5">
        <f t="shared" si="2"/>
        <v>750.61800000000005</v>
      </c>
      <c r="H51" s="6">
        <v>561</v>
      </c>
      <c r="I51" s="5">
        <f t="shared" si="3"/>
        <v>1056</v>
      </c>
      <c r="J51" s="5">
        <f t="shared" si="4"/>
        <v>132</v>
      </c>
      <c r="K51" s="5">
        <f t="shared" si="5"/>
        <v>280.5</v>
      </c>
      <c r="L51" s="5">
        <v>0</v>
      </c>
      <c r="M51" s="5">
        <v>208.44</v>
      </c>
      <c r="N51" s="5">
        <v>160</v>
      </c>
      <c r="O51" s="5">
        <v>4</v>
      </c>
      <c r="P51" s="7">
        <f t="shared" si="1"/>
        <v>10459.118</v>
      </c>
    </row>
    <row r="52" spans="1:16" x14ac:dyDescent="0.25">
      <c r="A52" s="2" t="s">
        <v>14</v>
      </c>
      <c r="B52" s="3" t="s">
        <v>73</v>
      </c>
      <c r="C52" s="6">
        <v>561</v>
      </c>
      <c r="D52" s="5">
        <f t="shared" si="0"/>
        <v>6732</v>
      </c>
      <c r="E52" s="6">
        <v>561</v>
      </c>
      <c r="F52" s="5">
        <v>386</v>
      </c>
      <c r="G52" s="5">
        <f t="shared" si="2"/>
        <v>750.61800000000005</v>
      </c>
      <c r="H52" s="6">
        <v>561</v>
      </c>
      <c r="I52" s="5">
        <f t="shared" si="3"/>
        <v>1056</v>
      </c>
      <c r="J52" s="5">
        <f t="shared" si="4"/>
        <v>132</v>
      </c>
      <c r="K52" s="5">
        <f t="shared" si="5"/>
        <v>280.5</v>
      </c>
      <c r="L52" s="5">
        <v>46.32</v>
      </c>
      <c r="M52" s="5">
        <v>138.96</v>
      </c>
      <c r="N52" s="5">
        <v>160</v>
      </c>
      <c r="O52" s="5">
        <v>4</v>
      </c>
      <c r="P52" s="7">
        <f t="shared" si="1"/>
        <v>10459.118</v>
      </c>
    </row>
    <row r="53" spans="1:16" ht="25.5" x14ac:dyDescent="0.25">
      <c r="A53" s="2" t="s">
        <v>16</v>
      </c>
      <c r="B53" s="3" t="s">
        <v>74</v>
      </c>
      <c r="C53" s="6">
        <v>596</v>
      </c>
      <c r="D53" s="5">
        <f t="shared" si="0"/>
        <v>7152</v>
      </c>
      <c r="E53" s="6">
        <v>596</v>
      </c>
      <c r="F53" s="5">
        <v>386</v>
      </c>
      <c r="G53" s="5">
        <f t="shared" si="2"/>
        <v>797.44800000000009</v>
      </c>
      <c r="H53" s="6">
        <v>596</v>
      </c>
      <c r="I53" s="5">
        <f t="shared" si="3"/>
        <v>1056</v>
      </c>
      <c r="J53" s="5">
        <f t="shared" si="4"/>
        <v>132</v>
      </c>
      <c r="K53" s="5">
        <f t="shared" si="5"/>
        <v>298</v>
      </c>
      <c r="L53" s="5">
        <v>46.32</v>
      </c>
      <c r="M53" s="5">
        <v>196.86</v>
      </c>
      <c r="N53" s="5">
        <v>160</v>
      </c>
      <c r="O53" s="5">
        <v>4</v>
      </c>
      <c r="P53" s="7">
        <f t="shared" si="1"/>
        <v>11013.448</v>
      </c>
    </row>
    <row r="54" spans="1:16" x14ac:dyDescent="0.25">
      <c r="A54" s="2" t="s">
        <v>75</v>
      </c>
      <c r="B54" s="3" t="s">
        <v>76</v>
      </c>
      <c r="C54" s="6">
        <v>561</v>
      </c>
      <c r="D54" s="5">
        <f t="shared" si="0"/>
        <v>6732</v>
      </c>
      <c r="E54" s="6">
        <v>561</v>
      </c>
      <c r="F54" s="5">
        <v>386</v>
      </c>
      <c r="G54" s="5">
        <f t="shared" si="2"/>
        <v>750.61800000000005</v>
      </c>
      <c r="H54" s="6">
        <v>561</v>
      </c>
      <c r="I54" s="5">
        <f t="shared" si="3"/>
        <v>1056</v>
      </c>
      <c r="J54" s="5">
        <f t="shared" si="4"/>
        <v>132</v>
      </c>
      <c r="K54" s="5">
        <f t="shared" si="5"/>
        <v>280.5</v>
      </c>
      <c r="L54" s="5">
        <v>0</v>
      </c>
      <c r="M54" s="5">
        <v>162.12</v>
      </c>
      <c r="N54" s="5">
        <v>160</v>
      </c>
      <c r="O54" s="5">
        <v>4</v>
      </c>
      <c r="P54" s="7">
        <f t="shared" si="1"/>
        <v>10459.118</v>
      </c>
    </row>
    <row r="55" spans="1:16" x14ac:dyDescent="0.25">
      <c r="A55" s="2" t="s">
        <v>14</v>
      </c>
      <c r="B55" s="3" t="s">
        <v>77</v>
      </c>
      <c r="C55" s="6">
        <v>561</v>
      </c>
      <c r="D55" s="5">
        <f t="shared" si="0"/>
        <v>6732</v>
      </c>
      <c r="E55" s="6">
        <v>561</v>
      </c>
      <c r="F55" s="5">
        <v>386</v>
      </c>
      <c r="G55" s="5">
        <f t="shared" si="2"/>
        <v>750.61800000000005</v>
      </c>
      <c r="H55" s="6">
        <v>561</v>
      </c>
      <c r="I55" s="5">
        <f t="shared" si="3"/>
        <v>1056</v>
      </c>
      <c r="J55" s="5">
        <f t="shared" si="4"/>
        <v>132</v>
      </c>
      <c r="K55" s="5">
        <f t="shared" si="5"/>
        <v>280.5</v>
      </c>
      <c r="L55" s="5">
        <v>46.32</v>
      </c>
      <c r="M55" s="5">
        <v>162.12</v>
      </c>
      <c r="N55" s="5">
        <v>160</v>
      </c>
      <c r="O55" s="5">
        <v>4</v>
      </c>
      <c r="P55" s="7">
        <f t="shared" si="1"/>
        <v>10459.118</v>
      </c>
    </row>
    <row r="56" spans="1:16" x14ac:dyDescent="0.25">
      <c r="A56" s="2" t="s">
        <v>14</v>
      </c>
      <c r="B56" s="3" t="s">
        <v>78</v>
      </c>
      <c r="C56" s="6">
        <v>561</v>
      </c>
      <c r="D56" s="5">
        <f t="shared" si="0"/>
        <v>6732</v>
      </c>
      <c r="E56" s="6">
        <v>561</v>
      </c>
      <c r="F56" s="5">
        <v>386</v>
      </c>
      <c r="G56" s="5">
        <f t="shared" si="2"/>
        <v>750.61800000000005</v>
      </c>
      <c r="H56" s="6">
        <v>561</v>
      </c>
      <c r="I56" s="5">
        <f t="shared" si="3"/>
        <v>1056</v>
      </c>
      <c r="J56" s="5">
        <f t="shared" si="4"/>
        <v>132</v>
      </c>
      <c r="K56" s="5">
        <f t="shared" si="5"/>
        <v>280.5</v>
      </c>
      <c r="L56" s="5">
        <v>138.96</v>
      </c>
      <c r="M56" s="5">
        <v>104.22</v>
      </c>
      <c r="N56" s="5">
        <v>160</v>
      </c>
      <c r="O56" s="5">
        <v>4</v>
      </c>
      <c r="P56" s="7">
        <f t="shared" si="1"/>
        <v>10459.118</v>
      </c>
    </row>
    <row r="57" spans="1:16" x14ac:dyDescent="0.25">
      <c r="A57" s="2" t="s">
        <v>14</v>
      </c>
      <c r="B57" s="3" t="s">
        <v>79</v>
      </c>
      <c r="C57" s="6">
        <v>561</v>
      </c>
      <c r="D57" s="5">
        <f t="shared" si="0"/>
        <v>6732</v>
      </c>
      <c r="E57" s="6">
        <v>561</v>
      </c>
      <c r="F57" s="5">
        <v>386</v>
      </c>
      <c r="G57" s="5">
        <f t="shared" si="2"/>
        <v>750.61800000000005</v>
      </c>
      <c r="H57" s="6">
        <v>561</v>
      </c>
      <c r="I57" s="5">
        <f t="shared" si="3"/>
        <v>1056</v>
      </c>
      <c r="J57" s="5">
        <f t="shared" si="4"/>
        <v>132</v>
      </c>
      <c r="K57" s="5">
        <f t="shared" si="5"/>
        <v>280.5</v>
      </c>
      <c r="L57" s="5">
        <v>46.32</v>
      </c>
      <c r="M57" s="5">
        <v>150.54</v>
      </c>
      <c r="N57" s="5">
        <v>160</v>
      </c>
      <c r="O57" s="5">
        <v>4</v>
      </c>
      <c r="P57" s="7">
        <f t="shared" si="1"/>
        <v>10459.118</v>
      </c>
    </row>
    <row r="58" spans="1:16" ht="25.5" x14ac:dyDescent="0.25">
      <c r="A58" s="2" t="s">
        <v>14</v>
      </c>
      <c r="B58" s="3" t="s">
        <v>80</v>
      </c>
      <c r="C58" s="6">
        <v>561</v>
      </c>
      <c r="D58" s="5">
        <f t="shared" si="0"/>
        <v>6732</v>
      </c>
      <c r="E58" s="6">
        <v>561</v>
      </c>
      <c r="F58" s="5">
        <v>386</v>
      </c>
      <c r="G58" s="5">
        <f t="shared" si="2"/>
        <v>750.61800000000005</v>
      </c>
      <c r="H58" s="6">
        <v>561</v>
      </c>
      <c r="I58" s="5">
        <f t="shared" si="3"/>
        <v>1056</v>
      </c>
      <c r="J58" s="5">
        <f t="shared" si="4"/>
        <v>132</v>
      </c>
      <c r="K58" s="5">
        <f t="shared" si="5"/>
        <v>280.5</v>
      </c>
      <c r="L58" s="5">
        <v>92.64</v>
      </c>
      <c r="M58" s="5">
        <v>150.54</v>
      </c>
      <c r="N58" s="5">
        <v>160</v>
      </c>
      <c r="O58" s="5">
        <v>4</v>
      </c>
      <c r="P58" s="7">
        <f t="shared" si="1"/>
        <v>10459.118</v>
      </c>
    </row>
    <row r="59" spans="1:16" ht="25.5" x14ac:dyDescent="0.25">
      <c r="A59" s="2" t="s">
        <v>14</v>
      </c>
      <c r="B59" s="3" t="s">
        <v>81</v>
      </c>
      <c r="C59" s="6">
        <v>561</v>
      </c>
      <c r="D59" s="5">
        <f t="shared" si="0"/>
        <v>6732</v>
      </c>
      <c r="E59" s="6">
        <v>561</v>
      </c>
      <c r="F59" s="5">
        <v>386</v>
      </c>
      <c r="G59" s="5">
        <f t="shared" si="2"/>
        <v>750.61800000000005</v>
      </c>
      <c r="H59" s="6">
        <v>561</v>
      </c>
      <c r="I59" s="5">
        <f t="shared" si="3"/>
        <v>1056</v>
      </c>
      <c r="J59" s="5">
        <f t="shared" si="4"/>
        <v>132</v>
      </c>
      <c r="K59" s="5">
        <f t="shared" si="5"/>
        <v>280.5</v>
      </c>
      <c r="L59" s="5">
        <v>0</v>
      </c>
      <c r="M59" s="5">
        <v>162.12</v>
      </c>
      <c r="N59" s="5">
        <v>160</v>
      </c>
      <c r="O59" s="5">
        <v>4</v>
      </c>
      <c r="P59" s="7">
        <f t="shared" si="1"/>
        <v>10459.118</v>
      </c>
    </row>
    <row r="60" spans="1:16" ht="25.5" x14ac:dyDescent="0.25">
      <c r="A60" s="2" t="s">
        <v>14</v>
      </c>
      <c r="B60" s="3" t="s">
        <v>82</v>
      </c>
      <c r="C60" s="6">
        <v>561</v>
      </c>
      <c r="D60" s="5">
        <f t="shared" si="0"/>
        <v>6732</v>
      </c>
      <c r="E60" s="6">
        <v>561</v>
      </c>
      <c r="F60" s="5">
        <v>386</v>
      </c>
      <c r="G60" s="5">
        <f t="shared" si="2"/>
        <v>750.61800000000005</v>
      </c>
      <c r="H60" s="6">
        <v>561</v>
      </c>
      <c r="I60" s="5">
        <f t="shared" si="3"/>
        <v>1056</v>
      </c>
      <c r="J60" s="5">
        <f t="shared" si="4"/>
        <v>132</v>
      </c>
      <c r="K60" s="5">
        <f t="shared" si="5"/>
        <v>280.5</v>
      </c>
      <c r="L60" s="5">
        <v>231.60000000000002</v>
      </c>
      <c r="M60" s="5">
        <v>104.22</v>
      </c>
      <c r="N60" s="5">
        <v>160</v>
      </c>
      <c r="O60" s="5">
        <v>4</v>
      </c>
      <c r="P60" s="7">
        <f t="shared" si="1"/>
        <v>10459.118</v>
      </c>
    </row>
    <row r="61" spans="1:16" ht="25.5" x14ac:dyDescent="0.25">
      <c r="A61" s="2" t="s">
        <v>14</v>
      </c>
      <c r="B61" s="3" t="s">
        <v>83</v>
      </c>
      <c r="C61" s="6">
        <v>561</v>
      </c>
      <c r="D61" s="5">
        <f t="shared" si="0"/>
        <v>6732</v>
      </c>
      <c r="E61" s="6">
        <v>561</v>
      </c>
      <c r="F61" s="5">
        <v>386</v>
      </c>
      <c r="G61" s="5">
        <f t="shared" si="2"/>
        <v>750.61800000000005</v>
      </c>
      <c r="H61" s="6">
        <v>561</v>
      </c>
      <c r="I61" s="5">
        <f t="shared" si="3"/>
        <v>1056</v>
      </c>
      <c r="J61" s="5">
        <f t="shared" si="4"/>
        <v>132</v>
      </c>
      <c r="K61" s="5">
        <f t="shared" si="5"/>
        <v>280.5</v>
      </c>
      <c r="L61" s="5">
        <v>0</v>
      </c>
      <c r="M61" s="5">
        <v>162.12</v>
      </c>
      <c r="N61" s="5">
        <v>160</v>
      </c>
      <c r="O61" s="5">
        <v>4</v>
      </c>
      <c r="P61" s="7">
        <f t="shared" si="1"/>
        <v>10459.118</v>
      </c>
    </row>
    <row r="62" spans="1:16" x14ac:dyDescent="0.25">
      <c r="A62" s="2" t="s">
        <v>14</v>
      </c>
      <c r="B62" s="3" t="s">
        <v>84</v>
      </c>
      <c r="C62" s="6">
        <v>561</v>
      </c>
      <c r="D62" s="5">
        <f t="shared" si="0"/>
        <v>6732</v>
      </c>
      <c r="E62" s="6">
        <v>561</v>
      </c>
      <c r="F62" s="5">
        <v>386</v>
      </c>
      <c r="G62" s="5">
        <f t="shared" si="2"/>
        <v>750.61800000000005</v>
      </c>
      <c r="H62" s="6">
        <v>561</v>
      </c>
      <c r="I62" s="5">
        <f t="shared" si="3"/>
        <v>1056</v>
      </c>
      <c r="J62" s="5">
        <f t="shared" si="4"/>
        <v>132</v>
      </c>
      <c r="K62" s="5">
        <f t="shared" si="5"/>
        <v>280.5</v>
      </c>
      <c r="L62" s="5">
        <v>92.64</v>
      </c>
      <c r="M62" s="5">
        <v>69.48</v>
      </c>
      <c r="N62" s="5">
        <v>160</v>
      </c>
      <c r="O62" s="5">
        <v>4</v>
      </c>
      <c r="P62" s="7">
        <f t="shared" si="1"/>
        <v>10459.118</v>
      </c>
    </row>
    <row r="63" spans="1:16" x14ac:dyDescent="0.25">
      <c r="A63" s="2" t="s">
        <v>14</v>
      </c>
      <c r="B63" s="3" t="s">
        <v>85</v>
      </c>
      <c r="C63" s="6">
        <v>561</v>
      </c>
      <c r="D63" s="5">
        <f t="shared" si="0"/>
        <v>6732</v>
      </c>
      <c r="E63" s="6">
        <v>561</v>
      </c>
      <c r="F63" s="5">
        <v>386</v>
      </c>
      <c r="G63" s="5">
        <f t="shared" si="2"/>
        <v>750.61800000000005</v>
      </c>
      <c r="H63" s="6">
        <v>561</v>
      </c>
      <c r="I63" s="5">
        <f t="shared" si="3"/>
        <v>1056</v>
      </c>
      <c r="J63" s="5">
        <f t="shared" si="4"/>
        <v>132</v>
      </c>
      <c r="K63" s="5">
        <f t="shared" si="5"/>
        <v>280.5</v>
      </c>
      <c r="L63" s="5">
        <v>92.64</v>
      </c>
      <c r="M63" s="5">
        <v>173.7</v>
      </c>
      <c r="N63" s="5">
        <v>160</v>
      </c>
      <c r="O63" s="5">
        <v>4</v>
      </c>
      <c r="P63" s="7">
        <f t="shared" si="1"/>
        <v>10459.118</v>
      </c>
    </row>
    <row r="64" spans="1:16" x14ac:dyDescent="0.25">
      <c r="A64" s="2" t="s">
        <v>86</v>
      </c>
      <c r="B64" s="3" t="s">
        <v>87</v>
      </c>
      <c r="C64" s="6">
        <v>561</v>
      </c>
      <c r="D64" s="5">
        <f t="shared" si="0"/>
        <v>6732</v>
      </c>
      <c r="E64" s="6">
        <v>561</v>
      </c>
      <c r="F64" s="5">
        <v>386</v>
      </c>
      <c r="G64" s="5">
        <f t="shared" si="2"/>
        <v>750.61800000000005</v>
      </c>
      <c r="H64" s="6">
        <v>561</v>
      </c>
      <c r="I64" s="5">
        <f t="shared" si="3"/>
        <v>1056</v>
      </c>
      <c r="J64" s="5">
        <f t="shared" si="4"/>
        <v>132</v>
      </c>
      <c r="K64" s="5">
        <f t="shared" si="5"/>
        <v>280.5</v>
      </c>
      <c r="L64" s="5">
        <v>92.64</v>
      </c>
      <c r="M64" s="5">
        <v>173.7</v>
      </c>
      <c r="N64" s="5">
        <v>160</v>
      </c>
      <c r="O64" s="5">
        <v>4</v>
      </c>
      <c r="P64" s="7">
        <f t="shared" si="1"/>
        <v>10459.118</v>
      </c>
    </row>
    <row r="65" spans="1:16" ht="25.5" x14ac:dyDescent="0.25">
      <c r="A65" s="2" t="s">
        <v>45</v>
      </c>
      <c r="B65" s="3" t="s">
        <v>88</v>
      </c>
      <c r="C65" s="6">
        <v>561</v>
      </c>
      <c r="D65" s="5">
        <f t="shared" si="0"/>
        <v>6732</v>
      </c>
      <c r="E65" s="6">
        <v>561</v>
      </c>
      <c r="F65" s="5">
        <v>386</v>
      </c>
      <c r="G65" s="5">
        <f t="shared" si="2"/>
        <v>750.61800000000005</v>
      </c>
      <c r="H65" s="6">
        <v>561</v>
      </c>
      <c r="I65" s="5">
        <f t="shared" si="3"/>
        <v>1056</v>
      </c>
      <c r="J65" s="5">
        <f t="shared" si="4"/>
        <v>132</v>
      </c>
      <c r="K65" s="5">
        <f t="shared" si="5"/>
        <v>280.5</v>
      </c>
      <c r="L65" s="5">
        <v>0</v>
      </c>
      <c r="M65" s="5">
        <v>0</v>
      </c>
      <c r="N65" s="5">
        <v>160</v>
      </c>
      <c r="O65" s="5">
        <v>4</v>
      </c>
      <c r="P65" s="7">
        <f t="shared" si="1"/>
        <v>10459.118</v>
      </c>
    </row>
    <row r="66" spans="1:16" x14ac:dyDescent="0.25">
      <c r="A66" s="2" t="s">
        <v>14</v>
      </c>
      <c r="B66" s="3" t="s">
        <v>89</v>
      </c>
      <c r="C66" s="6">
        <v>561</v>
      </c>
      <c r="D66" s="5">
        <f t="shared" ref="D66:D101" si="6">C66*12</f>
        <v>6732</v>
      </c>
      <c r="E66" s="6">
        <v>561</v>
      </c>
      <c r="F66" s="5">
        <v>386</v>
      </c>
      <c r="G66" s="5">
        <f t="shared" si="2"/>
        <v>750.61800000000005</v>
      </c>
      <c r="H66" s="6">
        <v>561</v>
      </c>
      <c r="I66" s="5">
        <f t="shared" si="3"/>
        <v>1056</v>
      </c>
      <c r="J66" s="5">
        <f t="shared" si="4"/>
        <v>132</v>
      </c>
      <c r="K66" s="5">
        <f t="shared" si="5"/>
        <v>280.5</v>
      </c>
      <c r="L66" s="5">
        <v>0</v>
      </c>
      <c r="M66" s="5">
        <v>196.86</v>
      </c>
      <c r="N66" s="5">
        <v>160</v>
      </c>
      <c r="O66" s="5">
        <v>4</v>
      </c>
      <c r="P66" s="7">
        <f t="shared" ref="P66:P100" si="7">SUM(D66:K66)</f>
        <v>10459.118</v>
      </c>
    </row>
    <row r="67" spans="1:16" ht="25.5" x14ac:dyDescent="0.25">
      <c r="A67" s="14" t="s">
        <v>90</v>
      </c>
      <c r="B67" s="3" t="s">
        <v>91</v>
      </c>
      <c r="C67" s="12">
        <v>906</v>
      </c>
      <c r="D67" s="5">
        <f t="shared" si="6"/>
        <v>10872</v>
      </c>
      <c r="E67" s="12">
        <v>906</v>
      </c>
      <c r="F67" s="5">
        <v>386</v>
      </c>
      <c r="G67" s="5">
        <f t="shared" ref="G67:G101" si="8">C67*11.15%*12</f>
        <v>1212.2280000000001</v>
      </c>
      <c r="H67" s="12">
        <v>906</v>
      </c>
      <c r="I67" s="5">
        <f t="shared" ref="I67:I101" si="9">88*12</f>
        <v>1056</v>
      </c>
      <c r="J67" s="5">
        <f t="shared" ref="J67:J101" si="10">11*12</f>
        <v>132</v>
      </c>
      <c r="K67" s="5">
        <f t="shared" ref="K67:K101" si="11">C67/2</f>
        <v>453</v>
      </c>
      <c r="L67" s="5">
        <v>0</v>
      </c>
      <c r="M67" s="5">
        <v>0</v>
      </c>
      <c r="N67" s="5">
        <v>160</v>
      </c>
      <c r="O67" s="5">
        <v>4</v>
      </c>
      <c r="P67" s="7">
        <f t="shared" si="7"/>
        <v>15923.227999999999</v>
      </c>
    </row>
    <row r="68" spans="1:16" x14ac:dyDescent="0.25">
      <c r="A68" s="2" t="s">
        <v>92</v>
      </c>
      <c r="B68" s="3" t="s">
        <v>93</v>
      </c>
      <c r="C68" s="6">
        <v>596</v>
      </c>
      <c r="D68" s="5">
        <f t="shared" si="6"/>
        <v>7152</v>
      </c>
      <c r="E68" s="6">
        <v>596</v>
      </c>
      <c r="F68" s="5">
        <v>386</v>
      </c>
      <c r="G68" s="5">
        <f t="shared" si="8"/>
        <v>797.44800000000009</v>
      </c>
      <c r="H68" s="6">
        <v>596</v>
      </c>
      <c r="I68" s="5">
        <f t="shared" si="9"/>
        <v>1056</v>
      </c>
      <c r="J68" s="5">
        <f t="shared" si="10"/>
        <v>132</v>
      </c>
      <c r="K68" s="5">
        <f t="shared" si="11"/>
        <v>298</v>
      </c>
      <c r="L68" s="5">
        <v>0</v>
      </c>
      <c r="M68" s="5">
        <v>115.80000000000001</v>
      </c>
      <c r="N68" s="5">
        <v>160</v>
      </c>
      <c r="O68" s="5">
        <v>4</v>
      </c>
      <c r="P68" s="7">
        <f t="shared" si="7"/>
        <v>11013.448</v>
      </c>
    </row>
    <row r="69" spans="1:16" x14ac:dyDescent="0.25">
      <c r="A69" s="2" t="s">
        <v>14</v>
      </c>
      <c r="B69" s="3" t="s">
        <v>94</v>
      </c>
      <c r="C69" s="6">
        <v>561</v>
      </c>
      <c r="D69" s="5">
        <f t="shared" si="6"/>
        <v>6732</v>
      </c>
      <c r="E69" s="6">
        <v>561</v>
      </c>
      <c r="F69" s="5">
        <v>386</v>
      </c>
      <c r="G69" s="5">
        <f t="shared" si="8"/>
        <v>750.61800000000005</v>
      </c>
      <c r="H69" s="6">
        <v>561</v>
      </c>
      <c r="I69" s="5">
        <f t="shared" si="9"/>
        <v>1056</v>
      </c>
      <c r="J69" s="5">
        <f t="shared" si="10"/>
        <v>132</v>
      </c>
      <c r="K69" s="5">
        <f t="shared" si="11"/>
        <v>280.5</v>
      </c>
      <c r="L69" s="5">
        <v>0</v>
      </c>
      <c r="M69" s="5">
        <v>127.38</v>
      </c>
      <c r="N69" s="5">
        <v>160</v>
      </c>
      <c r="O69" s="5">
        <v>4</v>
      </c>
      <c r="P69" s="7">
        <f t="shared" si="7"/>
        <v>10459.118</v>
      </c>
    </row>
    <row r="70" spans="1:16" x14ac:dyDescent="0.25">
      <c r="A70" s="15" t="s">
        <v>14</v>
      </c>
      <c r="B70" s="3" t="s">
        <v>95</v>
      </c>
      <c r="C70" s="6">
        <v>561</v>
      </c>
      <c r="D70" s="5">
        <f t="shared" si="6"/>
        <v>6732</v>
      </c>
      <c r="E70" s="6">
        <v>561</v>
      </c>
      <c r="F70" s="5">
        <v>386</v>
      </c>
      <c r="G70" s="5">
        <f t="shared" si="8"/>
        <v>750.61800000000005</v>
      </c>
      <c r="H70" s="6">
        <v>561</v>
      </c>
      <c r="I70" s="5">
        <f t="shared" si="9"/>
        <v>1056</v>
      </c>
      <c r="J70" s="5">
        <f t="shared" si="10"/>
        <v>132</v>
      </c>
      <c r="K70" s="5">
        <f t="shared" si="11"/>
        <v>280.5</v>
      </c>
      <c r="L70" s="5">
        <v>0</v>
      </c>
      <c r="M70" s="5">
        <v>92.64</v>
      </c>
      <c r="N70" s="5">
        <v>160</v>
      </c>
      <c r="O70" s="5">
        <v>4</v>
      </c>
      <c r="P70" s="7">
        <f t="shared" si="7"/>
        <v>10459.118</v>
      </c>
    </row>
    <row r="71" spans="1:16" x14ac:dyDescent="0.25">
      <c r="A71" s="2" t="s">
        <v>14</v>
      </c>
      <c r="B71" s="3" t="s">
        <v>96</v>
      </c>
      <c r="C71" s="6">
        <v>596</v>
      </c>
      <c r="D71" s="5">
        <f t="shared" si="6"/>
        <v>7152</v>
      </c>
      <c r="E71" s="6">
        <v>596</v>
      </c>
      <c r="F71" s="5">
        <v>386</v>
      </c>
      <c r="G71" s="5">
        <f t="shared" si="8"/>
        <v>797.44800000000009</v>
      </c>
      <c r="H71" s="6">
        <v>596</v>
      </c>
      <c r="I71" s="5">
        <f t="shared" si="9"/>
        <v>1056</v>
      </c>
      <c r="J71" s="5">
        <f t="shared" si="10"/>
        <v>132</v>
      </c>
      <c r="K71" s="5">
        <f t="shared" si="11"/>
        <v>298</v>
      </c>
      <c r="L71" s="5">
        <v>0</v>
      </c>
      <c r="M71" s="5">
        <v>0</v>
      </c>
      <c r="N71" s="5">
        <v>160</v>
      </c>
      <c r="O71" s="5">
        <v>4</v>
      </c>
      <c r="P71" s="7">
        <f t="shared" si="7"/>
        <v>11013.448</v>
      </c>
    </row>
    <row r="72" spans="1:16" ht="25.5" x14ac:dyDescent="0.25">
      <c r="A72" s="2" t="s">
        <v>97</v>
      </c>
      <c r="B72" s="3" t="s">
        <v>98</v>
      </c>
      <c r="C72" s="6">
        <v>596</v>
      </c>
      <c r="D72" s="5">
        <f t="shared" si="6"/>
        <v>7152</v>
      </c>
      <c r="E72" s="6">
        <v>596</v>
      </c>
      <c r="F72" s="5">
        <v>386</v>
      </c>
      <c r="G72" s="5">
        <f t="shared" si="8"/>
        <v>797.44800000000009</v>
      </c>
      <c r="H72" s="6">
        <v>596</v>
      </c>
      <c r="I72" s="5">
        <f t="shared" si="9"/>
        <v>1056</v>
      </c>
      <c r="J72" s="5">
        <f t="shared" si="10"/>
        <v>132</v>
      </c>
      <c r="K72" s="5">
        <f t="shared" si="11"/>
        <v>298</v>
      </c>
      <c r="L72" s="5">
        <v>0</v>
      </c>
      <c r="M72" s="5">
        <v>0</v>
      </c>
      <c r="N72" s="5">
        <v>160</v>
      </c>
      <c r="O72" s="5">
        <v>4</v>
      </c>
      <c r="P72" s="7">
        <f t="shared" si="7"/>
        <v>11013.448</v>
      </c>
    </row>
    <row r="73" spans="1:16" x14ac:dyDescent="0.25">
      <c r="A73" s="2" t="s">
        <v>21</v>
      </c>
      <c r="B73" s="9" t="s">
        <v>99</v>
      </c>
      <c r="C73" s="6">
        <v>738</v>
      </c>
      <c r="D73" s="5">
        <f t="shared" si="6"/>
        <v>8856</v>
      </c>
      <c r="E73" s="6">
        <v>738</v>
      </c>
      <c r="F73" s="5">
        <v>386</v>
      </c>
      <c r="G73" s="5">
        <f t="shared" si="8"/>
        <v>987.44400000000007</v>
      </c>
      <c r="H73" s="6">
        <v>738</v>
      </c>
      <c r="I73" s="5">
        <f t="shared" si="9"/>
        <v>1056</v>
      </c>
      <c r="J73" s="5">
        <f t="shared" si="10"/>
        <v>132</v>
      </c>
      <c r="K73" s="5">
        <f t="shared" si="11"/>
        <v>369</v>
      </c>
      <c r="L73" s="5">
        <v>0</v>
      </c>
      <c r="M73" s="5">
        <v>185.28</v>
      </c>
      <c r="N73" s="5">
        <v>160</v>
      </c>
      <c r="O73" s="5">
        <v>4</v>
      </c>
      <c r="P73" s="7">
        <f t="shared" si="7"/>
        <v>13262.444</v>
      </c>
    </row>
    <row r="74" spans="1:16" ht="25.5" x14ac:dyDescent="0.25">
      <c r="A74" s="14" t="s">
        <v>16</v>
      </c>
      <c r="B74" s="3" t="s">
        <v>100</v>
      </c>
      <c r="C74" s="12">
        <v>596</v>
      </c>
      <c r="D74" s="5">
        <f t="shared" si="6"/>
        <v>7152</v>
      </c>
      <c r="E74" s="12">
        <v>596</v>
      </c>
      <c r="F74" s="5">
        <v>386</v>
      </c>
      <c r="G74" s="5">
        <f t="shared" si="8"/>
        <v>797.44800000000009</v>
      </c>
      <c r="H74" s="12">
        <v>596</v>
      </c>
      <c r="I74" s="5">
        <f t="shared" si="9"/>
        <v>1056</v>
      </c>
      <c r="J74" s="5">
        <f t="shared" si="10"/>
        <v>132</v>
      </c>
      <c r="K74" s="5">
        <f t="shared" si="11"/>
        <v>298</v>
      </c>
      <c r="L74" s="5">
        <v>138.96</v>
      </c>
      <c r="M74" s="5">
        <v>162.12</v>
      </c>
      <c r="N74" s="5">
        <v>160</v>
      </c>
      <c r="O74" s="5">
        <v>4</v>
      </c>
      <c r="P74" s="7">
        <f t="shared" si="7"/>
        <v>11013.448</v>
      </c>
    </row>
    <row r="75" spans="1:16" x14ac:dyDescent="0.25">
      <c r="A75" s="2" t="s">
        <v>21</v>
      </c>
      <c r="B75" s="9" t="s">
        <v>101</v>
      </c>
      <c r="C75" s="6">
        <v>738</v>
      </c>
      <c r="D75" s="5">
        <f t="shared" si="6"/>
        <v>8856</v>
      </c>
      <c r="E75" s="6">
        <v>738</v>
      </c>
      <c r="F75" s="5">
        <v>386</v>
      </c>
      <c r="G75" s="5">
        <f t="shared" si="8"/>
        <v>987.44400000000007</v>
      </c>
      <c r="H75" s="6">
        <v>738</v>
      </c>
      <c r="I75" s="5">
        <f t="shared" si="9"/>
        <v>1056</v>
      </c>
      <c r="J75" s="5">
        <f t="shared" si="10"/>
        <v>132</v>
      </c>
      <c r="K75" s="5">
        <f t="shared" si="11"/>
        <v>369</v>
      </c>
      <c r="L75" s="5">
        <v>138.96</v>
      </c>
      <c r="M75" s="5">
        <v>208.44</v>
      </c>
      <c r="N75" s="5">
        <v>160</v>
      </c>
      <c r="O75" s="5">
        <v>4</v>
      </c>
      <c r="P75" s="7">
        <f t="shared" si="7"/>
        <v>13262.444</v>
      </c>
    </row>
    <row r="76" spans="1:16" x14ac:dyDescent="0.25">
      <c r="A76" s="2" t="s">
        <v>14</v>
      </c>
      <c r="B76" s="3" t="s">
        <v>102</v>
      </c>
      <c r="C76" s="6">
        <v>561</v>
      </c>
      <c r="D76" s="5">
        <f t="shared" si="6"/>
        <v>6732</v>
      </c>
      <c r="E76" s="6">
        <v>561</v>
      </c>
      <c r="F76" s="5">
        <v>386</v>
      </c>
      <c r="G76" s="5">
        <f t="shared" si="8"/>
        <v>750.61800000000005</v>
      </c>
      <c r="H76" s="6">
        <v>561</v>
      </c>
      <c r="I76" s="5">
        <f t="shared" si="9"/>
        <v>1056</v>
      </c>
      <c r="J76" s="5">
        <f t="shared" si="10"/>
        <v>132</v>
      </c>
      <c r="K76" s="5">
        <f t="shared" si="11"/>
        <v>280.5</v>
      </c>
      <c r="L76" s="5">
        <v>138.96</v>
      </c>
      <c r="M76" s="5">
        <v>127.38</v>
      </c>
      <c r="N76" s="5">
        <v>160</v>
      </c>
      <c r="O76" s="5">
        <v>4</v>
      </c>
      <c r="P76" s="7">
        <f t="shared" si="7"/>
        <v>10459.118</v>
      </c>
    </row>
    <row r="77" spans="1:16" x14ac:dyDescent="0.25">
      <c r="A77" s="2" t="s">
        <v>45</v>
      </c>
      <c r="B77" s="3" t="s">
        <v>103</v>
      </c>
      <c r="C77" s="6">
        <v>561</v>
      </c>
      <c r="D77" s="5">
        <f t="shared" si="6"/>
        <v>6732</v>
      </c>
      <c r="E77" s="6">
        <v>561</v>
      </c>
      <c r="F77" s="5">
        <v>386</v>
      </c>
      <c r="G77" s="5">
        <f t="shared" si="8"/>
        <v>750.61800000000005</v>
      </c>
      <c r="H77" s="6">
        <v>561</v>
      </c>
      <c r="I77" s="5">
        <f t="shared" si="9"/>
        <v>1056</v>
      </c>
      <c r="J77" s="5">
        <f t="shared" si="10"/>
        <v>132</v>
      </c>
      <c r="K77" s="5">
        <f t="shared" si="11"/>
        <v>280.5</v>
      </c>
      <c r="L77" s="5">
        <v>0</v>
      </c>
      <c r="M77" s="5">
        <v>104.22</v>
      </c>
      <c r="N77" s="5">
        <v>160</v>
      </c>
      <c r="O77" s="5">
        <v>4</v>
      </c>
      <c r="P77" s="7">
        <f t="shared" si="7"/>
        <v>10459.118</v>
      </c>
    </row>
    <row r="78" spans="1:16" x14ac:dyDescent="0.25">
      <c r="A78" s="2" t="s">
        <v>14</v>
      </c>
      <c r="B78" s="3" t="s">
        <v>104</v>
      </c>
      <c r="C78" s="6">
        <v>561</v>
      </c>
      <c r="D78" s="5">
        <f t="shared" si="6"/>
        <v>6732</v>
      </c>
      <c r="E78" s="6">
        <v>561</v>
      </c>
      <c r="F78" s="5">
        <v>386</v>
      </c>
      <c r="G78" s="5">
        <f t="shared" si="8"/>
        <v>750.61800000000005</v>
      </c>
      <c r="H78" s="6">
        <v>561</v>
      </c>
      <c r="I78" s="5">
        <f t="shared" si="9"/>
        <v>1056</v>
      </c>
      <c r="J78" s="5">
        <f t="shared" si="10"/>
        <v>132</v>
      </c>
      <c r="K78" s="5">
        <f t="shared" si="11"/>
        <v>280.5</v>
      </c>
      <c r="L78" s="5">
        <v>138.96</v>
      </c>
      <c r="M78" s="5">
        <v>150.54</v>
      </c>
      <c r="N78" s="5">
        <v>160</v>
      </c>
      <c r="O78" s="5">
        <v>4</v>
      </c>
      <c r="P78" s="7">
        <f t="shared" si="7"/>
        <v>10459.118</v>
      </c>
    </row>
    <row r="79" spans="1:16" x14ac:dyDescent="0.25">
      <c r="A79" s="2" t="s">
        <v>14</v>
      </c>
      <c r="B79" s="3" t="s">
        <v>105</v>
      </c>
      <c r="C79" s="6">
        <v>561</v>
      </c>
      <c r="D79" s="5">
        <f t="shared" si="6"/>
        <v>6732</v>
      </c>
      <c r="E79" s="6">
        <v>561</v>
      </c>
      <c r="F79" s="5">
        <v>386</v>
      </c>
      <c r="G79" s="5">
        <f t="shared" si="8"/>
        <v>750.61800000000005</v>
      </c>
      <c r="H79" s="6">
        <v>561</v>
      </c>
      <c r="I79" s="5">
        <f t="shared" si="9"/>
        <v>1056</v>
      </c>
      <c r="J79" s="5">
        <f t="shared" si="10"/>
        <v>132</v>
      </c>
      <c r="K79" s="5">
        <f t="shared" si="11"/>
        <v>280.5</v>
      </c>
      <c r="L79" s="5">
        <v>46.32</v>
      </c>
      <c r="M79" s="5">
        <v>127.38</v>
      </c>
      <c r="N79" s="5">
        <v>160</v>
      </c>
      <c r="O79" s="5">
        <v>4</v>
      </c>
      <c r="P79" s="7">
        <f t="shared" si="7"/>
        <v>10459.118</v>
      </c>
    </row>
    <row r="80" spans="1:16" x14ac:dyDescent="0.25">
      <c r="A80" s="2" t="s">
        <v>106</v>
      </c>
      <c r="B80" s="3" t="s">
        <v>107</v>
      </c>
      <c r="C80" s="6">
        <v>531</v>
      </c>
      <c r="D80" s="5">
        <f t="shared" si="6"/>
        <v>6372</v>
      </c>
      <c r="E80" s="6">
        <v>494.1</v>
      </c>
      <c r="F80" s="5">
        <v>386</v>
      </c>
      <c r="G80" s="5">
        <f t="shared" si="8"/>
        <v>710.47799999999995</v>
      </c>
      <c r="H80" s="6">
        <v>494.1</v>
      </c>
      <c r="I80" s="5">
        <f t="shared" si="9"/>
        <v>1056</v>
      </c>
      <c r="J80" s="5">
        <f t="shared" si="10"/>
        <v>132</v>
      </c>
      <c r="K80" s="5">
        <f t="shared" si="11"/>
        <v>265.5</v>
      </c>
      <c r="L80" s="5">
        <v>0</v>
      </c>
      <c r="M80" s="5">
        <v>0</v>
      </c>
      <c r="N80" s="5">
        <v>160</v>
      </c>
      <c r="O80" s="5">
        <v>4</v>
      </c>
      <c r="P80" s="7">
        <f t="shared" si="7"/>
        <v>9910.1779999999999</v>
      </c>
    </row>
    <row r="81" spans="1:16" x14ac:dyDescent="0.25">
      <c r="A81" s="2" t="s">
        <v>14</v>
      </c>
      <c r="B81" s="3" t="s">
        <v>108</v>
      </c>
      <c r="C81" s="6">
        <v>561</v>
      </c>
      <c r="D81" s="5">
        <f t="shared" si="6"/>
        <v>6732</v>
      </c>
      <c r="E81" s="6">
        <v>561</v>
      </c>
      <c r="F81" s="5">
        <v>386</v>
      </c>
      <c r="G81" s="5">
        <f t="shared" si="8"/>
        <v>750.61800000000005</v>
      </c>
      <c r="H81" s="6">
        <v>561</v>
      </c>
      <c r="I81" s="5">
        <f t="shared" si="9"/>
        <v>1056</v>
      </c>
      <c r="J81" s="5">
        <f t="shared" si="10"/>
        <v>132</v>
      </c>
      <c r="K81" s="5">
        <f t="shared" si="11"/>
        <v>280.5</v>
      </c>
      <c r="L81" s="5">
        <v>0</v>
      </c>
      <c r="M81" s="5">
        <v>0</v>
      </c>
      <c r="N81" s="5">
        <v>160</v>
      </c>
      <c r="O81" s="5">
        <v>4</v>
      </c>
      <c r="P81" s="7">
        <f t="shared" si="7"/>
        <v>10459.118</v>
      </c>
    </row>
    <row r="82" spans="1:16" x14ac:dyDescent="0.25">
      <c r="A82" s="2" t="s">
        <v>16</v>
      </c>
      <c r="B82" s="3" t="s">
        <v>109</v>
      </c>
      <c r="C82" s="6">
        <v>596</v>
      </c>
      <c r="D82" s="5">
        <f t="shared" si="6"/>
        <v>7152</v>
      </c>
      <c r="E82" s="6">
        <v>596</v>
      </c>
      <c r="F82" s="5">
        <v>386</v>
      </c>
      <c r="G82" s="5">
        <f t="shared" si="8"/>
        <v>797.44800000000009</v>
      </c>
      <c r="H82" s="6">
        <v>596</v>
      </c>
      <c r="I82" s="5">
        <f t="shared" si="9"/>
        <v>1056</v>
      </c>
      <c r="J82" s="5">
        <f t="shared" si="10"/>
        <v>132</v>
      </c>
      <c r="K82" s="5">
        <f t="shared" si="11"/>
        <v>298</v>
      </c>
      <c r="L82" s="5">
        <v>138.96</v>
      </c>
      <c r="M82" s="5">
        <v>162.12</v>
      </c>
      <c r="N82" s="5">
        <v>160</v>
      </c>
      <c r="O82" s="5">
        <v>4</v>
      </c>
      <c r="P82" s="7">
        <f t="shared" si="7"/>
        <v>11013.448</v>
      </c>
    </row>
    <row r="83" spans="1:16" ht="25.5" x14ac:dyDescent="0.25">
      <c r="A83" s="2" t="s">
        <v>16</v>
      </c>
      <c r="B83" s="3" t="s">
        <v>110</v>
      </c>
      <c r="C83" s="6">
        <v>596</v>
      </c>
      <c r="D83" s="5">
        <f t="shared" si="6"/>
        <v>7152</v>
      </c>
      <c r="E83" s="6">
        <v>596</v>
      </c>
      <c r="F83" s="5">
        <v>386</v>
      </c>
      <c r="G83" s="5">
        <f t="shared" si="8"/>
        <v>797.44800000000009</v>
      </c>
      <c r="H83" s="6">
        <v>596</v>
      </c>
      <c r="I83" s="5">
        <f t="shared" si="9"/>
        <v>1056</v>
      </c>
      <c r="J83" s="5">
        <f t="shared" si="10"/>
        <v>132</v>
      </c>
      <c r="K83" s="5">
        <f t="shared" si="11"/>
        <v>298</v>
      </c>
      <c r="L83" s="5">
        <v>92.64</v>
      </c>
      <c r="M83" s="5">
        <v>231.60000000000002</v>
      </c>
      <c r="N83" s="5">
        <v>160</v>
      </c>
      <c r="O83" s="5">
        <v>4</v>
      </c>
      <c r="P83" s="7">
        <f t="shared" si="7"/>
        <v>11013.448</v>
      </c>
    </row>
    <row r="84" spans="1:16" x14ac:dyDescent="0.25">
      <c r="A84" s="14" t="s">
        <v>14</v>
      </c>
      <c r="B84" s="3" t="s">
        <v>111</v>
      </c>
      <c r="C84" s="12">
        <v>561</v>
      </c>
      <c r="D84" s="11">
        <f t="shared" si="6"/>
        <v>6732</v>
      </c>
      <c r="E84" s="12">
        <v>561</v>
      </c>
      <c r="F84" s="5">
        <v>386</v>
      </c>
      <c r="G84" s="11">
        <f t="shared" si="8"/>
        <v>750.61800000000005</v>
      </c>
      <c r="H84" s="12">
        <v>561</v>
      </c>
      <c r="I84" s="11">
        <f t="shared" si="9"/>
        <v>1056</v>
      </c>
      <c r="J84" s="11">
        <f t="shared" si="10"/>
        <v>132</v>
      </c>
      <c r="K84" s="11">
        <f t="shared" si="11"/>
        <v>280.5</v>
      </c>
      <c r="L84" s="5">
        <v>46.32</v>
      </c>
      <c r="M84" s="11">
        <v>208.44</v>
      </c>
      <c r="N84" s="11">
        <v>160</v>
      </c>
      <c r="O84" s="11">
        <v>4</v>
      </c>
      <c r="P84" s="13">
        <f t="shared" si="7"/>
        <v>10459.118</v>
      </c>
    </row>
    <row r="85" spans="1:16" x14ac:dyDescent="0.25">
      <c r="A85" s="14" t="s">
        <v>16</v>
      </c>
      <c r="B85" s="3" t="s">
        <v>112</v>
      </c>
      <c r="C85" s="12">
        <v>596</v>
      </c>
      <c r="D85" s="11">
        <f t="shared" si="6"/>
        <v>7152</v>
      </c>
      <c r="E85" s="12">
        <v>596</v>
      </c>
      <c r="F85" s="5">
        <v>386</v>
      </c>
      <c r="G85" s="11">
        <f t="shared" si="8"/>
        <v>797.44800000000009</v>
      </c>
      <c r="H85" s="12">
        <v>596</v>
      </c>
      <c r="I85" s="11">
        <f t="shared" si="9"/>
        <v>1056</v>
      </c>
      <c r="J85" s="11">
        <f t="shared" si="10"/>
        <v>132</v>
      </c>
      <c r="K85" s="11">
        <f t="shared" si="11"/>
        <v>298</v>
      </c>
      <c r="L85" s="5">
        <v>0</v>
      </c>
      <c r="M85" s="11">
        <v>231.60000000000002</v>
      </c>
      <c r="N85" s="11">
        <v>160</v>
      </c>
      <c r="O85" s="11">
        <v>4</v>
      </c>
      <c r="P85" s="13">
        <f t="shared" si="7"/>
        <v>11013.448</v>
      </c>
    </row>
    <row r="86" spans="1:16" ht="25.5" x14ac:dyDescent="0.25">
      <c r="A86" s="14" t="s">
        <v>14</v>
      </c>
      <c r="B86" s="3" t="s">
        <v>113</v>
      </c>
      <c r="C86" s="12"/>
      <c r="D86" s="11"/>
      <c r="E86" s="12"/>
      <c r="F86" s="5">
        <v>386</v>
      </c>
      <c r="G86" s="11"/>
      <c r="H86" s="12"/>
      <c r="I86" s="11"/>
      <c r="J86" s="11"/>
      <c r="K86" s="11"/>
      <c r="L86" s="11">
        <v>0</v>
      </c>
      <c r="M86" s="11">
        <v>0</v>
      </c>
      <c r="N86" s="11"/>
      <c r="O86" s="11"/>
      <c r="P86" s="13"/>
    </row>
    <row r="87" spans="1:16" x14ac:dyDescent="0.25">
      <c r="A87" s="14" t="s">
        <v>14</v>
      </c>
      <c r="B87" s="3" t="s">
        <v>114</v>
      </c>
      <c r="C87" s="12"/>
      <c r="D87" s="11"/>
      <c r="E87" s="12"/>
      <c r="F87" s="5">
        <v>386</v>
      </c>
      <c r="G87" s="11"/>
      <c r="H87" s="12"/>
      <c r="I87" s="11"/>
      <c r="J87" s="11"/>
      <c r="K87" s="11"/>
      <c r="L87" s="11">
        <v>0</v>
      </c>
      <c r="M87" s="11">
        <v>0</v>
      </c>
      <c r="N87" s="11"/>
      <c r="O87" s="11"/>
      <c r="P87" s="13"/>
    </row>
    <row r="88" spans="1:16" x14ac:dyDescent="0.25">
      <c r="A88" s="14" t="s">
        <v>14</v>
      </c>
      <c r="B88" s="3" t="s">
        <v>115</v>
      </c>
      <c r="C88" s="12"/>
      <c r="D88" s="11"/>
      <c r="E88" s="12"/>
      <c r="F88" s="5">
        <v>386</v>
      </c>
      <c r="G88" s="11"/>
      <c r="H88" s="12"/>
      <c r="I88" s="11"/>
      <c r="J88" s="11"/>
      <c r="K88" s="11"/>
      <c r="L88" s="11">
        <v>0</v>
      </c>
      <c r="M88" s="11">
        <v>0</v>
      </c>
      <c r="N88" s="11"/>
      <c r="O88" s="11"/>
      <c r="P88" s="13"/>
    </row>
    <row r="89" spans="1:16" ht="25.5" x14ac:dyDescent="0.25">
      <c r="A89" s="14" t="s">
        <v>14</v>
      </c>
      <c r="B89" s="3" t="s">
        <v>116</v>
      </c>
      <c r="C89" s="12">
        <v>561</v>
      </c>
      <c r="D89" s="5">
        <f t="shared" si="6"/>
        <v>6732</v>
      </c>
      <c r="E89" s="12">
        <v>561</v>
      </c>
      <c r="F89" s="5">
        <v>386</v>
      </c>
      <c r="G89" s="5">
        <f t="shared" si="8"/>
        <v>750.61800000000005</v>
      </c>
      <c r="H89" s="12">
        <v>561</v>
      </c>
      <c r="I89" s="5">
        <f t="shared" si="9"/>
        <v>1056</v>
      </c>
      <c r="J89" s="5">
        <f t="shared" si="10"/>
        <v>132</v>
      </c>
      <c r="K89" s="5">
        <f t="shared" si="11"/>
        <v>280.5</v>
      </c>
      <c r="L89" s="5">
        <v>92.64</v>
      </c>
      <c r="M89" s="5">
        <v>196.86</v>
      </c>
      <c r="N89" s="5">
        <v>160</v>
      </c>
      <c r="O89" s="5">
        <v>4</v>
      </c>
      <c r="P89" s="7">
        <f t="shared" si="7"/>
        <v>10459.118</v>
      </c>
    </row>
    <row r="90" spans="1:16" x14ac:dyDescent="0.25">
      <c r="A90" s="2" t="s">
        <v>14</v>
      </c>
      <c r="B90" s="3" t="s">
        <v>117</v>
      </c>
      <c r="C90" s="6">
        <v>561</v>
      </c>
      <c r="D90" s="5">
        <f t="shared" si="6"/>
        <v>6732</v>
      </c>
      <c r="E90" s="6">
        <v>561</v>
      </c>
      <c r="F90" s="5">
        <v>386</v>
      </c>
      <c r="G90" s="5">
        <f t="shared" si="8"/>
        <v>750.61800000000005</v>
      </c>
      <c r="H90" s="6">
        <v>561</v>
      </c>
      <c r="I90" s="5">
        <f t="shared" si="9"/>
        <v>1056</v>
      </c>
      <c r="J90" s="5">
        <f t="shared" si="10"/>
        <v>132</v>
      </c>
      <c r="K90" s="5">
        <f t="shared" si="11"/>
        <v>280.5</v>
      </c>
      <c r="L90" s="5">
        <v>92.64</v>
      </c>
      <c r="M90" s="5">
        <v>150.54</v>
      </c>
      <c r="N90" s="5">
        <v>160</v>
      </c>
      <c r="O90" s="5">
        <v>4</v>
      </c>
      <c r="P90" s="7">
        <f t="shared" si="7"/>
        <v>10459.118</v>
      </c>
    </row>
    <row r="91" spans="1:16" ht="25.5" x14ac:dyDescent="0.25">
      <c r="A91" s="2" t="s">
        <v>14</v>
      </c>
      <c r="B91" s="3" t="s">
        <v>118</v>
      </c>
      <c r="C91" s="6">
        <v>561</v>
      </c>
      <c r="D91" s="5">
        <f t="shared" si="6"/>
        <v>6732</v>
      </c>
      <c r="E91" s="6">
        <v>561</v>
      </c>
      <c r="F91" s="5">
        <v>386</v>
      </c>
      <c r="G91" s="5">
        <f t="shared" si="8"/>
        <v>750.61800000000005</v>
      </c>
      <c r="H91" s="6">
        <v>561</v>
      </c>
      <c r="I91" s="5">
        <f t="shared" si="9"/>
        <v>1056</v>
      </c>
      <c r="J91" s="5">
        <f t="shared" si="10"/>
        <v>132</v>
      </c>
      <c r="K91" s="5">
        <f t="shared" si="11"/>
        <v>280.5</v>
      </c>
      <c r="L91" s="5">
        <v>0</v>
      </c>
      <c r="M91" s="5">
        <v>173.7</v>
      </c>
      <c r="N91" s="5">
        <v>160</v>
      </c>
      <c r="O91" s="5">
        <v>4</v>
      </c>
      <c r="P91" s="7">
        <f t="shared" si="7"/>
        <v>10459.118</v>
      </c>
    </row>
    <row r="92" spans="1:16" x14ac:dyDescent="0.25">
      <c r="A92" s="17" t="s">
        <v>14</v>
      </c>
      <c r="B92" s="3" t="s">
        <v>119</v>
      </c>
      <c r="C92" s="6">
        <v>561</v>
      </c>
      <c r="D92" s="5">
        <f t="shared" si="6"/>
        <v>6732</v>
      </c>
      <c r="E92" s="6">
        <v>561</v>
      </c>
      <c r="F92" s="5">
        <v>386</v>
      </c>
      <c r="G92" s="5">
        <f t="shared" si="8"/>
        <v>750.61800000000005</v>
      </c>
      <c r="H92" s="6">
        <v>561</v>
      </c>
      <c r="I92" s="5">
        <f t="shared" si="9"/>
        <v>1056</v>
      </c>
      <c r="J92" s="5">
        <f t="shared" si="10"/>
        <v>132</v>
      </c>
      <c r="K92" s="5">
        <f t="shared" si="11"/>
        <v>280.5</v>
      </c>
      <c r="L92" s="5">
        <v>0</v>
      </c>
      <c r="M92" s="5">
        <v>173.7</v>
      </c>
      <c r="N92" s="5">
        <v>160</v>
      </c>
      <c r="O92" s="5">
        <v>4</v>
      </c>
      <c r="P92" s="7">
        <f t="shared" si="7"/>
        <v>10459.118</v>
      </c>
    </row>
    <row r="93" spans="1:16" x14ac:dyDescent="0.25">
      <c r="A93" s="2" t="s">
        <v>14</v>
      </c>
      <c r="B93" s="3" t="s">
        <v>120</v>
      </c>
      <c r="C93" s="6">
        <v>561</v>
      </c>
      <c r="D93" s="5">
        <f t="shared" si="6"/>
        <v>6732</v>
      </c>
      <c r="E93" s="6">
        <v>561</v>
      </c>
      <c r="F93" s="5">
        <v>386</v>
      </c>
      <c r="G93" s="5">
        <f t="shared" si="8"/>
        <v>750.61800000000005</v>
      </c>
      <c r="H93" s="6">
        <v>561</v>
      </c>
      <c r="I93" s="5">
        <f t="shared" si="9"/>
        <v>1056</v>
      </c>
      <c r="J93" s="5">
        <f t="shared" si="10"/>
        <v>132</v>
      </c>
      <c r="K93" s="5">
        <f t="shared" si="11"/>
        <v>280.5</v>
      </c>
      <c r="L93" s="5">
        <v>46.32</v>
      </c>
      <c r="M93" s="5">
        <v>127.38</v>
      </c>
      <c r="N93" s="5">
        <v>160</v>
      </c>
      <c r="O93" s="5">
        <v>4</v>
      </c>
      <c r="P93" s="7">
        <f t="shared" si="7"/>
        <v>10459.118</v>
      </c>
    </row>
    <row r="94" spans="1:16" ht="25.5" x14ac:dyDescent="0.25">
      <c r="A94" s="2" t="s">
        <v>14</v>
      </c>
      <c r="B94" s="3" t="s">
        <v>121</v>
      </c>
      <c r="C94" s="6">
        <v>561</v>
      </c>
      <c r="D94" s="5">
        <f t="shared" si="6"/>
        <v>6732</v>
      </c>
      <c r="E94" s="6">
        <v>561</v>
      </c>
      <c r="F94" s="5">
        <v>386</v>
      </c>
      <c r="G94" s="5">
        <f t="shared" si="8"/>
        <v>750.61800000000005</v>
      </c>
      <c r="H94" s="6">
        <v>561</v>
      </c>
      <c r="I94" s="5">
        <f t="shared" si="9"/>
        <v>1056</v>
      </c>
      <c r="J94" s="5">
        <f t="shared" si="10"/>
        <v>132</v>
      </c>
      <c r="K94" s="5">
        <f t="shared" si="11"/>
        <v>280.5</v>
      </c>
      <c r="L94" s="5">
        <v>0</v>
      </c>
      <c r="M94" s="5">
        <v>196.86</v>
      </c>
      <c r="N94" s="5">
        <v>160</v>
      </c>
      <c r="O94" s="5">
        <v>4</v>
      </c>
      <c r="P94" s="7">
        <f t="shared" si="7"/>
        <v>10459.118</v>
      </c>
    </row>
    <row r="95" spans="1:16" ht="25.5" x14ac:dyDescent="0.25">
      <c r="A95" s="2" t="s">
        <v>14</v>
      </c>
      <c r="B95" s="3" t="s">
        <v>122</v>
      </c>
      <c r="C95" s="6">
        <v>561</v>
      </c>
      <c r="D95" s="5">
        <f t="shared" si="6"/>
        <v>6732</v>
      </c>
      <c r="E95" s="6">
        <v>561</v>
      </c>
      <c r="F95" s="5">
        <v>386</v>
      </c>
      <c r="G95" s="5">
        <f t="shared" si="8"/>
        <v>750.61800000000005</v>
      </c>
      <c r="H95" s="6">
        <v>561</v>
      </c>
      <c r="I95" s="5">
        <f t="shared" si="9"/>
        <v>1056</v>
      </c>
      <c r="J95" s="5">
        <f t="shared" si="10"/>
        <v>132</v>
      </c>
      <c r="K95" s="5">
        <f t="shared" si="11"/>
        <v>280.5</v>
      </c>
      <c r="L95" s="5">
        <v>92.64</v>
      </c>
      <c r="M95" s="5">
        <v>104.22</v>
      </c>
      <c r="N95" s="5">
        <v>160</v>
      </c>
      <c r="O95" s="5">
        <v>4</v>
      </c>
      <c r="P95" s="7">
        <f t="shared" si="7"/>
        <v>10459.118</v>
      </c>
    </row>
    <row r="96" spans="1:16" x14ac:dyDescent="0.25">
      <c r="A96" s="2" t="s">
        <v>14</v>
      </c>
      <c r="B96" s="3" t="s">
        <v>123</v>
      </c>
      <c r="C96" s="6">
        <v>561</v>
      </c>
      <c r="D96" s="5">
        <f t="shared" si="6"/>
        <v>6732</v>
      </c>
      <c r="E96" s="6">
        <v>561</v>
      </c>
      <c r="F96" s="5">
        <v>386</v>
      </c>
      <c r="G96" s="5">
        <f t="shared" si="8"/>
        <v>750.61800000000005</v>
      </c>
      <c r="H96" s="6">
        <v>561</v>
      </c>
      <c r="I96" s="5">
        <f t="shared" si="9"/>
        <v>1056</v>
      </c>
      <c r="J96" s="5">
        <f t="shared" si="10"/>
        <v>132</v>
      </c>
      <c r="K96" s="5">
        <f t="shared" si="11"/>
        <v>280.5</v>
      </c>
      <c r="L96" s="5">
        <v>92.64</v>
      </c>
      <c r="M96" s="5">
        <v>173.7</v>
      </c>
      <c r="N96" s="5">
        <v>160</v>
      </c>
      <c r="O96" s="5">
        <v>4</v>
      </c>
      <c r="P96" s="7">
        <f t="shared" si="7"/>
        <v>10459.118</v>
      </c>
    </row>
    <row r="97" spans="1:16" x14ac:dyDescent="0.25">
      <c r="A97" s="2" t="s">
        <v>14</v>
      </c>
      <c r="B97" s="3" t="s">
        <v>124</v>
      </c>
      <c r="C97" s="6">
        <v>561</v>
      </c>
      <c r="D97" s="5">
        <f t="shared" si="6"/>
        <v>6732</v>
      </c>
      <c r="E97" s="6">
        <v>561</v>
      </c>
      <c r="F97" s="5">
        <v>386</v>
      </c>
      <c r="G97" s="5">
        <f t="shared" si="8"/>
        <v>750.61800000000005</v>
      </c>
      <c r="H97" s="6">
        <v>561</v>
      </c>
      <c r="I97" s="5">
        <f t="shared" si="9"/>
        <v>1056</v>
      </c>
      <c r="J97" s="5">
        <f t="shared" si="10"/>
        <v>132</v>
      </c>
      <c r="K97" s="5">
        <f t="shared" si="11"/>
        <v>280.5</v>
      </c>
      <c r="L97" s="5">
        <v>92.64</v>
      </c>
      <c r="M97" s="5">
        <v>104.22</v>
      </c>
      <c r="N97" s="5">
        <v>160</v>
      </c>
      <c r="O97" s="5">
        <v>4</v>
      </c>
      <c r="P97" s="7">
        <f t="shared" si="7"/>
        <v>10459.118</v>
      </c>
    </row>
    <row r="98" spans="1:16" ht="25.5" x14ac:dyDescent="0.25">
      <c r="A98" s="2" t="s">
        <v>14</v>
      </c>
      <c r="B98" s="3" t="s">
        <v>125</v>
      </c>
      <c r="C98" s="6">
        <v>561</v>
      </c>
      <c r="D98" s="5">
        <f t="shared" si="6"/>
        <v>6732</v>
      </c>
      <c r="E98" s="6">
        <v>561</v>
      </c>
      <c r="F98" s="5">
        <v>386</v>
      </c>
      <c r="G98" s="5">
        <f t="shared" si="8"/>
        <v>750.61800000000005</v>
      </c>
      <c r="H98" s="6">
        <v>561</v>
      </c>
      <c r="I98" s="5">
        <f t="shared" si="9"/>
        <v>1056</v>
      </c>
      <c r="J98" s="5">
        <f t="shared" si="10"/>
        <v>132</v>
      </c>
      <c r="K98" s="5">
        <f t="shared" si="11"/>
        <v>280.5</v>
      </c>
      <c r="L98" s="5">
        <v>0</v>
      </c>
      <c r="M98" s="5">
        <v>196.86</v>
      </c>
      <c r="N98" s="5">
        <v>160</v>
      </c>
      <c r="O98" s="5">
        <v>4</v>
      </c>
      <c r="P98" s="7">
        <f t="shared" si="7"/>
        <v>10459.118</v>
      </c>
    </row>
    <row r="99" spans="1:16" x14ac:dyDescent="0.25">
      <c r="A99" s="2" t="s">
        <v>16</v>
      </c>
      <c r="B99" s="3" t="s">
        <v>126</v>
      </c>
      <c r="C99" s="6">
        <v>596</v>
      </c>
      <c r="D99" s="5">
        <f t="shared" si="6"/>
        <v>7152</v>
      </c>
      <c r="E99" s="6">
        <v>596</v>
      </c>
      <c r="F99" s="5">
        <v>386</v>
      </c>
      <c r="G99" s="5">
        <f t="shared" si="8"/>
        <v>797.44800000000009</v>
      </c>
      <c r="H99" s="6">
        <v>596</v>
      </c>
      <c r="I99" s="5">
        <f t="shared" si="9"/>
        <v>1056</v>
      </c>
      <c r="J99" s="5">
        <f t="shared" si="10"/>
        <v>132</v>
      </c>
      <c r="K99" s="5">
        <f t="shared" si="11"/>
        <v>298</v>
      </c>
      <c r="L99" s="5">
        <v>92.64</v>
      </c>
      <c r="M99" s="5">
        <v>231.60000000000002</v>
      </c>
      <c r="N99" s="5">
        <v>160</v>
      </c>
      <c r="O99" s="5">
        <v>4</v>
      </c>
      <c r="P99" s="7">
        <f t="shared" si="7"/>
        <v>11013.448</v>
      </c>
    </row>
    <row r="100" spans="1:16" x14ac:dyDescent="0.25">
      <c r="A100" s="2" t="s">
        <v>14</v>
      </c>
      <c r="B100" s="3" t="s">
        <v>127</v>
      </c>
      <c r="C100" s="6">
        <v>561</v>
      </c>
      <c r="D100" s="5">
        <f t="shared" si="6"/>
        <v>6732</v>
      </c>
      <c r="E100" s="6">
        <v>561</v>
      </c>
      <c r="F100" s="5">
        <v>386</v>
      </c>
      <c r="G100" s="5">
        <f t="shared" si="8"/>
        <v>750.61800000000005</v>
      </c>
      <c r="H100" s="6">
        <v>561</v>
      </c>
      <c r="I100" s="5">
        <f t="shared" si="9"/>
        <v>1056</v>
      </c>
      <c r="J100" s="5">
        <f t="shared" si="10"/>
        <v>132</v>
      </c>
      <c r="K100" s="5">
        <f t="shared" si="11"/>
        <v>280.5</v>
      </c>
      <c r="L100" s="5">
        <v>0</v>
      </c>
      <c r="M100" s="5">
        <v>196.86</v>
      </c>
      <c r="N100" s="5">
        <v>160</v>
      </c>
      <c r="O100" s="5">
        <v>4</v>
      </c>
      <c r="P100" s="7">
        <f t="shared" si="7"/>
        <v>10459.118</v>
      </c>
    </row>
    <row r="101" spans="1:16" ht="25.5" x14ac:dyDescent="0.25">
      <c r="A101" s="2" t="s">
        <v>14</v>
      </c>
      <c r="B101" s="3" t="s">
        <v>128</v>
      </c>
      <c r="C101" s="6">
        <v>386</v>
      </c>
      <c r="D101" s="5">
        <f t="shared" si="6"/>
        <v>4632</v>
      </c>
      <c r="E101" s="6">
        <v>375</v>
      </c>
      <c r="F101" s="5">
        <v>386</v>
      </c>
      <c r="G101" s="5">
        <f t="shared" si="8"/>
        <v>516.46800000000007</v>
      </c>
      <c r="H101" s="6">
        <v>375</v>
      </c>
      <c r="I101" s="5">
        <f t="shared" si="9"/>
        <v>1056</v>
      </c>
      <c r="J101" s="5">
        <f t="shared" si="10"/>
        <v>132</v>
      </c>
      <c r="K101" s="5">
        <f t="shared" si="11"/>
        <v>193</v>
      </c>
      <c r="L101" s="11">
        <v>0</v>
      </c>
      <c r="M101" s="5">
        <v>0</v>
      </c>
      <c r="N101" s="5">
        <v>160</v>
      </c>
      <c r="O101" s="5">
        <v>4</v>
      </c>
      <c r="P101" s="7"/>
    </row>
    <row r="102" spans="1:16" x14ac:dyDescent="0.25">
      <c r="A102" s="195"/>
      <c r="B102" s="195"/>
      <c r="C102" s="164">
        <f t="shared" ref="C102:K102" si="12">SUM(C2:C101)</f>
        <v>56750</v>
      </c>
      <c r="D102" s="163">
        <f t="shared" si="12"/>
        <v>681000</v>
      </c>
      <c r="E102" s="164">
        <f t="shared" si="12"/>
        <v>54996.1</v>
      </c>
      <c r="F102" s="163">
        <f t="shared" si="12"/>
        <v>38600</v>
      </c>
      <c r="G102" s="163">
        <f t="shared" si="12"/>
        <v>75931.500000000044</v>
      </c>
      <c r="H102" s="163">
        <f t="shared" si="12"/>
        <v>54996.1</v>
      </c>
      <c r="I102" s="163">
        <f t="shared" si="12"/>
        <v>102432</v>
      </c>
      <c r="J102" s="163">
        <f t="shared" si="12"/>
        <v>12804</v>
      </c>
      <c r="K102" s="163">
        <f t="shared" si="12"/>
        <v>28375</v>
      </c>
      <c r="L102" s="163">
        <f>SUM(L2:L101)</f>
        <v>5280.4800000000023</v>
      </c>
      <c r="M102" s="163">
        <f>SUM(M2:M101)</f>
        <v>12680.100000000004</v>
      </c>
      <c r="N102" s="163">
        <f>SUM(N2:N101)</f>
        <v>15520</v>
      </c>
      <c r="O102" s="163">
        <f>SUM(O2:O101)</f>
        <v>388</v>
      </c>
      <c r="P102" s="163">
        <f>SUBTOTAL(9,P2:P100)</f>
        <v>1040311.2320000005</v>
      </c>
    </row>
    <row r="104" spans="1:16" ht="15.75" x14ac:dyDescent="0.25">
      <c r="B104" s="19" t="s">
        <v>129</v>
      </c>
    </row>
    <row r="105" spans="1:16" ht="15.75" x14ac:dyDescent="0.25">
      <c r="B105" s="20"/>
    </row>
    <row r="106" spans="1:16" ht="15.75" x14ac:dyDescent="0.25">
      <c r="B106" s="20"/>
    </row>
    <row r="107" spans="1:16" x14ac:dyDescent="0.25">
      <c r="B107" s="21" t="s">
        <v>130</v>
      </c>
    </row>
    <row r="108" spans="1:16" x14ac:dyDescent="0.25">
      <c r="B108" s="22" t="s">
        <v>131</v>
      </c>
    </row>
  </sheetData>
  <mergeCells count="1">
    <mergeCell ref="A102:B102"/>
  </mergeCells>
  <conditionalFormatting sqref="C102">
    <cfRule type="cellIs" dxfId="63" priority="62" operator="equal">
      <formula>"VACANTE"</formula>
    </cfRule>
    <cfRule type="containsText" dxfId="62" priority="63" operator="containsText" text="VACANTE">
      <formula>NOT(ISERROR(SEARCH("VACANTE",C102)))</formula>
    </cfRule>
  </conditionalFormatting>
  <conditionalFormatting sqref="C102">
    <cfRule type="cellIs" dxfId="61" priority="64" operator="equal">
      <formula>"VACANTE"</formula>
    </cfRule>
  </conditionalFormatting>
  <conditionalFormatting sqref="B100">
    <cfRule type="cellIs" dxfId="60" priority="25" operator="equal">
      <formula>"VACANTE"</formula>
    </cfRule>
    <cfRule type="containsText" dxfId="59" priority="26" operator="containsText" text="VACANTE">
      <formula>NOT(ISERROR(SEARCH("VACANTE",B100)))</formula>
    </cfRule>
  </conditionalFormatting>
  <conditionalFormatting sqref="B2">
    <cfRule type="cellIs" dxfId="58" priority="61" operator="equal">
      <formula>"VACANTE"</formula>
    </cfRule>
  </conditionalFormatting>
  <conditionalFormatting sqref="B2">
    <cfRule type="cellIs" dxfId="57" priority="59" operator="equal">
      <formula>"VACANTE"</formula>
    </cfRule>
    <cfRule type="containsText" dxfId="56" priority="60" operator="containsText" text="VACANTE">
      <formula>NOT(ISERROR(SEARCH("VACANTE",B2)))</formula>
    </cfRule>
  </conditionalFormatting>
  <conditionalFormatting sqref="A17:A32">
    <cfRule type="cellIs" dxfId="55" priority="16" operator="equal">
      <formula>"VACANTE"</formula>
    </cfRule>
    <cfRule type="containsText" dxfId="54" priority="17" operator="containsText" text="VACANTE">
      <formula>NOT(ISERROR(SEARCH("VACANTE",A17)))</formula>
    </cfRule>
  </conditionalFormatting>
  <conditionalFormatting sqref="B7:B9 B3:B5">
    <cfRule type="cellIs" dxfId="53" priority="58" operator="equal">
      <formula>"VACANTE"</formula>
    </cfRule>
  </conditionalFormatting>
  <conditionalFormatting sqref="B7:B9 B3:B5">
    <cfRule type="cellIs" dxfId="52" priority="56" operator="equal">
      <formula>"VACANTE"</formula>
    </cfRule>
    <cfRule type="containsText" dxfId="51" priority="57" operator="containsText" text="VACANTE">
      <formula>NOT(ISERROR(SEARCH("VACANTE",B3)))</formula>
    </cfRule>
  </conditionalFormatting>
  <conditionalFormatting sqref="A89:A101">
    <cfRule type="cellIs" dxfId="50" priority="7" operator="equal">
      <formula>"VACANTE"</formula>
    </cfRule>
    <cfRule type="containsText" dxfId="49" priority="8" operator="containsText" text="VACANTE">
      <formula>NOT(ISERROR(SEARCH("VACANTE",A89)))</formula>
    </cfRule>
  </conditionalFormatting>
  <conditionalFormatting sqref="B10:B19">
    <cfRule type="cellIs" dxfId="48" priority="55" operator="equal">
      <formula>"VACANTE"</formula>
    </cfRule>
  </conditionalFormatting>
  <conditionalFormatting sqref="B10:B19">
    <cfRule type="cellIs" dxfId="47" priority="53" operator="equal">
      <formula>"VACANTE"</formula>
    </cfRule>
    <cfRule type="containsText" dxfId="46" priority="54" operator="containsText" text="VACANTE">
      <formula>NOT(ISERROR(SEARCH("VACANTE",B10)))</formula>
    </cfRule>
  </conditionalFormatting>
  <conditionalFormatting sqref="B20:B37">
    <cfRule type="cellIs" dxfId="45" priority="52" operator="equal">
      <formula>"VACANTE"</formula>
    </cfRule>
  </conditionalFormatting>
  <conditionalFormatting sqref="B20:B37">
    <cfRule type="cellIs" dxfId="44" priority="50" operator="equal">
      <formula>"VACANTE"</formula>
    </cfRule>
    <cfRule type="containsText" dxfId="43" priority="51" operator="containsText" text="VACANTE">
      <formula>NOT(ISERROR(SEARCH("VACANTE",B20)))</formula>
    </cfRule>
  </conditionalFormatting>
  <conditionalFormatting sqref="B54:B63 B38:B50">
    <cfRule type="cellIs" dxfId="42" priority="49" operator="equal">
      <formula>"VACANTE"</formula>
    </cfRule>
  </conditionalFormatting>
  <conditionalFormatting sqref="B38:B50 B54:B63">
    <cfRule type="cellIs" dxfId="41" priority="47" operator="equal">
      <formula>"VACANTE"</formula>
    </cfRule>
    <cfRule type="containsText" dxfId="40" priority="48" operator="containsText" text="VACANTE">
      <formula>NOT(ISERROR(SEARCH("VACANTE",B38)))</formula>
    </cfRule>
  </conditionalFormatting>
  <conditionalFormatting sqref="B51:B52">
    <cfRule type="containsText" dxfId="39" priority="46" operator="containsText" text="VACANTE">
      <formula>NOT(ISERROR(SEARCH("VACANTE",B51)))</formula>
    </cfRule>
  </conditionalFormatting>
  <conditionalFormatting sqref="B53">
    <cfRule type="containsText" dxfId="38" priority="45" operator="containsText" text="VACANTE">
      <formula>NOT(ISERROR(SEARCH("VACANTE",B53)))</formula>
    </cfRule>
  </conditionalFormatting>
  <conditionalFormatting sqref="B64:B82 B84">
    <cfRule type="cellIs" dxfId="37" priority="44" operator="equal">
      <formula>"VACANTE"</formula>
    </cfRule>
  </conditionalFormatting>
  <conditionalFormatting sqref="B64:B85">
    <cfRule type="cellIs" dxfId="36" priority="42" operator="equal">
      <formula>"VACANTE"</formula>
    </cfRule>
    <cfRule type="containsText" dxfId="35" priority="43" operator="containsText" text="VACANTE">
      <formula>NOT(ISERROR(SEARCH("VACANTE",B64)))</formula>
    </cfRule>
  </conditionalFormatting>
  <conditionalFormatting sqref="B85">
    <cfRule type="cellIs" dxfId="34" priority="41" operator="equal">
      <formula>"VACANTE"</formula>
    </cfRule>
  </conditionalFormatting>
  <conditionalFormatting sqref="B91:B92 B89">
    <cfRule type="cellIs" dxfId="33" priority="40" operator="equal">
      <formula>"VACANTE"</formula>
    </cfRule>
  </conditionalFormatting>
  <conditionalFormatting sqref="B89:B92">
    <cfRule type="cellIs" dxfId="32" priority="38" operator="equal">
      <formula>"VACANTE"</formula>
    </cfRule>
    <cfRule type="containsText" dxfId="31" priority="39" operator="containsText" text="VACANTE">
      <formula>NOT(ISERROR(SEARCH("VACANTE",B89)))</formula>
    </cfRule>
  </conditionalFormatting>
  <conditionalFormatting sqref="B94:B95">
    <cfRule type="cellIs" dxfId="30" priority="37" operator="equal">
      <formula>"VACANTE"</formula>
    </cfRule>
  </conditionalFormatting>
  <conditionalFormatting sqref="B93">
    <cfRule type="cellIs" dxfId="29" priority="36" operator="equal">
      <formula>"VACANTE"</formula>
    </cfRule>
  </conditionalFormatting>
  <conditionalFormatting sqref="B93:B95">
    <cfRule type="cellIs" dxfId="28" priority="34" operator="equal">
      <formula>"VACANTE"</formula>
    </cfRule>
    <cfRule type="containsText" dxfId="27" priority="35" operator="containsText" text="VACANTE">
      <formula>NOT(ISERROR(SEARCH("VACANTE",B93)))</formula>
    </cfRule>
  </conditionalFormatting>
  <conditionalFormatting sqref="B96:B98">
    <cfRule type="cellIs" dxfId="26" priority="33" operator="equal">
      <formula>"VACANTE"</formula>
    </cfRule>
  </conditionalFormatting>
  <conditionalFormatting sqref="B96:B98">
    <cfRule type="cellIs" dxfId="25" priority="31" operator="equal">
      <formula>"VACANTE"</formula>
    </cfRule>
    <cfRule type="containsText" dxfId="24" priority="32" operator="containsText" text="VACANTE">
      <formula>NOT(ISERROR(SEARCH("VACANTE",B96)))</formula>
    </cfRule>
  </conditionalFormatting>
  <conditionalFormatting sqref="B99">
    <cfRule type="cellIs" dxfId="23" priority="30" operator="equal">
      <formula>"VACANTE"</formula>
    </cfRule>
  </conditionalFormatting>
  <conditionalFormatting sqref="B99">
    <cfRule type="cellIs" dxfId="22" priority="28" operator="equal">
      <formula>"VACANTE"</formula>
    </cfRule>
    <cfRule type="containsText" dxfId="21" priority="29" operator="containsText" text="VACANTE">
      <formula>NOT(ISERROR(SEARCH("VACANTE",B99)))</formula>
    </cfRule>
  </conditionalFormatting>
  <conditionalFormatting sqref="B100">
    <cfRule type="cellIs" dxfId="20" priority="27" operator="equal">
      <formula>"VACANTE"</formula>
    </cfRule>
  </conditionalFormatting>
  <conditionalFormatting sqref="B101">
    <cfRule type="cellIs" dxfId="19" priority="24" operator="equal">
      <formula>"VACANTE"</formula>
    </cfRule>
  </conditionalFormatting>
  <conditionalFormatting sqref="B101">
    <cfRule type="cellIs" dxfId="18" priority="22" operator="equal">
      <formula>"VACANTE"</formula>
    </cfRule>
    <cfRule type="containsText" dxfId="17" priority="23" operator="containsText" text="VACANTE">
      <formula>NOT(ISERROR(SEARCH("VACANTE",B101)))</formula>
    </cfRule>
  </conditionalFormatting>
  <conditionalFormatting sqref="A2:A16">
    <cfRule type="cellIs" dxfId="16" priority="21" operator="equal">
      <formula>"VACANTE"</formula>
    </cfRule>
  </conditionalFormatting>
  <conditionalFormatting sqref="A2:A16">
    <cfRule type="cellIs" dxfId="15" priority="19" operator="equal">
      <formula>"VACANTE"</formula>
    </cfRule>
    <cfRule type="containsText" dxfId="14" priority="20" operator="containsText" text="VACANTE">
      <formula>NOT(ISERROR(SEARCH("VACANTE",A2)))</formula>
    </cfRule>
  </conditionalFormatting>
  <conditionalFormatting sqref="A17:A32">
    <cfRule type="cellIs" dxfId="13" priority="18" operator="equal">
      <formula>"VACANTE"</formula>
    </cfRule>
  </conditionalFormatting>
  <conditionalFormatting sqref="A33:A59">
    <cfRule type="cellIs" dxfId="12" priority="15" operator="equal">
      <formula>"VACANTE"</formula>
    </cfRule>
  </conditionalFormatting>
  <conditionalFormatting sqref="A33:A59">
    <cfRule type="cellIs" dxfId="11" priority="13" operator="equal">
      <formula>"VACANTE"</formula>
    </cfRule>
    <cfRule type="containsText" dxfId="10" priority="14" operator="containsText" text="VACANTE">
      <formula>NOT(ISERROR(SEARCH("VACANTE",A33)))</formula>
    </cfRule>
  </conditionalFormatting>
  <conditionalFormatting sqref="A60:A88">
    <cfRule type="cellIs" dxfId="9" priority="12" operator="equal">
      <formula>"VACANTE"</formula>
    </cfRule>
  </conditionalFormatting>
  <conditionalFormatting sqref="A60:A88">
    <cfRule type="cellIs" dxfId="8" priority="10" operator="equal">
      <formula>"VACANTE"</formula>
    </cfRule>
    <cfRule type="containsText" dxfId="7" priority="11" operator="containsText" text="VACANTE">
      <formula>NOT(ISERROR(SEARCH("VACANTE",A60)))</formula>
    </cfRule>
  </conditionalFormatting>
  <conditionalFormatting sqref="A89:A101">
    <cfRule type="cellIs" dxfId="6" priority="9" operator="equal">
      <formula>"VACANTE"</formula>
    </cfRule>
  </conditionalFormatting>
  <conditionalFormatting sqref="E102">
    <cfRule type="cellIs" dxfId="5" priority="4" operator="equal">
      <formula>"VACANTE"</formula>
    </cfRule>
    <cfRule type="containsText" dxfId="4" priority="5" operator="containsText" text="VACANTE">
      <formula>NOT(ISERROR(SEARCH("VACANTE",E102)))</formula>
    </cfRule>
  </conditionalFormatting>
  <conditionalFormatting sqref="E102">
    <cfRule type="cellIs" dxfId="3" priority="6" operator="equal">
      <formula>"VACANTE"</formula>
    </cfRule>
  </conditionalFormatting>
  <conditionalFormatting sqref="B86:B88">
    <cfRule type="cellIs" dxfId="2" priority="3" operator="equal">
      <formula>"VACANTE"</formula>
    </cfRule>
  </conditionalFormatting>
  <conditionalFormatting sqref="B86:B88">
    <cfRule type="cellIs" dxfId="1" priority="1" operator="equal">
      <formula>"VACANTE"</formula>
    </cfRule>
    <cfRule type="containsText" dxfId="0" priority="2" operator="containsText" text="VACANTE">
      <formula>NOT(ISERROR(SEARCH("VACANTE",B86)))</formula>
    </cfRule>
  </conditionalFormatting>
  <pageMargins left="0.25" right="0.25" top="0.75" bottom="0.75" header="0.3" footer="0.3"/>
  <pageSetup paperSize="9" scale="65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tabSelected="1" workbookViewId="0">
      <selection activeCell="A121" sqref="A121:XFD121"/>
    </sheetView>
  </sheetViews>
  <sheetFormatPr baseColWidth="10" defaultRowHeight="15" x14ac:dyDescent="0.25"/>
  <cols>
    <col min="1" max="1" width="18.85546875" customWidth="1"/>
    <col min="2" max="2" width="39.28515625" customWidth="1"/>
    <col min="8" max="8" width="10.5703125" customWidth="1"/>
    <col min="9" max="9" width="12.85546875" customWidth="1"/>
  </cols>
  <sheetData>
    <row r="1" spans="1:9" ht="14.45" customHeight="1" x14ac:dyDescent="0.25">
      <c r="A1" s="217" t="s">
        <v>174</v>
      </c>
      <c r="B1" s="217"/>
      <c r="C1" s="217"/>
      <c r="D1" s="217"/>
      <c r="E1" s="217"/>
      <c r="F1" s="217"/>
      <c r="G1" s="217"/>
      <c r="H1" s="217"/>
      <c r="I1" s="217"/>
    </row>
    <row r="2" spans="1:9" ht="14.45" customHeight="1" x14ac:dyDescent="0.25">
      <c r="A2" s="218" t="s">
        <v>220</v>
      </c>
      <c r="B2" s="218"/>
      <c r="C2" s="218"/>
      <c r="D2" s="218"/>
      <c r="E2" s="218"/>
      <c r="F2" s="218"/>
      <c r="G2" s="218"/>
      <c r="H2" s="218"/>
      <c r="I2" s="218"/>
    </row>
    <row r="3" spans="1:9" ht="14.45" customHeight="1" x14ac:dyDescent="0.25">
      <c r="A3" s="218" t="s">
        <v>221</v>
      </c>
      <c r="B3" s="218"/>
      <c r="C3" s="218"/>
      <c r="D3" s="218"/>
      <c r="E3" s="218"/>
      <c r="F3" s="218"/>
      <c r="G3" s="218"/>
      <c r="H3" s="218"/>
      <c r="I3" s="218"/>
    </row>
    <row r="4" spans="1:9" ht="14.45" customHeight="1" x14ac:dyDescent="0.25">
      <c r="A4" s="219"/>
      <c r="B4" s="219"/>
      <c r="C4" s="219"/>
      <c r="D4" s="219"/>
      <c r="E4" s="219"/>
      <c r="F4" s="219"/>
      <c r="G4" s="219"/>
      <c r="H4" s="219"/>
      <c r="I4" s="219"/>
    </row>
    <row r="5" spans="1:9" ht="14.45" customHeight="1" x14ac:dyDescent="0.25">
      <c r="A5" s="216" t="s">
        <v>177</v>
      </c>
      <c r="B5" s="216"/>
      <c r="C5" s="216"/>
      <c r="D5" s="216"/>
      <c r="E5" s="216"/>
      <c r="F5" s="216"/>
      <c r="G5" s="216"/>
      <c r="H5" s="216"/>
      <c r="I5" s="216"/>
    </row>
    <row r="6" spans="1:9" ht="14.45" customHeight="1" x14ac:dyDescent="0.25">
      <c r="A6" s="216" t="s">
        <v>222</v>
      </c>
      <c r="B6" s="216"/>
      <c r="C6" s="216"/>
      <c r="D6" s="216"/>
      <c r="E6" s="216"/>
      <c r="F6" s="216"/>
      <c r="G6" s="216"/>
      <c r="H6" s="216"/>
      <c r="I6" s="216"/>
    </row>
    <row r="7" spans="1:9" ht="14.45" customHeight="1" thickBot="1" x14ac:dyDescent="0.3">
      <c r="A7" s="202"/>
      <c r="B7" s="202"/>
      <c r="C7" s="202"/>
      <c r="D7" s="202"/>
      <c r="E7" s="202"/>
      <c r="F7" s="202"/>
      <c r="G7" s="202"/>
      <c r="H7" s="202"/>
      <c r="I7" s="202"/>
    </row>
    <row r="8" spans="1:9" ht="14.45" customHeight="1" thickBot="1" x14ac:dyDescent="0.3">
      <c r="A8" s="203" t="s">
        <v>223</v>
      </c>
      <c r="B8" s="203"/>
      <c r="C8" s="203" t="s">
        <v>224</v>
      </c>
      <c r="D8" s="203"/>
      <c r="E8" s="203"/>
      <c r="F8" s="203" t="s">
        <v>225</v>
      </c>
      <c r="G8" s="203"/>
      <c r="H8" s="203"/>
      <c r="I8" s="203" t="s">
        <v>183</v>
      </c>
    </row>
    <row r="9" spans="1:9" ht="14.45" customHeight="1" thickBot="1" x14ac:dyDescent="0.3">
      <c r="A9" s="120" t="s">
        <v>226</v>
      </c>
      <c r="B9" s="121" t="s">
        <v>227</v>
      </c>
      <c r="C9" s="121">
        <v>2015</v>
      </c>
      <c r="D9" s="121">
        <v>2016</v>
      </c>
      <c r="E9" s="121">
        <v>2017</v>
      </c>
      <c r="F9" s="120">
        <v>2018</v>
      </c>
      <c r="G9" s="120">
        <v>2019</v>
      </c>
      <c r="H9" s="120">
        <v>2020</v>
      </c>
      <c r="I9" s="203"/>
    </row>
    <row r="10" spans="1:9" ht="14.45" customHeight="1" thickBot="1" x14ac:dyDescent="0.3">
      <c r="A10" s="204" t="s">
        <v>228</v>
      </c>
      <c r="B10" s="204"/>
      <c r="C10" s="122">
        <f t="shared" ref="C10:H10" si="0">+C11+C16+C19+C22+C26+C29</f>
        <v>1486558.17</v>
      </c>
      <c r="D10" s="122">
        <f t="shared" si="0"/>
        <v>1606625.8599999999</v>
      </c>
      <c r="E10" s="122">
        <f t="shared" si="0"/>
        <v>1648054.0500000003</v>
      </c>
      <c r="F10" s="122">
        <f t="shared" si="0"/>
        <v>1692875.8700000003</v>
      </c>
      <c r="G10" s="122">
        <f t="shared" si="0"/>
        <v>1717945.0299999998</v>
      </c>
      <c r="H10" s="122">
        <f t="shared" si="0"/>
        <v>1477094.66</v>
      </c>
      <c r="I10" s="123"/>
    </row>
    <row r="11" spans="1:9" ht="14.45" customHeight="1" thickBot="1" x14ac:dyDescent="0.3">
      <c r="A11" s="124">
        <v>11</v>
      </c>
      <c r="B11" s="125" t="s">
        <v>229</v>
      </c>
      <c r="C11" s="126">
        <f t="shared" ref="C11:H11" si="1">+C12+C13+C14+C15</f>
        <v>210256.6</v>
      </c>
      <c r="D11" s="126">
        <f t="shared" si="1"/>
        <v>296500</v>
      </c>
      <c r="E11" s="126">
        <f t="shared" si="1"/>
        <v>309864.42</v>
      </c>
      <c r="F11" s="126">
        <f t="shared" si="1"/>
        <v>310093.57000000007</v>
      </c>
      <c r="G11" s="126">
        <f t="shared" si="1"/>
        <v>330381</v>
      </c>
      <c r="H11" s="126">
        <f t="shared" si="1"/>
        <v>302605.26</v>
      </c>
      <c r="I11" s="123"/>
    </row>
    <row r="12" spans="1:9" ht="14.45" customHeight="1" thickBot="1" x14ac:dyDescent="0.3">
      <c r="A12" s="127">
        <v>1101</v>
      </c>
      <c r="B12" s="128" t="s">
        <v>230</v>
      </c>
      <c r="C12" s="129">
        <v>4545.96</v>
      </c>
      <c r="D12" s="130">
        <v>3110.86</v>
      </c>
      <c r="E12" s="130">
        <v>6615.61</v>
      </c>
      <c r="F12" s="130">
        <v>4788.59</v>
      </c>
      <c r="G12" s="130">
        <v>3342.98</v>
      </c>
      <c r="H12" s="130">
        <v>4074.77</v>
      </c>
      <c r="I12" s="123"/>
    </row>
    <row r="13" spans="1:9" ht="14.45" customHeight="1" thickBot="1" x14ac:dyDescent="0.3">
      <c r="A13" s="127">
        <v>1102</v>
      </c>
      <c r="B13" s="128" t="s">
        <v>231</v>
      </c>
      <c r="C13" s="129">
        <v>184891.14</v>
      </c>
      <c r="D13" s="130">
        <v>256347.25</v>
      </c>
      <c r="E13" s="130">
        <v>266849.09999999998</v>
      </c>
      <c r="F13" s="130">
        <v>276684.01</v>
      </c>
      <c r="G13" s="130">
        <v>288564.3</v>
      </c>
      <c r="H13" s="130">
        <v>271722.90999999997</v>
      </c>
      <c r="I13" s="123"/>
    </row>
    <row r="14" spans="1:9" ht="14.45" customHeight="1" thickBot="1" x14ac:dyDescent="0.3">
      <c r="A14" s="127">
        <v>1103</v>
      </c>
      <c r="B14" s="128" t="s">
        <v>232</v>
      </c>
      <c r="C14" s="129">
        <v>0</v>
      </c>
      <c r="D14" s="130">
        <v>0</v>
      </c>
      <c r="E14" s="130">
        <v>52</v>
      </c>
      <c r="F14" s="130"/>
      <c r="G14" s="130"/>
      <c r="H14" s="130">
        <v>0</v>
      </c>
      <c r="I14" s="123"/>
    </row>
    <row r="15" spans="1:9" ht="14.45" customHeight="1" thickBot="1" x14ac:dyDescent="0.3">
      <c r="A15" s="127">
        <v>1107</v>
      </c>
      <c r="B15" s="128" t="s">
        <v>233</v>
      </c>
      <c r="C15" s="129">
        <v>20819.5</v>
      </c>
      <c r="D15" s="130">
        <v>37041.89</v>
      </c>
      <c r="E15" s="130">
        <v>36347.71</v>
      </c>
      <c r="F15" s="130">
        <v>28620.97</v>
      </c>
      <c r="G15" s="130">
        <v>38473.72</v>
      </c>
      <c r="H15" s="130">
        <v>26807.58</v>
      </c>
      <c r="I15" s="123"/>
    </row>
    <row r="16" spans="1:9" ht="14.45" customHeight="1" thickBot="1" x14ac:dyDescent="0.3">
      <c r="A16" s="124">
        <v>13</v>
      </c>
      <c r="B16" s="125" t="s">
        <v>234</v>
      </c>
      <c r="C16" s="126">
        <f t="shared" ref="C16:H16" si="2">+C17</f>
        <v>80548.600000000006</v>
      </c>
      <c r="D16" s="126">
        <f t="shared" si="2"/>
        <v>100048.98</v>
      </c>
      <c r="E16" s="126">
        <f t="shared" si="2"/>
        <v>99949.69</v>
      </c>
      <c r="F16" s="126">
        <f t="shared" si="2"/>
        <v>136628.82</v>
      </c>
      <c r="G16" s="126">
        <f t="shared" si="2"/>
        <v>135386.4</v>
      </c>
      <c r="H16" s="126">
        <f t="shared" si="2"/>
        <v>140759.29</v>
      </c>
      <c r="I16" s="123"/>
    </row>
    <row r="17" spans="1:9" ht="14.45" customHeight="1" thickBot="1" x14ac:dyDescent="0.3">
      <c r="A17" s="127">
        <v>1301</v>
      </c>
      <c r="B17" s="128" t="s">
        <v>235</v>
      </c>
      <c r="C17" s="129">
        <v>80548.600000000006</v>
      </c>
      <c r="D17" s="130">
        <v>100048.98</v>
      </c>
      <c r="E17" s="130">
        <v>99949.69</v>
      </c>
      <c r="F17" s="130">
        <v>136628.82</v>
      </c>
      <c r="G17" s="130">
        <v>135386.4</v>
      </c>
      <c r="H17" s="130">
        <v>140759.29</v>
      </c>
      <c r="I17" s="123"/>
    </row>
    <row r="18" spans="1:9" ht="14.45" customHeight="1" thickBot="1" x14ac:dyDescent="0.3">
      <c r="A18" s="127">
        <v>1304</v>
      </c>
      <c r="B18" s="128" t="s">
        <v>236</v>
      </c>
      <c r="C18" s="129">
        <v>0</v>
      </c>
      <c r="D18" s="130">
        <v>0</v>
      </c>
      <c r="E18" s="130"/>
      <c r="F18" s="130"/>
      <c r="G18" s="130"/>
      <c r="H18" s="130"/>
      <c r="I18" s="123"/>
    </row>
    <row r="19" spans="1:9" ht="14.45" customHeight="1" thickBot="1" x14ac:dyDescent="0.3">
      <c r="A19" s="124">
        <v>14</v>
      </c>
      <c r="B19" s="125" t="s">
        <v>237</v>
      </c>
      <c r="C19" s="126">
        <f t="shared" ref="C19:H19" si="3">+C20+C21</f>
        <v>30909.46</v>
      </c>
      <c r="D19" s="126">
        <f t="shared" si="3"/>
        <v>49644.27</v>
      </c>
      <c r="E19" s="126">
        <f t="shared" si="3"/>
        <v>64764.95</v>
      </c>
      <c r="F19" s="126">
        <f t="shared" si="3"/>
        <v>67609.09</v>
      </c>
      <c r="G19" s="126">
        <f t="shared" si="3"/>
        <v>61708.65</v>
      </c>
      <c r="H19" s="126">
        <f t="shared" si="3"/>
        <v>57057.68</v>
      </c>
      <c r="I19" s="123"/>
    </row>
    <row r="20" spans="1:9" ht="14.45" customHeight="1" thickBot="1" x14ac:dyDescent="0.3">
      <c r="A20" s="127">
        <v>1402</v>
      </c>
      <c r="B20" s="128" t="s">
        <v>238</v>
      </c>
      <c r="C20" s="129">
        <v>2493</v>
      </c>
      <c r="D20" s="130">
        <v>2417</v>
      </c>
      <c r="E20" s="130">
        <v>1687</v>
      </c>
      <c r="F20" s="130">
        <v>1888</v>
      </c>
      <c r="G20" s="130">
        <v>1318.24</v>
      </c>
      <c r="H20" s="130">
        <v>488.4</v>
      </c>
      <c r="I20" s="123"/>
    </row>
    <row r="21" spans="1:9" ht="14.45" customHeight="1" thickBot="1" x14ac:dyDescent="0.3">
      <c r="A21" s="127">
        <v>1403</v>
      </c>
      <c r="B21" s="128" t="s">
        <v>239</v>
      </c>
      <c r="C21" s="129">
        <v>28416.46</v>
      </c>
      <c r="D21" s="130">
        <v>47227.27</v>
      </c>
      <c r="E21" s="130">
        <v>63077.95</v>
      </c>
      <c r="F21" s="130">
        <v>65721.09</v>
      </c>
      <c r="G21" s="130">
        <v>60390.41</v>
      </c>
      <c r="H21" s="130">
        <v>56569.279999999999</v>
      </c>
      <c r="I21" s="123"/>
    </row>
    <row r="22" spans="1:9" ht="14.45" customHeight="1" thickBot="1" x14ac:dyDescent="0.3">
      <c r="A22" s="124">
        <v>17</v>
      </c>
      <c r="B22" s="125" t="s">
        <v>240</v>
      </c>
      <c r="C22" s="126">
        <f t="shared" ref="C22:H22" si="4">+C23+C24+C25</f>
        <v>50678.59</v>
      </c>
      <c r="D22" s="126">
        <f t="shared" si="4"/>
        <v>34147.15</v>
      </c>
      <c r="E22" s="126">
        <f t="shared" si="4"/>
        <v>47977.33</v>
      </c>
      <c r="F22" s="126">
        <f t="shared" si="4"/>
        <v>30057.03</v>
      </c>
      <c r="G22" s="126">
        <f t="shared" si="4"/>
        <v>27863.19</v>
      </c>
      <c r="H22" s="126">
        <f t="shared" si="4"/>
        <v>29255.519999999997</v>
      </c>
      <c r="I22" s="123"/>
    </row>
    <row r="23" spans="1:9" ht="14.45" customHeight="1" thickBot="1" x14ac:dyDescent="0.3">
      <c r="A23" s="127">
        <v>1702</v>
      </c>
      <c r="B23" s="128" t="s">
        <v>241</v>
      </c>
      <c r="C23" s="129">
        <v>38347.35</v>
      </c>
      <c r="D23" s="130">
        <v>23058.04</v>
      </c>
      <c r="E23" s="130">
        <v>20465.25</v>
      </c>
      <c r="F23" s="130">
        <v>16836.62</v>
      </c>
      <c r="G23" s="130">
        <v>17595.32</v>
      </c>
      <c r="H23" s="130">
        <v>18486.32</v>
      </c>
      <c r="I23" s="123"/>
    </row>
    <row r="24" spans="1:9" ht="14.45" customHeight="1" thickBot="1" x14ac:dyDescent="0.3">
      <c r="A24" s="127">
        <v>1703</v>
      </c>
      <c r="B24" s="128" t="s">
        <v>242</v>
      </c>
      <c r="C24" s="129">
        <v>9907.9599999999991</v>
      </c>
      <c r="D24" s="130">
        <v>9258.98</v>
      </c>
      <c r="E24" s="130">
        <v>25122.85</v>
      </c>
      <c r="F24" s="130">
        <v>11821.71</v>
      </c>
      <c r="G24" s="130">
        <v>9656.52</v>
      </c>
      <c r="H24" s="130">
        <v>10348.6</v>
      </c>
      <c r="I24" s="123"/>
    </row>
    <row r="25" spans="1:9" ht="14.45" customHeight="1" thickBot="1" x14ac:dyDescent="0.3">
      <c r="A25" s="127">
        <v>1704</v>
      </c>
      <c r="B25" s="128" t="s">
        <v>243</v>
      </c>
      <c r="C25" s="129">
        <v>2423.2800000000002</v>
      </c>
      <c r="D25" s="130">
        <v>1830.13</v>
      </c>
      <c r="E25" s="130">
        <v>2389.23</v>
      </c>
      <c r="F25" s="130">
        <v>1398.7</v>
      </c>
      <c r="G25" s="130">
        <v>611.35</v>
      </c>
      <c r="H25" s="130">
        <v>420.6</v>
      </c>
      <c r="I25" s="123"/>
    </row>
    <row r="26" spans="1:9" ht="14.45" customHeight="1" thickBot="1" x14ac:dyDescent="0.3">
      <c r="A26" s="124">
        <v>18</v>
      </c>
      <c r="B26" s="125" t="s">
        <v>184</v>
      </c>
      <c r="C26" s="126">
        <f t="shared" ref="C26:H26" si="5">+C27+C28</f>
        <v>1109066</v>
      </c>
      <c r="D26" s="126">
        <f t="shared" si="5"/>
        <v>1126083.98</v>
      </c>
      <c r="E26" s="126">
        <f t="shared" si="5"/>
        <v>1122406.4100000001</v>
      </c>
      <c r="F26" s="126">
        <f t="shared" si="5"/>
        <v>1140176.4500000002</v>
      </c>
      <c r="G26" s="126">
        <f t="shared" si="5"/>
        <v>1162103.6399999999</v>
      </c>
      <c r="H26" s="126">
        <f t="shared" si="5"/>
        <v>946929.74</v>
      </c>
      <c r="I26" s="123"/>
    </row>
    <row r="27" spans="1:9" ht="14.45" customHeight="1" thickBot="1" x14ac:dyDescent="0.3">
      <c r="A27" s="127">
        <v>1801</v>
      </c>
      <c r="B27" s="128" t="s">
        <v>244</v>
      </c>
      <c r="C27" s="129">
        <v>51820.07</v>
      </c>
      <c r="D27" s="130">
        <v>1068167.33</v>
      </c>
      <c r="E27" s="130">
        <v>1064622.55</v>
      </c>
      <c r="F27" s="130">
        <v>1082020.1100000001</v>
      </c>
      <c r="G27" s="130">
        <v>1102431.23</v>
      </c>
      <c r="H27" s="130">
        <v>892008.95</v>
      </c>
      <c r="I27" s="123"/>
    </row>
    <row r="28" spans="1:9" ht="14.45" customHeight="1" thickBot="1" x14ac:dyDescent="0.3">
      <c r="A28" s="127">
        <v>1806</v>
      </c>
      <c r="B28" s="128" t="s">
        <v>245</v>
      </c>
      <c r="C28" s="129">
        <v>1057245.93</v>
      </c>
      <c r="D28" s="130">
        <v>57916.65</v>
      </c>
      <c r="E28" s="130">
        <v>57783.86</v>
      </c>
      <c r="F28" s="130">
        <v>58156.34</v>
      </c>
      <c r="G28" s="130">
        <v>59672.41</v>
      </c>
      <c r="H28" s="130">
        <v>54920.79</v>
      </c>
      <c r="I28" s="123"/>
    </row>
    <row r="29" spans="1:9" ht="14.45" customHeight="1" thickBot="1" x14ac:dyDescent="0.3">
      <c r="A29" s="124">
        <v>19</v>
      </c>
      <c r="B29" s="125" t="s">
        <v>246</v>
      </c>
      <c r="C29" s="126">
        <f t="shared" ref="C29:H29" si="6">+C30</f>
        <v>5098.92</v>
      </c>
      <c r="D29" s="126">
        <f t="shared" si="6"/>
        <v>201.48</v>
      </c>
      <c r="E29" s="126">
        <f t="shared" si="6"/>
        <v>3091.25</v>
      </c>
      <c r="F29" s="126">
        <f t="shared" si="6"/>
        <v>8310.91</v>
      </c>
      <c r="G29" s="126">
        <f t="shared" si="6"/>
        <v>502.15</v>
      </c>
      <c r="H29" s="126">
        <f t="shared" si="6"/>
        <v>487.17</v>
      </c>
      <c r="I29" s="123"/>
    </row>
    <row r="30" spans="1:9" ht="14.45" customHeight="1" thickBot="1" x14ac:dyDescent="0.3">
      <c r="A30" s="127">
        <v>1904</v>
      </c>
      <c r="B30" s="128" t="s">
        <v>247</v>
      </c>
      <c r="C30" s="129">
        <v>5098.92</v>
      </c>
      <c r="D30" s="130">
        <v>201.48</v>
      </c>
      <c r="E30" s="130">
        <v>3091.25</v>
      </c>
      <c r="F30" s="130">
        <v>8310.91</v>
      </c>
      <c r="G30" s="130">
        <v>502.15</v>
      </c>
      <c r="H30" s="130">
        <v>487.17</v>
      </c>
      <c r="I30" s="123"/>
    </row>
    <row r="31" spans="1:9" ht="14.45" customHeight="1" thickBot="1" x14ac:dyDescent="0.3">
      <c r="A31" s="199" t="s">
        <v>248</v>
      </c>
      <c r="B31" s="199"/>
      <c r="C31" s="131">
        <f t="shared" ref="C31:H31" si="7">+C32+C39+C49+C52+C55</f>
        <v>1013850.8499999999</v>
      </c>
      <c r="D31" s="131">
        <f t="shared" si="7"/>
        <v>991836.59999999986</v>
      </c>
      <c r="E31" s="131">
        <f t="shared" si="7"/>
        <v>876412.24999999988</v>
      </c>
      <c r="F31" s="131">
        <f t="shared" si="7"/>
        <v>892881.43999999983</v>
      </c>
      <c r="G31" s="131">
        <f t="shared" si="7"/>
        <v>988867.06999999983</v>
      </c>
      <c r="H31" s="131">
        <f t="shared" si="7"/>
        <v>927985.54999999993</v>
      </c>
      <c r="I31" s="123"/>
    </row>
    <row r="32" spans="1:9" ht="14.45" customHeight="1" thickBot="1" x14ac:dyDescent="0.3">
      <c r="A32" s="124">
        <v>51</v>
      </c>
      <c r="B32" s="125" t="s">
        <v>249</v>
      </c>
      <c r="C32" s="126">
        <f t="shared" ref="C32:H32" si="8">+C38+C37+C36+C35+C34+C33</f>
        <v>779761.30999999994</v>
      </c>
      <c r="D32" s="126">
        <f t="shared" si="8"/>
        <v>744822.47</v>
      </c>
      <c r="E32" s="126">
        <f t="shared" si="8"/>
        <v>714567.6399999999</v>
      </c>
      <c r="F32" s="126">
        <f t="shared" si="8"/>
        <v>722038.91999999993</v>
      </c>
      <c r="G32" s="126">
        <f t="shared" si="8"/>
        <v>827047.83</v>
      </c>
      <c r="H32" s="126">
        <f t="shared" si="8"/>
        <v>788372.69</v>
      </c>
      <c r="I32" s="123"/>
    </row>
    <row r="33" spans="1:9" ht="14.45" customHeight="1" thickBot="1" x14ac:dyDescent="0.3">
      <c r="A33" s="127">
        <v>5101</v>
      </c>
      <c r="B33" s="128" t="s">
        <v>250</v>
      </c>
      <c r="C33" s="129">
        <v>517448.23</v>
      </c>
      <c r="D33" s="130">
        <v>565626.75</v>
      </c>
      <c r="E33" s="130">
        <v>533883.44999999995</v>
      </c>
      <c r="F33" s="130">
        <v>552292.06999999995</v>
      </c>
      <c r="G33" s="130">
        <v>646283.12</v>
      </c>
      <c r="H33" s="130">
        <v>606245.62</v>
      </c>
      <c r="I33" s="123"/>
    </row>
    <row r="34" spans="1:9" ht="14.45" customHeight="1" thickBot="1" x14ac:dyDescent="0.3">
      <c r="A34" s="127">
        <v>5102</v>
      </c>
      <c r="B34" s="128" t="s">
        <v>251</v>
      </c>
      <c r="C34" s="129">
        <v>66507.100000000006</v>
      </c>
      <c r="D34" s="130">
        <v>61593.16</v>
      </c>
      <c r="E34" s="130">
        <v>60276.73</v>
      </c>
      <c r="F34" s="130">
        <v>59842.720000000001</v>
      </c>
      <c r="G34" s="130">
        <v>64717.02</v>
      </c>
      <c r="H34" s="130">
        <v>63742.81</v>
      </c>
      <c r="I34" s="123"/>
    </row>
    <row r="35" spans="1:9" ht="14.45" customHeight="1" thickBot="1" x14ac:dyDescent="0.3">
      <c r="A35" s="127">
        <v>5104</v>
      </c>
      <c r="B35" s="128" t="s">
        <v>252</v>
      </c>
      <c r="C35" s="129">
        <v>0</v>
      </c>
      <c r="D35" s="130">
        <v>0</v>
      </c>
      <c r="E35" s="130"/>
      <c r="F35" s="130"/>
      <c r="G35" s="130"/>
      <c r="H35" s="130"/>
      <c r="I35" s="123"/>
    </row>
    <row r="36" spans="1:9" ht="14.45" customHeight="1" thickBot="1" x14ac:dyDescent="0.3">
      <c r="A36" s="127">
        <v>5105</v>
      </c>
      <c r="B36" s="128" t="s">
        <v>253</v>
      </c>
      <c r="C36" s="129">
        <v>82384.600000000006</v>
      </c>
      <c r="D36" s="130">
        <v>2422.41</v>
      </c>
      <c r="E36" s="130">
        <v>3373.64</v>
      </c>
      <c r="F36" s="130">
        <v>450.8</v>
      </c>
      <c r="G36" s="130">
        <v>150.26</v>
      </c>
      <c r="H36" s="130"/>
      <c r="I36" s="123"/>
    </row>
    <row r="37" spans="1:9" ht="14.45" customHeight="1" thickBot="1" x14ac:dyDescent="0.3">
      <c r="A37" s="127">
        <v>5106</v>
      </c>
      <c r="B37" s="128" t="s">
        <v>254</v>
      </c>
      <c r="C37" s="129">
        <v>107627.37</v>
      </c>
      <c r="D37" s="130">
        <v>112356.86</v>
      </c>
      <c r="E37" s="130">
        <v>105276.1</v>
      </c>
      <c r="F37" s="130">
        <v>109453.33</v>
      </c>
      <c r="G37" s="130">
        <v>111161.43</v>
      </c>
      <c r="H37" s="130">
        <v>112227.42</v>
      </c>
      <c r="I37" s="123"/>
    </row>
    <row r="38" spans="1:9" ht="14.45" customHeight="1" thickBot="1" x14ac:dyDescent="0.3">
      <c r="A38" s="127">
        <v>5107</v>
      </c>
      <c r="B38" s="128" t="s">
        <v>255</v>
      </c>
      <c r="C38" s="129">
        <v>5794.01</v>
      </c>
      <c r="D38" s="130">
        <v>2823.29</v>
      </c>
      <c r="E38" s="130">
        <v>11757.72</v>
      </c>
      <c r="F38" s="130"/>
      <c r="G38" s="130">
        <v>4736</v>
      </c>
      <c r="H38" s="130">
        <v>6156.84</v>
      </c>
      <c r="I38" s="123"/>
    </row>
    <row r="39" spans="1:9" ht="14.45" customHeight="1" thickBot="1" x14ac:dyDescent="0.3">
      <c r="A39" s="124">
        <v>53</v>
      </c>
      <c r="B39" s="125" t="s">
        <v>256</v>
      </c>
      <c r="C39" s="126">
        <f>+C40+C41+C42+C43+C45+C46+C47</f>
        <v>98650.22</v>
      </c>
      <c r="D39" s="126">
        <f>+D40+D41+D42+D43+D44+D45+D46+D47+D48</f>
        <v>107929.83</v>
      </c>
      <c r="E39" s="126">
        <f>+E40+E41+E42+E43+E44+E45+E46+E47+E48</f>
        <v>39221.79</v>
      </c>
      <c r="F39" s="126">
        <f>+F40+F41+F42+F43+F44+F45+F46+F47+F48</f>
        <v>35608.860000000008</v>
      </c>
      <c r="G39" s="126">
        <f>+G40+G41+G42+G43+G44+G45+G46+G47+G48</f>
        <v>27319.32</v>
      </c>
      <c r="H39" s="126">
        <f>+H40+H41+H42+H43+H44+H45+H46+H47+H48</f>
        <v>25410.260000000002</v>
      </c>
      <c r="I39" s="132"/>
    </row>
    <row r="40" spans="1:9" ht="14.45" customHeight="1" thickBot="1" x14ac:dyDescent="0.3">
      <c r="A40" s="133">
        <v>5301</v>
      </c>
      <c r="B40" s="134" t="s">
        <v>257</v>
      </c>
      <c r="C40" s="135">
        <v>24908.71</v>
      </c>
      <c r="D40" s="136">
        <v>23677.15</v>
      </c>
      <c r="E40" s="136">
        <v>19152.080000000002</v>
      </c>
      <c r="F40" s="136">
        <v>21036.68</v>
      </c>
      <c r="G40" s="136">
        <v>18730.7</v>
      </c>
      <c r="H40" s="136">
        <v>15656</v>
      </c>
      <c r="I40" s="132"/>
    </row>
    <row r="41" spans="1:9" ht="14.45" customHeight="1" thickBot="1" x14ac:dyDescent="0.3">
      <c r="A41" s="133">
        <v>5302</v>
      </c>
      <c r="B41" s="134" t="s">
        <v>258</v>
      </c>
      <c r="C41" s="135">
        <v>30040.32</v>
      </c>
      <c r="D41" s="136">
        <v>19825.91</v>
      </c>
      <c r="E41" s="136">
        <v>4948</v>
      </c>
      <c r="F41" s="136">
        <v>3581.5</v>
      </c>
      <c r="G41" s="136">
        <v>97.2</v>
      </c>
      <c r="H41" s="136">
        <v>6254.52</v>
      </c>
      <c r="I41" s="132"/>
    </row>
    <row r="42" spans="1:9" ht="14.45" customHeight="1" thickBot="1" x14ac:dyDescent="0.3">
      <c r="A42" s="133">
        <v>5303</v>
      </c>
      <c r="B42" s="134" t="s">
        <v>259</v>
      </c>
      <c r="C42" s="135">
        <v>8249.42</v>
      </c>
      <c r="D42" s="136">
        <v>9860.7800000000007</v>
      </c>
      <c r="E42" s="136">
        <v>9704.14</v>
      </c>
      <c r="F42" s="136">
        <v>8935.33</v>
      </c>
      <c r="G42" s="136">
        <v>1755.12</v>
      </c>
      <c r="H42" s="136">
        <v>285.54000000000002</v>
      </c>
      <c r="I42" s="132"/>
    </row>
    <row r="43" spans="1:9" ht="14.45" customHeight="1" thickBot="1" x14ac:dyDescent="0.3">
      <c r="A43" s="133">
        <v>5304</v>
      </c>
      <c r="B43" s="134" t="s">
        <v>260</v>
      </c>
      <c r="C43" s="135">
        <v>61</v>
      </c>
      <c r="D43" s="136">
        <v>728.81</v>
      </c>
      <c r="E43" s="136">
        <v>666.4</v>
      </c>
      <c r="F43" s="136">
        <v>579.44000000000005</v>
      </c>
      <c r="G43" s="136"/>
      <c r="H43" s="136">
        <v>114.6</v>
      </c>
      <c r="I43" s="132"/>
    </row>
    <row r="44" spans="1:9" ht="14.45" customHeight="1" thickBot="1" x14ac:dyDescent="0.3">
      <c r="A44" s="133">
        <v>5305</v>
      </c>
      <c r="B44" s="134" t="s">
        <v>261</v>
      </c>
      <c r="C44" s="135"/>
      <c r="D44" s="136"/>
      <c r="E44" s="136"/>
      <c r="F44" s="136"/>
      <c r="G44" s="136"/>
      <c r="H44" s="136"/>
      <c r="I44" s="132"/>
    </row>
    <row r="45" spans="1:9" ht="14.45" customHeight="1" thickBot="1" x14ac:dyDescent="0.3">
      <c r="A45" s="133">
        <v>5306</v>
      </c>
      <c r="B45" s="134" t="s">
        <v>262</v>
      </c>
      <c r="C45" s="135">
        <v>11161</v>
      </c>
      <c r="D45" s="136">
        <v>42310</v>
      </c>
      <c r="E45" s="136">
        <v>1246</v>
      </c>
      <c r="F45" s="136">
        <v>68.12</v>
      </c>
      <c r="G45" s="136"/>
      <c r="H45" s="136"/>
      <c r="I45" s="132"/>
    </row>
    <row r="46" spans="1:9" ht="14.45" customHeight="1" thickBot="1" x14ac:dyDescent="0.3">
      <c r="A46" s="133">
        <v>5307</v>
      </c>
      <c r="B46" s="134" t="s">
        <v>263</v>
      </c>
      <c r="C46" s="135">
        <v>8674.5499999999993</v>
      </c>
      <c r="D46" s="136">
        <v>940.8</v>
      </c>
      <c r="E46" s="136"/>
      <c r="F46" s="136">
        <v>1316.63</v>
      </c>
      <c r="G46" s="136"/>
      <c r="H46" s="136">
        <v>1900</v>
      </c>
      <c r="I46" s="132"/>
    </row>
    <row r="47" spans="1:9" ht="14.45" customHeight="1" thickBot="1" x14ac:dyDescent="0.3">
      <c r="A47" s="133">
        <v>5308</v>
      </c>
      <c r="B47" s="134" t="s">
        <v>264</v>
      </c>
      <c r="C47" s="135">
        <v>15555.22</v>
      </c>
      <c r="D47" s="136">
        <v>10270.799999999999</v>
      </c>
      <c r="E47" s="136">
        <v>3505.17</v>
      </c>
      <c r="F47" s="136"/>
      <c r="G47" s="136">
        <v>6198.98</v>
      </c>
      <c r="H47" s="136">
        <v>1071.3599999999999</v>
      </c>
      <c r="I47" s="132"/>
    </row>
    <row r="48" spans="1:9" ht="14.45" customHeight="1" thickBot="1" x14ac:dyDescent="0.3">
      <c r="A48" s="133">
        <v>5314</v>
      </c>
      <c r="B48" s="134" t="s">
        <v>265</v>
      </c>
      <c r="C48" s="135">
        <v>0</v>
      </c>
      <c r="D48" s="136">
        <v>315.58</v>
      </c>
      <c r="E48" s="136"/>
      <c r="F48" s="136">
        <v>91.16</v>
      </c>
      <c r="G48" s="136">
        <v>537.32000000000005</v>
      </c>
      <c r="H48" s="136">
        <v>128.24</v>
      </c>
      <c r="I48" s="132"/>
    </row>
    <row r="49" spans="1:9" ht="14.45" customHeight="1" thickBot="1" x14ac:dyDescent="0.3">
      <c r="A49" s="124">
        <v>56</v>
      </c>
      <c r="B49" s="125" t="s">
        <v>266</v>
      </c>
      <c r="C49" s="126">
        <f t="shared" ref="C49:H49" si="9">+C50+C51</f>
        <v>78200.08</v>
      </c>
      <c r="D49" s="126">
        <f t="shared" si="9"/>
        <v>76830.37</v>
      </c>
      <c r="E49" s="126">
        <f t="shared" si="9"/>
        <v>73764.72</v>
      </c>
      <c r="F49" s="126">
        <f t="shared" si="9"/>
        <v>81576.569999999992</v>
      </c>
      <c r="G49" s="126">
        <f t="shared" si="9"/>
        <v>87930.53</v>
      </c>
      <c r="H49" s="126">
        <f t="shared" si="9"/>
        <v>64568.75</v>
      </c>
      <c r="I49" s="123"/>
    </row>
    <row r="50" spans="1:9" ht="14.45" customHeight="1" thickBot="1" x14ac:dyDescent="0.3">
      <c r="A50" s="133">
        <v>5601</v>
      </c>
      <c r="B50" s="134" t="s">
        <v>267</v>
      </c>
      <c r="C50" s="129">
        <v>494.12</v>
      </c>
      <c r="D50" s="130">
        <v>808.54</v>
      </c>
      <c r="E50" s="130">
        <v>1428.28</v>
      </c>
      <c r="F50" s="130">
        <v>1365.15</v>
      </c>
      <c r="G50" s="130">
        <v>1066.08</v>
      </c>
      <c r="H50" s="130">
        <v>237.4</v>
      </c>
      <c r="I50" s="123"/>
    </row>
    <row r="51" spans="1:9" ht="14.45" customHeight="1" thickBot="1" x14ac:dyDescent="0.3">
      <c r="A51" s="133">
        <v>5602</v>
      </c>
      <c r="B51" s="134" t="s">
        <v>268</v>
      </c>
      <c r="C51" s="129">
        <v>77705.960000000006</v>
      </c>
      <c r="D51" s="130">
        <v>76021.83</v>
      </c>
      <c r="E51" s="130">
        <v>72336.44</v>
      </c>
      <c r="F51" s="130">
        <v>80211.42</v>
      </c>
      <c r="G51" s="130">
        <v>86864.45</v>
      </c>
      <c r="H51" s="130">
        <v>64331.35</v>
      </c>
      <c r="I51" s="123"/>
    </row>
    <row r="52" spans="1:9" ht="14.45" customHeight="1" thickBot="1" x14ac:dyDescent="0.3">
      <c r="A52" s="124">
        <v>57</v>
      </c>
      <c r="B52" s="125" t="s">
        <v>269</v>
      </c>
      <c r="C52" s="126">
        <f t="shared" ref="C52:H52" si="10">+C53+C54</f>
        <v>9924.86</v>
      </c>
      <c r="D52" s="126">
        <f t="shared" si="10"/>
        <v>5325.87</v>
      </c>
      <c r="E52" s="126">
        <f t="shared" si="10"/>
        <v>7017.34</v>
      </c>
      <c r="F52" s="126">
        <f t="shared" si="10"/>
        <v>7120.2599999999993</v>
      </c>
      <c r="G52" s="126">
        <f t="shared" si="10"/>
        <v>5547.32</v>
      </c>
      <c r="H52" s="126">
        <f t="shared" si="10"/>
        <v>7281.8700000000008</v>
      </c>
      <c r="I52" s="123"/>
    </row>
    <row r="53" spans="1:9" ht="14.45" customHeight="1" thickBot="1" x14ac:dyDescent="0.3">
      <c r="A53" s="137">
        <v>5701</v>
      </c>
      <c r="B53" s="134" t="s">
        <v>270</v>
      </c>
      <c r="C53" s="129">
        <v>1284.5</v>
      </c>
      <c r="D53" s="130">
        <v>2375.16</v>
      </c>
      <c r="E53" s="130">
        <v>610.79999999999995</v>
      </c>
      <c r="F53" s="130">
        <v>1313.11</v>
      </c>
      <c r="G53" s="130">
        <v>584.66</v>
      </c>
      <c r="H53" s="130">
        <v>341.48</v>
      </c>
      <c r="I53" s="123"/>
    </row>
    <row r="54" spans="1:9" ht="14.45" customHeight="1" thickBot="1" x14ac:dyDescent="0.3">
      <c r="A54" s="133">
        <v>5702</v>
      </c>
      <c r="B54" s="134" t="s">
        <v>271</v>
      </c>
      <c r="C54" s="129">
        <v>8640.36</v>
      </c>
      <c r="D54" s="138">
        <v>2950.71</v>
      </c>
      <c r="E54" s="138">
        <v>6406.54</v>
      </c>
      <c r="F54" s="138">
        <v>5807.15</v>
      </c>
      <c r="G54" s="138">
        <v>4962.66</v>
      </c>
      <c r="H54" s="138">
        <v>6940.39</v>
      </c>
      <c r="I54" s="123"/>
    </row>
    <row r="55" spans="1:9" ht="14.45" customHeight="1" thickBot="1" x14ac:dyDescent="0.3">
      <c r="A55" s="124">
        <v>58</v>
      </c>
      <c r="B55" s="125" t="s">
        <v>272</v>
      </c>
      <c r="C55" s="126">
        <f t="shared" ref="C55:H55" si="11">+C57+C56</f>
        <v>47314.38</v>
      </c>
      <c r="D55" s="126">
        <f t="shared" si="11"/>
        <v>56928.06</v>
      </c>
      <c r="E55" s="126">
        <f t="shared" si="11"/>
        <v>41840.76</v>
      </c>
      <c r="F55" s="126">
        <f t="shared" si="11"/>
        <v>46536.83</v>
      </c>
      <c r="G55" s="126">
        <f t="shared" si="11"/>
        <v>41022.07</v>
      </c>
      <c r="H55" s="126">
        <f t="shared" si="11"/>
        <v>42351.98</v>
      </c>
      <c r="I55" s="123"/>
    </row>
    <row r="56" spans="1:9" ht="14.45" customHeight="1" thickBot="1" x14ac:dyDescent="0.3">
      <c r="A56" s="133">
        <v>5801</v>
      </c>
      <c r="B56" s="134" t="s">
        <v>273</v>
      </c>
      <c r="C56" s="129">
        <v>39314.379999999997</v>
      </c>
      <c r="D56" s="130">
        <v>56928.06</v>
      </c>
      <c r="E56" s="130">
        <v>41840.76</v>
      </c>
      <c r="F56" s="138">
        <v>46536.83</v>
      </c>
      <c r="G56" s="130">
        <v>41022.07</v>
      </c>
      <c r="H56" s="130">
        <v>40351.980000000003</v>
      </c>
      <c r="I56" s="123"/>
    </row>
    <row r="57" spans="1:9" ht="14.45" customHeight="1" thickBot="1" x14ac:dyDescent="0.3">
      <c r="A57" s="133">
        <v>5802</v>
      </c>
      <c r="B57" s="134" t="s">
        <v>274</v>
      </c>
      <c r="C57" s="129">
        <v>8000</v>
      </c>
      <c r="D57" s="138">
        <v>0</v>
      </c>
      <c r="E57" s="138"/>
      <c r="F57" s="138"/>
      <c r="G57" s="138"/>
      <c r="H57" s="138">
        <v>2000</v>
      </c>
      <c r="I57" s="123"/>
    </row>
    <row r="58" spans="1:9" ht="14.45" customHeight="1" thickBot="1" x14ac:dyDescent="0.3">
      <c r="A58" s="200" t="s">
        <v>275</v>
      </c>
      <c r="B58" s="200"/>
      <c r="C58" s="139">
        <f t="shared" ref="C58:H58" si="12">+C10-C31</f>
        <v>472707.32000000007</v>
      </c>
      <c r="D58" s="139">
        <f t="shared" si="12"/>
        <v>614789.26</v>
      </c>
      <c r="E58" s="139">
        <f t="shared" si="12"/>
        <v>771641.8000000004</v>
      </c>
      <c r="F58" s="139">
        <f t="shared" si="12"/>
        <v>799994.43000000052</v>
      </c>
      <c r="G58" s="139">
        <f t="shared" si="12"/>
        <v>729077.96</v>
      </c>
      <c r="H58" s="139">
        <f t="shared" si="12"/>
        <v>549109.11</v>
      </c>
      <c r="I58" s="123"/>
    </row>
    <row r="59" spans="1:9" ht="14.45" customHeight="1" thickBot="1" x14ac:dyDescent="0.3">
      <c r="A59" s="201" t="s">
        <v>276</v>
      </c>
      <c r="B59" s="201"/>
      <c r="C59" s="140">
        <f t="shared" ref="C59:H59" si="13">+C60+C63</f>
        <v>2654817.2000000002</v>
      </c>
      <c r="D59" s="140">
        <f t="shared" si="13"/>
        <v>2816447.44</v>
      </c>
      <c r="E59" s="140">
        <f t="shared" si="13"/>
        <v>2822293.88</v>
      </c>
      <c r="F59" s="140">
        <f t="shared" si="13"/>
        <v>2912511.65</v>
      </c>
      <c r="G59" s="140">
        <f t="shared" si="13"/>
        <v>2925910.7</v>
      </c>
      <c r="H59" s="140">
        <f t="shared" si="13"/>
        <v>2667442.6</v>
      </c>
      <c r="I59" s="123"/>
    </row>
    <row r="60" spans="1:9" ht="14.45" customHeight="1" thickBot="1" x14ac:dyDescent="0.3">
      <c r="A60" s="124">
        <v>24</v>
      </c>
      <c r="B60" s="125" t="s">
        <v>277</v>
      </c>
      <c r="C60" s="126">
        <f t="shared" ref="C60:H60" si="14">+C61+C62</f>
        <v>46080.04</v>
      </c>
      <c r="D60" s="126">
        <f t="shared" si="14"/>
        <v>25974</v>
      </c>
      <c r="E60" s="126">
        <f t="shared" si="14"/>
        <v>20914.46</v>
      </c>
      <c r="F60" s="126">
        <f t="shared" si="14"/>
        <v>75698.12</v>
      </c>
      <c r="G60" s="126">
        <f t="shared" si="14"/>
        <v>36307.97</v>
      </c>
      <c r="H60" s="126">
        <f t="shared" si="14"/>
        <v>27945.54</v>
      </c>
      <c r="I60" s="123"/>
    </row>
    <row r="61" spans="1:9" ht="14.45" customHeight="1" thickBot="1" x14ac:dyDescent="0.3">
      <c r="A61" s="141">
        <v>2401</v>
      </c>
      <c r="B61" s="142" t="s">
        <v>278</v>
      </c>
      <c r="C61" s="143">
        <v>514.04</v>
      </c>
      <c r="D61" s="138">
        <v>25974</v>
      </c>
      <c r="E61" s="138"/>
      <c r="F61" s="138"/>
      <c r="G61" s="138"/>
      <c r="H61" s="138">
        <v>0</v>
      </c>
      <c r="I61" s="123"/>
    </row>
    <row r="62" spans="1:9" ht="14.45" customHeight="1" thickBot="1" x14ac:dyDescent="0.3">
      <c r="A62" s="127">
        <v>2402</v>
      </c>
      <c r="B62" s="128" t="s">
        <v>279</v>
      </c>
      <c r="C62" s="129">
        <v>45566</v>
      </c>
      <c r="D62" s="130">
        <v>0</v>
      </c>
      <c r="E62" s="130">
        <v>20914.46</v>
      </c>
      <c r="F62" s="130">
        <v>75698.12</v>
      </c>
      <c r="G62" s="130">
        <v>36307.97</v>
      </c>
      <c r="H62" s="130">
        <v>27945.54</v>
      </c>
      <c r="I62" s="123"/>
    </row>
    <row r="63" spans="1:9" ht="14.45" customHeight="1" thickBot="1" x14ac:dyDescent="0.3">
      <c r="A63" s="124">
        <v>28</v>
      </c>
      <c r="B63" s="125" t="s">
        <v>280</v>
      </c>
      <c r="C63" s="126">
        <f t="shared" ref="C63:H63" si="15">+C64+C65+C66+C67</f>
        <v>2608737.16</v>
      </c>
      <c r="D63" s="126">
        <f t="shared" si="15"/>
        <v>2790473.44</v>
      </c>
      <c r="E63" s="126">
        <f t="shared" si="15"/>
        <v>2801379.42</v>
      </c>
      <c r="F63" s="126">
        <f t="shared" si="15"/>
        <v>2836813.53</v>
      </c>
      <c r="G63" s="126">
        <f t="shared" si="15"/>
        <v>2889602.73</v>
      </c>
      <c r="H63" s="126">
        <f t="shared" si="15"/>
        <v>2639497.06</v>
      </c>
      <c r="I63" s="123"/>
    </row>
    <row r="64" spans="1:9" ht="14.45" customHeight="1" thickBot="1" x14ac:dyDescent="0.3">
      <c r="A64" s="127">
        <v>2801</v>
      </c>
      <c r="B64" s="128" t="s">
        <v>281</v>
      </c>
      <c r="C64" s="129">
        <v>117271.42</v>
      </c>
      <c r="D64" s="130">
        <v>2611265.75</v>
      </c>
      <c r="E64" s="130">
        <v>2609660.4300000002</v>
      </c>
      <c r="F64" s="130">
        <v>2626113.86</v>
      </c>
      <c r="G64" s="130">
        <v>2735387.59</v>
      </c>
      <c r="H64" s="130">
        <v>2547705.7000000002</v>
      </c>
      <c r="I64" s="123"/>
    </row>
    <row r="65" spans="1:9" ht="14.45" customHeight="1" thickBot="1" x14ac:dyDescent="0.3">
      <c r="A65" s="127">
        <v>2804</v>
      </c>
      <c r="B65" s="128" t="s">
        <v>282</v>
      </c>
      <c r="C65" s="129">
        <v>0</v>
      </c>
      <c r="D65" s="130">
        <v>0</v>
      </c>
      <c r="E65" s="130"/>
      <c r="F65" s="130"/>
      <c r="G65" s="130"/>
      <c r="H65" s="130"/>
      <c r="I65" s="123"/>
    </row>
    <row r="66" spans="1:9" ht="14.45" customHeight="1" thickBot="1" x14ac:dyDescent="0.3">
      <c r="A66" s="127">
        <v>2806</v>
      </c>
      <c r="B66" s="128" t="s">
        <v>283</v>
      </c>
      <c r="C66" s="129">
        <v>2256158.1</v>
      </c>
      <c r="D66" s="138">
        <v>0</v>
      </c>
      <c r="E66" s="138"/>
      <c r="F66" s="138"/>
      <c r="G66" s="138"/>
      <c r="H66" s="138"/>
      <c r="I66" s="123"/>
    </row>
    <row r="67" spans="1:9" ht="14.45" customHeight="1" thickBot="1" x14ac:dyDescent="0.3">
      <c r="A67" s="127">
        <v>2810</v>
      </c>
      <c r="B67" s="128" t="s">
        <v>284</v>
      </c>
      <c r="C67" s="129">
        <v>235307.64</v>
      </c>
      <c r="D67" s="138">
        <v>179207.69</v>
      </c>
      <c r="E67" s="138">
        <v>191718.99</v>
      </c>
      <c r="F67" s="138">
        <v>210699.67</v>
      </c>
      <c r="G67" s="138">
        <v>154215.14000000001</v>
      </c>
      <c r="H67" s="138">
        <v>91791.360000000001</v>
      </c>
      <c r="I67" s="123"/>
    </row>
    <row r="68" spans="1:9" ht="14.45" customHeight="1" thickBot="1" x14ac:dyDescent="0.3">
      <c r="A68" s="201" t="s">
        <v>285</v>
      </c>
      <c r="B68" s="201"/>
      <c r="C68" s="140">
        <f t="shared" ref="C68:H68" si="16">+C69+C77+C88+C91+C94+C96</f>
        <v>4122558.34</v>
      </c>
      <c r="D68" s="140">
        <f t="shared" si="16"/>
        <v>3326698.92</v>
      </c>
      <c r="E68" s="140">
        <f t="shared" si="16"/>
        <v>3379170.6799999997</v>
      </c>
      <c r="F68" s="140">
        <f t="shared" si="16"/>
        <v>3936714.5800000005</v>
      </c>
      <c r="G68" s="140">
        <f t="shared" si="16"/>
        <v>3058732.7</v>
      </c>
      <c r="H68" s="140">
        <f t="shared" si="16"/>
        <v>2575648.4499999997</v>
      </c>
      <c r="I68" s="123"/>
    </row>
    <row r="69" spans="1:9" ht="14.45" customHeight="1" thickBot="1" x14ac:dyDescent="0.3">
      <c r="A69" s="124">
        <v>71</v>
      </c>
      <c r="B69" s="125" t="s">
        <v>286</v>
      </c>
      <c r="C69" s="126">
        <f t="shared" ref="C69:H69" si="17">+C70+C71+C72+C73+C74+C75+C76</f>
        <v>1823035.3599999999</v>
      </c>
      <c r="D69" s="126">
        <f t="shared" si="17"/>
        <v>1475209.96</v>
      </c>
      <c r="E69" s="126">
        <f t="shared" si="17"/>
        <v>1693116.41</v>
      </c>
      <c r="F69" s="126">
        <f t="shared" si="17"/>
        <v>1759999.9000000001</v>
      </c>
      <c r="G69" s="126">
        <f t="shared" si="17"/>
        <v>1502399.6</v>
      </c>
      <c r="H69" s="126">
        <f t="shared" si="17"/>
        <v>1596428.8800000001</v>
      </c>
      <c r="I69" s="123"/>
    </row>
    <row r="70" spans="1:9" ht="14.45" customHeight="1" thickBot="1" x14ac:dyDescent="0.3">
      <c r="A70" s="127">
        <v>7101</v>
      </c>
      <c r="B70" s="128" t="s">
        <v>250</v>
      </c>
      <c r="C70" s="129">
        <v>807708.39</v>
      </c>
      <c r="D70" s="130">
        <v>777184.82</v>
      </c>
      <c r="E70" s="130">
        <v>1099260.1299999999</v>
      </c>
      <c r="F70" s="130">
        <v>1146792.52</v>
      </c>
      <c r="G70" s="130">
        <v>869637.55</v>
      </c>
      <c r="H70" s="130">
        <v>870129.41</v>
      </c>
      <c r="I70" s="144"/>
    </row>
    <row r="71" spans="1:9" ht="14.45" customHeight="1" thickBot="1" x14ac:dyDescent="0.3">
      <c r="A71" s="127">
        <v>7102</v>
      </c>
      <c r="B71" s="128" t="s">
        <v>251</v>
      </c>
      <c r="C71" s="129">
        <v>155964.71</v>
      </c>
      <c r="D71" s="130">
        <v>122941.53</v>
      </c>
      <c r="E71" s="130">
        <v>114661.45</v>
      </c>
      <c r="F71" s="130">
        <v>120004.56</v>
      </c>
      <c r="G71" s="130">
        <v>116631.82</v>
      </c>
      <c r="H71" s="130">
        <v>117806.16</v>
      </c>
      <c r="I71" s="123"/>
    </row>
    <row r="72" spans="1:9" ht="14.45" customHeight="1" thickBot="1" x14ac:dyDescent="0.3">
      <c r="A72" s="127">
        <v>7103</v>
      </c>
      <c r="B72" s="128" t="s">
        <v>287</v>
      </c>
      <c r="C72" s="129">
        <v>222386.08</v>
      </c>
      <c r="D72" s="130">
        <v>95556.7</v>
      </c>
      <c r="E72" s="130">
        <v>95953.5</v>
      </c>
      <c r="F72" s="130">
        <v>91097.5</v>
      </c>
      <c r="G72" s="130">
        <v>89312.5</v>
      </c>
      <c r="H72" s="130">
        <v>100753</v>
      </c>
      <c r="I72" s="123"/>
    </row>
    <row r="73" spans="1:9" ht="14.45" customHeight="1" thickBot="1" x14ac:dyDescent="0.3">
      <c r="A73" s="127">
        <v>7104</v>
      </c>
      <c r="B73" s="128" t="s">
        <v>252</v>
      </c>
      <c r="C73" s="129">
        <v>23555.71</v>
      </c>
      <c r="D73" s="130">
        <v>42845.66</v>
      </c>
      <c r="E73" s="130">
        <v>39995.06</v>
      </c>
      <c r="F73" s="130">
        <v>40579.14</v>
      </c>
      <c r="G73" s="130">
        <v>40512.21</v>
      </c>
      <c r="H73" s="130">
        <v>21530.26</v>
      </c>
      <c r="I73" s="123"/>
    </row>
    <row r="74" spans="1:9" ht="14.45" customHeight="1" thickBot="1" x14ac:dyDescent="0.3">
      <c r="A74" s="127">
        <v>7105</v>
      </c>
      <c r="B74" s="128" t="s">
        <v>253</v>
      </c>
      <c r="C74" s="129">
        <v>340026.14</v>
      </c>
      <c r="D74" s="130">
        <v>146874.85</v>
      </c>
      <c r="E74" s="130">
        <v>156634.20000000001</v>
      </c>
      <c r="F74" s="130">
        <v>180673.84</v>
      </c>
      <c r="G74" s="130">
        <v>206575.08</v>
      </c>
      <c r="H74" s="130">
        <v>277947.14</v>
      </c>
      <c r="I74" s="123"/>
    </row>
    <row r="75" spans="1:9" ht="14.45" customHeight="1" thickBot="1" x14ac:dyDescent="0.3">
      <c r="A75" s="127">
        <v>7106</v>
      </c>
      <c r="B75" s="128" t="s">
        <v>254</v>
      </c>
      <c r="C75" s="129">
        <v>202877.52</v>
      </c>
      <c r="D75" s="138">
        <v>175968.5</v>
      </c>
      <c r="E75" s="138">
        <v>173309.73</v>
      </c>
      <c r="F75" s="138">
        <v>177536.06</v>
      </c>
      <c r="G75" s="138">
        <v>176716.22</v>
      </c>
      <c r="H75" s="138">
        <v>175219.86</v>
      </c>
      <c r="I75" s="123"/>
    </row>
    <row r="76" spans="1:9" ht="14.45" customHeight="1" thickBot="1" x14ac:dyDescent="0.3">
      <c r="A76" s="127">
        <v>7107</v>
      </c>
      <c r="B76" s="128" t="s">
        <v>255</v>
      </c>
      <c r="C76" s="129">
        <v>70516.81</v>
      </c>
      <c r="D76" s="130">
        <v>113837.9</v>
      </c>
      <c r="E76" s="130">
        <v>13302.34</v>
      </c>
      <c r="F76" s="130">
        <v>3316.28</v>
      </c>
      <c r="G76" s="130">
        <v>3014.22</v>
      </c>
      <c r="H76" s="130">
        <v>33043.050000000003</v>
      </c>
      <c r="I76" s="123"/>
    </row>
    <row r="77" spans="1:9" ht="14.45" customHeight="1" thickBot="1" x14ac:dyDescent="0.3">
      <c r="A77" s="124">
        <v>73</v>
      </c>
      <c r="B77" s="125" t="s">
        <v>288</v>
      </c>
      <c r="C77" s="145">
        <f>+C78+C79+C80+C81+C82+C83+C84+C85+C86</f>
        <v>776712.79999999993</v>
      </c>
      <c r="D77" s="145">
        <f>+D78+D79+D80+D81+D82+D83+D84+D85+D86</f>
        <v>806249.83</v>
      </c>
      <c r="E77" s="145">
        <f>+E78+E79+E80+E81+E82+E83+E84+E85+E86+E87</f>
        <v>824197.80999999994</v>
      </c>
      <c r="F77" s="145">
        <f>+F78+F79+F80+F81+F82+F83+F84+F85+F86+F87</f>
        <v>574509.72</v>
      </c>
      <c r="G77" s="145">
        <f>+G78+G79+G80+G81+G82+G83+G84+G85+G86</f>
        <v>543930.66</v>
      </c>
      <c r="H77" s="145">
        <f>+H78+H79+H80+H81+H82+H83+H84+H85+H86</f>
        <v>675520.91</v>
      </c>
      <c r="I77" s="123"/>
    </row>
    <row r="78" spans="1:9" ht="14.45" customHeight="1" thickBot="1" x14ac:dyDescent="0.3">
      <c r="A78" s="127">
        <v>7301</v>
      </c>
      <c r="B78" s="128" t="s">
        <v>257</v>
      </c>
      <c r="C78" s="129">
        <v>995.16</v>
      </c>
      <c r="D78" s="130">
        <v>0</v>
      </c>
      <c r="E78" s="130"/>
      <c r="F78" s="130">
        <v>24.64</v>
      </c>
      <c r="G78" s="130"/>
      <c r="H78" s="130"/>
      <c r="I78" s="123"/>
    </row>
    <row r="79" spans="1:9" ht="14.45" customHeight="1" thickBot="1" x14ac:dyDescent="0.3">
      <c r="A79" s="127">
        <v>7302</v>
      </c>
      <c r="B79" s="128" t="s">
        <v>258</v>
      </c>
      <c r="C79" s="129">
        <v>177036.9</v>
      </c>
      <c r="D79" s="130">
        <v>197864.4</v>
      </c>
      <c r="E79" s="130">
        <v>113418.1</v>
      </c>
      <c r="F79" s="130">
        <v>16484.759999999998</v>
      </c>
      <c r="G79" s="130">
        <v>105864.04</v>
      </c>
      <c r="H79" s="130">
        <v>31890.5</v>
      </c>
      <c r="I79" s="123"/>
    </row>
    <row r="80" spans="1:9" ht="14.45" customHeight="1" thickBot="1" x14ac:dyDescent="0.3">
      <c r="A80" s="127">
        <v>7303</v>
      </c>
      <c r="B80" s="128" t="s">
        <v>259</v>
      </c>
      <c r="C80" s="129">
        <v>235</v>
      </c>
      <c r="D80" s="130">
        <v>1387.27</v>
      </c>
      <c r="E80" s="130">
        <v>2876.73</v>
      </c>
      <c r="F80" s="130">
        <v>514.25</v>
      </c>
      <c r="G80" s="130"/>
      <c r="H80" s="130"/>
      <c r="I80" s="123"/>
    </row>
    <row r="81" spans="1:9" ht="14.45" customHeight="1" thickBot="1" x14ac:dyDescent="0.3">
      <c r="A81" s="127">
        <v>7304</v>
      </c>
      <c r="B81" s="128" t="s">
        <v>260</v>
      </c>
      <c r="C81" s="129">
        <v>9678.7099999999991</v>
      </c>
      <c r="D81" s="130">
        <v>51247.37</v>
      </c>
      <c r="E81" s="130">
        <v>12832.64</v>
      </c>
      <c r="F81" s="130">
        <v>10603.95</v>
      </c>
      <c r="G81" s="130">
        <v>46176.639999999999</v>
      </c>
      <c r="H81" s="130">
        <v>23584.01</v>
      </c>
      <c r="I81" s="123"/>
    </row>
    <row r="82" spans="1:9" ht="14.45" customHeight="1" thickBot="1" x14ac:dyDescent="0.3">
      <c r="A82" s="127">
        <v>7305</v>
      </c>
      <c r="B82" s="128" t="s">
        <v>261</v>
      </c>
      <c r="C82" s="129">
        <v>6540.8</v>
      </c>
      <c r="D82" s="130">
        <v>24365</v>
      </c>
      <c r="E82" s="130">
        <v>9564.6</v>
      </c>
      <c r="F82" s="130">
        <v>21488.12</v>
      </c>
      <c r="G82" s="130">
        <v>2240</v>
      </c>
      <c r="H82" s="130"/>
      <c r="I82" s="123"/>
    </row>
    <row r="83" spans="1:9" ht="14.45" customHeight="1" thickBot="1" x14ac:dyDescent="0.3">
      <c r="A83" s="127">
        <v>7306</v>
      </c>
      <c r="B83" s="128" t="s">
        <v>289</v>
      </c>
      <c r="C83" s="129">
        <v>71474.48</v>
      </c>
      <c r="D83" s="130">
        <v>273086.7</v>
      </c>
      <c r="E83" s="130">
        <v>227262.43</v>
      </c>
      <c r="F83" s="130">
        <v>93912.27</v>
      </c>
      <c r="G83" s="130">
        <v>74456.22</v>
      </c>
      <c r="H83" s="130">
        <v>159067.98000000001</v>
      </c>
      <c r="I83" s="123"/>
    </row>
    <row r="84" spans="1:9" ht="14.45" customHeight="1" thickBot="1" x14ac:dyDescent="0.3">
      <c r="A84" s="127">
        <v>7307</v>
      </c>
      <c r="B84" s="128" t="s">
        <v>290</v>
      </c>
      <c r="C84" s="129">
        <v>345.4</v>
      </c>
      <c r="D84" s="130">
        <v>0</v>
      </c>
      <c r="E84" s="130">
        <v>69.44</v>
      </c>
      <c r="F84" s="130"/>
      <c r="G84" s="130"/>
      <c r="H84" s="130"/>
      <c r="I84" s="123"/>
    </row>
    <row r="85" spans="1:9" ht="14.45" customHeight="1" thickBot="1" x14ac:dyDescent="0.3">
      <c r="A85" s="127">
        <v>7308</v>
      </c>
      <c r="B85" s="128" t="s">
        <v>291</v>
      </c>
      <c r="C85" s="129">
        <v>509634.24</v>
      </c>
      <c r="D85" s="138">
        <v>258054.72</v>
      </c>
      <c r="E85" s="138">
        <v>443929.47</v>
      </c>
      <c r="F85" s="138">
        <v>422188.14</v>
      </c>
      <c r="G85" s="130">
        <v>315193.76</v>
      </c>
      <c r="H85" s="138">
        <v>457988.62</v>
      </c>
      <c r="I85" s="123"/>
    </row>
    <row r="86" spans="1:9" ht="14.45" customHeight="1" thickBot="1" x14ac:dyDescent="0.3">
      <c r="A86" s="127">
        <v>7314</v>
      </c>
      <c r="B86" s="128" t="s">
        <v>265</v>
      </c>
      <c r="C86" s="129">
        <v>772.11</v>
      </c>
      <c r="D86" s="130">
        <v>244.37</v>
      </c>
      <c r="E86" s="130">
        <v>106.4</v>
      </c>
      <c r="F86" s="130">
        <v>2363.48</v>
      </c>
      <c r="G86" s="130"/>
      <c r="H86" s="130">
        <v>2989.8</v>
      </c>
      <c r="I86" s="123"/>
    </row>
    <row r="87" spans="1:9" ht="14.45" customHeight="1" thickBot="1" x14ac:dyDescent="0.3">
      <c r="A87" s="127">
        <v>7315</v>
      </c>
      <c r="B87" s="128" t="s">
        <v>292</v>
      </c>
      <c r="C87" s="129"/>
      <c r="D87" s="130"/>
      <c r="E87" s="130">
        <v>14138</v>
      </c>
      <c r="F87" s="130">
        <v>6930.11</v>
      </c>
      <c r="G87" s="130"/>
      <c r="H87" s="130"/>
      <c r="I87" s="123"/>
    </row>
    <row r="88" spans="1:9" ht="14.45" customHeight="1" thickBot="1" x14ac:dyDescent="0.3">
      <c r="A88" s="124">
        <v>75</v>
      </c>
      <c r="B88" s="125" t="s">
        <v>293</v>
      </c>
      <c r="C88" s="145">
        <f t="shared" ref="C88:H88" si="18">+C89+C90</f>
        <v>1493911.72</v>
      </c>
      <c r="D88" s="145">
        <f t="shared" si="18"/>
        <v>845045.30999999994</v>
      </c>
      <c r="E88" s="145">
        <f t="shared" si="18"/>
        <v>764554.57</v>
      </c>
      <c r="F88" s="145">
        <f t="shared" si="18"/>
        <v>1452550.11</v>
      </c>
      <c r="G88" s="145">
        <f t="shared" si="18"/>
        <v>918422.42</v>
      </c>
      <c r="H88" s="145">
        <f t="shared" si="18"/>
        <v>195163.8</v>
      </c>
      <c r="I88" s="123"/>
    </row>
    <row r="89" spans="1:9" ht="14.45" customHeight="1" thickBot="1" x14ac:dyDescent="0.3">
      <c r="A89" s="127">
        <v>7501</v>
      </c>
      <c r="B89" s="128" t="s">
        <v>294</v>
      </c>
      <c r="C89" s="129">
        <v>1456393.42</v>
      </c>
      <c r="D89" s="138">
        <v>683368.83</v>
      </c>
      <c r="E89" s="138">
        <v>666365.82999999996</v>
      </c>
      <c r="F89" s="138">
        <v>1386716.27</v>
      </c>
      <c r="G89" s="138">
        <v>831554.87</v>
      </c>
      <c r="H89" s="138">
        <v>185425.93</v>
      </c>
      <c r="I89" s="123"/>
    </row>
    <row r="90" spans="1:9" ht="14.45" customHeight="1" thickBot="1" x14ac:dyDescent="0.3">
      <c r="A90" s="127">
        <v>7505</v>
      </c>
      <c r="B90" s="128" t="s">
        <v>295</v>
      </c>
      <c r="C90" s="129">
        <v>37518.300000000003</v>
      </c>
      <c r="D90" s="130">
        <v>161676.48000000001</v>
      </c>
      <c r="E90" s="130">
        <v>98188.74</v>
      </c>
      <c r="F90" s="130">
        <v>65833.84</v>
      </c>
      <c r="G90" s="130">
        <v>86867.55</v>
      </c>
      <c r="H90" s="130">
        <v>9737.8700000000008</v>
      </c>
      <c r="I90" s="123"/>
    </row>
    <row r="91" spans="1:9" ht="14.45" customHeight="1" thickBot="1" x14ac:dyDescent="0.3">
      <c r="A91" s="124">
        <v>77</v>
      </c>
      <c r="B91" s="125" t="s">
        <v>296</v>
      </c>
      <c r="C91" s="126">
        <f t="shared" ref="C91:H91" si="19">+C92+C93</f>
        <v>1681.31</v>
      </c>
      <c r="D91" s="126">
        <f t="shared" si="19"/>
        <v>59500.759999999995</v>
      </c>
      <c r="E91" s="126">
        <f t="shared" si="19"/>
        <v>24752.42</v>
      </c>
      <c r="F91" s="126">
        <f t="shared" si="19"/>
        <v>59461.75</v>
      </c>
      <c r="G91" s="126">
        <f t="shared" si="19"/>
        <v>24295.43</v>
      </c>
      <c r="H91" s="126">
        <f t="shared" si="19"/>
        <v>29774.36</v>
      </c>
      <c r="I91" s="123"/>
    </row>
    <row r="92" spans="1:9" ht="14.45" customHeight="1" thickBot="1" x14ac:dyDescent="0.3">
      <c r="A92" s="133">
        <v>77.010000000000005</v>
      </c>
      <c r="B92" s="134" t="s">
        <v>297</v>
      </c>
      <c r="C92" s="129">
        <v>0</v>
      </c>
      <c r="D92" s="138">
        <v>31530.05</v>
      </c>
      <c r="E92" s="138">
        <v>2466.1</v>
      </c>
      <c r="F92" s="138">
        <v>33005.19</v>
      </c>
      <c r="G92" s="138">
        <v>3205.13</v>
      </c>
      <c r="H92" s="130">
        <v>2591.7600000000002</v>
      </c>
      <c r="I92" s="123"/>
    </row>
    <row r="93" spans="1:9" ht="14.45" customHeight="1" thickBot="1" x14ac:dyDescent="0.3">
      <c r="A93" s="133">
        <v>7702</v>
      </c>
      <c r="B93" s="134" t="s">
        <v>271</v>
      </c>
      <c r="C93" s="129">
        <v>1681.31</v>
      </c>
      <c r="D93" s="130">
        <v>27970.71</v>
      </c>
      <c r="E93" s="130">
        <v>22286.32</v>
      </c>
      <c r="F93" s="130">
        <v>26456.560000000001</v>
      </c>
      <c r="G93" s="130">
        <v>21090.3</v>
      </c>
      <c r="H93" s="130">
        <v>27182.6</v>
      </c>
      <c r="I93" s="123"/>
    </row>
    <row r="94" spans="1:9" ht="14.45" customHeight="1" thickBot="1" x14ac:dyDescent="0.3">
      <c r="A94" s="146">
        <v>78</v>
      </c>
      <c r="B94" s="147" t="s">
        <v>298</v>
      </c>
      <c r="C94" s="148"/>
      <c r="D94" s="149">
        <f>+D95</f>
        <v>6000</v>
      </c>
      <c r="E94" s="149">
        <f>+E95</f>
        <v>42152.99</v>
      </c>
      <c r="F94" s="149">
        <f>+F95</f>
        <v>59099.74</v>
      </c>
      <c r="G94" s="149">
        <f>+G95</f>
        <v>58203.27</v>
      </c>
      <c r="H94" s="149">
        <f>+H95</f>
        <v>63501.11</v>
      </c>
      <c r="I94" s="123"/>
    </row>
    <row r="95" spans="1:9" ht="14.45" customHeight="1" thickBot="1" x14ac:dyDescent="0.3">
      <c r="A95" s="133">
        <v>7801</v>
      </c>
      <c r="B95" s="134" t="s">
        <v>299</v>
      </c>
      <c r="C95" s="129"/>
      <c r="D95" s="130">
        <v>6000</v>
      </c>
      <c r="E95" s="130">
        <v>42152.99</v>
      </c>
      <c r="F95" s="130">
        <v>59099.74</v>
      </c>
      <c r="G95" s="130">
        <v>58203.27</v>
      </c>
      <c r="H95" s="130">
        <v>63501.11</v>
      </c>
      <c r="I95" s="123"/>
    </row>
    <row r="96" spans="1:9" ht="14.45" customHeight="1" thickBot="1" x14ac:dyDescent="0.3">
      <c r="A96" s="124">
        <v>84</v>
      </c>
      <c r="B96" s="125" t="s">
        <v>300</v>
      </c>
      <c r="C96" s="126">
        <f t="shared" ref="C96:H96" si="20">+C97+C98+C99</f>
        <v>27217.15</v>
      </c>
      <c r="D96" s="126">
        <f t="shared" si="20"/>
        <v>134693.06</v>
      </c>
      <c r="E96" s="126">
        <f t="shared" si="20"/>
        <v>30396.48</v>
      </c>
      <c r="F96" s="126">
        <f t="shared" si="20"/>
        <v>31093.360000000001</v>
      </c>
      <c r="G96" s="126">
        <f t="shared" si="20"/>
        <v>11481.32</v>
      </c>
      <c r="H96" s="126">
        <f t="shared" si="20"/>
        <v>15259.39</v>
      </c>
      <c r="I96" s="123"/>
    </row>
    <row r="97" spans="1:9" ht="14.45" customHeight="1" thickBot="1" x14ac:dyDescent="0.3">
      <c r="A97" s="127">
        <v>8401</v>
      </c>
      <c r="B97" s="128" t="s">
        <v>301</v>
      </c>
      <c r="C97" s="129">
        <v>27217.15</v>
      </c>
      <c r="D97" s="130">
        <v>105511.97</v>
      </c>
      <c r="E97" s="130">
        <v>27879.42</v>
      </c>
      <c r="F97" s="130">
        <v>19033.560000000001</v>
      </c>
      <c r="G97" s="130">
        <v>11481.32</v>
      </c>
      <c r="H97" s="130">
        <v>13143.39</v>
      </c>
      <c r="I97" s="123"/>
    </row>
    <row r="98" spans="1:9" ht="14.45" customHeight="1" thickBot="1" x14ac:dyDescent="0.3">
      <c r="A98" s="127">
        <v>8402</v>
      </c>
      <c r="B98" s="128" t="s">
        <v>302</v>
      </c>
      <c r="C98" s="150">
        <v>0</v>
      </c>
      <c r="D98" s="151"/>
      <c r="E98" s="151"/>
      <c r="F98" s="151"/>
      <c r="G98" s="151"/>
      <c r="H98" s="151">
        <v>2116</v>
      </c>
      <c r="I98" s="152"/>
    </row>
    <row r="99" spans="1:9" ht="14.45" customHeight="1" thickBot="1" x14ac:dyDescent="0.3">
      <c r="A99" s="127">
        <v>8403</v>
      </c>
      <c r="B99" s="128" t="s">
        <v>303</v>
      </c>
      <c r="C99" s="150">
        <v>0</v>
      </c>
      <c r="D99" s="151">
        <v>29181.09</v>
      </c>
      <c r="E99" s="153">
        <v>2517.06</v>
      </c>
      <c r="F99" s="138">
        <v>12059.8</v>
      </c>
      <c r="G99" s="153"/>
      <c r="H99" s="153"/>
      <c r="I99" s="154"/>
    </row>
    <row r="100" spans="1:9" ht="14.45" customHeight="1" thickBot="1" x14ac:dyDescent="0.3">
      <c r="A100" s="200" t="s">
        <v>304</v>
      </c>
      <c r="B100" s="200"/>
      <c r="C100" s="155">
        <f t="shared" ref="C100:H100" si="21">+C59-C68</f>
        <v>-1467741.1399999997</v>
      </c>
      <c r="D100" s="155">
        <f t="shared" si="21"/>
        <v>-510251.48</v>
      </c>
      <c r="E100" s="155">
        <f t="shared" si="21"/>
        <v>-556876.79999999981</v>
      </c>
      <c r="F100" s="155">
        <f t="shared" si="21"/>
        <v>-1024202.9300000006</v>
      </c>
      <c r="G100" s="155">
        <f t="shared" si="21"/>
        <v>-132822</v>
      </c>
      <c r="H100" s="155">
        <f t="shared" si="21"/>
        <v>91794.150000000373</v>
      </c>
      <c r="I100" s="123"/>
    </row>
    <row r="101" spans="1:9" ht="14.45" customHeight="1" thickBot="1" x14ac:dyDescent="0.3">
      <c r="A101" s="197" t="s">
        <v>305</v>
      </c>
      <c r="B101" s="197"/>
      <c r="C101" s="156">
        <f t="shared" ref="C101:H101" si="22">+C58+C100</f>
        <v>-995033.8199999996</v>
      </c>
      <c r="D101" s="156">
        <f t="shared" si="22"/>
        <v>104537.78000000003</v>
      </c>
      <c r="E101" s="156">
        <f t="shared" si="22"/>
        <v>214765.00000000058</v>
      </c>
      <c r="F101" s="156">
        <f t="shared" si="22"/>
        <v>-224208.50000000012</v>
      </c>
      <c r="G101" s="156">
        <f t="shared" si="22"/>
        <v>596255.96</v>
      </c>
      <c r="H101" s="156">
        <f t="shared" si="22"/>
        <v>640903.26000000036</v>
      </c>
      <c r="I101" s="123"/>
    </row>
    <row r="102" spans="1:9" ht="14.45" customHeight="1" thickBot="1" x14ac:dyDescent="0.3">
      <c r="A102" s="196" t="s">
        <v>306</v>
      </c>
      <c r="B102" s="196"/>
      <c r="C102" s="122">
        <f t="shared" ref="C102:H102" si="23">+C103+C105+C107</f>
        <v>1087587.0899999999</v>
      </c>
      <c r="D102" s="122">
        <f t="shared" si="23"/>
        <v>560839.11</v>
      </c>
      <c r="E102" s="122">
        <f t="shared" si="23"/>
        <v>849261.01</v>
      </c>
      <c r="F102" s="122">
        <f t="shared" si="23"/>
        <v>1085107.3399999999</v>
      </c>
      <c r="G102" s="122">
        <f t="shared" si="23"/>
        <v>584355.07000000007</v>
      </c>
      <c r="H102" s="122">
        <f t="shared" si="23"/>
        <v>1344699.65</v>
      </c>
      <c r="I102" s="123"/>
    </row>
    <row r="103" spans="1:9" ht="14.45" customHeight="1" thickBot="1" x14ac:dyDescent="0.3">
      <c r="A103" s="124">
        <v>36</v>
      </c>
      <c r="B103" s="125" t="s">
        <v>307</v>
      </c>
      <c r="C103" s="126">
        <f t="shared" ref="C103:H103" si="24">+C104</f>
        <v>292171.03999999998</v>
      </c>
      <c r="D103" s="126">
        <f t="shared" si="24"/>
        <v>154177.04999999999</v>
      </c>
      <c r="E103" s="126">
        <f t="shared" si="24"/>
        <v>254805.96</v>
      </c>
      <c r="F103" s="126">
        <f t="shared" si="24"/>
        <v>364761.27</v>
      </c>
      <c r="G103" s="126">
        <f t="shared" si="24"/>
        <v>44069.54</v>
      </c>
      <c r="H103" s="126">
        <f t="shared" si="24"/>
        <v>96846.34</v>
      </c>
      <c r="I103" s="123"/>
    </row>
    <row r="104" spans="1:9" ht="14.45" customHeight="1" thickBot="1" x14ac:dyDescent="0.3">
      <c r="A104" s="127">
        <v>3602</v>
      </c>
      <c r="B104" s="128" t="s">
        <v>307</v>
      </c>
      <c r="C104" s="129">
        <v>292171.03999999998</v>
      </c>
      <c r="D104" s="130">
        <v>154177.04999999999</v>
      </c>
      <c r="E104" s="130">
        <v>254805.96</v>
      </c>
      <c r="F104" s="130">
        <v>364761.27</v>
      </c>
      <c r="G104" s="130">
        <v>44069.54</v>
      </c>
      <c r="H104" s="130">
        <v>96846.34</v>
      </c>
      <c r="I104" s="123"/>
    </row>
    <row r="105" spans="1:9" ht="14.45" customHeight="1" thickBot="1" x14ac:dyDescent="0.3">
      <c r="A105" s="124">
        <v>37</v>
      </c>
      <c r="B105" s="125" t="s">
        <v>308</v>
      </c>
      <c r="C105" s="126">
        <f t="shared" ref="C105:H105" si="25">+C106</f>
        <v>116797.9</v>
      </c>
      <c r="D105" s="126">
        <f t="shared" si="25"/>
        <v>75773.67</v>
      </c>
      <c r="E105" s="126">
        <f t="shared" si="25"/>
        <v>53162.95</v>
      </c>
      <c r="F105" s="126">
        <f t="shared" si="25"/>
        <v>63044.85</v>
      </c>
      <c r="G105" s="126">
        <f t="shared" si="25"/>
        <v>107709.89</v>
      </c>
      <c r="H105" s="126">
        <f t="shared" si="25"/>
        <v>549980.67000000004</v>
      </c>
      <c r="I105" s="123"/>
    </row>
    <row r="106" spans="1:9" ht="14.45" customHeight="1" thickBot="1" x14ac:dyDescent="0.3">
      <c r="A106" s="127">
        <v>3701</v>
      </c>
      <c r="B106" s="128" t="s">
        <v>309</v>
      </c>
      <c r="C106" s="129">
        <v>116797.9</v>
      </c>
      <c r="D106" s="130">
        <v>75773.67</v>
      </c>
      <c r="E106" s="130">
        <v>53162.95</v>
      </c>
      <c r="F106" s="130">
        <v>63044.85</v>
      </c>
      <c r="G106" s="130">
        <v>107709.89</v>
      </c>
      <c r="H106" s="130">
        <v>549980.67000000004</v>
      </c>
      <c r="I106" s="123"/>
    </row>
    <row r="107" spans="1:9" ht="14.45" customHeight="1" thickBot="1" x14ac:dyDescent="0.3">
      <c r="A107" s="124">
        <v>38</v>
      </c>
      <c r="B107" s="125" t="s">
        <v>310</v>
      </c>
      <c r="C107" s="126">
        <f t="shared" ref="C107:H107" si="26">+C108</f>
        <v>678618.15</v>
      </c>
      <c r="D107" s="126">
        <f t="shared" si="26"/>
        <v>330888.39</v>
      </c>
      <c r="E107" s="126">
        <f t="shared" si="26"/>
        <v>541292.1</v>
      </c>
      <c r="F107" s="126">
        <f t="shared" si="26"/>
        <v>657301.22</v>
      </c>
      <c r="G107" s="126">
        <f t="shared" si="26"/>
        <v>432575.64</v>
      </c>
      <c r="H107" s="126">
        <f t="shared" si="26"/>
        <v>697872.64</v>
      </c>
      <c r="I107" s="123"/>
    </row>
    <row r="108" spans="1:9" ht="14.45" customHeight="1" thickBot="1" x14ac:dyDescent="0.3">
      <c r="A108" s="127">
        <v>3801</v>
      </c>
      <c r="B108" s="128" t="s">
        <v>310</v>
      </c>
      <c r="C108" s="129">
        <v>678618.15</v>
      </c>
      <c r="D108" s="138">
        <v>330888.39</v>
      </c>
      <c r="E108" s="138">
        <v>541292.1</v>
      </c>
      <c r="F108" s="138">
        <v>657301.22</v>
      </c>
      <c r="G108" s="138">
        <v>432575.64</v>
      </c>
      <c r="H108" s="138">
        <v>697872.64</v>
      </c>
      <c r="I108" s="123"/>
    </row>
    <row r="109" spans="1:9" ht="14.45" customHeight="1" thickBot="1" x14ac:dyDescent="0.3">
      <c r="A109" s="196" t="s">
        <v>311</v>
      </c>
      <c r="B109" s="196"/>
      <c r="C109" s="122">
        <f t="shared" ref="C109:H109" si="27">+C110+C112</f>
        <v>378085.73</v>
      </c>
      <c r="D109" s="122">
        <f t="shared" si="27"/>
        <v>935047.67999999993</v>
      </c>
      <c r="E109" s="122">
        <f t="shared" si="27"/>
        <v>935696.99</v>
      </c>
      <c r="F109" s="122">
        <f t="shared" si="27"/>
        <v>514146.44</v>
      </c>
      <c r="G109" s="122">
        <f t="shared" si="27"/>
        <v>450780.30000000005</v>
      </c>
      <c r="H109" s="122">
        <f t="shared" si="27"/>
        <v>490911.83999999997</v>
      </c>
      <c r="I109" s="157"/>
    </row>
    <row r="110" spans="1:9" ht="14.45" customHeight="1" thickBot="1" x14ac:dyDescent="0.3">
      <c r="A110" s="124">
        <v>96</v>
      </c>
      <c r="B110" s="125" t="s">
        <v>312</v>
      </c>
      <c r="C110" s="126">
        <f t="shared" ref="C110:H110" si="28">+C111</f>
        <v>208084.35</v>
      </c>
      <c r="D110" s="126">
        <f t="shared" si="28"/>
        <v>252065.47</v>
      </c>
      <c r="E110" s="126">
        <f t="shared" si="28"/>
        <v>240111.86</v>
      </c>
      <c r="F110" s="126">
        <f t="shared" si="28"/>
        <v>194093.31</v>
      </c>
      <c r="G110" s="126">
        <f t="shared" si="28"/>
        <v>209155.17</v>
      </c>
      <c r="H110" s="126">
        <f t="shared" si="28"/>
        <v>186289.41</v>
      </c>
      <c r="I110" s="123"/>
    </row>
    <row r="111" spans="1:9" ht="14.45" customHeight="1" thickBot="1" x14ac:dyDescent="0.3">
      <c r="A111" s="127">
        <v>9602</v>
      </c>
      <c r="B111" s="128" t="s">
        <v>313</v>
      </c>
      <c r="C111" s="129">
        <v>208084.35</v>
      </c>
      <c r="D111" s="138">
        <v>252065.47</v>
      </c>
      <c r="E111" s="138">
        <v>240111.86</v>
      </c>
      <c r="F111" s="138">
        <v>194093.31</v>
      </c>
      <c r="G111" s="138">
        <v>209155.17</v>
      </c>
      <c r="H111" s="138">
        <v>186289.41</v>
      </c>
      <c r="I111" s="123"/>
    </row>
    <row r="112" spans="1:9" ht="14.45" customHeight="1" thickBot="1" x14ac:dyDescent="0.3">
      <c r="A112" s="124">
        <v>97</v>
      </c>
      <c r="B112" s="125" t="s">
        <v>314</v>
      </c>
      <c r="C112" s="126">
        <f t="shared" ref="C112:H112" si="29">+C113</f>
        <v>170001.38</v>
      </c>
      <c r="D112" s="126">
        <f t="shared" si="29"/>
        <v>682982.21</v>
      </c>
      <c r="E112" s="126">
        <f t="shared" si="29"/>
        <v>695585.13</v>
      </c>
      <c r="F112" s="126">
        <f t="shared" si="29"/>
        <v>320053.13</v>
      </c>
      <c r="G112" s="126">
        <f t="shared" si="29"/>
        <v>241625.13</v>
      </c>
      <c r="H112" s="126">
        <f t="shared" si="29"/>
        <v>304622.43</v>
      </c>
      <c r="I112" s="123"/>
    </row>
    <row r="113" spans="1:9" ht="14.45" customHeight="1" thickBot="1" x14ac:dyDescent="0.3">
      <c r="A113" s="127">
        <v>9701</v>
      </c>
      <c r="B113" s="128" t="s">
        <v>315</v>
      </c>
      <c r="C113" s="129">
        <v>170001.38</v>
      </c>
      <c r="D113" s="130">
        <v>682982.21</v>
      </c>
      <c r="E113" s="130">
        <v>695585.13</v>
      </c>
      <c r="F113" s="130">
        <v>320053.13</v>
      </c>
      <c r="G113" s="130">
        <v>241625.13</v>
      </c>
      <c r="H113" s="130">
        <v>304622.43</v>
      </c>
      <c r="I113" s="123"/>
    </row>
    <row r="114" spans="1:9" ht="14.45" customHeight="1" thickBot="1" x14ac:dyDescent="0.3">
      <c r="A114" s="197" t="s">
        <v>316</v>
      </c>
      <c r="B114" s="197"/>
      <c r="C114" s="156">
        <f t="shared" ref="C114:H114" si="30">+C102-C109</f>
        <v>709501.35999999987</v>
      </c>
      <c r="D114" s="156">
        <f t="shared" si="30"/>
        <v>-374208.56999999995</v>
      </c>
      <c r="E114" s="156">
        <f t="shared" si="30"/>
        <v>-86435.979999999981</v>
      </c>
      <c r="F114" s="156">
        <f t="shared" si="30"/>
        <v>570960.89999999991</v>
      </c>
      <c r="G114" s="156">
        <f t="shared" si="30"/>
        <v>133574.77000000002</v>
      </c>
      <c r="H114" s="156">
        <f t="shared" si="30"/>
        <v>853787.80999999994</v>
      </c>
      <c r="I114" s="158"/>
    </row>
    <row r="115" spans="1:9" ht="14.45" customHeight="1" thickBot="1" x14ac:dyDescent="0.3">
      <c r="A115" s="198" t="s">
        <v>317</v>
      </c>
      <c r="B115" s="198"/>
      <c r="C115" s="159">
        <v>-285532.46000000002</v>
      </c>
      <c r="D115" s="159">
        <v>-269670.78999999998</v>
      </c>
      <c r="E115" s="159">
        <v>128329.02</v>
      </c>
      <c r="F115" s="159">
        <v>346752.4</v>
      </c>
      <c r="G115" s="159">
        <v>729830.73</v>
      </c>
      <c r="H115" s="159">
        <v>1494691.07</v>
      </c>
      <c r="I115" s="160"/>
    </row>
    <row r="116" spans="1:9" ht="14.45" customHeight="1" x14ac:dyDescent="0.25">
      <c r="D116" s="81"/>
      <c r="E116" s="78"/>
      <c r="F116" s="79"/>
      <c r="G116" s="81"/>
      <c r="H116" s="78"/>
      <c r="I116" s="79"/>
    </row>
    <row r="117" spans="1:9" ht="14.45" customHeight="1" x14ac:dyDescent="0.25">
      <c r="A117" s="168"/>
      <c r="B117" s="168"/>
      <c r="C117" s="168"/>
      <c r="D117" s="168"/>
      <c r="E117" s="168"/>
      <c r="F117" s="168"/>
      <c r="G117" s="168"/>
      <c r="H117" s="168"/>
      <c r="I117" s="168"/>
    </row>
    <row r="118" spans="1:9" ht="14.45" customHeight="1" x14ac:dyDescent="0.25">
      <c r="A118" s="168"/>
      <c r="B118" s="168"/>
      <c r="C118" s="168"/>
      <c r="D118" s="168"/>
      <c r="E118" s="168"/>
      <c r="F118" s="168"/>
      <c r="G118" s="168"/>
      <c r="H118" s="168"/>
      <c r="I118" s="168"/>
    </row>
    <row r="119" spans="1:9" ht="14.45" customHeight="1" x14ac:dyDescent="0.25">
      <c r="A119" s="168" t="s">
        <v>318</v>
      </c>
      <c r="B119" s="168"/>
      <c r="C119" s="168"/>
      <c r="D119" s="168" t="s">
        <v>319</v>
      </c>
      <c r="E119" s="168"/>
      <c r="F119" s="168"/>
      <c r="G119" s="168"/>
      <c r="H119" s="168"/>
      <c r="I119" s="168"/>
    </row>
    <row r="120" spans="1:9" ht="14.45" customHeight="1" x14ac:dyDescent="0.25">
      <c r="A120" s="168" t="s">
        <v>320</v>
      </c>
      <c r="B120" s="168"/>
      <c r="C120" s="168"/>
      <c r="D120" s="168" t="s">
        <v>189</v>
      </c>
      <c r="E120" s="168"/>
      <c r="F120" s="168"/>
      <c r="G120" s="168"/>
      <c r="H120" s="168"/>
      <c r="I120" s="168"/>
    </row>
    <row r="121" spans="1:9" ht="14.45" customHeight="1" x14ac:dyDescent="0.25"/>
    <row r="122" spans="1:9" ht="14.45" customHeight="1" x14ac:dyDescent="0.25">
      <c r="A122" s="161"/>
      <c r="B122" s="95"/>
      <c r="C122" s="95"/>
      <c r="D122" s="95"/>
      <c r="E122" s="95"/>
      <c r="F122" s="95"/>
      <c r="G122" s="95"/>
      <c r="H122" s="95"/>
      <c r="I122" s="95"/>
    </row>
    <row r="123" spans="1:9" ht="14.45" customHeight="1" x14ac:dyDescent="0.25">
      <c r="A123" s="161"/>
      <c r="B123" s="95"/>
      <c r="C123" s="162" t="s">
        <v>321</v>
      </c>
      <c r="D123" s="162"/>
      <c r="E123" s="162"/>
      <c r="G123" s="95"/>
      <c r="H123" s="95"/>
      <c r="I123" s="95"/>
    </row>
    <row r="124" spans="1:9" ht="14.45" customHeight="1" x14ac:dyDescent="0.25">
      <c r="A124" s="161"/>
      <c r="B124" s="95"/>
      <c r="C124" s="81" t="s">
        <v>322</v>
      </c>
      <c r="D124" s="78"/>
      <c r="E124" s="79"/>
      <c r="G124" s="95"/>
      <c r="H124" s="95"/>
      <c r="I124" s="95"/>
    </row>
    <row r="125" spans="1:9" ht="14.45" customHeight="1" x14ac:dyDescent="0.25"/>
    <row r="126" spans="1:9" ht="14.45" customHeight="1" x14ac:dyDescent="0.25">
      <c r="A126" s="166" t="s">
        <v>190</v>
      </c>
      <c r="B126" s="166"/>
      <c r="C126" s="166"/>
      <c r="D126" s="166"/>
      <c r="E126" s="166"/>
      <c r="F126" s="166"/>
      <c r="G126" s="166"/>
      <c r="H126" s="166"/>
      <c r="I126" s="166"/>
    </row>
  </sheetData>
  <mergeCells count="29">
    <mergeCell ref="A6:I6"/>
    <mergeCell ref="A1:I1"/>
    <mergeCell ref="A2:I2"/>
    <mergeCell ref="A3:I3"/>
    <mergeCell ref="A4:I4"/>
    <mergeCell ref="A5:I5"/>
    <mergeCell ref="A101:B101"/>
    <mergeCell ref="A7:I7"/>
    <mergeCell ref="A8:B8"/>
    <mergeCell ref="C8:E8"/>
    <mergeCell ref="F8:H8"/>
    <mergeCell ref="I8:I9"/>
    <mergeCell ref="A10:B10"/>
    <mergeCell ref="A31:B31"/>
    <mergeCell ref="A58:B58"/>
    <mergeCell ref="A59:B59"/>
    <mergeCell ref="A68:B68"/>
    <mergeCell ref="A100:B100"/>
    <mergeCell ref="A102:B102"/>
    <mergeCell ref="A109:B109"/>
    <mergeCell ref="A114:B114"/>
    <mergeCell ref="A115:B115"/>
    <mergeCell ref="A120:C120"/>
    <mergeCell ref="D120:I120"/>
    <mergeCell ref="A126:I126"/>
    <mergeCell ref="A117:I117"/>
    <mergeCell ref="A118:I118"/>
    <mergeCell ref="A119:C119"/>
    <mergeCell ref="D119:I119"/>
  </mergeCells>
  <pageMargins left="0.7" right="0.7" top="0.75" bottom="0.75" header="0.3" footer="0.3"/>
  <pageSetup paperSize="9" scale="8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FORMULARIO 1</vt:lpstr>
      <vt:lpstr>FORMULARIO 2</vt:lpstr>
      <vt:lpstr>FORMULARIO 3</vt:lpstr>
      <vt:lpstr>ANEXO F3-AÑO 2016</vt:lpstr>
      <vt:lpstr>ANEXO F3 AÑO 2017</vt:lpstr>
      <vt:lpstr>ANEXO F3 AÑO2018</vt:lpstr>
      <vt:lpstr>FORMULARIO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GADG</dc:creator>
  <cp:lastModifiedBy>PC</cp:lastModifiedBy>
  <cp:lastPrinted>2021-09-15T16:27:34Z</cp:lastPrinted>
  <dcterms:created xsi:type="dcterms:W3CDTF">2021-09-10T15:50:42Z</dcterms:created>
  <dcterms:modified xsi:type="dcterms:W3CDTF">2021-09-15T16:28:14Z</dcterms:modified>
</cp:coreProperties>
</file>