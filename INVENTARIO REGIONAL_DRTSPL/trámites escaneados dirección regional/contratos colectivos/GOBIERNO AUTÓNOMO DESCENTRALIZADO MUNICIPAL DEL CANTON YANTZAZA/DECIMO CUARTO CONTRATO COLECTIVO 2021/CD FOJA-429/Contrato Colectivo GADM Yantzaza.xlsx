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GADS\Yantzaza\"/>
    </mc:Choice>
  </mc:AlternateContent>
  <xr:revisionPtr revIDLastSave="0" documentId="13_ncr:1_{2977CCBA-57C3-45EC-A9AC-45A5DC33E2BD}" xr6:coauthVersionLast="40" xr6:coauthVersionMax="40" xr10:uidLastSave="{00000000-0000-0000-0000-000000000000}"/>
  <bookViews>
    <workbookView xWindow="0" yWindow="0" windowWidth="20490" windowHeight="6945" activeTab="4" xr2:uid="{00000000-000D-0000-FFFF-FFFF00000000}"/>
  </bookViews>
  <sheets>
    <sheet name="FORMULARIO 1" sheetId="1" r:id="rId1"/>
    <sheet name="FORMULARIO 2" sheetId="2" r:id="rId2"/>
    <sheet name="CERTIFICACION" sheetId="3" r:id="rId3"/>
    <sheet name="FORMULARIO 3" sheetId="4" r:id="rId4"/>
    <sheet name="FORMULARIO 4" sheetId="5" r:id="rId5"/>
  </sheets>
  <definedNames>
    <definedName name="_xlnm._FilterDatabase" localSheetId="3" hidden="1">'FORMULARIO 3'!$A$11:$K$92</definedName>
    <definedName name="Excel_BuiltIn__FilterDatabase_4">#REF!</definedName>
    <definedName name="Excel_BuiltIn_Print_Area_4_1">#REF!</definedName>
    <definedName name="OLE_LINK1_4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9" i="5" l="1"/>
  <c r="G123" i="5"/>
  <c r="F123" i="5"/>
  <c r="I122" i="5"/>
  <c r="J122" i="5" s="1"/>
  <c r="K122" i="5" s="1"/>
  <c r="L122" i="5" s="1"/>
  <c r="L121" i="5"/>
  <c r="I121" i="5"/>
  <c r="J121" i="5" s="1"/>
  <c r="K121" i="5" s="1"/>
  <c r="I120" i="5"/>
  <c r="H119" i="5"/>
  <c r="G119" i="5"/>
  <c r="F119" i="5"/>
  <c r="E119" i="5"/>
  <c r="D119" i="5"/>
  <c r="C119" i="5"/>
  <c r="K118" i="5"/>
  <c r="L118" i="5" s="1"/>
  <c r="J118" i="5"/>
  <c r="I118" i="5"/>
  <c r="K117" i="5"/>
  <c r="L117" i="5" s="1"/>
  <c r="J117" i="5"/>
  <c r="I117" i="5"/>
  <c r="J116" i="5"/>
  <c r="I116" i="5"/>
  <c r="I115" i="5"/>
  <c r="H115" i="5"/>
  <c r="H123" i="5" s="1"/>
  <c r="G115" i="5"/>
  <c r="F115" i="5"/>
  <c r="E115" i="5"/>
  <c r="E123" i="5" s="1"/>
  <c r="D115" i="5"/>
  <c r="D123" i="5" s="1"/>
  <c r="C115" i="5"/>
  <c r="C123" i="5" s="1"/>
  <c r="C113" i="5"/>
  <c r="L112" i="5"/>
  <c r="I112" i="5"/>
  <c r="J112" i="5" s="1"/>
  <c r="K112" i="5" s="1"/>
  <c r="I111" i="5"/>
  <c r="H110" i="5"/>
  <c r="G110" i="5"/>
  <c r="F110" i="5"/>
  <c r="E110" i="5"/>
  <c r="D110" i="5"/>
  <c r="C110" i="5"/>
  <c r="K109" i="5"/>
  <c r="L109" i="5" s="1"/>
  <c r="J109" i="5"/>
  <c r="I109" i="5"/>
  <c r="J108" i="5"/>
  <c r="J107" i="5" s="1"/>
  <c r="I108" i="5"/>
  <c r="I107" i="5"/>
  <c r="H107" i="5"/>
  <c r="G107" i="5"/>
  <c r="F107" i="5"/>
  <c r="E107" i="5"/>
  <c r="D107" i="5"/>
  <c r="C107" i="5"/>
  <c r="L106" i="5"/>
  <c r="I106" i="5"/>
  <c r="J106" i="5" s="1"/>
  <c r="K106" i="5" s="1"/>
  <c r="I105" i="5"/>
  <c r="J105" i="5" s="1"/>
  <c r="K105" i="5" s="1"/>
  <c r="L105" i="5" s="1"/>
  <c r="I104" i="5"/>
  <c r="H103" i="5"/>
  <c r="H70" i="5" s="1"/>
  <c r="G103" i="5"/>
  <c r="F103" i="5"/>
  <c r="E103" i="5"/>
  <c r="D103" i="5"/>
  <c r="C103" i="5"/>
  <c r="J102" i="5"/>
  <c r="K102" i="5" s="1"/>
  <c r="L102" i="5" s="1"/>
  <c r="I102" i="5"/>
  <c r="K101" i="5"/>
  <c r="L101" i="5" s="1"/>
  <c r="J101" i="5"/>
  <c r="I101" i="5"/>
  <c r="J100" i="5"/>
  <c r="K100" i="5" s="1"/>
  <c r="I100" i="5"/>
  <c r="J99" i="5"/>
  <c r="I99" i="5"/>
  <c r="H99" i="5"/>
  <c r="G99" i="5"/>
  <c r="F99" i="5"/>
  <c r="E99" i="5"/>
  <c r="D99" i="5"/>
  <c r="C99" i="5"/>
  <c r="L98" i="5"/>
  <c r="I98" i="5"/>
  <c r="J98" i="5" s="1"/>
  <c r="K98" i="5" s="1"/>
  <c r="I97" i="5"/>
  <c r="J97" i="5" s="1"/>
  <c r="K97" i="5" s="1"/>
  <c r="L97" i="5" s="1"/>
  <c r="I96" i="5"/>
  <c r="J96" i="5" s="1"/>
  <c r="K96" i="5" s="1"/>
  <c r="L96" i="5" s="1"/>
  <c r="I95" i="5"/>
  <c r="J95" i="5" s="1"/>
  <c r="K95" i="5" s="1"/>
  <c r="L95" i="5" s="1"/>
  <c r="I94" i="5"/>
  <c r="J94" i="5" s="1"/>
  <c r="K94" i="5" s="1"/>
  <c r="L94" i="5" s="1"/>
  <c r="I93" i="5"/>
  <c r="J93" i="5" s="1"/>
  <c r="K93" i="5" s="1"/>
  <c r="L93" i="5" s="1"/>
  <c r="I92" i="5"/>
  <c r="J92" i="5" s="1"/>
  <c r="K92" i="5" s="1"/>
  <c r="L92" i="5" s="1"/>
  <c r="I91" i="5"/>
  <c r="J91" i="5" s="1"/>
  <c r="K91" i="5" s="1"/>
  <c r="L91" i="5" s="1"/>
  <c r="L90" i="5"/>
  <c r="I90" i="5"/>
  <c r="J90" i="5" s="1"/>
  <c r="K90" i="5" s="1"/>
  <c r="I89" i="5"/>
  <c r="J89" i="5" s="1"/>
  <c r="I88" i="5"/>
  <c r="H88" i="5"/>
  <c r="G88" i="5"/>
  <c r="F88" i="5"/>
  <c r="E88" i="5"/>
  <c r="E70" i="5" s="1"/>
  <c r="D88" i="5"/>
  <c r="C88" i="5"/>
  <c r="J87" i="5"/>
  <c r="K87" i="5" s="1"/>
  <c r="L87" i="5" s="1"/>
  <c r="I87" i="5"/>
  <c r="J86" i="5"/>
  <c r="K86" i="5" s="1"/>
  <c r="L86" i="5" s="1"/>
  <c r="I86" i="5"/>
  <c r="J85" i="5"/>
  <c r="K85" i="5" s="1"/>
  <c r="L85" i="5" s="1"/>
  <c r="I85" i="5"/>
  <c r="K84" i="5"/>
  <c r="L84" i="5" s="1"/>
  <c r="J84" i="5"/>
  <c r="I84" i="5"/>
  <c r="J83" i="5"/>
  <c r="K83" i="5" s="1"/>
  <c r="L83" i="5" s="1"/>
  <c r="I83" i="5"/>
  <c r="J82" i="5"/>
  <c r="K82" i="5" s="1"/>
  <c r="L82" i="5" s="1"/>
  <c r="I82" i="5"/>
  <c r="J81" i="5"/>
  <c r="K81" i="5" s="1"/>
  <c r="L81" i="5" s="1"/>
  <c r="I81" i="5"/>
  <c r="K80" i="5"/>
  <c r="L80" i="5" s="1"/>
  <c r="J80" i="5"/>
  <c r="I80" i="5"/>
  <c r="J79" i="5"/>
  <c r="K79" i="5" s="1"/>
  <c r="L79" i="5" s="1"/>
  <c r="I79" i="5"/>
  <c r="J78" i="5"/>
  <c r="K78" i="5" s="1"/>
  <c r="L78" i="5" s="1"/>
  <c r="I78" i="5"/>
  <c r="J77" i="5"/>
  <c r="K77" i="5" s="1"/>
  <c r="L77" i="5" s="1"/>
  <c r="I77" i="5"/>
  <c r="K76" i="5"/>
  <c r="L76" i="5" s="1"/>
  <c r="J76" i="5"/>
  <c r="I76" i="5"/>
  <c r="J75" i="5"/>
  <c r="K75" i="5" s="1"/>
  <c r="L75" i="5" s="1"/>
  <c r="I75" i="5"/>
  <c r="J74" i="5"/>
  <c r="K74" i="5" s="1"/>
  <c r="L74" i="5" s="1"/>
  <c r="I74" i="5"/>
  <c r="J73" i="5"/>
  <c r="K73" i="5" s="1"/>
  <c r="L73" i="5" s="1"/>
  <c r="I73" i="5"/>
  <c r="K72" i="5"/>
  <c r="L72" i="5" s="1"/>
  <c r="J72" i="5"/>
  <c r="I72" i="5"/>
  <c r="I71" i="5"/>
  <c r="H71" i="5"/>
  <c r="G71" i="5"/>
  <c r="G70" i="5" s="1"/>
  <c r="F71" i="5"/>
  <c r="F70" i="5" s="1"/>
  <c r="E71" i="5"/>
  <c r="D71" i="5"/>
  <c r="C71" i="5"/>
  <c r="C70" i="5" s="1"/>
  <c r="D70" i="5"/>
  <c r="J69" i="5"/>
  <c r="K69" i="5" s="1"/>
  <c r="L69" i="5" s="1"/>
  <c r="I69" i="5"/>
  <c r="K68" i="5"/>
  <c r="L68" i="5" s="1"/>
  <c r="J68" i="5"/>
  <c r="I68" i="5"/>
  <c r="K67" i="5"/>
  <c r="L67" i="5" s="1"/>
  <c r="J67" i="5"/>
  <c r="I67" i="5"/>
  <c r="J66" i="5"/>
  <c r="K66" i="5" s="1"/>
  <c r="L66" i="5" s="1"/>
  <c r="I66" i="5"/>
  <c r="J65" i="5"/>
  <c r="K65" i="5" s="1"/>
  <c r="L65" i="5" s="1"/>
  <c r="I65" i="5"/>
  <c r="K64" i="5"/>
  <c r="L64" i="5" s="1"/>
  <c r="J64" i="5"/>
  <c r="I64" i="5"/>
  <c r="J63" i="5"/>
  <c r="J62" i="5" s="1"/>
  <c r="I63" i="5"/>
  <c r="I62" i="5"/>
  <c r="H62" i="5"/>
  <c r="G62" i="5"/>
  <c r="G60" i="5" s="1"/>
  <c r="G113" i="5" s="1"/>
  <c r="F62" i="5"/>
  <c r="F60" i="5" s="1"/>
  <c r="E62" i="5"/>
  <c r="D62" i="5"/>
  <c r="C62" i="5"/>
  <c r="C60" i="5" s="1"/>
  <c r="I61" i="5"/>
  <c r="H60" i="5"/>
  <c r="H113" i="5" s="1"/>
  <c r="E60" i="5"/>
  <c r="D60" i="5"/>
  <c r="L58" i="5"/>
  <c r="I58" i="5"/>
  <c r="J58" i="5" s="1"/>
  <c r="K58" i="5" s="1"/>
  <c r="I57" i="5"/>
  <c r="J57" i="5" s="1"/>
  <c r="I56" i="5"/>
  <c r="H56" i="5"/>
  <c r="G56" i="5"/>
  <c r="F56" i="5"/>
  <c r="E56" i="5"/>
  <c r="D56" i="5"/>
  <c r="C56" i="5"/>
  <c r="J55" i="5"/>
  <c r="K55" i="5" s="1"/>
  <c r="L55" i="5" s="1"/>
  <c r="I55" i="5"/>
  <c r="J54" i="5"/>
  <c r="I54" i="5"/>
  <c r="I53" i="5"/>
  <c r="H53" i="5"/>
  <c r="G53" i="5"/>
  <c r="F53" i="5"/>
  <c r="E53" i="5"/>
  <c r="D53" i="5"/>
  <c r="C53" i="5"/>
  <c r="I52" i="5"/>
  <c r="J52" i="5" s="1"/>
  <c r="K52" i="5" s="1"/>
  <c r="L52" i="5" s="1"/>
  <c r="I51" i="5"/>
  <c r="J51" i="5" s="1"/>
  <c r="H50" i="5"/>
  <c r="G50" i="5"/>
  <c r="F50" i="5"/>
  <c r="E50" i="5"/>
  <c r="D50" i="5"/>
  <c r="C50" i="5"/>
  <c r="J49" i="5"/>
  <c r="K49" i="5" s="1"/>
  <c r="L49" i="5" s="1"/>
  <c r="I49" i="5"/>
  <c r="K48" i="5"/>
  <c r="L48" i="5" s="1"/>
  <c r="J48" i="5"/>
  <c r="I48" i="5"/>
  <c r="J47" i="5"/>
  <c r="K47" i="5" s="1"/>
  <c r="L47" i="5" s="1"/>
  <c r="I47" i="5"/>
  <c r="J46" i="5"/>
  <c r="K46" i="5" s="1"/>
  <c r="L46" i="5" s="1"/>
  <c r="I46" i="5"/>
  <c r="J45" i="5"/>
  <c r="K45" i="5" s="1"/>
  <c r="L45" i="5" s="1"/>
  <c r="I45" i="5"/>
  <c r="K44" i="5"/>
  <c r="L44" i="5" s="1"/>
  <c r="J44" i="5"/>
  <c r="I44" i="5"/>
  <c r="J43" i="5"/>
  <c r="K43" i="5" s="1"/>
  <c r="L43" i="5" s="1"/>
  <c r="I43" i="5"/>
  <c r="J42" i="5"/>
  <c r="K42" i="5" s="1"/>
  <c r="L42" i="5" s="1"/>
  <c r="I42" i="5"/>
  <c r="J41" i="5"/>
  <c r="K41" i="5" s="1"/>
  <c r="I41" i="5"/>
  <c r="I40" i="5"/>
  <c r="H40" i="5"/>
  <c r="G40" i="5"/>
  <c r="G22" i="5" s="1"/>
  <c r="F40" i="5"/>
  <c r="E40" i="5"/>
  <c r="D40" i="5"/>
  <c r="C40" i="5"/>
  <c r="C22" i="5" s="1"/>
  <c r="I39" i="5"/>
  <c r="J39" i="5" s="1"/>
  <c r="K39" i="5" s="1"/>
  <c r="L39" i="5" s="1"/>
  <c r="I38" i="5"/>
  <c r="J38" i="5" s="1"/>
  <c r="K38" i="5" s="1"/>
  <c r="L38" i="5" s="1"/>
  <c r="I37" i="5"/>
  <c r="J37" i="5" s="1"/>
  <c r="K37" i="5" s="1"/>
  <c r="L37" i="5" s="1"/>
  <c r="I36" i="5"/>
  <c r="J36" i="5" s="1"/>
  <c r="K36" i="5" s="1"/>
  <c r="L36" i="5" s="1"/>
  <c r="I35" i="5"/>
  <c r="J35" i="5" s="1"/>
  <c r="K35" i="5" s="1"/>
  <c r="L35" i="5" s="1"/>
  <c r="I34" i="5"/>
  <c r="J34" i="5" s="1"/>
  <c r="K34" i="5" s="1"/>
  <c r="L34" i="5" s="1"/>
  <c r="I33" i="5"/>
  <c r="J33" i="5" s="1"/>
  <c r="K33" i="5" s="1"/>
  <c r="L33" i="5" s="1"/>
  <c r="I32" i="5"/>
  <c r="J32" i="5" s="1"/>
  <c r="K32" i="5" s="1"/>
  <c r="L32" i="5" s="1"/>
  <c r="I31" i="5"/>
  <c r="J31" i="5" s="1"/>
  <c r="K31" i="5" s="1"/>
  <c r="L31" i="5" s="1"/>
  <c r="I30" i="5"/>
  <c r="J30" i="5" s="1"/>
  <c r="K30" i="5" s="1"/>
  <c r="L30" i="5" s="1"/>
  <c r="I29" i="5"/>
  <c r="J29" i="5" s="1"/>
  <c r="K29" i="5" s="1"/>
  <c r="L29" i="5" s="1"/>
  <c r="I28" i="5"/>
  <c r="J28" i="5" s="1"/>
  <c r="K28" i="5" s="1"/>
  <c r="L28" i="5" s="1"/>
  <c r="I27" i="5"/>
  <c r="J27" i="5" s="1"/>
  <c r="K27" i="5" s="1"/>
  <c r="L27" i="5" s="1"/>
  <c r="I26" i="5"/>
  <c r="J26" i="5" s="1"/>
  <c r="K26" i="5" s="1"/>
  <c r="L26" i="5" s="1"/>
  <c r="I25" i="5"/>
  <c r="J25" i="5" s="1"/>
  <c r="K25" i="5" s="1"/>
  <c r="L25" i="5" s="1"/>
  <c r="I24" i="5"/>
  <c r="J24" i="5" s="1"/>
  <c r="H23" i="5"/>
  <c r="H22" i="5" s="1"/>
  <c r="G23" i="5"/>
  <c r="F23" i="5"/>
  <c r="E23" i="5"/>
  <c r="D23" i="5"/>
  <c r="D22" i="5" s="1"/>
  <c r="C23" i="5"/>
  <c r="F22" i="5"/>
  <c r="I21" i="5"/>
  <c r="J21" i="5" s="1"/>
  <c r="H20" i="5"/>
  <c r="G20" i="5"/>
  <c r="F20" i="5"/>
  <c r="E20" i="5"/>
  <c r="D20" i="5"/>
  <c r="C20" i="5"/>
  <c r="K19" i="5"/>
  <c r="L19" i="5" s="1"/>
  <c r="J19" i="5"/>
  <c r="I19" i="5"/>
  <c r="J18" i="5"/>
  <c r="K18" i="5" s="1"/>
  <c r="L18" i="5" s="1"/>
  <c r="I18" i="5"/>
  <c r="J17" i="5"/>
  <c r="K17" i="5" s="1"/>
  <c r="L17" i="5" s="1"/>
  <c r="I17" i="5"/>
  <c r="J16" i="5"/>
  <c r="K16" i="5" s="1"/>
  <c r="L16" i="5" s="1"/>
  <c r="I16" i="5"/>
  <c r="K15" i="5"/>
  <c r="L15" i="5" s="1"/>
  <c r="J15" i="5"/>
  <c r="I15" i="5"/>
  <c r="J14" i="5"/>
  <c r="K14" i="5" s="1"/>
  <c r="I14" i="5"/>
  <c r="I13" i="5"/>
  <c r="H13" i="5"/>
  <c r="G13" i="5"/>
  <c r="F13" i="5"/>
  <c r="E13" i="5"/>
  <c r="D13" i="5"/>
  <c r="C13" i="5"/>
  <c r="C8" i="5" s="1"/>
  <c r="C59" i="5" s="1"/>
  <c r="C114" i="5" s="1"/>
  <c r="C124" i="5" s="1"/>
  <c r="I12" i="5"/>
  <c r="J12" i="5" s="1"/>
  <c r="K12" i="5" s="1"/>
  <c r="L12" i="5" s="1"/>
  <c r="I11" i="5"/>
  <c r="J11" i="5" s="1"/>
  <c r="K11" i="5" s="1"/>
  <c r="L11" i="5" s="1"/>
  <c r="I10" i="5"/>
  <c r="J10" i="5" s="1"/>
  <c r="H9" i="5"/>
  <c r="H8" i="5" s="1"/>
  <c r="H59" i="5" s="1"/>
  <c r="H114" i="5" s="1"/>
  <c r="H124" i="5" s="1"/>
  <c r="G9" i="5"/>
  <c r="F9" i="5"/>
  <c r="E9" i="5"/>
  <c r="E8" i="5" s="1"/>
  <c r="D9" i="5"/>
  <c r="D8" i="5" s="1"/>
  <c r="D59" i="5" s="1"/>
  <c r="C9" i="5"/>
  <c r="G8" i="5"/>
  <c r="G59" i="5" s="1"/>
  <c r="G114" i="5" s="1"/>
  <c r="G124" i="5" s="1"/>
  <c r="F8" i="5"/>
  <c r="F59" i="5" s="1"/>
  <c r="A4" i="5"/>
  <c r="A107" i="4"/>
  <c r="A105" i="4"/>
  <c r="A104" i="4"/>
  <c r="J95" i="4"/>
  <c r="F95" i="4"/>
  <c r="J94" i="4"/>
  <c r="I94" i="4"/>
  <c r="I95" i="4" s="1"/>
  <c r="H94" i="4"/>
  <c r="H95" i="4" s="1"/>
  <c r="E11" i="2" s="1"/>
  <c r="G94" i="4"/>
  <c r="G95" i="4" s="1"/>
  <c r="D11" i="2" s="1"/>
  <c r="F94" i="4"/>
  <c r="A8" i="4"/>
  <c r="A7" i="4"/>
  <c r="A2" i="4"/>
  <c r="A40" i="3"/>
  <c r="A38" i="3"/>
  <c r="A37" i="3"/>
  <c r="C27" i="3"/>
  <c r="F15" i="3"/>
  <c r="F12" i="3"/>
  <c r="A39" i="2"/>
  <c r="A37" i="2"/>
  <c r="A36" i="2"/>
  <c r="G26" i="2"/>
  <c r="F27" i="3" s="1"/>
  <c r="F26" i="2"/>
  <c r="E27" i="3" s="1"/>
  <c r="E26" i="2"/>
  <c r="D27" i="3" s="1"/>
  <c r="D26" i="2"/>
  <c r="C26" i="2"/>
  <c r="G24" i="2"/>
  <c r="F25" i="3" s="1"/>
  <c r="F24" i="2"/>
  <c r="E25" i="3" s="1"/>
  <c r="E24" i="2"/>
  <c r="D25" i="3" s="1"/>
  <c r="D24" i="2"/>
  <c r="C25" i="3" s="1"/>
  <c r="C24" i="2"/>
  <c r="D22" i="2"/>
  <c r="C23" i="3" s="1"/>
  <c r="F21" i="2"/>
  <c r="E22" i="3" s="1"/>
  <c r="E21" i="2"/>
  <c r="D22" i="3" s="1"/>
  <c r="F19" i="2"/>
  <c r="E20" i="3" s="1"/>
  <c r="G18" i="2"/>
  <c r="F19" i="3" s="1"/>
  <c r="G16" i="2"/>
  <c r="F17" i="3" s="1"/>
  <c r="F16" i="2"/>
  <c r="E17" i="3" s="1"/>
  <c r="E16" i="2"/>
  <c r="D17" i="3" s="1"/>
  <c r="D16" i="2"/>
  <c r="C17" i="3" s="1"/>
  <c r="C16" i="2"/>
  <c r="G14" i="2"/>
  <c r="F14" i="2"/>
  <c r="E15" i="3" s="1"/>
  <c r="E14" i="2"/>
  <c r="D15" i="3" s="1"/>
  <c r="D14" i="2"/>
  <c r="C15" i="3" s="1"/>
  <c r="C14" i="2"/>
  <c r="G13" i="2"/>
  <c r="F14" i="3" s="1"/>
  <c r="F13" i="2"/>
  <c r="C13" i="2"/>
  <c r="G11" i="2"/>
  <c r="F11" i="2"/>
  <c r="E12" i="3" s="1"/>
  <c r="C11" i="2"/>
  <c r="C18" i="2" s="1"/>
  <c r="A6" i="2"/>
  <c r="A5" i="2"/>
  <c r="A1" i="2"/>
  <c r="F16" i="1"/>
  <c r="G16" i="1" s="1"/>
  <c r="D16" i="1"/>
  <c r="C16" i="1"/>
  <c r="F14" i="1"/>
  <c r="G14" i="1" s="1"/>
  <c r="D14" i="1"/>
  <c r="C14" i="1"/>
  <c r="F12" i="1"/>
  <c r="G12" i="1" s="1"/>
  <c r="D12" i="1"/>
  <c r="C12" i="1"/>
  <c r="F11" i="1"/>
  <c r="G11" i="1" s="1"/>
  <c r="D11" i="1"/>
  <c r="C11" i="1"/>
  <c r="F10" i="1"/>
  <c r="D10" i="1"/>
  <c r="C10" i="1"/>
  <c r="E14" i="3" l="1"/>
  <c r="G22" i="2"/>
  <c r="F23" i="3" s="1"/>
  <c r="G19" i="2"/>
  <c r="F20" i="3" s="1"/>
  <c r="G21" i="2"/>
  <c r="F22" i="3" s="1"/>
  <c r="F28" i="3" s="1"/>
  <c r="D21" i="2"/>
  <c r="C22" i="3" s="1"/>
  <c r="D18" i="2"/>
  <c r="C19" i="3" s="1"/>
  <c r="C12" i="3"/>
  <c r="D19" i="2"/>
  <c r="C20" i="3" s="1"/>
  <c r="L41" i="5"/>
  <c r="L40" i="5" s="1"/>
  <c r="K40" i="5"/>
  <c r="L100" i="5"/>
  <c r="L99" i="5" s="1"/>
  <c r="K99" i="5"/>
  <c r="C22" i="2"/>
  <c r="C19" i="2"/>
  <c r="C21" i="2"/>
  <c r="C27" i="2" s="1"/>
  <c r="C18" i="1" s="1"/>
  <c r="C19" i="1" s="1"/>
  <c r="D12" i="3"/>
  <c r="E19" i="2"/>
  <c r="D20" i="3" s="1"/>
  <c r="E22" i="2"/>
  <c r="D23" i="3" s="1"/>
  <c r="E18" i="2"/>
  <c r="D19" i="3" s="1"/>
  <c r="L14" i="5"/>
  <c r="L13" i="5" s="1"/>
  <c r="K13" i="5"/>
  <c r="K24" i="5"/>
  <c r="J23" i="5"/>
  <c r="E113" i="5"/>
  <c r="F114" i="5"/>
  <c r="F124" i="5" s="1"/>
  <c r="J71" i="5"/>
  <c r="K21" i="5"/>
  <c r="J20" i="5"/>
  <c r="K71" i="5"/>
  <c r="J111" i="5"/>
  <c r="I110" i="5"/>
  <c r="K116" i="5"/>
  <c r="J115" i="5"/>
  <c r="G10" i="1"/>
  <c r="D13" i="2"/>
  <c r="C14" i="3" s="1"/>
  <c r="F22" i="2"/>
  <c r="E23" i="3" s="1"/>
  <c r="E59" i="5"/>
  <c r="E114" i="5" s="1"/>
  <c r="E124" i="5" s="1"/>
  <c r="I9" i="5"/>
  <c r="E22" i="5"/>
  <c r="I23" i="5"/>
  <c r="I50" i="5"/>
  <c r="K54" i="5"/>
  <c r="J53" i="5"/>
  <c r="J61" i="5"/>
  <c r="I60" i="5"/>
  <c r="K63" i="5"/>
  <c r="K108" i="5"/>
  <c r="K10" i="5"/>
  <c r="J9" i="5"/>
  <c r="J8" i="5" s="1"/>
  <c r="L71" i="5"/>
  <c r="D114" i="5"/>
  <c r="D124" i="5" s="1"/>
  <c r="J13" i="5"/>
  <c r="E13" i="2"/>
  <c r="F18" i="2"/>
  <c r="E19" i="3" s="1"/>
  <c r="E28" i="3" s="1"/>
  <c r="I20" i="5"/>
  <c r="J40" i="5"/>
  <c r="F113" i="5"/>
  <c r="J104" i="5"/>
  <c r="I103" i="5"/>
  <c r="I70" i="5" s="1"/>
  <c r="J120" i="5"/>
  <c r="I119" i="5"/>
  <c r="I123" i="5" s="1"/>
  <c r="K57" i="5"/>
  <c r="J56" i="5"/>
  <c r="K89" i="5"/>
  <c r="J88" i="5"/>
  <c r="K51" i="5"/>
  <c r="J50" i="5"/>
  <c r="D113" i="5"/>
  <c r="K56" i="5" l="1"/>
  <c r="L57" i="5"/>
  <c r="L56" i="5" s="1"/>
  <c r="I22" i="5"/>
  <c r="L116" i="5"/>
  <c r="L115" i="5" s="1"/>
  <c r="K115" i="5"/>
  <c r="C28" i="3"/>
  <c r="F27" i="2"/>
  <c r="F18" i="1" s="1"/>
  <c r="F19" i="1" s="1"/>
  <c r="K88" i="5"/>
  <c r="L89" i="5"/>
  <c r="L88" i="5" s="1"/>
  <c r="K120" i="5"/>
  <c r="J119" i="5"/>
  <c r="D14" i="3"/>
  <c r="D28" i="3" s="1"/>
  <c r="E27" i="2"/>
  <c r="E18" i="1" s="1"/>
  <c r="E19" i="1" s="1"/>
  <c r="L108" i="5"/>
  <c r="L107" i="5" s="1"/>
  <c r="K107" i="5"/>
  <c r="K20" i="5"/>
  <c r="L21" i="5"/>
  <c r="L20" i="5" s="1"/>
  <c r="J22" i="5"/>
  <c r="G27" i="2"/>
  <c r="G18" i="1" s="1"/>
  <c r="K50" i="5"/>
  <c r="L51" i="5"/>
  <c r="L50" i="5" s="1"/>
  <c r="J59" i="5"/>
  <c r="I113" i="5"/>
  <c r="J123" i="5"/>
  <c r="D27" i="2"/>
  <c r="D18" i="1" s="1"/>
  <c r="D19" i="1" s="1"/>
  <c r="K104" i="5"/>
  <c r="J103" i="5"/>
  <c r="K9" i="5"/>
  <c r="K8" i="5" s="1"/>
  <c r="L10" i="5"/>
  <c r="L9" i="5" s="1"/>
  <c r="L8" i="5" s="1"/>
  <c r="K61" i="5"/>
  <c r="J60" i="5"/>
  <c r="L63" i="5"/>
  <c r="L62" i="5" s="1"/>
  <c r="K62" i="5"/>
  <c r="L54" i="5"/>
  <c r="L53" i="5" s="1"/>
  <c r="K53" i="5"/>
  <c r="I8" i="5"/>
  <c r="I59" i="5" s="1"/>
  <c r="I114" i="5" s="1"/>
  <c r="I124" i="5" s="1"/>
  <c r="G19" i="1"/>
  <c r="K111" i="5"/>
  <c r="J110" i="5"/>
  <c r="J70" i="5"/>
  <c r="K23" i="5"/>
  <c r="K22" i="5" s="1"/>
  <c r="L24" i="5"/>
  <c r="L23" i="5" s="1"/>
  <c r="L22" i="5" s="1"/>
  <c r="K70" i="5" l="1"/>
  <c r="K60" i="5"/>
  <c r="L61" i="5"/>
  <c r="L60" i="5" s="1"/>
  <c r="K103" i="5"/>
  <c r="L104" i="5"/>
  <c r="L103" i="5" s="1"/>
  <c r="L70" i="5" s="1"/>
  <c r="K119" i="5"/>
  <c r="L120" i="5"/>
  <c r="L119" i="5" s="1"/>
  <c r="L123" i="5" s="1"/>
  <c r="L59" i="5"/>
  <c r="K59" i="5"/>
  <c r="K123" i="5"/>
  <c r="K110" i="5"/>
  <c r="L111" i="5"/>
  <c r="L110" i="5" s="1"/>
  <c r="J113" i="5"/>
  <c r="J114" i="5" s="1"/>
  <c r="J124" i="5" s="1"/>
  <c r="L113" i="5" l="1"/>
  <c r="L114" i="5"/>
  <c r="L124" i="5" s="1"/>
  <c r="K113" i="5"/>
  <c r="K114" i="5" s="1"/>
  <c r="K124" i="5" s="1"/>
</calcChain>
</file>

<file path=xl/sharedStrings.xml><?xml version="1.0" encoding="utf-8"?>
<sst xmlns="http://schemas.openxmlformats.org/spreadsheetml/2006/main" count="493" uniqueCount="404">
  <si>
    <t>MINISTERIO DE ECONOMIA Y FINANZAS</t>
  </si>
  <si>
    <t>FORMULARIO 1: "FUENTES DE FINANCIAMIENTO DEL PROYECTO DE CONTRATO COLECTIVO"</t>
  </si>
  <si>
    <t>DETALLE DE INGRESOS</t>
  </si>
  <si>
    <t>GOBIERNO AUTÓNOMO DESCENTRALIZADO MUNICIPAL DE YANTZAZA</t>
  </si>
  <si>
    <t>Nº PROYECTO CONTRATO COLECTIVO: DECIMO CUARTO</t>
  </si>
  <si>
    <t>FUENTES DE FINANCIAMIENTO</t>
  </si>
  <si>
    <t>FINANCIAMIENTO CONTRATO COLECTIVO VIGENTE ENE - ABR 2015</t>
  </si>
  <si>
    <t>FINANCIAMIENTO CONTRATO COLECTIVO PROPUESTO MAY - DIC 2015</t>
  </si>
  <si>
    <t>FINANCIAMIENTO CONTRATO COLECTIVO PROPUESTO ENE - DIC 2016</t>
  </si>
  <si>
    <t>FINANCIAMIENTO CONTRATO COLECTIVO PROPUESTO ENE - DIC 2017</t>
  </si>
  <si>
    <t>FINANCIAMIENTO CONTRATO COLECTIVO PROPUESTO ENE - DIC 2018</t>
  </si>
  <si>
    <t>OBSERVACIONES</t>
  </si>
  <si>
    <t>IMPUESTOS</t>
  </si>
  <si>
    <t>Sobre la Renta, Utilidades y Ganancias de Capital</t>
  </si>
  <si>
    <t>Sobre la propiedad</t>
  </si>
  <si>
    <t>Impuestos Diversos</t>
  </si>
  <si>
    <t>TASAS Y CONTRIBUCIONES</t>
  </si>
  <si>
    <t>Tasas generales</t>
  </si>
  <si>
    <t>VENTA DE BIENES Y SERVICIOS</t>
  </si>
  <si>
    <t>Ventas no Industriales</t>
  </si>
  <si>
    <t>TRANSFERENCIAS Y DONACIONES CORRIENTES</t>
  </si>
  <si>
    <t>Transferencias Corrientes del Sector Público</t>
  </si>
  <si>
    <t xml:space="preserve">TOTAL </t>
  </si>
  <si>
    <t>NOTA.-</t>
  </si>
  <si>
    <t>Se cumple con la regla fiscal.</t>
  </si>
  <si>
    <t>DIRECTOR FINANCIERO GADM YANTZAZA</t>
  </si>
  <si>
    <t>Yantzaza, 23 de abril de 2021</t>
  </si>
  <si>
    <t>FORMULARIO 2: "COSTOS DEL PROYECTO DE CONTRATO COLECTIVO"</t>
  </si>
  <si>
    <t>DETALLE DE GASTOS</t>
  </si>
  <si>
    <t>GASTO DEL PERSONAL</t>
  </si>
  <si>
    <t>COSTO CONTRATO COLECTIVO VIGENTE ENE - ABR 2015</t>
  </si>
  <si>
    <t>COSTO CONTRATO COLECTIVO PROPUESTO MAY - DIC 2015</t>
  </si>
  <si>
    <t>COSTO CONTRATO COLECTIVO PROPUESTO ENE - DIC 2016</t>
  </si>
  <si>
    <t>COSTO CONTRATO COLECTIVO PROPUESTO ENE - DIC 2017</t>
  </si>
  <si>
    <t>COSTO CONTRATO COLECTIVO PROPUESTO ENE - DIC 2018</t>
  </si>
  <si>
    <t>GASTO PERSONAL</t>
  </si>
  <si>
    <t>REMUNERACIONES BASICAS</t>
  </si>
  <si>
    <t>REMUNERACION UNIFICADA</t>
  </si>
  <si>
    <t xml:space="preserve">REMUNERACIONES COMPLEMENTARIAS </t>
  </si>
  <si>
    <t>DECIMOTERCER SUELDO</t>
  </si>
  <si>
    <t>DECIMOCUARTO SUELDO</t>
  </si>
  <si>
    <t>REMUNERACIONES COMPENSATORIAS</t>
  </si>
  <si>
    <t>ALIMENTACION</t>
  </si>
  <si>
    <t>SUBSIDIOS</t>
  </si>
  <si>
    <t>POR CARGAS FAMILIARES</t>
  </si>
  <si>
    <t>SUBSIDIO DE ANTIGUEDAD</t>
  </si>
  <si>
    <t>APORTES PATRONALES A LA SEGURIDAD SOCIAL</t>
  </si>
  <si>
    <t>510601</t>
  </si>
  <si>
    <t xml:space="preserve">APORTE PATRONAL </t>
  </si>
  <si>
    <t>510602</t>
  </si>
  <si>
    <t xml:space="preserve">FONDO DE RESERVA </t>
  </si>
  <si>
    <t>BIENES DE USO Y CONSUMO CORRIENTE</t>
  </si>
  <si>
    <t>VESTUARIO, LENCERIA, PRENDAS DE PROTECCION</t>
  </si>
  <si>
    <t>SEGUROS, COSTOS FINANCIEROS Y OTROS GASTOS</t>
  </si>
  <si>
    <t>SEGUROS</t>
  </si>
  <si>
    <t>TOTAL DE GASTO</t>
  </si>
  <si>
    <t>El cálculo de remuneraciones compensatorias se realizó tomando como referancia 24 dias laborados al mes.</t>
  </si>
  <si>
    <t xml:space="preserve">CERTIFICACION PRESUPUESTARIA </t>
  </si>
  <si>
    <r>
      <t xml:space="preserve">La Dirección Financiera del Gobierno Autónomo Descentralizado Municipal del Cantón Yantzaza, </t>
    </r>
    <r>
      <rPr>
        <b/>
        <sz val="11"/>
        <color theme="1"/>
        <rFont val="Calibri"/>
        <family val="2"/>
        <scheme val="minor"/>
      </rPr>
      <t>CERTIFICA</t>
    </r>
    <r>
      <rPr>
        <sz val="10"/>
        <rFont val="Arial"/>
        <family val="2"/>
      </rPr>
      <t>, que los costos del Decimo Cuarto Contrato Colectivo de Trabajo a ser suscrito con el Sindicato Único de Trabajadores del GAD, están contemplados en los respectivos presupuestos y la diferecia de incremento sera cancelada en el presente ejercicio fiscal 2021, de acuerdo al siguiente detalle:</t>
    </r>
  </si>
  <si>
    <t>COSTO CONTRATO COLECTIVO MAY - DIC 2015</t>
  </si>
  <si>
    <t>COSTO CONTRATO COLECTIVO ENE - DIC 2016</t>
  </si>
  <si>
    <t>COSTO CONTRATO COLECTIVO ENE - DIC 2017</t>
  </si>
  <si>
    <t>COSTO CONTRATO COLECTIVO ENE - DIC 2018</t>
  </si>
  <si>
    <t>La presente certificacion es total responsabilidad del GADM ECHEANDÍA</t>
  </si>
  <si>
    <r>
      <t>FORMULARIO 3:</t>
    </r>
    <r>
      <rPr>
        <sz val="12"/>
        <color indexed="8"/>
        <rFont val="Calibri"/>
        <family val="2"/>
        <scheme val="minor"/>
      </rPr>
      <t xml:space="preserve"> </t>
    </r>
    <r>
      <rPr>
        <b/>
        <sz val="12"/>
        <color indexed="8"/>
        <rFont val="Calibri"/>
        <family val="2"/>
        <scheme val="minor"/>
      </rPr>
      <t xml:space="preserve">"COMPARATIVO ENTRE REMUNERACIÓN UNIFICADA Y PROPUESTA" </t>
    </r>
  </si>
  <si>
    <t>DISTRIBUTIVO DE SALARIO UNIFICADO DESAGREGADO POR TRABAJADOR</t>
  </si>
  <si>
    <t>CEDULA</t>
  </si>
  <si>
    <t>APELLIDOS Y NOMBRES</t>
  </si>
  <si>
    <t>No. TRBJ.</t>
  </si>
  <si>
    <t>GRADO DEL CARGO O PUESTO</t>
  </si>
  <si>
    <t>DENOMINACIÓN DEL PUESTO O CARGO DE OCUPACIÓN</t>
  </si>
  <si>
    <t>R.M.U. VIGENTE ENE - ABR 2015</t>
  </si>
  <si>
    <t>R.M.U. PROPUESTA MAY - DIC 2015</t>
  </si>
  <si>
    <t>R.M.U. PROPUESTA ENE - DIC 2016</t>
  </si>
  <si>
    <t>R.M.U. PROPUESTA ENE - DIC 2017</t>
  </si>
  <si>
    <t>R.M.U. PROPUESTA ENE - DIC 2018</t>
  </si>
  <si>
    <t xml:space="preserve">Aguinsaca Jaura José Pedro </t>
  </si>
  <si>
    <t xml:space="preserve">ALBAÑIL </t>
  </si>
  <si>
    <t xml:space="preserve">Anguisaca Campuzano Juan Carlos </t>
  </si>
  <si>
    <t>OPERADOR DE EXCAVADORA</t>
  </si>
  <si>
    <t xml:space="preserve">Arévalo Arévalo Mario Alcivar </t>
  </si>
  <si>
    <t xml:space="preserve">AYUDANTE DE EQUIPO CAMINERO </t>
  </si>
  <si>
    <t xml:space="preserve">Arévalo Correa David Waldimir </t>
  </si>
  <si>
    <t xml:space="preserve">POLICIA MUNICIPAL </t>
  </si>
  <si>
    <t xml:space="preserve">Armijos Godoy Franklin Hernán </t>
  </si>
  <si>
    <t xml:space="preserve">Armijos González Richard  Leonel </t>
  </si>
  <si>
    <t>TÉCNICO DE ELECTRICIDAD</t>
  </si>
  <si>
    <t xml:space="preserve">Armijos Puglla Henry José </t>
  </si>
  <si>
    <t>SOBRESTANTE DE HIGIENE AMBIENTAL</t>
  </si>
  <si>
    <t xml:space="preserve">Banegas Torres Bolívar Hernán </t>
  </si>
  <si>
    <t>Barba Cevallos José Reinaldo</t>
  </si>
  <si>
    <t>CHOFER DE VEHÍCULOS PESADOS</t>
  </si>
  <si>
    <t xml:space="preserve">Bastidas Galvez Lauro Miguel </t>
  </si>
  <si>
    <t xml:space="preserve">AYUDANTE DE RECOLECCIÓN DE ASEO </t>
  </si>
  <si>
    <t xml:space="preserve">Bautista Michay Víctor Patricio </t>
  </si>
  <si>
    <t>AYUDANTE DE EQUIPO Y/O MAQUINARIA PESADA</t>
  </si>
  <si>
    <t>Benitez Acaro Abel Mateo</t>
  </si>
  <si>
    <t>OPERADOR DE CARGADORA</t>
  </si>
  <si>
    <t xml:space="preserve">Bustos Guarnizo Iván </t>
  </si>
  <si>
    <t xml:space="preserve">Cabrera Puglla Jefferson Patricio </t>
  </si>
  <si>
    <t xml:space="preserve">Camacho Soto Aníbal Vidal </t>
  </si>
  <si>
    <t>0704860246</t>
  </si>
  <si>
    <t xml:space="preserve">Cango Armijos  Luis Eduardo </t>
  </si>
  <si>
    <t>SOLDADOR</t>
  </si>
  <si>
    <t>Cango Cuenca Fausto Lenín</t>
  </si>
  <si>
    <t xml:space="preserve">AUXILIAR DE SERVICIOS </t>
  </si>
  <si>
    <t xml:space="preserve">Castillo Castillo Edy Fausto </t>
  </si>
  <si>
    <t xml:space="preserve">Chumapi Jumbo Walter Humberto </t>
  </si>
  <si>
    <t xml:space="preserve">JORNALERO </t>
  </si>
  <si>
    <t xml:space="preserve">Condolo Guaillas Pedro Francisco </t>
  </si>
  <si>
    <t>PEÓN</t>
  </si>
  <si>
    <t>Cuenca Cuenca César Augusto</t>
  </si>
  <si>
    <t xml:space="preserve">OPERADOR DE MAQUINARIA O EQUIPO PESADO </t>
  </si>
  <si>
    <t>Cueva Ochoa Vicente Medardo</t>
  </si>
  <si>
    <t xml:space="preserve">JORNALERO DE PARQUES Y JARDINES </t>
  </si>
  <si>
    <t xml:space="preserve">Curipoma Macas Manuel Salvador </t>
  </si>
  <si>
    <t xml:space="preserve">Espinosa Cumbicos Neli Esmeralda </t>
  </si>
  <si>
    <t xml:space="preserve">Godoy Mendoza Braulio Ricardo </t>
  </si>
  <si>
    <t xml:space="preserve">MENSAJERO </t>
  </si>
  <si>
    <t xml:space="preserve">González Cabrera Darwin Patricio </t>
  </si>
  <si>
    <t xml:space="preserve">CHOFER DE RECOLECTOR </t>
  </si>
  <si>
    <t>Gualán Caillagua Fredy Gustavo</t>
  </si>
  <si>
    <t>GASFITERO O PLOMERO</t>
  </si>
  <si>
    <t xml:space="preserve">Gualán Gualán Ángel Benigno </t>
  </si>
  <si>
    <t>OPERADOR RETROEXCAVADORA</t>
  </si>
  <si>
    <t>Guamán González Raúl Reinerio</t>
  </si>
  <si>
    <t>GUARDIÁN</t>
  </si>
  <si>
    <t xml:space="preserve">Guevara García Efrén Catalino </t>
  </si>
  <si>
    <t xml:space="preserve">CHOFER  DE VEHÍCULO LIVIANO </t>
  </si>
  <si>
    <t xml:space="preserve">Hermosa Montero Christian Rafael </t>
  </si>
  <si>
    <t>Illezcas León Ángel Benigno</t>
  </si>
  <si>
    <t xml:space="preserve">Jumbo Proaño Carlos Daniel </t>
  </si>
  <si>
    <t xml:space="preserve">OPERADOR DE RODILLO </t>
  </si>
  <si>
    <t xml:space="preserve">Livisaca Mosquera Jeison Heriberto </t>
  </si>
  <si>
    <t xml:space="preserve">Loja Salinas Ermel Eduardo </t>
  </si>
  <si>
    <t>Loja Salinas Segundo Gregorio</t>
  </si>
  <si>
    <t xml:space="preserve">Lozano González Víctor Ángel  </t>
  </si>
  <si>
    <t>CADENERO</t>
  </si>
  <si>
    <t xml:space="preserve">Macas Solano Edwin Orlando </t>
  </si>
  <si>
    <t xml:space="preserve">CHOFER DE VEHICULO LIVIANO </t>
  </si>
  <si>
    <t xml:space="preserve">Macas Tene Luis Amable </t>
  </si>
  <si>
    <t>AYUDANTE DE CAMPO DE  AGUA</t>
  </si>
  <si>
    <t>Martínez Vega José Marcelo</t>
  </si>
  <si>
    <t>MECÁNICO</t>
  </si>
  <si>
    <t xml:space="preserve">Medina González Ángel Olivo </t>
  </si>
  <si>
    <t xml:space="preserve">Minga Morocho Julio Aníbal </t>
  </si>
  <si>
    <t xml:space="preserve">Montalvan Gómez Jaime Rodrigo </t>
  </si>
  <si>
    <t>OPERADOR DE MOTONIVELADORA</t>
  </si>
  <si>
    <t>1900411404</t>
  </si>
  <si>
    <t xml:space="preserve">Montaño Márquez Roberto Carlos </t>
  </si>
  <si>
    <t xml:space="preserve">Morales Cabrera José Efrén </t>
  </si>
  <si>
    <t xml:space="preserve">Morocho Chamba Ángel  Benigno </t>
  </si>
  <si>
    <t xml:space="preserve">Morocho Salinas José Patricio </t>
  </si>
  <si>
    <t xml:space="preserve">Mosquera Calero Manuel Agustín </t>
  </si>
  <si>
    <t xml:space="preserve">INSPECTOR DE MAQUINARIA Y TRABAJOS MUN </t>
  </si>
  <si>
    <t xml:space="preserve">Naula Montaño Marcelo Ismael </t>
  </si>
  <si>
    <t xml:space="preserve">Ochoa Rodríguez José Joaquin </t>
  </si>
  <si>
    <t xml:space="preserve">Ojeda Ojeda Melecio </t>
  </si>
  <si>
    <t>GUARDIÁN DE PLANTA</t>
  </si>
  <si>
    <t xml:space="preserve">Palacios Castro Emiliano Telmo </t>
  </si>
  <si>
    <t xml:space="preserve">OPERADOR DE LA PLANTA DE TRATAMIENTO DE AP </t>
  </si>
  <si>
    <t>1900243807</t>
  </si>
  <si>
    <t>Palta Rivera Jhonson Amable</t>
  </si>
  <si>
    <t xml:space="preserve">Peralta Sarango Nolmi Silger </t>
  </si>
  <si>
    <t>OPERADOR DE AUTO TREN TRAILER</t>
  </si>
  <si>
    <t>1900296805</t>
  </si>
  <si>
    <t xml:space="preserve">Puchaicela Armijos Hernán Gustavo </t>
  </si>
  <si>
    <t xml:space="preserve">OPERADOR DE EXCAVADORA  </t>
  </si>
  <si>
    <t xml:space="preserve">Puchaicela Viñamagua Ángel Floresmilo </t>
  </si>
  <si>
    <t xml:space="preserve">Puglla Cabrera Bolivar </t>
  </si>
  <si>
    <t xml:space="preserve">Quezada Jima Franklin Euclides </t>
  </si>
  <si>
    <t xml:space="preserve">CHOFER DE VEHÍCULO LIVIANO </t>
  </si>
  <si>
    <t>Quezada Masa Segundo Gabriel</t>
  </si>
  <si>
    <t xml:space="preserve">Quezada Quezada Leandro Salomón </t>
  </si>
  <si>
    <t>CHOFER DE VEHÍCULO LIVIANO</t>
  </si>
  <si>
    <t xml:space="preserve">Quezada Quezada Manuel Agustin </t>
  </si>
  <si>
    <t>AYUDANTE DE TRACTOR</t>
  </si>
  <si>
    <t xml:space="preserve">Quezada Vicente Fernando Isaias </t>
  </si>
  <si>
    <t xml:space="preserve">Quilli Chacha Luis Aurelio </t>
  </si>
  <si>
    <t>Quituizaca Guamán Segundo Patricio</t>
  </si>
  <si>
    <t>Quizhpe Chamba Julio Diego</t>
  </si>
  <si>
    <t xml:space="preserve">Ramón Montaño Luis Salvador </t>
  </si>
  <si>
    <t>Rengel Sánchez Pedro Walter</t>
  </si>
  <si>
    <t>Riofrio Sarango Vicente Manuel</t>
  </si>
  <si>
    <t xml:space="preserve">AYUDANTE DE MECANICA </t>
  </si>
  <si>
    <t xml:space="preserve">Romero Arias Jorge Simón </t>
  </si>
  <si>
    <t xml:space="preserve">Salinas Rojas Miguel Ángel </t>
  </si>
  <si>
    <t>CAMALERO, FAENADOR O MATARIFE</t>
  </si>
  <si>
    <t xml:space="preserve">Samaniego Castillo Ángel Francelin </t>
  </si>
  <si>
    <t>Sarango Castillo Pedro Ovidio</t>
  </si>
  <si>
    <t>OPERADOR DE ESCAVADORA</t>
  </si>
  <si>
    <t>1900292010</t>
  </si>
  <si>
    <t xml:space="preserve">Sarango Reyes José Alfredo </t>
  </si>
  <si>
    <t xml:space="preserve">Tinisaray Villa Jaime Leoncio </t>
  </si>
  <si>
    <t xml:space="preserve">Tocto Ramón Segundo Luis </t>
  </si>
  <si>
    <t xml:space="preserve">Vasquez Morales Erman Rodrigo </t>
  </si>
  <si>
    <t xml:space="preserve">OPERADOR DE MOTONIVELADORA </t>
  </si>
  <si>
    <t xml:space="preserve">Veintimilla Jaramillo Luis Antonio  </t>
  </si>
  <si>
    <t>Vera Armijos Rolando Isaias</t>
  </si>
  <si>
    <t xml:space="preserve">AYUDANTE DE ALBAÑIL </t>
  </si>
  <si>
    <t xml:space="preserve">Villavicencio Cabrera Galo </t>
  </si>
  <si>
    <t>Villavicencio Chimbo Anival Esau</t>
  </si>
  <si>
    <t xml:space="preserve">Zúñiga Sarango Leonardo </t>
  </si>
  <si>
    <t>REMUNERACION MENSUAL UNIFICADA</t>
  </si>
  <si>
    <t>REMUNERACION ANUAL UNIFICADA</t>
  </si>
  <si>
    <t>NOTA: El número de trabajadores difiere del proyecto de contrato colectivo puesto que algunos de los trabajadores se han desvinculado de la institución durante la aprobación.</t>
  </si>
  <si>
    <t>FORMULARIO 4 "FLUJO PRESUPUESTARIO DE INGRESOS Y GASTOS"</t>
  </si>
  <si>
    <t>DETALLE DE GRUPOS Y SUBGRUPOS</t>
  </si>
  <si>
    <t>FLUJO HISTORICO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</si>
  <si>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</si>
  <si>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</si>
  <si>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</si>
  <si>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</si>
  <si>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</si>
  <si>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>1.1.01</t>
  </si>
  <si>
    <t>1.1.02</t>
  </si>
  <si>
    <t>1.1.07</t>
  </si>
  <si>
    <t xml:space="preserve">Tasas y contribuciones </t>
  </si>
  <si>
    <t>1.3.01</t>
  </si>
  <si>
    <t>1.3.03</t>
  </si>
  <si>
    <t>Tasas Diversas</t>
  </si>
  <si>
    <t>1.3.04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</si>
  <si>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</si>
  <si>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</si>
  <si>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</si>
  <si>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</si>
  <si>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</si>
  <si>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1.9.04</t>
  </si>
  <si>
    <t>Otros no Operacionales</t>
  </si>
  <si>
    <t>TOTAL GASTOS CORRIENTES (2)</t>
  </si>
  <si>
    <t>Gastos en personal</t>
  </si>
  <si>
    <t>5.1.01.05</t>
  </si>
  <si>
    <t>Remuneraciones Unificadas</t>
  </si>
  <si>
    <t>5.1.01.06</t>
  </si>
  <si>
    <t>Salazarios Unificados</t>
  </si>
  <si>
    <t>5.1.02.03</t>
  </si>
  <si>
    <t xml:space="preserve">Décimo tercer sueldo </t>
  </si>
  <si>
    <t>5.1.02.04</t>
  </si>
  <si>
    <t xml:space="preserve">Décimo cuarto sueldo </t>
  </si>
  <si>
    <t>5.1.04.01</t>
  </si>
  <si>
    <t>Por Cargas Familiares</t>
  </si>
  <si>
    <t>5.1.04.08</t>
  </si>
  <si>
    <t>Subsidio De Antiguedad</t>
  </si>
  <si>
    <t>5.1.05.07</t>
  </si>
  <si>
    <t>Honorarios</t>
  </si>
  <si>
    <t>5.1.05.09</t>
  </si>
  <si>
    <t>Horas Extraordinarias Y Suplementarias</t>
  </si>
  <si>
    <t>5.1.05.10</t>
  </si>
  <si>
    <t xml:space="preserve">Servicios personales por contrato </t>
  </si>
  <si>
    <t>5.1.05.12</t>
  </si>
  <si>
    <t>Subrogacion</t>
  </si>
  <si>
    <t>5.1.06.01</t>
  </si>
  <si>
    <t xml:space="preserve">Aporte patronal </t>
  </si>
  <si>
    <t>5.1.06.02</t>
  </si>
  <si>
    <t xml:space="preserve">Fondo de reserva </t>
  </si>
  <si>
    <t>5.1.06.03</t>
  </si>
  <si>
    <t>Jubilacion Patronal</t>
  </si>
  <si>
    <t>5.1.07.04</t>
  </si>
  <si>
    <t>Compensacion Por Desahucio</t>
  </si>
  <si>
    <t>5.1.07.07</t>
  </si>
  <si>
    <t>Compensación por Vac no Gozadas por Cesación de Funciones</t>
  </si>
  <si>
    <t>5.1.07.11</t>
  </si>
  <si>
    <t>Indemnizaciones Laborales</t>
  </si>
  <si>
    <t>Bienes y servicios de consumo</t>
  </si>
  <si>
    <t>5.3.01</t>
  </si>
  <si>
    <t>Servicios Básicos</t>
  </si>
  <si>
    <t>5.3.02</t>
  </si>
  <si>
    <t>Servicios Generales</t>
  </si>
  <si>
    <t>5.3.03</t>
  </si>
  <si>
    <t>Traslados, Instalaciones, Viáticos y Subsistencias</t>
  </si>
  <si>
    <t>5.3.04</t>
  </si>
  <si>
    <t>Instalación, Mantenimiento y Reparaciones</t>
  </si>
  <si>
    <t>5.3.05</t>
  </si>
  <si>
    <t>Arrendamientos de Bienes</t>
  </si>
  <si>
    <t>5.3.06</t>
  </si>
  <si>
    <t>Contratación de Estudios, Investigaciones y Servicios Técnicos Especializados</t>
  </si>
  <si>
    <t>5.3.07</t>
  </si>
  <si>
    <t>Gastos en Informática</t>
  </si>
  <si>
    <t>5.3.08</t>
  </si>
  <si>
    <t>Bienes de Uso y Consumo Corriente</t>
  </si>
  <si>
    <t>5.3.14</t>
  </si>
  <si>
    <t>Bienes Muebles no Depreciables</t>
  </si>
  <si>
    <t>Gastos Financieros</t>
  </si>
  <si>
    <t>5.6.01</t>
  </si>
  <si>
    <t>Títulos y Valores en Circulación</t>
  </si>
  <si>
    <t>5.6.02</t>
  </si>
  <si>
    <t>Intereses y Otros Cargos de la Deuda Pública Interna</t>
  </si>
  <si>
    <t>Otros gastos corrientes</t>
  </si>
  <si>
    <t>5.7.01</t>
  </si>
  <si>
    <t>Impuestos, Tasas y Contribuciones</t>
  </si>
  <si>
    <t>5.7.02</t>
  </si>
  <si>
    <t>Seguros, Costos Financieros y Otros Gastos</t>
  </si>
  <si>
    <t>Transferencias y donaciones corrientes</t>
  </si>
  <si>
    <t>5.8.01</t>
  </si>
  <si>
    <t>Transferencias Corrientes al Sector Público</t>
  </si>
  <si>
    <t>5.8.02</t>
  </si>
  <si>
    <t>Donaciones Corrientes al Sector Privado Interno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</si>
  <si>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</si>
  <si>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</si>
  <si>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</si>
  <si>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</si>
  <si>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2.8.01</t>
  </si>
  <si>
    <t>Transferencias de Capital e Inversión del Sector Público</t>
  </si>
  <si>
    <t>2.8.02</t>
  </si>
  <si>
    <t>Transf o Donaciones de Capital e Inversión del Sector Privado Interno</t>
  </si>
  <si>
    <t>2.8.03</t>
  </si>
  <si>
    <t>Donaciones de Capital del Exterior</t>
  </si>
  <si>
    <t>2.8.04</t>
  </si>
  <si>
    <t>Aportes y Participaciones del Sector Público</t>
  </si>
  <si>
    <t>2.8.06</t>
  </si>
  <si>
    <t>Aport y Particip de Cap e Inv del Régimen Seccional Autónomo</t>
  </si>
  <si>
    <t>2.8.09</t>
  </si>
  <si>
    <t>Participaciones de Capital del Sector Público en Preasignaciones</t>
  </si>
  <si>
    <t>2.8.10</t>
  </si>
  <si>
    <t>Asignación Presupuestaria de valores equivalentes al (IVA)</t>
  </si>
  <si>
    <t>GASTOS DE CAPITAL E INVERSIÓN (5)</t>
  </si>
  <si>
    <t>Gastos en personal para Inversión</t>
  </si>
  <si>
    <t>7.1.01.05</t>
  </si>
  <si>
    <t>Remuneraciones Básicas</t>
  </si>
  <si>
    <t>7.1.01.06</t>
  </si>
  <si>
    <t xml:space="preserve">Salarios Unificados </t>
  </si>
  <si>
    <t>7.1.02.03</t>
  </si>
  <si>
    <t>7.1.02.04</t>
  </si>
  <si>
    <t>7.1.04.01</t>
  </si>
  <si>
    <t xml:space="preserve">Por cargas familiares </t>
  </si>
  <si>
    <t>7.1.04.08</t>
  </si>
  <si>
    <t>Subsidio de antigüedad</t>
  </si>
  <si>
    <t>7.1.05.09</t>
  </si>
  <si>
    <t>Horas Extraordinarias y Suplementarias</t>
  </si>
  <si>
    <t>7.1.05.10</t>
  </si>
  <si>
    <t>7.1.05.12</t>
  </si>
  <si>
    <t>7.1.06.01</t>
  </si>
  <si>
    <t>7.1.06.02</t>
  </si>
  <si>
    <t>7.1.07.04</t>
  </si>
  <si>
    <t>Compensacion por Desahucio</t>
  </si>
  <si>
    <t>7.1.07.06</t>
  </si>
  <si>
    <t>Beneficio por Jubilación</t>
  </si>
  <si>
    <t>7.1.07.07</t>
  </si>
  <si>
    <t>Compensación por Vacaciones no Gozadas por Cesación de Funciones</t>
  </si>
  <si>
    <t>7.1.07.10</t>
  </si>
  <si>
    <t>Por Compra de Renuncia</t>
  </si>
  <si>
    <t>7.1.07.11</t>
  </si>
  <si>
    <t>Bienes y servicios para inversión</t>
  </si>
  <si>
    <t>7.3.01</t>
  </si>
  <si>
    <t>7.3.02</t>
  </si>
  <si>
    <t>7.3.03</t>
  </si>
  <si>
    <t>7.3.04</t>
  </si>
  <si>
    <t>Instalaciones, Mantenimientos y Reparaciones</t>
  </si>
  <si>
    <t>7.3.05</t>
  </si>
  <si>
    <t>7.3.06</t>
  </si>
  <si>
    <t>Contrataciones de Estudios, Investigaciones y Servicios Técnicos Especializados</t>
  </si>
  <si>
    <t>7.3.07</t>
  </si>
  <si>
    <t>7.3.08</t>
  </si>
  <si>
    <t>Bienes de Uso y Consumo de Inversión</t>
  </si>
  <si>
    <t>7.3.14</t>
  </si>
  <si>
    <t>7.3.15</t>
  </si>
  <si>
    <t>Bienes Biológicos no Depreciables</t>
  </si>
  <si>
    <t>Obras públicas</t>
  </si>
  <si>
    <t>7.5.01</t>
  </si>
  <si>
    <t>Obras de Infraestructura</t>
  </si>
  <si>
    <t>7.5.04</t>
  </si>
  <si>
    <t>Obras en Líneas, Redes e Instalaciones Eléctricas y de Telecomunicaciones</t>
  </si>
  <si>
    <t>7.5.05</t>
  </si>
  <si>
    <t>Mantenimiento y Reparaciones</t>
  </si>
  <si>
    <t>Otros Gastos de Inversión</t>
  </si>
  <si>
    <t>77.01</t>
  </si>
  <si>
    <t>77.02</t>
  </si>
  <si>
    <t>77.03</t>
  </si>
  <si>
    <t>Dietas</t>
  </si>
  <si>
    <t>Transferencias y donaciones para inversión</t>
  </si>
  <si>
    <t>78.01</t>
  </si>
  <si>
    <t>Transferencias para Inversión al Sector Público</t>
  </si>
  <si>
    <t>78.02</t>
  </si>
  <si>
    <t>Transferencias y Donaciones de Inversión al Sector Privado Interno</t>
  </si>
  <si>
    <t>Bienes de larga duración</t>
  </si>
  <si>
    <t>8.4.01</t>
  </si>
  <si>
    <t>Mobiliarios para uso Institucional</t>
  </si>
  <si>
    <t>8.4.02</t>
  </si>
  <si>
    <t>Maquinarias y Equipos</t>
  </si>
  <si>
    <t>SUPERAVIT/DEFICIT DE CAPITAL E INVERSIÓN (4) - (5) = (6)</t>
  </si>
  <si>
    <t>SUPERAVIT/DEFICIT FISCAL  (3) + (6)</t>
  </si>
  <si>
    <t>FUENTES FINANCIERAS (7)</t>
  </si>
  <si>
    <t>Financiamiento Público</t>
  </si>
  <si>
    <t>Saldos disponibles</t>
  </si>
  <si>
    <t>Cuenta Pendientes por Cobrar</t>
  </si>
  <si>
    <t>USOS FINANCIEROS (8)</t>
  </si>
  <si>
    <t>Amortización de la deuda</t>
  </si>
  <si>
    <t>Pasivo Circulante</t>
  </si>
  <si>
    <t>Otros Pasivos</t>
  </si>
  <si>
    <t>SUPERAVIT/DEFICIT DE FINANCIAMIENTO (7) - (8)</t>
  </si>
  <si>
    <t>SUPERAVIT/DEFICIT PRESUPUESTARIO</t>
  </si>
  <si>
    <t xml:space="preserve">LIMITES DE ENDEUDAMIENTO </t>
  </si>
  <si>
    <t>DEUDA PUBLICA</t>
  </si>
  <si>
    <t>SERVICIO DE DEUDA</t>
  </si>
  <si>
    <t>SALDOS CONTABLES UTILIZADOS PARA EL CALCULO DE LIMITES DE ENDEUDAMIENTO</t>
  </si>
  <si>
    <t>PERIODO FISCAL</t>
  </si>
  <si>
    <t xml:space="preserve">21. Deuda flotante </t>
  </si>
  <si>
    <t xml:space="preserve">22. Deuda Pública </t>
  </si>
  <si>
    <t>Nota:</t>
  </si>
  <si>
    <t>* La información del Flujo Histórico, se encuentra contrastada con la informació presentada al MEF mediante el modulo de consolidación.</t>
  </si>
  <si>
    <t>* El supuesto aplicado para las proyecciones de los flujos presupuestarios se realizó, tomando como indicide inflacion la media del 2,50%</t>
  </si>
  <si>
    <t>MV. Martín Alejandro Jiménez Aguirre</t>
  </si>
  <si>
    <t>ALCALDE DEL GADM. YANTZAZA</t>
  </si>
  <si>
    <t>Ing. Leonardo Heriberto Cueva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</si>
</sst>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10"/>
      <name val="Arial"/>
      <family val="2"/>
    </font>
    <font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164" fontId="1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71">
    <xf numFmtId="0" fontId="0" fillId="0" borderId="0" xfId="0"/>
    <xf numFmtId="0" fontId="5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49" fontId="10" fillId="2" borderId="1" xfId="1" applyNumberFormat="1" applyFont="1" applyFill="1" applyBorder="1" applyAlignment="1">
      <alignment horizontal="center" vertical="center" wrapText="1"/>
    </xf>
    <xf numFmtId="0" fontId="11" fillId="0" borderId="0" xfId="1" applyFont="1" applyAlignment="1">
      <alignment vertical="center"/>
    </xf>
    <xf numFmtId="0" fontId="12" fillId="0" borderId="1" xfId="1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/>
    </xf>
    <xf numFmtId="4" fontId="12" fillId="0" borderId="1" xfId="1" applyNumberFormat="1" applyFont="1" applyFill="1" applyBorder="1" applyAlignment="1">
      <alignment horizontal="right" vertical="center"/>
    </xf>
    <xf numFmtId="4" fontId="12" fillId="0" borderId="1" xfId="1" applyNumberFormat="1" applyFont="1" applyFill="1" applyBorder="1" applyAlignment="1">
      <alignment horizontal="center" vertical="center"/>
    </xf>
    <xf numFmtId="0" fontId="13" fillId="0" borderId="0" xfId="1" applyFont="1" applyAlignment="1">
      <alignment vertical="center"/>
    </xf>
    <xf numFmtId="0" fontId="14" fillId="0" borderId="1" xfId="1" applyFont="1" applyBorder="1" applyAlignment="1">
      <alignment horizontal="center" vertical="center"/>
    </xf>
    <xf numFmtId="0" fontId="11" fillId="0" borderId="1" xfId="2" applyFont="1" applyBorder="1" applyAlignment="1">
      <alignment horizontal="left" vertical="center"/>
    </xf>
    <xf numFmtId="4" fontId="14" fillId="0" borderId="1" xfId="1" applyNumberFormat="1" applyFont="1" applyFill="1" applyBorder="1" applyAlignment="1">
      <alignment horizontal="right" vertical="center"/>
    </xf>
    <xf numFmtId="4" fontId="14" fillId="0" borderId="1" xfId="1" applyNumberFormat="1" applyFont="1" applyFill="1" applyBorder="1" applyAlignment="1">
      <alignment horizontal="center" vertical="center"/>
    </xf>
    <xf numFmtId="164" fontId="10" fillId="3" borderId="1" xfId="3" applyFont="1" applyFill="1" applyBorder="1" applyAlignment="1">
      <alignment horizontal="right" vertical="center"/>
    </xf>
    <xf numFmtId="0" fontId="16" fillId="3" borderId="1" xfId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10" fillId="2" borderId="1" xfId="2" applyFont="1" applyFill="1" applyBorder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4" fontId="12" fillId="0" borderId="1" xfId="2" applyNumberFormat="1" applyFont="1" applyFill="1" applyBorder="1" applyAlignment="1">
      <alignment horizontal="right" vertical="center"/>
    </xf>
    <xf numFmtId="0" fontId="14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left" vertical="center"/>
    </xf>
    <xf numFmtId="4" fontId="14" fillId="0" borderId="1" xfId="4" applyNumberFormat="1" applyFont="1" applyFill="1" applyBorder="1" applyAlignment="1">
      <alignment horizontal="right" vertical="center"/>
    </xf>
    <xf numFmtId="4" fontId="14" fillId="0" borderId="1" xfId="2" applyNumberFormat="1" applyFont="1" applyFill="1" applyBorder="1" applyAlignment="1">
      <alignment horizontal="right" vertical="center"/>
    </xf>
    <xf numFmtId="4" fontId="11" fillId="0" borderId="1" xfId="2" applyNumberFormat="1" applyFont="1" applyFill="1" applyBorder="1" applyAlignment="1">
      <alignment horizontal="right" vertical="center"/>
    </xf>
    <xf numFmtId="49" fontId="14" fillId="0" borderId="1" xfId="2" applyNumberFormat="1" applyFont="1" applyBorder="1" applyAlignment="1">
      <alignment horizontal="center" vertical="center"/>
    </xf>
    <xf numFmtId="4" fontId="10" fillId="3" borderId="1" xfId="4" applyNumberFormat="1" applyFont="1" applyFill="1" applyBorder="1" applyAlignment="1">
      <alignment horizontal="right" vertical="center"/>
    </xf>
    <xf numFmtId="0" fontId="2" fillId="0" borderId="0" xfId="2" applyFont="1" applyAlignment="1">
      <alignment vertical="center"/>
    </xf>
    <xf numFmtId="0" fontId="2" fillId="0" borderId="0" xfId="2"/>
    <xf numFmtId="0" fontId="3" fillId="0" borderId="0" xfId="2" applyFont="1"/>
    <xf numFmtId="0" fontId="2" fillId="0" borderId="0" xfId="2" applyFont="1"/>
    <xf numFmtId="49" fontId="12" fillId="0" borderId="1" xfId="2" applyNumberFormat="1" applyFont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8" fillId="0" borderId="3" xfId="2" applyFont="1" applyFill="1" applyBorder="1" applyAlignment="1">
      <alignment horizontal="center" vertical="center"/>
    </xf>
    <xf numFmtId="2" fontId="10" fillId="2" borderId="1" xfId="2" applyNumberFormat="1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49" fontId="19" fillId="5" borderId="1" xfId="5" applyNumberFormat="1" applyFont="1" applyFill="1" applyBorder="1"/>
    <xf numFmtId="0" fontId="19" fillId="0" borderId="1" xfId="5" applyFont="1" applyFill="1" applyBorder="1"/>
    <xf numFmtId="0" fontId="20" fillId="0" borderId="1" xfId="2" applyFont="1" applyFill="1" applyBorder="1" applyAlignment="1">
      <alignment horizontal="center" vertical="center"/>
    </xf>
    <xf numFmtId="0" fontId="19" fillId="5" borderId="1" xfId="5" applyFont="1" applyFill="1" applyBorder="1" applyAlignment="1">
      <alignment horizontal="left"/>
    </xf>
    <xf numFmtId="4" fontId="20" fillId="0" borderId="1" xfId="2" applyNumberFormat="1" applyFont="1" applyFill="1" applyBorder="1" applyAlignment="1">
      <alignment horizontal="right" vertical="center"/>
    </xf>
    <xf numFmtId="4" fontId="20" fillId="0" borderId="1" xfId="2" applyNumberFormat="1" applyFont="1" applyFill="1" applyBorder="1" applyAlignment="1">
      <alignment vertical="center"/>
    </xf>
    <xf numFmtId="0" fontId="11" fillId="0" borderId="0" xfId="2" applyFont="1" applyFill="1" applyAlignment="1">
      <alignment vertical="center"/>
    </xf>
    <xf numFmtId="4" fontId="11" fillId="0" borderId="0" xfId="2" applyNumberFormat="1" applyFont="1" applyFill="1" applyAlignment="1">
      <alignment vertical="center"/>
    </xf>
    <xf numFmtId="49" fontId="19" fillId="5" borderId="0" xfId="5" applyNumberFormat="1" applyFont="1" applyFill="1" applyBorder="1"/>
    <xf numFmtId="0" fontId="19" fillId="0" borderId="0" xfId="5" applyFont="1" applyFill="1" applyBorder="1"/>
    <xf numFmtId="0" fontId="20" fillId="0" borderId="0" xfId="2" applyFont="1" applyFill="1" applyBorder="1" applyAlignment="1">
      <alignment horizontal="center" vertical="center"/>
    </xf>
    <xf numFmtId="0" fontId="19" fillId="5" borderId="0" xfId="5" applyFont="1" applyFill="1" applyBorder="1" applyAlignment="1">
      <alignment horizontal="left"/>
    </xf>
    <xf numFmtId="4" fontId="20" fillId="0" borderId="0" xfId="2" applyNumberFormat="1" applyFont="1" applyFill="1" applyBorder="1" applyAlignment="1">
      <alignment horizontal="right" vertical="center"/>
    </xf>
    <xf numFmtId="4" fontId="20" fillId="0" borderId="0" xfId="2" applyNumberFormat="1" applyFont="1" applyFill="1" applyBorder="1" applyAlignment="1">
      <alignment vertical="center"/>
    </xf>
    <xf numFmtId="0" fontId="11" fillId="0" borderId="0" xfId="2" applyFont="1" applyFill="1" applyBorder="1" applyAlignment="1">
      <alignment vertical="center"/>
    </xf>
    <xf numFmtId="2" fontId="20" fillId="0" borderId="0" xfId="2" applyNumberFormat="1" applyFont="1" applyFill="1" applyBorder="1" applyAlignment="1">
      <alignment vertical="center"/>
    </xf>
    <xf numFmtId="0" fontId="20" fillId="0" borderId="0" xfId="2" applyFont="1" applyFill="1" applyBorder="1" applyAlignment="1">
      <alignment horizontal="justify" vertical="center"/>
    </xf>
    <xf numFmtId="0" fontId="20" fillId="6" borderId="1" xfId="2" applyFont="1" applyFill="1" applyBorder="1" applyAlignment="1">
      <alignment vertical="center"/>
    </xf>
    <xf numFmtId="4" fontId="20" fillId="6" borderId="1" xfId="2" applyNumberFormat="1" applyFont="1" applyFill="1" applyBorder="1" applyAlignment="1">
      <alignment horizontal="right" vertical="center"/>
    </xf>
    <xf numFmtId="0" fontId="20" fillId="3" borderId="1" xfId="2" applyFont="1" applyFill="1" applyBorder="1" applyAlignment="1">
      <alignment vertical="center"/>
    </xf>
    <xf numFmtId="4" fontId="20" fillId="3" borderId="1" xfId="2" applyNumberFormat="1" applyFont="1" applyFill="1" applyBorder="1" applyAlignment="1">
      <alignment horizontal="right" vertical="center"/>
    </xf>
    <xf numFmtId="2" fontId="2" fillId="0" borderId="0" xfId="2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17" fillId="0" borderId="0" xfId="6" applyNumberFormat="1" applyFont="1" applyAlignment="1">
      <alignment vertical="center"/>
    </xf>
    <xf numFmtId="4" fontId="23" fillId="2" borderId="1" xfId="6" applyNumberFormat="1" applyFont="1" applyFill="1" applyBorder="1" applyAlignment="1">
      <alignment horizontal="center" vertical="center" wrapText="1"/>
    </xf>
    <xf numFmtId="0" fontId="23" fillId="2" borderId="1" xfId="6" applyNumberFormat="1" applyFont="1" applyFill="1" applyBorder="1" applyAlignment="1">
      <alignment horizontal="center" vertical="center" wrapText="1"/>
    </xf>
    <xf numFmtId="4" fontId="23" fillId="2" borderId="1" xfId="6" applyNumberFormat="1" applyFont="1" applyFill="1" applyBorder="1" applyAlignment="1">
      <alignment horizontal="center" vertical="center"/>
    </xf>
    <xf numFmtId="0" fontId="23" fillId="2" borderId="1" xfId="3" applyNumberFormat="1" applyFont="1" applyFill="1" applyBorder="1" applyAlignment="1">
      <alignment horizontal="center" vertical="center"/>
    </xf>
    <xf numFmtId="4" fontId="24" fillId="7" borderId="1" xfId="6" applyNumberFormat="1" applyFont="1" applyFill="1" applyBorder="1" applyAlignment="1">
      <alignment vertical="center"/>
    </xf>
    <xf numFmtId="0" fontId="17" fillId="0" borderId="1" xfId="6" applyNumberFormat="1" applyFont="1" applyBorder="1" applyAlignment="1">
      <alignment horizontal="center" vertical="center"/>
    </xf>
    <xf numFmtId="4" fontId="17" fillId="0" borderId="1" xfId="6" applyNumberFormat="1" applyFont="1" applyBorder="1" applyAlignment="1">
      <alignment horizontal="left" vertical="center"/>
    </xf>
    <xf numFmtId="4" fontId="17" fillId="0" borderId="1" xfId="6" applyNumberFormat="1" applyFont="1" applyBorder="1" applyAlignment="1">
      <alignment vertical="center"/>
    </xf>
    <xf numFmtId="0" fontId="9" fillId="0" borderId="1" xfId="6" applyNumberFormat="1" applyFont="1" applyBorder="1" applyAlignment="1">
      <alignment horizontal="center" vertical="center"/>
    </xf>
    <xf numFmtId="4" fontId="9" fillId="0" borderId="1" xfId="6" applyNumberFormat="1" applyFont="1" applyBorder="1" applyAlignment="1">
      <alignment horizontal="left" vertical="center"/>
    </xf>
    <xf numFmtId="4" fontId="9" fillId="0" borderId="1" xfId="6" applyNumberFormat="1" applyFont="1" applyBorder="1" applyAlignment="1">
      <alignment vertical="center"/>
    </xf>
    <xf numFmtId="164" fontId="9" fillId="0" borderId="0" xfId="6" applyNumberFormat="1" applyFont="1" applyAlignment="1">
      <alignment vertical="center"/>
    </xf>
    <xf numFmtId="4" fontId="17" fillId="5" borderId="1" xfId="6" applyNumberFormat="1" applyFont="1" applyFill="1" applyBorder="1" applyAlignment="1">
      <alignment horizontal="left" vertical="center"/>
    </xf>
    <xf numFmtId="0" fontId="25" fillId="8" borderId="1" xfId="3" applyNumberFormat="1" applyFont="1" applyFill="1" applyBorder="1" applyAlignment="1">
      <alignment horizontal="center" vertical="center"/>
    </xf>
    <xf numFmtId="4" fontId="25" fillId="8" borderId="1" xfId="3" applyNumberFormat="1" applyFont="1" applyFill="1" applyBorder="1" applyAlignment="1">
      <alignment horizontal="right" vertical="center"/>
    </xf>
    <xf numFmtId="0" fontId="17" fillId="5" borderId="1" xfId="6" applyNumberFormat="1" applyFont="1" applyFill="1" applyBorder="1" applyAlignment="1">
      <alignment horizontal="center" vertical="center"/>
    </xf>
    <xf numFmtId="4" fontId="17" fillId="5" borderId="1" xfId="6" applyNumberFormat="1" applyFont="1" applyFill="1" applyBorder="1" applyAlignment="1">
      <alignment vertical="center"/>
    </xf>
    <xf numFmtId="164" fontId="17" fillId="5" borderId="0" xfId="6" applyNumberFormat="1" applyFont="1" applyFill="1" applyAlignment="1">
      <alignment vertical="center"/>
    </xf>
    <xf numFmtId="4" fontId="25" fillId="8" borderId="1" xfId="3" applyNumberFormat="1" applyFont="1" applyFill="1" applyBorder="1" applyAlignment="1">
      <alignment horizontal="left" vertical="center" wrapText="1"/>
    </xf>
    <xf numFmtId="4" fontId="24" fillId="9" borderId="1" xfId="6" applyNumberFormat="1" applyFont="1" applyFill="1" applyBorder="1" applyAlignment="1">
      <alignment vertical="center"/>
    </xf>
    <xf numFmtId="4" fontId="17" fillId="0" borderId="1" xfId="6" applyNumberFormat="1" applyFont="1" applyBorder="1" applyAlignment="1">
      <alignment horizontal="right" vertical="center"/>
    </xf>
    <xf numFmtId="164" fontId="24" fillId="0" borderId="0" xfId="6" applyNumberFormat="1" applyFont="1" applyAlignment="1">
      <alignment vertical="center"/>
    </xf>
    <xf numFmtId="4" fontId="24" fillId="10" borderId="1" xfId="6" applyNumberFormat="1" applyFont="1" applyFill="1" applyBorder="1" applyAlignment="1">
      <alignment vertical="center"/>
    </xf>
    <xf numFmtId="4" fontId="17" fillId="0" borderId="1" xfId="6" applyNumberFormat="1" applyFont="1" applyFill="1" applyBorder="1" applyAlignment="1">
      <alignment vertical="center"/>
    </xf>
    <xf numFmtId="4" fontId="8" fillId="8" borderId="1" xfId="3" applyNumberFormat="1" applyFont="1" applyFill="1" applyBorder="1" applyAlignment="1">
      <alignment horizontal="right" vertical="center"/>
    </xf>
    <xf numFmtId="4" fontId="26" fillId="3" borderId="1" xfId="6" applyNumberFormat="1" applyFont="1" applyFill="1" applyBorder="1" applyAlignment="1">
      <alignment vertical="center"/>
    </xf>
    <xf numFmtId="164" fontId="27" fillId="0" borderId="0" xfId="6" applyNumberFormat="1" applyFont="1" applyFill="1" applyAlignment="1">
      <alignment vertical="center"/>
    </xf>
    <xf numFmtId="0" fontId="23" fillId="2" borderId="1" xfId="6" applyNumberFormat="1" applyFont="1" applyFill="1" applyBorder="1" applyAlignment="1">
      <alignment horizontal="center" vertical="center"/>
    </xf>
    <xf numFmtId="0" fontId="27" fillId="0" borderId="0" xfId="6" applyNumberFormat="1" applyFont="1" applyFill="1" applyAlignment="1">
      <alignment vertical="center"/>
    </xf>
    <xf numFmtId="10" fontId="24" fillId="7" borderId="1" xfId="6" applyNumberFormat="1" applyFont="1" applyFill="1" applyBorder="1" applyAlignment="1">
      <alignment vertical="center"/>
    </xf>
    <xf numFmtId="10" fontId="24" fillId="10" borderId="1" xfId="6" applyNumberFormat="1" applyFont="1" applyFill="1" applyBorder="1" applyAlignment="1">
      <alignment vertical="center"/>
    </xf>
    <xf numFmtId="0" fontId="24" fillId="0" borderId="0" xfId="6" applyNumberFormat="1" applyFont="1" applyFill="1" applyBorder="1" applyAlignment="1">
      <alignment vertical="center"/>
    </xf>
    <xf numFmtId="0" fontId="24" fillId="0" borderId="0" xfId="6" applyNumberFormat="1" applyFont="1" applyFill="1" applyAlignment="1">
      <alignment vertical="center"/>
    </xf>
    <xf numFmtId="0" fontId="24" fillId="9" borderId="1" xfId="6" applyFont="1" applyFill="1" applyBorder="1" applyAlignment="1">
      <alignment horizontal="center" vertical="center"/>
    </xf>
    <xf numFmtId="0" fontId="9" fillId="0" borderId="0" xfId="6" applyNumberFormat="1" applyFont="1" applyAlignment="1">
      <alignment vertical="center"/>
    </xf>
    <xf numFmtId="164" fontId="9" fillId="0" borderId="0" xfId="6" applyNumberFormat="1" applyFont="1" applyAlignment="1">
      <alignment horizontal="left" vertical="center"/>
    </xf>
    <xf numFmtId="0" fontId="9" fillId="0" borderId="0" xfId="1" applyFont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left" vertical="center"/>
    </xf>
    <xf numFmtId="0" fontId="8" fillId="0" borderId="0" xfId="1" applyFont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3" fillId="4" borderId="2" xfId="1" applyFont="1" applyFill="1" applyBorder="1" applyAlignment="1">
      <alignment vertical="center"/>
    </xf>
    <xf numFmtId="0" fontId="11" fillId="4" borderId="0" xfId="1" applyFont="1" applyFill="1" applyBorder="1" applyAlignment="1">
      <alignment vertical="center"/>
    </xf>
    <xf numFmtId="0" fontId="13" fillId="4" borderId="0" xfId="1" applyFont="1" applyFill="1" applyBorder="1" applyAlignment="1">
      <alignment vertical="center"/>
    </xf>
    <xf numFmtId="0" fontId="17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1" fillId="4" borderId="0" xfId="2" applyFont="1" applyFill="1" applyAlignment="1">
      <alignment horizontal="left" vertical="center"/>
    </xf>
    <xf numFmtId="0" fontId="13" fillId="4" borderId="0" xfId="2" applyFont="1" applyFill="1" applyAlignment="1">
      <alignment horizontal="left" vertical="center"/>
    </xf>
    <xf numFmtId="0" fontId="4" fillId="0" borderId="0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3" fillId="4" borderId="2" xfId="2" applyFont="1" applyFill="1" applyBorder="1" applyAlignment="1">
      <alignment horizontal="left" vertical="center"/>
    </xf>
    <xf numFmtId="0" fontId="9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2" fillId="0" borderId="0" xfId="2" applyAlignment="1">
      <alignment horizontal="center"/>
    </xf>
    <xf numFmtId="0" fontId="3" fillId="0" borderId="0" xfId="2" applyFont="1" applyAlignment="1">
      <alignment horizontal="center"/>
    </xf>
    <xf numFmtId="0" fontId="2" fillId="0" borderId="0" xfId="2" applyFont="1" applyAlignment="1">
      <alignment horizontal="justify" vertical="center" wrapText="1"/>
    </xf>
    <xf numFmtId="0" fontId="2" fillId="0" borderId="0" xfId="2" applyAlignment="1">
      <alignment horizontal="justify" vertical="center" wrapText="1"/>
    </xf>
    <xf numFmtId="0" fontId="2" fillId="0" borderId="0" xfId="2" applyAlignment="1">
      <alignment horizontal="left"/>
    </xf>
    <xf numFmtId="0" fontId="2" fillId="0" borderId="0" xfId="2" applyFont="1" applyAlignment="1">
      <alignment horizontal="center" vertical="center"/>
    </xf>
    <xf numFmtId="2" fontId="2" fillId="0" borderId="0" xfId="2" applyNumberFormat="1" applyFont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0" fontId="3" fillId="4" borderId="0" xfId="2" applyFont="1" applyFill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4" fontId="24" fillId="9" borderId="1" xfId="6" applyNumberFormat="1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3" xfId="6" applyNumberFormat="1" applyFont="1" applyBorder="1" applyAlignment="1">
      <alignment horizontal="center" vertical="center"/>
    </xf>
    <xf numFmtId="4" fontId="23" fillId="2" borderId="1" xfId="6" applyNumberFormat="1" applyFont="1" applyFill="1" applyBorder="1" applyAlignment="1">
      <alignment horizontal="center" vertical="center" wrapText="1"/>
    </xf>
    <xf numFmtId="4" fontId="23" fillId="2" borderId="4" xfId="6" applyNumberFormat="1" applyFont="1" applyFill="1" applyBorder="1" applyAlignment="1">
      <alignment horizontal="center" vertical="center" wrapText="1"/>
    </xf>
    <xf numFmtId="4" fontId="23" fillId="2" borderId="5" xfId="6" applyNumberFormat="1" applyFont="1" applyFill="1" applyBorder="1" applyAlignment="1">
      <alignment horizontal="center" vertical="center" wrapText="1"/>
    </xf>
    <xf numFmtId="4" fontId="23" fillId="2" borderId="6" xfId="6" applyNumberFormat="1" applyFont="1" applyFill="1" applyBorder="1" applyAlignment="1">
      <alignment horizontal="center" vertical="center" wrapText="1"/>
    </xf>
    <xf numFmtId="4" fontId="24" fillId="7" borderId="1" xfId="6" applyNumberFormat="1" applyFont="1" applyFill="1" applyBorder="1" applyAlignment="1">
      <alignment horizontal="left" vertical="center"/>
    </xf>
    <xf numFmtId="0" fontId="24" fillId="9" borderId="4" xfId="6" applyFont="1" applyFill="1" applyBorder="1" applyAlignment="1">
      <alignment horizontal="center" vertical="center"/>
    </xf>
    <xf numFmtId="0" fontId="24" fillId="9" borderId="6" xfId="6" applyFont="1" applyFill="1" applyBorder="1" applyAlignment="1">
      <alignment horizontal="center" vertical="center"/>
    </xf>
    <xf numFmtId="4" fontId="24" fillId="10" borderId="1" xfId="6" applyNumberFormat="1" applyFont="1" applyFill="1" applyBorder="1" applyAlignment="1">
      <alignment horizontal="left" vertical="center"/>
    </xf>
    <xf numFmtId="4" fontId="26" fillId="3" borderId="1" xfId="6" applyNumberFormat="1" applyFont="1" applyFill="1" applyBorder="1" applyAlignment="1">
      <alignment horizontal="left" vertical="center"/>
    </xf>
    <xf numFmtId="0" fontId="24" fillId="0" borderId="2" xfId="6" applyNumberFormat="1" applyFont="1" applyFill="1" applyBorder="1" applyAlignment="1">
      <alignment horizontal="center" vertical="center"/>
    </xf>
    <xf numFmtId="0" fontId="23" fillId="2" borderId="1" xfId="6" applyNumberFormat="1" applyFont="1" applyFill="1" applyBorder="1" applyAlignment="1">
      <alignment horizontal="left" vertical="center"/>
    </xf>
    <xf numFmtId="0" fontId="24" fillId="7" borderId="1" xfId="6" applyNumberFormat="1" applyFont="1" applyFill="1" applyBorder="1" applyAlignment="1">
      <alignment horizontal="left" vertical="center"/>
    </xf>
    <xf numFmtId="0" fontId="24" fillId="10" borderId="1" xfId="6" applyNumberFormat="1" applyFont="1" applyFill="1" applyBorder="1" applyAlignment="1">
      <alignment horizontal="left" vertical="center"/>
    </xf>
    <xf numFmtId="0" fontId="24" fillId="0" borderId="0" xfId="6" applyNumberFormat="1" applyFont="1" applyFill="1" applyBorder="1" applyAlignment="1">
      <alignment horizontal="center" vertical="center"/>
    </xf>
    <xf numFmtId="0" fontId="23" fillId="11" borderId="7" xfId="6" applyFont="1" applyFill="1" applyBorder="1" applyAlignment="1">
      <alignment horizontal="left" vertical="center"/>
    </xf>
    <xf numFmtId="0" fontId="23" fillId="11" borderId="3" xfId="6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7" fillId="0" borderId="1" xfId="6" applyFont="1" applyFill="1" applyBorder="1" applyAlignment="1">
      <alignment horizontal="left" vertical="center"/>
    </xf>
    <xf numFmtId="0" fontId="17" fillId="4" borderId="0" xfId="7" applyFont="1" applyFill="1" applyBorder="1" applyAlignment="1">
      <alignment horizontal="left" vertical="center" wrapText="1"/>
    </xf>
    <xf numFmtId="0" fontId="9" fillId="4" borderId="0" xfId="7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</cellXfs>
  <cellStyles count="8">
    <cellStyle name="Millares 2" xfId="3" xr:uid="{00000000-0005-0000-0000-000000000000}"/>
    <cellStyle name="Millares 4" xfId="4" xr:uid="{00000000-0005-0000-0000-000001000000}"/>
    <cellStyle name="Normal" xfId="0" builtinId="0"/>
    <cellStyle name="Normal 2" xfId="6" xr:uid="{00000000-0005-0000-0000-000003000000}"/>
    <cellStyle name="Normal 2 2" xfId="7" xr:uid="{00000000-0005-0000-0000-000004000000}"/>
    <cellStyle name="Normal 2 3" xfId="2" xr:uid="{00000000-0005-0000-0000-000005000000}"/>
    <cellStyle name="Normal 4" xfId="1" xr:uid="{00000000-0005-0000-0000-000006000000}"/>
    <cellStyle name="Normal 5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opLeftCell="A13" workbookViewId="0">
      <selection activeCell="A28" sqref="A28:H28"/>
    </sheetView>
  </sheetViews>
  <sheetFormatPr baseColWidth="10" defaultRowHeight="15" x14ac:dyDescent="0.2"/>
  <cols>
    <col min="1" max="1" width="4.42578125" style="17" customWidth="1"/>
    <col min="2" max="2" width="34.5703125" style="17" customWidth="1"/>
    <col min="3" max="3" width="14.140625" style="17" customWidth="1"/>
    <col min="4" max="7" width="12.7109375" style="17" customWidth="1"/>
    <col min="8" max="8" width="11.85546875" style="17" customWidth="1"/>
    <col min="9" max="16384" width="11.42578125" style="17"/>
  </cols>
  <sheetData>
    <row r="1" spans="1:8" s="1" customFormat="1" ht="18.75" x14ac:dyDescent="0.2">
      <c r="A1" s="106" t="s">
        <v>0</v>
      </c>
      <c r="B1" s="106"/>
      <c r="C1" s="106"/>
      <c r="D1" s="106"/>
      <c r="E1" s="106"/>
      <c r="F1" s="106"/>
      <c r="G1" s="106"/>
      <c r="H1" s="106"/>
    </row>
    <row r="2" spans="1:8" s="2" customFormat="1" ht="15.75" x14ac:dyDescent="0.2">
      <c r="A2" s="107" t="s">
        <v>1</v>
      </c>
      <c r="B2" s="107"/>
      <c r="C2" s="107"/>
      <c r="D2" s="107"/>
      <c r="E2" s="107"/>
      <c r="F2" s="107"/>
      <c r="G2" s="107"/>
      <c r="H2" s="107"/>
    </row>
    <row r="3" spans="1:8" s="2" customFormat="1" ht="15.75" x14ac:dyDescent="0.2">
      <c r="A3" s="107" t="s">
        <v>2</v>
      </c>
      <c r="B3" s="107"/>
      <c r="C3" s="107"/>
      <c r="D3" s="107"/>
      <c r="E3" s="107"/>
      <c r="F3" s="107"/>
      <c r="G3" s="107"/>
      <c r="H3" s="107"/>
    </row>
    <row r="4" spans="1:8" s="2" customFormat="1" ht="15.75" x14ac:dyDescent="0.2">
      <c r="A4" s="107"/>
      <c r="B4" s="107"/>
      <c r="C4" s="107"/>
      <c r="D4" s="107"/>
      <c r="E4" s="107"/>
      <c r="F4" s="107"/>
      <c r="G4" s="107"/>
      <c r="H4" s="107"/>
    </row>
    <row r="5" spans="1:8" s="3" customFormat="1" ht="12.75" x14ac:dyDescent="0.2">
      <c r="A5" s="108" t="s">
        <v>3</v>
      </c>
      <c r="B5" s="108"/>
      <c r="C5" s="108"/>
      <c r="D5" s="108"/>
      <c r="E5" s="108"/>
      <c r="F5" s="108"/>
      <c r="G5" s="108"/>
      <c r="H5" s="108"/>
    </row>
    <row r="6" spans="1:8" s="3" customFormat="1" ht="12.75" x14ac:dyDescent="0.2">
      <c r="A6" s="108" t="s">
        <v>4</v>
      </c>
      <c r="B6" s="108"/>
      <c r="C6" s="108"/>
      <c r="D6" s="108"/>
      <c r="E6" s="108"/>
      <c r="F6" s="108"/>
      <c r="G6" s="108"/>
      <c r="H6" s="108"/>
    </row>
    <row r="7" spans="1:8" s="3" customFormat="1" ht="13.5" thickBot="1" x14ac:dyDescent="0.25">
      <c r="A7" s="109"/>
      <c r="B7" s="109"/>
      <c r="C7" s="109"/>
      <c r="D7" s="109"/>
      <c r="E7" s="109"/>
      <c r="F7" s="109"/>
      <c r="G7" s="109"/>
      <c r="H7" s="109"/>
    </row>
    <row r="8" spans="1:8" s="5" customFormat="1" ht="57" thickBot="1" x14ac:dyDescent="0.25">
      <c r="A8" s="110" t="s">
        <v>5</v>
      </c>
      <c r="B8" s="110"/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</row>
    <row r="9" spans="1:8" s="10" customFormat="1" ht="12" thickBot="1" x14ac:dyDescent="0.25">
      <c r="A9" s="6">
        <v>11</v>
      </c>
      <c r="B9" s="7" t="s">
        <v>12</v>
      </c>
      <c r="C9" s="8"/>
      <c r="D9" s="8"/>
      <c r="E9" s="8"/>
      <c r="F9" s="8"/>
      <c r="G9" s="8"/>
      <c r="H9" s="9"/>
    </row>
    <row r="10" spans="1:8" s="5" customFormat="1" ht="12" thickBot="1" x14ac:dyDescent="0.25">
      <c r="A10" s="11">
        <v>1101</v>
      </c>
      <c r="B10" s="12" t="s">
        <v>13</v>
      </c>
      <c r="C10" s="13">
        <f>E10/3</f>
        <v>9533.3333333333339</v>
      </c>
      <c r="D10" s="13">
        <f>C10*2</f>
        <v>19066.666666666668</v>
      </c>
      <c r="E10" s="13">
        <v>28600</v>
      </c>
      <c r="F10" s="13">
        <f>E10*1.01</f>
        <v>28886</v>
      </c>
      <c r="G10" s="13">
        <f>F10*1.01</f>
        <v>29174.86</v>
      </c>
      <c r="H10" s="14"/>
    </row>
    <row r="11" spans="1:8" s="5" customFormat="1" ht="12" thickBot="1" x14ac:dyDescent="0.25">
      <c r="A11" s="11">
        <v>1102</v>
      </c>
      <c r="B11" s="12" t="s">
        <v>14</v>
      </c>
      <c r="C11" s="13">
        <f t="shared" ref="C11:C14" si="0">E11/3</f>
        <v>78666.666666666672</v>
      </c>
      <c r="D11" s="13">
        <f t="shared" ref="D11:D16" si="1">C11*2</f>
        <v>157333.33333333334</v>
      </c>
      <c r="E11" s="13">
        <v>236000</v>
      </c>
      <c r="F11" s="13">
        <f t="shared" ref="F11:G12" si="2">E11*1.01</f>
        <v>238360</v>
      </c>
      <c r="G11" s="13">
        <f t="shared" si="2"/>
        <v>240743.6</v>
      </c>
      <c r="H11" s="14"/>
    </row>
    <row r="12" spans="1:8" s="5" customFormat="1" ht="12" thickBot="1" x14ac:dyDescent="0.25">
      <c r="A12" s="11">
        <v>1107</v>
      </c>
      <c r="B12" s="12" t="s">
        <v>15</v>
      </c>
      <c r="C12" s="13">
        <f t="shared" si="0"/>
        <v>39200</v>
      </c>
      <c r="D12" s="13">
        <f t="shared" si="1"/>
        <v>78400</v>
      </c>
      <c r="E12" s="13">
        <v>117600</v>
      </c>
      <c r="F12" s="13">
        <f t="shared" si="2"/>
        <v>118776</v>
      </c>
      <c r="G12" s="13">
        <f t="shared" si="2"/>
        <v>119963.76</v>
      </c>
      <c r="H12" s="14"/>
    </row>
    <row r="13" spans="1:8" s="10" customFormat="1" ht="12" thickBot="1" x14ac:dyDescent="0.25">
      <c r="A13" s="6">
        <v>13</v>
      </c>
      <c r="B13" s="7" t="s">
        <v>16</v>
      </c>
      <c r="C13" s="8"/>
      <c r="D13" s="8"/>
      <c r="E13" s="8"/>
      <c r="F13" s="8"/>
      <c r="G13" s="8"/>
      <c r="H13" s="9"/>
    </row>
    <row r="14" spans="1:8" s="5" customFormat="1" ht="12" thickBot="1" x14ac:dyDescent="0.25">
      <c r="A14" s="11">
        <v>1301</v>
      </c>
      <c r="B14" s="12" t="s">
        <v>17</v>
      </c>
      <c r="C14" s="13">
        <f t="shared" si="0"/>
        <v>65800</v>
      </c>
      <c r="D14" s="13">
        <f t="shared" si="1"/>
        <v>131600</v>
      </c>
      <c r="E14" s="13">
        <v>197400</v>
      </c>
      <c r="F14" s="13">
        <f t="shared" ref="F14:G14" si="3">E14*1.01</f>
        <v>199374</v>
      </c>
      <c r="G14" s="13">
        <f t="shared" si="3"/>
        <v>201367.74</v>
      </c>
      <c r="H14" s="14"/>
    </row>
    <row r="15" spans="1:8" s="10" customFormat="1" ht="12" thickBot="1" x14ac:dyDescent="0.25">
      <c r="A15" s="6">
        <v>14</v>
      </c>
      <c r="B15" s="7" t="s">
        <v>18</v>
      </c>
      <c r="C15" s="8"/>
      <c r="D15" s="8"/>
      <c r="E15" s="8"/>
      <c r="F15" s="8"/>
      <c r="G15" s="8"/>
      <c r="H15" s="9"/>
    </row>
    <row r="16" spans="1:8" s="5" customFormat="1" ht="12" thickBot="1" x14ac:dyDescent="0.25">
      <c r="A16" s="11">
        <v>1403</v>
      </c>
      <c r="B16" s="12" t="s">
        <v>19</v>
      </c>
      <c r="C16" s="13">
        <f t="shared" ref="C16" si="4">E16/3</f>
        <v>10866.666666666666</v>
      </c>
      <c r="D16" s="13">
        <f t="shared" si="1"/>
        <v>21733.333333333332</v>
      </c>
      <c r="E16" s="13">
        <v>32600</v>
      </c>
      <c r="F16" s="13">
        <f t="shared" ref="F16:G16" si="5">E16*1.01</f>
        <v>32926</v>
      </c>
      <c r="G16" s="13">
        <f t="shared" si="5"/>
        <v>33255.26</v>
      </c>
      <c r="H16" s="14"/>
    </row>
    <row r="17" spans="1:8" s="10" customFormat="1" ht="12" thickBot="1" x14ac:dyDescent="0.25">
      <c r="A17" s="6">
        <v>18</v>
      </c>
      <c r="B17" s="7" t="s">
        <v>20</v>
      </c>
      <c r="C17" s="8"/>
      <c r="D17" s="8"/>
      <c r="E17" s="8"/>
      <c r="F17" s="8"/>
      <c r="G17" s="8"/>
      <c r="H17" s="9"/>
    </row>
    <row r="18" spans="1:8" s="5" customFormat="1" ht="12" thickBot="1" x14ac:dyDescent="0.25">
      <c r="A18" s="11">
        <v>1801</v>
      </c>
      <c r="B18" s="12" t="s">
        <v>21</v>
      </c>
      <c r="C18" s="13">
        <f>'FORMULARIO 2'!C27-(SUM(C9:C17))</f>
        <v>121423.01308533343</v>
      </c>
      <c r="D18" s="13">
        <f>'FORMULARIO 2'!D27-(SUM(D9:D17))</f>
        <v>207669.06217066682</v>
      </c>
      <c r="E18" s="13">
        <f>'FORMULARIO 2'!E27-(SUM(E9:E17))</f>
        <v>286493.0632560004</v>
      </c>
      <c r="F18" s="13">
        <f>'FORMULARIO 2'!F27-(SUM(F9:F17))</f>
        <v>281100.0632560004</v>
      </c>
      <c r="G18" s="13">
        <f>'FORMULARIO 2'!G27-(SUM(G9:G17))</f>
        <v>275807.84325600043</v>
      </c>
      <c r="H18" s="14"/>
    </row>
    <row r="19" spans="1:8" s="5" customFormat="1" ht="12" thickBot="1" x14ac:dyDescent="0.25">
      <c r="A19" s="111" t="s">
        <v>22</v>
      </c>
      <c r="B19" s="111"/>
      <c r="C19" s="15">
        <f>SUM(C9:C18)</f>
        <v>325489.67975200008</v>
      </c>
      <c r="D19" s="15">
        <f>SUM(D9:D18)</f>
        <v>615802.39550400013</v>
      </c>
      <c r="E19" s="15">
        <f>SUM(E9:E18)</f>
        <v>898693.0632560004</v>
      </c>
      <c r="F19" s="15">
        <f>SUM(F9:F18)</f>
        <v>899422.0632560004</v>
      </c>
      <c r="G19" s="15">
        <f>SUM(G9:G18)</f>
        <v>900313.0632560004</v>
      </c>
      <c r="H19" s="16"/>
    </row>
    <row r="20" spans="1:8" s="5" customFormat="1" ht="11.25" x14ac:dyDescent="0.2">
      <c r="A20" s="112" t="s">
        <v>23</v>
      </c>
      <c r="B20" s="112"/>
      <c r="C20" s="112"/>
      <c r="D20" s="112"/>
      <c r="E20" s="112"/>
      <c r="F20" s="112"/>
      <c r="G20" s="112"/>
      <c r="H20" s="112"/>
    </row>
    <row r="21" spans="1:8" s="5" customFormat="1" ht="11.25" x14ac:dyDescent="0.2">
      <c r="A21" s="113" t="s">
        <v>24</v>
      </c>
      <c r="B21" s="114"/>
      <c r="C21" s="114"/>
      <c r="D21" s="114"/>
      <c r="E21" s="114"/>
      <c r="F21" s="114"/>
      <c r="G21" s="114"/>
      <c r="H21" s="114"/>
    </row>
    <row r="22" spans="1:8" x14ac:dyDescent="0.2">
      <c r="A22" s="105"/>
      <c r="B22" s="105"/>
      <c r="C22" s="105"/>
      <c r="D22" s="105"/>
      <c r="E22" s="105"/>
      <c r="F22" s="105"/>
      <c r="G22" s="105"/>
      <c r="H22" s="105"/>
    </row>
    <row r="23" spans="1:8" x14ac:dyDescent="0.2">
      <c r="A23" s="116"/>
      <c r="B23" s="116"/>
      <c r="C23" s="116"/>
      <c r="D23" s="116"/>
      <c r="E23" s="116"/>
      <c r="F23" s="116"/>
      <c r="G23" s="116"/>
      <c r="H23" s="116"/>
    </row>
    <row r="24" spans="1:8" x14ac:dyDescent="0.2">
      <c r="A24" s="116"/>
      <c r="B24" s="116"/>
      <c r="C24" s="116"/>
      <c r="D24" s="116"/>
      <c r="E24" s="116"/>
      <c r="F24" s="116"/>
      <c r="G24" s="116"/>
      <c r="H24" s="116"/>
    </row>
    <row r="25" spans="1:8" x14ac:dyDescent="0.2">
      <c r="A25" s="116"/>
      <c r="B25" s="116"/>
      <c r="C25" s="116"/>
      <c r="D25" s="116"/>
      <c r="E25" s="116"/>
      <c r="F25" s="116"/>
      <c r="G25" s="116"/>
      <c r="H25" s="116"/>
    </row>
    <row r="26" spans="1:8" x14ac:dyDescent="0.2">
      <c r="A26" s="116"/>
      <c r="B26" s="116"/>
      <c r="C26" s="116"/>
      <c r="D26" s="116"/>
      <c r="E26" s="116"/>
      <c r="F26" s="116"/>
      <c r="G26" s="116"/>
      <c r="H26" s="116"/>
    </row>
    <row r="27" spans="1:8" x14ac:dyDescent="0.2">
      <c r="A27" s="116"/>
      <c r="B27" s="116"/>
      <c r="C27" s="116"/>
      <c r="D27" s="116"/>
      <c r="E27" s="116"/>
      <c r="F27" s="116"/>
      <c r="G27" s="116"/>
      <c r="H27" s="116"/>
    </row>
    <row r="28" spans="1:8" x14ac:dyDescent="0.2">
      <c r="A28" s="116" t="s">
        <v>403</v>
      </c>
      <c r="B28" s="116"/>
      <c r="C28" s="116"/>
      <c r="D28" s="116"/>
      <c r="E28" s="116"/>
      <c r="F28" s="116"/>
      <c r="G28" s="116"/>
      <c r="H28" s="116"/>
    </row>
    <row r="29" spans="1:8" x14ac:dyDescent="0.2">
      <c r="A29" s="115" t="s">
        <v>25</v>
      </c>
      <c r="B29" s="116"/>
      <c r="C29" s="116"/>
      <c r="D29" s="116"/>
      <c r="E29" s="116"/>
      <c r="F29" s="116"/>
      <c r="G29" s="116"/>
      <c r="H29" s="116"/>
    </row>
    <row r="30" spans="1:8" x14ac:dyDescent="0.2">
      <c r="A30" s="115"/>
      <c r="B30" s="115"/>
      <c r="C30" s="115"/>
      <c r="D30" s="115"/>
      <c r="E30" s="115"/>
      <c r="F30" s="115"/>
      <c r="G30" s="115"/>
      <c r="H30" s="115"/>
    </row>
    <row r="31" spans="1:8" x14ac:dyDescent="0.2">
      <c r="A31" s="117" t="s">
        <v>26</v>
      </c>
      <c r="B31" s="117"/>
      <c r="C31" s="117"/>
      <c r="D31" s="117"/>
      <c r="E31" s="117"/>
      <c r="F31" s="117"/>
      <c r="G31" s="117"/>
      <c r="H31" s="117"/>
    </row>
  </sheetData>
  <mergeCells count="21">
    <mergeCell ref="A29:H29"/>
    <mergeCell ref="A30:H30"/>
    <mergeCell ref="A31:H31"/>
    <mergeCell ref="A23:H23"/>
    <mergeCell ref="A24:H24"/>
    <mergeCell ref="A25:H25"/>
    <mergeCell ref="A26:H26"/>
    <mergeCell ref="A27:H27"/>
    <mergeCell ref="A28:H28"/>
    <mergeCell ref="A22:H22"/>
    <mergeCell ref="A1:H1"/>
    <mergeCell ref="A2:H2"/>
    <mergeCell ref="A3:H3"/>
    <mergeCell ref="A4:H4"/>
    <mergeCell ref="A5:H5"/>
    <mergeCell ref="A6:H6"/>
    <mergeCell ref="A7:H7"/>
    <mergeCell ref="A8:B8"/>
    <mergeCell ref="A19:B19"/>
    <mergeCell ref="A20:H20"/>
    <mergeCell ref="A21:H2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9"/>
  <sheetViews>
    <sheetView topLeftCell="A25" zoomScale="115" zoomScaleNormal="115" workbookViewId="0">
      <selection activeCell="A34" sqref="A34:H34"/>
    </sheetView>
  </sheetViews>
  <sheetFormatPr baseColWidth="10" defaultRowHeight="15" x14ac:dyDescent="0.2"/>
  <cols>
    <col min="1" max="1" width="7" style="33" customWidth="1"/>
    <col min="2" max="2" width="32.85546875" style="33" customWidth="1"/>
    <col min="3" max="3" width="12.7109375" style="33" customWidth="1"/>
    <col min="4" max="6" width="12.42578125" style="33" customWidth="1"/>
    <col min="7" max="7" width="12.7109375" style="33" customWidth="1"/>
    <col min="8" max="8" width="11.85546875" style="33" customWidth="1"/>
    <col min="9" max="16384" width="11.42578125" style="33"/>
  </cols>
  <sheetData>
    <row r="1" spans="1:8" s="18" customFormat="1" ht="18.75" x14ac:dyDescent="0.2">
      <c r="A1" s="120" t="str">
        <f>'FORMULARIO 1'!A1:H1</f>
        <v>MINISTERIO DE ECONOMIA Y FINANZAS</v>
      </c>
      <c r="B1" s="120"/>
      <c r="C1" s="120"/>
      <c r="D1" s="120"/>
      <c r="E1" s="120"/>
      <c r="F1" s="120"/>
      <c r="G1" s="120"/>
      <c r="H1" s="120"/>
    </row>
    <row r="2" spans="1:8" s="19" customFormat="1" ht="15.75" x14ac:dyDescent="0.2">
      <c r="A2" s="121" t="s">
        <v>27</v>
      </c>
      <c r="B2" s="121"/>
      <c r="C2" s="121"/>
      <c r="D2" s="121"/>
      <c r="E2" s="121"/>
      <c r="F2" s="121"/>
      <c r="G2" s="121"/>
      <c r="H2" s="121"/>
    </row>
    <row r="3" spans="1:8" s="19" customFormat="1" ht="15.75" x14ac:dyDescent="0.2">
      <c r="A3" s="121" t="s">
        <v>28</v>
      </c>
      <c r="B3" s="121"/>
      <c r="C3" s="121"/>
      <c r="D3" s="121"/>
      <c r="E3" s="121"/>
      <c r="F3" s="121"/>
      <c r="G3" s="121"/>
      <c r="H3" s="121"/>
    </row>
    <row r="4" spans="1:8" s="19" customFormat="1" ht="15.75" x14ac:dyDescent="0.2">
      <c r="A4" s="121"/>
      <c r="B4" s="121"/>
      <c r="C4" s="121"/>
      <c r="D4" s="121"/>
      <c r="E4" s="121"/>
      <c r="F4" s="121"/>
      <c r="G4" s="121"/>
      <c r="H4" s="121"/>
    </row>
    <row r="5" spans="1:8" s="20" customFormat="1" ht="12.75" x14ac:dyDescent="0.2">
      <c r="A5" s="122" t="str">
        <f>'FORMULARIO 1'!A5:H5</f>
        <v>GOBIERNO AUTÓNOMO DESCENTRALIZADO MUNICIPAL DE YANTZAZA</v>
      </c>
      <c r="B5" s="122"/>
      <c r="C5" s="122"/>
      <c r="D5" s="122"/>
      <c r="E5" s="122"/>
      <c r="F5" s="122"/>
      <c r="G5" s="122"/>
      <c r="H5" s="122"/>
    </row>
    <row r="6" spans="1:8" s="20" customFormat="1" ht="12.75" x14ac:dyDescent="0.2">
      <c r="A6" s="122" t="str">
        <f>'FORMULARIO 1'!A6:H6</f>
        <v>Nº PROYECTO CONTRATO COLECTIVO: DECIMO CUARTO</v>
      </c>
      <c r="B6" s="122"/>
      <c r="C6" s="122"/>
      <c r="D6" s="122"/>
      <c r="E6" s="122"/>
      <c r="F6" s="122"/>
      <c r="G6" s="122"/>
      <c r="H6" s="122"/>
    </row>
    <row r="7" spans="1:8" s="20" customFormat="1" ht="13.5" thickBot="1" x14ac:dyDescent="0.25">
      <c r="A7" s="123"/>
      <c r="B7" s="123"/>
      <c r="C7" s="123"/>
      <c r="D7" s="123"/>
      <c r="E7" s="123"/>
      <c r="F7" s="123"/>
      <c r="G7" s="123"/>
      <c r="H7" s="123"/>
    </row>
    <row r="8" spans="1:8" s="22" customFormat="1" ht="57" thickBot="1" x14ac:dyDescent="0.25">
      <c r="A8" s="124" t="s">
        <v>29</v>
      </c>
      <c r="B8" s="124"/>
      <c r="C8" s="21" t="s">
        <v>30</v>
      </c>
      <c r="D8" s="21" t="s">
        <v>31</v>
      </c>
      <c r="E8" s="21" t="s">
        <v>32</v>
      </c>
      <c r="F8" s="21" t="s">
        <v>33</v>
      </c>
      <c r="G8" s="21" t="s">
        <v>34</v>
      </c>
      <c r="H8" s="21" t="s">
        <v>11</v>
      </c>
    </row>
    <row r="9" spans="1:8" s="22" customFormat="1" ht="12" thickBot="1" x14ac:dyDescent="0.25">
      <c r="A9" s="125" t="s">
        <v>35</v>
      </c>
      <c r="B9" s="126"/>
      <c r="C9" s="126"/>
      <c r="D9" s="126"/>
      <c r="E9" s="126"/>
      <c r="F9" s="126"/>
      <c r="G9" s="126"/>
      <c r="H9" s="127"/>
    </row>
    <row r="10" spans="1:8" s="22" customFormat="1" ht="12" thickBot="1" x14ac:dyDescent="0.25">
      <c r="A10" s="23">
        <v>5101</v>
      </c>
      <c r="B10" s="24" t="s">
        <v>36</v>
      </c>
      <c r="C10" s="25"/>
      <c r="D10" s="25"/>
      <c r="E10" s="25"/>
      <c r="F10" s="25"/>
      <c r="G10" s="25"/>
      <c r="H10" s="25"/>
    </row>
    <row r="11" spans="1:8" s="22" customFormat="1" ht="12" thickBot="1" x14ac:dyDescent="0.25">
      <c r="A11" s="26">
        <v>510105</v>
      </c>
      <c r="B11" s="27" t="s">
        <v>37</v>
      </c>
      <c r="C11" s="28">
        <f>'FORMULARIO 3'!F95</f>
        <v>202100.24000000005</v>
      </c>
      <c r="D11" s="28">
        <f>'FORMULARIO 3'!G95</f>
        <v>415720.4800000001</v>
      </c>
      <c r="E11" s="28">
        <f>'FORMULARIO 3'!H95</f>
        <v>623580.7200000002</v>
      </c>
      <c r="F11" s="28">
        <f>'FORMULARIO 3'!I95</f>
        <v>623580.7200000002</v>
      </c>
      <c r="G11" s="28">
        <f>'FORMULARIO 3'!J95</f>
        <v>623580.7200000002</v>
      </c>
      <c r="H11" s="28"/>
    </row>
    <row r="12" spans="1:8" s="22" customFormat="1" ht="12" thickBot="1" x14ac:dyDescent="0.25">
      <c r="A12" s="23">
        <v>5102</v>
      </c>
      <c r="B12" s="24" t="s">
        <v>38</v>
      </c>
      <c r="C12" s="29"/>
      <c r="D12" s="29"/>
      <c r="E12" s="29"/>
      <c r="F12" s="29"/>
      <c r="G12" s="29"/>
      <c r="H12" s="29"/>
    </row>
    <row r="13" spans="1:8" s="22" customFormat="1" ht="12" thickBot="1" x14ac:dyDescent="0.25">
      <c r="A13" s="26">
        <v>510203</v>
      </c>
      <c r="B13" s="27" t="s">
        <v>39</v>
      </c>
      <c r="C13" s="28">
        <f>'FORMULARIO 3'!F94</f>
        <v>50525.060000000012</v>
      </c>
      <c r="D13" s="28">
        <f>'FORMULARIO 3'!G94</f>
        <v>51965.060000000012</v>
      </c>
      <c r="E13" s="28">
        <f>'FORMULARIO 3'!H94</f>
        <v>51965.060000000012</v>
      </c>
      <c r="F13" s="28">
        <f>'FORMULARIO 3'!I94</f>
        <v>51965.060000000012</v>
      </c>
      <c r="G13" s="28">
        <f>'FORMULARIO 3'!J94</f>
        <v>51965.060000000012</v>
      </c>
      <c r="H13" s="28"/>
    </row>
    <row r="14" spans="1:8" s="22" customFormat="1" ht="12" thickBot="1" x14ac:dyDescent="0.25">
      <c r="A14" s="26">
        <v>510204</v>
      </c>
      <c r="B14" s="27" t="s">
        <v>40</v>
      </c>
      <c r="C14" s="28">
        <f>(354*81)/3</f>
        <v>9558</v>
      </c>
      <c r="D14" s="28">
        <f>((354*81)/3)*2</f>
        <v>19116</v>
      </c>
      <c r="E14" s="28">
        <f>366*81</f>
        <v>29646</v>
      </c>
      <c r="F14" s="28">
        <f>375*81</f>
        <v>30375</v>
      </c>
      <c r="G14" s="28">
        <f>386*81</f>
        <v>31266</v>
      </c>
      <c r="H14" s="28"/>
    </row>
    <row r="15" spans="1:8" s="22" customFormat="1" ht="12" thickBot="1" x14ac:dyDescent="0.25">
      <c r="A15" s="23">
        <v>5103</v>
      </c>
      <c r="B15" s="24" t="s">
        <v>41</v>
      </c>
      <c r="C15" s="28"/>
      <c r="D15" s="28"/>
      <c r="E15" s="28"/>
      <c r="F15" s="28"/>
      <c r="G15" s="28"/>
      <c r="H15" s="28"/>
    </row>
    <row r="16" spans="1:8" s="22" customFormat="1" ht="12" thickBot="1" x14ac:dyDescent="0.25">
      <c r="A16" s="26">
        <v>510306</v>
      </c>
      <c r="B16" s="27" t="s">
        <v>42</v>
      </c>
      <c r="C16" s="30">
        <f>((2*24)*4)*81</f>
        <v>15552</v>
      </c>
      <c r="D16" s="30">
        <f>((2*24)*8)*81</f>
        <v>31104</v>
      </c>
      <c r="E16" s="30">
        <f>((2*24)*12)*81</f>
        <v>46656</v>
      </c>
      <c r="F16" s="30">
        <f t="shared" ref="F16:G16" si="0">((2*24)*12)*81</f>
        <v>46656</v>
      </c>
      <c r="G16" s="30">
        <f t="shared" si="0"/>
        <v>46656</v>
      </c>
      <c r="H16" s="30"/>
    </row>
    <row r="17" spans="1:8" s="22" customFormat="1" ht="12" thickBot="1" x14ac:dyDescent="0.25">
      <c r="A17" s="23">
        <v>5104</v>
      </c>
      <c r="B17" s="24" t="s">
        <v>43</v>
      </c>
      <c r="C17" s="28"/>
      <c r="D17" s="28"/>
      <c r="E17" s="28"/>
      <c r="F17" s="28"/>
      <c r="G17" s="28"/>
      <c r="H17" s="28"/>
    </row>
    <row r="18" spans="1:8" s="22" customFormat="1" ht="12" thickBot="1" x14ac:dyDescent="0.25">
      <c r="A18" s="26">
        <v>510401</v>
      </c>
      <c r="B18" s="27" t="s">
        <v>44</v>
      </c>
      <c r="C18" s="28">
        <f>C11*0.01</f>
        <v>2021.0024000000005</v>
      </c>
      <c r="D18" s="28">
        <f t="shared" ref="D18:G18" si="1">D11*0.01</f>
        <v>4157.2048000000013</v>
      </c>
      <c r="E18" s="28">
        <f t="shared" si="1"/>
        <v>6235.807200000002</v>
      </c>
      <c r="F18" s="28">
        <f t="shared" si="1"/>
        <v>6235.807200000002</v>
      </c>
      <c r="G18" s="28">
        <f t="shared" si="1"/>
        <v>6235.807200000002</v>
      </c>
      <c r="H18" s="28"/>
    </row>
    <row r="19" spans="1:8" s="22" customFormat="1" ht="12" thickBot="1" x14ac:dyDescent="0.25">
      <c r="A19" s="26">
        <v>510408</v>
      </c>
      <c r="B19" s="27" t="s">
        <v>45</v>
      </c>
      <c r="C19" s="28">
        <f>C11*0.0025</f>
        <v>505.25060000000013</v>
      </c>
      <c r="D19" s="28">
        <f t="shared" ref="D19:G19" si="2">D11*0.0025</f>
        <v>1039.3012000000003</v>
      </c>
      <c r="E19" s="28">
        <f t="shared" si="2"/>
        <v>1558.9518000000005</v>
      </c>
      <c r="F19" s="28">
        <f t="shared" si="2"/>
        <v>1558.9518000000005</v>
      </c>
      <c r="G19" s="28">
        <f t="shared" si="2"/>
        <v>1558.9518000000005</v>
      </c>
      <c r="H19" s="28"/>
    </row>
    <row r="20" spans="1:8" s="22" customFormat="1" ht="12" thickBot="1" x14ac:dyDescent="0.25">
      <c r="A20" s="23">
        <v>5106</v>
      </c>
      <c r="B20" s="24" t="s">
        <v>46</v>
      </c>
      <c r="C20" s="29"/>
      <c r="D20" s="29"/>
      <c r="E20" s="29"/>
      <c r="F20" s="29"/>
      <c r="G20" s="29"/>
      <c r="H20" s="29"/>
    </row>
    <row r="21" spans="1:8" s="22" customFormat="1" ht="12" thickBot="1" x14ac:dyDescent="0.25">
      <c r="A21" s="31" t="s">
        <v>47</v>
      </c>
      <c r="B21" s="27" t="s">
        <v>48</v>
      </c>
      <c r="C21" s="28">
        <f>C11*0.1115</f>
        <v>22534.176760000006</v>
      </c>
      <c r="D21" s="28">
        <f t="shared" ref="D21:G21" si="3">D11*0.1115</f>
        <v>46352.833520000015</v>
      </c>
      <c r="E21" s="28">
        <f t="shared" si="3"/>
        <v>69529.250280000022</v>
      </c>
      <c r="F21" s="28">
        <f t="shared" si="3"/>
        <v>69529.250280000022</v>
      </c>
      <c r="G21" s="28">
        <f t="shared" si="3"/>
        <v>69529.250280000022</v>
      </c>
      <c r="H21" s="28"/>
    </row>
    <row r="22" spans="1:8" s="22" customFormat="1" ht="12" thickBot="1" x14ac:dyDescent="0.25">
      <c r="A22" s="31" t="s">
        <v>49</v>
      </c>
      <c r="B22" s="27" t="s">
        <v>50</v>
      </c>
      <c r="C22" s="28">
        <f>C11*0.0833</f>
        <v>16834.949992000005</v>
      </c>
      <c r="D22" s="28">
        <f t="shared" ref="D22:G22" si="4">D11*0.0833</f>
        <v>34629.515984000005</v>
      </c>
      <c r="E22" s="28">
        <f t="shared" si="4"/>
        <v>51944.273976000019</v>
      </c>
      <c r="F22" s="28">
        <f t="shared" si="4"/>
        <v>51944.273976000019</v>
      </c>
      <c r="G22" s="28">
        <f t="shared" si="4"/>
        <v>51944.273976000019</v>
      </c>
      <c r="H22" s="28"/>
    </row>
    <row r="23" spans="1:8" s="22" customFormat="1" ht="12" thickBot="1" x14ac:dyDescent="0.25">
      <c r="A23" s="23">
        <v>5308</v>
      </c>
      <c r="B23" s="24" t="s">
        <v>51</v>
      </c>
      <c r="C23" s="28"/>
      <c r="D23" s="28"/>
      <c r="E23" s="28"/>
      <c r="F23" s="28"/>
      <c r="G23" s="28"/>
      <c r="H23" s="28"/>
    </row>
    <row r="24" spans="1:8" s="22" customFormat="1" ht="12" thickBot="1" x14ac:dyDescent="0.25">
      <c r="A24" s="26">
        <v>530802</v>
      </c>
      <c r="B24" s="27" t="s">
        <v>52</v>
      </c>
      <c r="C24" s="30">
        <f>(169*81)/3</f>
        <v>4563</v>
      </c>
      <c r="D24" s="30">
        <f>((169*81)/3)*2</f>
        <v>9126</v>
      </c>
      <c r="E24" s="30">
        <f t="shared" ref="E24:G24" si="5">169*81</f>
        <v>13689</v>
      </c>
      <c r="F24" s="30">
        <f t="shared" si="5"/>
        <v>13689</v>
      </c>
      <c r="G24" s="30">
        <f t="shared" si="5"/>
        <v>13689</v>
      </c>
      <c r="H24" s="30"/>
    </row>
    <row r="25" spans="1:8" s="22" customFormat="1" ht="12" thickBot="1" x14ac:dyDescent="0.25">
      <c r="A25" s="23">
        <v>5702</v>
      </c>
      <c r="B25" s="24" t="s">
        <v>53</v>
      </c>
      <c r="C25" s="30"/>
      <c r="D25" s="30"/>
      <c r="E25" s="30"/>
      <c r="F25" s="30"/>
      <c r="G25" s="30"/>
      <c r="H25" s="30"/>
    </row>
    <row r="26" spans="1:8" s="22" customFormat="1" ht="12" thickBot="1" x14ac:dyDescent="0.25">
      <c r="A26" s="26">
        <v>570201</v>
      </c>
      <c r="B26" s="27" t="s">
        <v>54</v>
      </c>
      <c r="C26" s="30">
        <f>(4*4)*81</f>
        <v>1296</v>
      </c>
      <c r="D26" s="30">
        <f>(4*8)*81</f>
        <v>2592</v>
      </c>
      <c r="E26" s="30">
        <f>(4*12)*81</f>
        <v>3888</v>
      </c>
      <c r="F26" s="30">
        <f t="shared" ref="F26:G26" si="6">(4*12)*81</f>
        <v>3888</v>
      </c>
      <c r="G26" s="30">
        <f t="shared" si="6"/>
        <v>3888</v>
      </c>
      <c r="H26" s="30"/>
    </row>
    <row r="27" spans="1:8" s="22" customFormat="1" ht="12" thickBot="1" x14ac:dyDescent="0.25">
      <c r="A27" s="128" t="s">
        <v>55</v>
      </c>
      <c r="B27" s="128"/>
      <c r="C27" s="32">
        <f>SUM(C10:C26)</f>
        <v>325489.67975200008</v>
      </c>
      <c r="D27" s="32">
        <f t="shared" ref="D27:G27" si="7">SUM(D10:D26)</f>
        <v>615802.39550400013</v>
      </c>
      <c r="E27" s="32">
        <f t="shared" si="7"/>
        <v>898693.0632560004</v>
      </c>
      <c r="F27" s="32">
        <f t="shared" si="7"/>
        <v>899422.0632560004</v>
      </c>
      <c r="G27" s="32">
        <f t="shared" si="7"/>
        <v>900313.0632560004</v>
      </c>
      <c r="H27" s="32"/>
    </row>
    <row r="28" spans="1:8" s="22" customFormat="1" ht="11.25" x14ac:dyDescent="0.2">
      <c r="A28" s="129" t="s">
        <v>23</v>
      </c>
      <c r="B28" s="129"/>
      <c r="C28" s="129"/>
      <c r="D28" s="129"/>
      <c r="E28" s="129"/>
      <c r="F28" s="129"/>
      <c r="G28" s="129"/>
      <c r="H28" s="129"/>
    </row>
    <row r="29" spans="1:8" s="22" customFormat="1" ht="11.25" x14ac:dyDescent="0.2">
      <c r="A29" s="118" t="s">
        <v>56</v>
      </c>
      <c r="B29" s="119"/>
      <c r="C29" s="119"/>
      <c r="D29" s="119"/>
      <c r="E29" s="119"/>
      <c r="F29" s="119"/>
      <c r="G29" s="119"/>
      <c r="H29" s="119"/>
    </row>
    <row r="30" spans="1:8" s="20" customFormat="1" ht="12.75" x14ac:dyDescent="0.2">
      <c r="A30" s="130"/>
      <c r="B30" s="130"/>
      <c r="C30" s="130"/>
      <c r="D30" s="130"/>
      <c r="E30" s="130"/>
      <c r="F30" s="130"/>
      <c r="G30" s="130"/>
      <c r="H30" s="130"/>
    </row>
    <row r="31" spans="1:8" s="20" customFormat="1" ht="12.75" x14ac:dyDescent="0.2">
      <c r="A31" s="130"/>
      <c r="B31" s="130"/>
      <c r="C31" s="130"/>
      <c r="D31" s="130"/>
      <c r="E31" s="130"/>
      <c r="F31" s="130"/>
      <c r="G31" s="130"/>
      <c r="H31" s="130"/>
    </row>
    <row r="32" spans="1:8" s="20" customFormat="1" ht="12.75" x14ac:dyDescent="0.2">
      <c r="A32" s="130"/>
      <c r="B32" s="130"/>
      <c r="C32" s="130"/>
      <c r="D32" s="130"/>
      <c r="E32" s="130"/>
      <c r="F32" s="130"/>
      <c r="G32" s="130"/>
      <c r="H32" s="130"/>
    </row>
    <row r="33" spans="1:8" s="20" customFormat="1" ht="12.75" x14ac:dyDescent="0.2">
      <c r="A33" s="130"/>
      <c r="B33" s="130"/>
      <c r="C33" s="130"/>
      <c r="D33" s="130"/>
      <c r="E33" s="130"/>
      <c r="F33" s="130"/>
      <c r="G33" s="130"/>
      <c r="H33" s="130"/>
    </row>
    <row r="34" spans="1:8" s="20" customFormat="1" ht="12.75" x14ac:dyDescent="0.2">
      <c r="A34" s="130"/>
      <c r="B34" s="130"/>
      <c r="C34" s="130"/>
      <c r="D34" s="130"/>
      <c r="E34" s="130"/>
      <c r="F34" s="130"/>
      <c r="G34" s="130"/>
      <c r="H34" s="130"/>
    </row>
    <row r="35" spans="1:8" s="20" customFormat="1" ht="12.75" x14ac:dyDescent="0.2">
      <c r="A35" s="130"/>
      <c r="B35" s="130"/>
      <c r="C35" s="130"/>
      <c r="D35" s="130"/>
      <c r="E35" s="130"/>
      <c r="F35" s="130"/>
      <c r="G35" s="130"/>
      <c r="H35" s="130"/>
    </row>
    <row r="36" spans="1:8" s="20" customFormat="1" ht="12.75" x14ac:dyDescent="0.2">
      <c r="A36" s="130" t="str">
        <f>'FORMULARIO 1'!A28:H28</f>
        <v>Ing. Leonardo Heriberto Cueva Jimenez</v>
      </c>
      <c r="B36" s="130"/>
      <c r="C36" s="130"/>
      <c r="D36" s="130"/>
      <c r="E36" s="130"/>
      <c r="F36" s="130"/>
      <c r="G36" s="130"/>
      <c r="H36" s="130"/>
    </row>
    <row r="37" spans="1:8" s="20" customFormat="1" ht="12.75" x14ac:dyDescent="0.2">
      <c r="A37" s="131" t="str">
        <f>'FORMULARIO 1'!A29:H29</f>
        <v>DIRECTOR FINANCIERO GADM YANTZAZA</v>
      </c>
      <c r="B37" s="131"/>
      <c r="C37" s="131"/>
      <c r="D37" s="131"/>
      <c r="E37" s="131"/>
      <c r="F37" s="131"/>
      <c r="G37" s="131"/>
      <c r="H37" s="131"/>
    </row>
    <row r="38" spans="1:8" s="20" customFormat="1" ht="12.75" x14ac:dyDescent="0.2">
      <c r="A38" s="130"/>
      <c r="B38" s="130"/>
      <c r="C38" s="130"/>
      <c r="D38" s="130"/>
      <c r="E38" s="130"/>
      <c r="F38" s="130"/>
      <c r="G38" s="130"/>
      <c r="H38" s="130"/>
    </row>
    <row r="39" spans="1:8" s="20" customFormat="1" ht="12.75" x14ac:dyDescent="0.2">
      <c r="A39" s="132" t="str">
        <f>'FORMULARIO 1'!A31:H31</f>
        <v>Yantzaza, 23 de abril de 2021</v>
      </c>
      <c r="B39" s="132"/>
      <c r="C39" s="132"/>
      <c r="D39" s="132"/>
      <c r="E39" s="132"/>
      <c r="F39" s="132"/>
      <c r="G39" s="132"/>
      <c r="H39" s="132"/>
    </row>
  </sheetData>
  <mergeCells count="22">
    <mergeCell ref="A36:H36"/>
    <mergeCell ref="A37:H37"/>
    <mergeCell ref="A38:H38"/>
    <mergeCell ref="A39:H39"/>
    <mergeCell ref="A30:H30"/>
    <mergeCell ref="A31:H31"/>
    <mergeCell ref="A32:H32"/>
    <mergeCell ref="A33:H33"/>
    <mergeCell ref="A34:H34"/>
    <mergeCell ref="A35:H35"/>
    <mergeCell ref="A29:H29"/>
    <mergeCell ref="A1:H1"/>
    <mergeCell ref="A2:H2"/>
    <mergeCell ref="A3:H3"/>
    <mergeCell ref="A4:H4"/>
    <mergeCell ref="A5:H5"/>
    <mergeCell ref="A6:H6"/>
    <mergeCell ref="A7:H7"/>
    <mergeCell ref="A8:B8"/>
    <mergeCell ref="A9:H9"/>
    <mergeCell ref="A27:B27"/>
    <mergeCell ref="A28:H28"/>
  </mergeCells>
  <printOptions horizontalCentered="1"/>
  <pageMargins left="0.7" right="0.7" top="0.75" bottom="0.75" header="0.3" footer="0.3"/>
  <pageSetup paperSize="9" scale="77" fitToHeight="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0"/>
  <sheetViews>
    <sheetView topLeftCell="A25" workbookViewId="0">
      <selection activeCell="A35" sqref="A35:F35"/>
    </sheetView>
  </sheetViews>
  <sheetFormatPr baseColWidth="10" defaultRowHeight="15" x14ac:dyDescent="0.25"/>
  <cols>
    <col min="1" max="1" width="6.140625" style="34" customWidth="1"/>
    <col min="2" max="2" width="33.42578125" style="34" customWidth="1"/>
    <col min="3" max="6" width="12.7109375" style="34" customWidth="1"/>
    <col min="7" max="16384" width="11.42578125" style="34"/>
  </cols>
  <sheetData>
    <row r="1" spans="1:6" x14ac:dyDescent="0.25">
      <c r="A1" s="134" t="s">
        <v>57</v>
      </c>
      <c r="B1" s="134"/>
      <c r="C1" s="134"/>
      <c r="D1" s="134"/>
      <c r="E1" s="134"/>
      <c r="F1" s="134"/>
    </row>
    <row r="3" spans="1:6" x14ac:dyDescent="0.25">
      <c r="A3" s="135" t="s">
        <v>58</v>
      </c>
      <c r="B3" s="136"/>
      <c r="C3" s="136"/>
      <c r="D3" s="136"/>
      <c r="E3" s="136"/>
      <c r="F3" s="136"/>
    </row>
    <row r="4" spans="1:6" x14ac:dyDescent="0.25">
      <c r="A4" s="136"/>
      <c r="B4" s="136"/>
      <c r="C4" s="136"/>
      <c r="D4" s="136"/>
      <c r="E4" s="136"/>
      <c r="F4" s="136"/>
    </row>
    <row r="5" spans="1:6" x14ac:dyDescent="0.25">
      <c r="A5" s="136"/>
      <c r="B5" s="136"/>
      <c r="C5" s="136"/>
      <c r="D5" s="136"/>
      <c r="E5" s="136"/>
      <c r="F5" s="136"/>
    </row>
    <row r="6" spans="1:6" x14ac:dyDescent="0.25">
      <c r="A6" s="136"/>
      <c r="B6" s="136"/>
      <c r="C6" s="136"/>
      <c r="D6" s="136"/>
      <c r="E6" s="136"/>
      <c r="F6" s="136"/>
    </row>
    <row r="7" spans="1:6" x14ac:dyDescent="0.25">
      <c r="A7" s="136"/>
      <c r="B7" s="136"/>
      <c r="C7" s="136"/>
      <c r="D7" s="136"/>
      <c r="E7" s="136"/>
      <c r="F7" s="136"/>
    </row>
    <row r="8" spans="1:6" ht="15.75" thickBot="1" x14ac:dyDescent="0.3"/>
    <row r="9" spans="1:6" ht="34.5" thickBot="1" x14ac:dyDescent="0.3">
      <c r="A9" s="124" t="s">
        <v>29</v>
      </c>
      <c r="B9" s="124"/>
      <c r="C9" s="21" t="s">
        <v>59</v>
      </c>
      <c r="D9" s="21" t="s">
        <v>60</v>
      </c>
      <c r="E9" s="21" t="s">
        <v>61</v>
      </c>
      <c r="F9" s="21" t="s">
        <v>62</v>
      </c>
    </row>
    <row r="10" spans="1:6" ht="15.75" thickBot="1" x14ac:dyDescent="0.3">
      <c r="A10" s="125" t="s">
        <v>35</v>
      </c>
      <c r="B10" s="126"/>
      <c r="C10" s="126"/>
      <c r="D10" s="126"/>
      <c r="E10" s="126"/>
      <c r="F10" s="126"/>
    </row>
    <row r="11" spans="1:6" s="35" customFormat="1" ht="15.75" thickBot="1" x14ac:dyDescent="0.3">
      <c r="A11" s="23">
        <v>5101</v>
      </c>
      <c r="B11" s="24" t="s">
        <v>36</v>
      </c>
      <c r="C11" s="25"/>
      <c r="D11" s="25"/>
      <c r="E11" s="25"/>
      <c r="F11" s="25"/>
    </row>
    <row r="12" spans="1:6" s="36" customFormat="1" ht="15.75" thickBot="1" x14ac:dyDescent="0.3">
      <c r="A12" s="26">
        <v>510105</v>
      </c>
      <c r="B12" s="27" t="s">
        <v>37</v>
      </c>
      <c r="C12" s="29">
        <f>'FORMULARIO 2'!D11</f>
        <v>415720.4800000001</v>
      </c>
      <c r="D12" s="29">
        <f>'FORMULARIO 2'!E11</f>
        <v>623580.7200000002</v>
      </c>
      <c r="E12" s="29">
        <f>'FORMULARIO 2'!F11</f>
        <v>623580.7200000002</v>
      </c>
      <c r="F12" s="29">
        <f>'FORMULARIO 2'!G11</f>
        <v>623580.7200000002</v>
      </c>
    </row>
    <row r="13" spans="1:6" s="35" customFormat="1" ht="15.75" thickBot="1" x14ac:dyDescent="0.3">
      <c r="A13" s="23">
        <v>5102</v>
      </c>
      <c r="B13" s="24" t="s">
        <v>38</v>
      </c>
      <c r="C13" s="25"/>
      <c r="D13" s="25"/>
      <c r="E13" s="25"/>
      <c r="F13" s="25"/>
    </row>
    <row r="14" spans="1:6" s="36" customFormat="1" ht="15.75" thickBot="1" x14ac:dyDescent="0.3">
      <c r="A14" s="26">
        <v>510203</v>
      </c>
      <c r="B14" s="27" t="s">
        <v>39</v>
      </c>
      <c r="C14" s="29">
        <f>'FORMULARIO 2'!D13</f>
        <v>51965.060000000012</v>
      </c>
      <c r="D14" s="29">
        <f>'FORMULARIO 2'!E13</f>
        <v>51965.060000000012</v>
      </c>
      <c r="E14" s="29">
        <f>'FORMULARIO 2'!F13</f>
        <v>51965.060000000012</v>
      </c>
      <c r="F14" s="29">
        <f>'FORMULARIO 2'!G13</f>
        <v>51965.060000000012</v>
      </c>
    </row>
    <row r="15" spans="1:6" s="36" customFormat="1" ht="15.75" thickBot="1" x14ac:dyDescent="0.3">
      <c r="A15" s="26">
        <v>510204</v>
      </c>
      <c r="B15" s="27" t="s">
        <v>40</v>
      </c>
      <c r="C15" s="29">
        <f>'FORMULARIO 2'!D14</f>
        <v>19116</v>
      </c>
      <c r="D15" s="29">
        <f>'FORMULARIO 2'!E14</f>
        <v>29646</v>
      </c>
      <c r="E15" s="29">
        <f>'FORMULARIO 2'!F14</f>
        <v>30375</v>
      </c>
      <c r="F15" s="29">
        <f>'FORMULARIO 2'!G14</f>
        <v>31266</v>
      </c>
    </row>
    <row r="16" spans="1:6" s="35" customFormat="1" ht="15.75" thickBot="1" x14ac:dyDescent="0.3">
      <c r="A16" s="23">
        <v>5103</v>
      </c>
      <c r="B16" s="24" t="s">
        <v>41</v>
      </c>
      <c r="C16" s="25"/>
      <c r="D16" s="25"/>
      <c r="E16" s="25"/>
      <c r="F16" s="25"/>
    </row>
    <row r="17" spans="1:6" s="36" customFormat="1" ht="15.75" thickBot="1" x14ac:dyDescent="0.3">
      <c r="A17" s="26">
        <v>510306</v>
      </c>
      <c r="B17" s="27" t="s">
        <v>42</v>
      </c>
      <c r="C17" s="29">
        <f>'FORMULARIO 2'!D16</f>
        <v>31104</v>
      </c>
      <c r="D17" s="29">
        <f>'FORMULARIO 2'!E16</f>
        <v>46656</v>
      </c>
      <c r="E17" s="29">
        <f>'FORMULARIO 2'!F16</f>
        <v>46656</v>
      </c>
      <c r="F17" s="29">
        <f>'FORMULARIO 2'!G16</f>
        <v>46656</v>
      </c>
    </row>
    <row r="18" spans="1:6" s="35" customFormat="1" ht="15.75" thickBot="1" x14ac:dyDescent="0.3">
      <c r="A18" s="23">
        <v>5104</v>
      </c>
      <c r="B18" s="24" t="s">
        <v>43</v>
      </c>
      <c r="C18" s="25"/>
      <c r="D18" s="25"/>
      <c r="E18" s="25"/>
      <c r="F18" s="25"/>
    </row>
    <row r="19" spans="1:6" s="36" customFormat="1" ht="15.75" thickBot="1" x14ac:dyDescent="0.3">
      <c r="A19" s="26">
        <v>510401</v>
      </c>
      <c r="B19" s="27" t="s">
        <v>44</v>
      </c>
      <c r="C19" s="29">
        <f>'FORMULARIO 2'!D18</f>
        <v>4157.2048000000013</v>
      </c>
      <c r="D19" s="29">
        <f>'FORMULARIO 2'!E18</f>
        <v>6235.807200000002</v>
      </c>
      <c r="E19" s="29">
        <f>'FORMULARIO 2'!F18</f>
        <v>6235.807200000002</v>
      </c>
      <c r="F19" s="29">
        <f>'FORMULARIO 2'!G18</f>
        <v>6235.807200000002</v>
      </c>
    </row>
    <row r="20" spans="1:6" s="36" customFormat="1" ht="15.75" thickBot="1" x14ac:dyDescent="0.3">
      <c r="A20" s="26">
        <v>510408</v>
      </c>
      <c r="B20" s="27" t="s">
        <v>45</v>
      </c>
      <c r="C20" s="29">
        <f>'FORMULARIO 2'!D19</f>
        <v>1039.3012000000003</v>
      </c>
      <c r="D20" s="29">
        <f>'FORMULARIO 2'!E19</f>
        <v>1558.9518000000005</v>
      </c>
      <c r="E20" s="29">
        <f>'FORMULARIO 2'!F19</f>
        <v>1558.9518000000005</v>
      </c>
      <c r="F20" s="29">
        <f>'FORMULARIO 2'!G19</f>
        <v>1558.9518000000005</v>
      </c>
    </row>
    <row r="21" spans="1:6" s="35" customFormat="1" ht="15.75" thickBot="1" x14ac:dyDescent="0.3">
      <c r="A21" s="23">
        <v>5106</v>
      </c>
      <c r="B21" s="24" t="s">
        <v>46</v>
      </c>
      <c r="C21" s="25"/>
      <c r="D21" s="25"/>
      <c r="E21" s="25"/>
      <c r="F21" s="25"/>
    </row>
    <row r="22" spans="1:6" s="36" customFormat="1" ht="15.75" thickBot="1" x14ac:dyDescent="0.3">
      <c r="A22" s="26" t="s">
        <v>47</v>
      </c>
      <c r="B22" s="27" t="s">
        <v>48</v>
      </c>
      <c r="C22" s="29">
        <f>'FORMULARIO 2'!D21</f>
        <v>46352.833520000015</v>
      </c>
      <c r="D22" s="29">
        <f>'FORMULARIO 2'!E21</f>
        <v>69529.250280000022</v>
      </c>
      <c r="E22" s="29">
        <f>'FORMULARIO 2'!F21</f>
        <v>69529.250280000022</v>
      </c>
      <c r="F22" s="29">
        <f>'FORMULARIO 2'!G21</f>
        <v>69529.250280000022</v>
      </c>
    </row>
    <row r="23" spans="1:6" s="36" customFormat="1" ht="15.75" thickBot="1" x14ac:dyDescent="0.3">
      <c r="A23" s="26" t="s">
        <v>49</v>
      </c>
      <c r="B23" s="27" t="s">
        <v>50</v>
      </c>
      <c r="C23" s="29">
        <f>'FORMULARIO 2'!D22</f>
        <v>34629.515984000005</v>
      </c>
      <c r="D23" s="29">
        <f>'FORMULARIO 2'!E22</f>
        <v>51944.273976000019</v>
      </c>
      <c r="E23" s="29">
        <f>'FORMULARIO 2'!F22</f>
        <v>51944.273976000019</v>
      </c>
      <c r="F23" s="29">
        <f>'FORMULARIO 2'!G22</f>
        <v>51944.273976000019</v>
      </c>
    </row>
    <row r="24" spans="1:6" s="35" customFormat="1" ht="15.75" thickBot="1" x14ac:dyDescent="0.3">
      <c r="A24" s="23">
        <v>5308</v>
      </c>
      <c r="B24" s="24" t="s">
        <v>51</v>
      </c>
      <c r="C24" s="25"/>
      <c r="D24" s="25"/>
      <c r="E24" s="25"/>
      <c r="F24" s="25"/>
    </row>
    <row r="25" spans="1:6" s="36" customFormat="1" ht="15.75" thickBot="1" x14ac:dyDescent="0.3">
      <c r="A25" s="26">
        <v>530802</v>
      </c>
      <c r="B25" s="27" t="s">
        <v>52</v>
      </c>
      <c r="C25" s="29">
        <f>'FORMULARIO 2'!D24</f>
        <v>9126</v>
      </c>
      <c r="D25" s="29">
        <f>'FORMULARIO 2'!E24</f>
        <v>13689</v>
      </c>
      <c r="E25" s="29">
        <f>'FORMULARIO 2'!F24</f>
        <v>13689</v>
      </c>
      <c r="F25" s="29">
        <f>'FORMULARIO 2'!G24</f>
        <v>13689</v>
      </c>
    </row>
    <row r="26" spans="1:6" s="35" customFormat="1" ht="15.75" thickBot="1" x14ac:dyDescent="0.3">
      <c r="A26" s="37">
        <v>5702</v>
      </c>
      <c r="B26" s="24" t="s">
        <v>53</v>
      </c>
      <c r="C26" s="25"/>
      <c r="D26" s="25"/>
      <c r="E26" s="25"/>
      <c r="F26" s="25"/>
    </row>
    <row r="27" spans="1:6" s="36" customFormat="1" ht="15.75" thickBot="1" x14ac:dyDescent="0.3">
      <c r="A27" s="31">
        <v>570201</v>
      </c>
      <c r="B27" s="27" t="s">
        <v>54</v>
      </c>
      <c r="C27" s="29">
        <f>'FORMULARIO 2'!D26</f>
        <v>2592</v>
      </c>
      <c r="D27" s="29">
        <f>'FORMULARIO 2'!E26</f>
        <v>3888</v>
      </c>
      <c r="E27" s="29">
        <f>'FORMULARIO 2'!F26</f>
        <v>3888</v>
      </c>
      <c r="F27" s="29">
        <f>'FORMULARIO 2'!G26</f>
        <v>3888</v>
      </c>
    </row>
    <row r="28" spans="1:6" ht="15.75" thickBot="1" x14ac:dyDescent="0.3">
      <c r="A28" s="128" t="s">
        <v>55</v>
      </c>
      <c r="B28" s="128"/>
      <c r="C28" s="32">
        <f>SUM(C11:C27)</f>
        <v>615802.39550400013</v>
      </c>
      <c r="D28" s="32">
        <f t="shared" ref="D28:F28" si="0">SUM(D11:D27)</f>
        <v>898693.0632560004</v>
      </c>
      <c r="E28" s="32">
        <f t="shared" si="0"/>
        <v>899422.0632560004</v>
      </c>
      <c r="F28" s="32">
        <f t="shared" si="0"/>
        <v>900313.0632560004</v>
      </c>
    </row>
    <row r="29" spans="1:6" s="22" customFormat="1" ht="11.25" x14ac:dyDescent="0.2">
      <c r="A29" s="129" t="s">
        <v>23</v>
      </c>
      <c r="B29" s="129"/>
      <c r="C29" s="129"/>
      <c r="D29" s="129"/>
      <c r="E29" s="129"/>
      <c r="F29" s="129"/>
    </row>
    <row r="30" spans="1:6" s="22" customFormat="1" ht="11.25" x14ac:dyDescent="0.2">
      <c r="A30" s="118" t="s">
        <v>63</v>
      </c>
      <c r="B30" s="119"/>
      <c r="C30" s="119"/>
      <c r="D30" s="119"/>
      <c r="E30" s="119"/>
      <c r="F30" s="119"/>
    </row>
    <row r="31" spans="1:6" x14ac:dyDescent="0.25">
      <c r="A31" s="133"/>
      <c r="B31" s="133"/>
      <c r="C31" s="133"/>
      <c r="D31" s="133"/>
      <c r="E31" s="133"/>
      <c r="F31" s="133"/>
    </row>
    <row r="32" spans="1:6" x14ac:dyDescent="0.25">
      <c r="A32" s="133"/>
      <c r="B32" s="133"/>
      <c r="C32" s="133"/>
      <c r="D32" s="133"/>
      <c r="E32" s="133"/>
      <c r="F32" s="133"/>
    </row>
    <row r="33" spans="1:6" x14ac:dyDescent="0.25">
      <c r="A33" s="133"/>
      <c r="B33" s="133"/>
      <c r="C33" s="133"/>
      <c r="D33" s="133"/>
      <c r="E33" s="133"/>
      <c r="F33" s="133"/>
    </row>
    <row r="34" spans="1:6" x14ac:dyDescent="0.25">
      <c r="A34" s="133"/>
      <c r="B34" s="133"/>
      <c r="C34" s="133"/>
      <c r="D34" s="133"/>
      <c r="E34" s="133"/>
      <c r="F34" s="133"/>
    </row>
    <row r="35" spans="1:6" x14ac:dyDescent="0.25">
      <c r="A35" s="133"/>
      <c r="B35" s="133"/>
      <c r="C35" s="133"/>
      <c r="D35" s="133"/>
      <c r="E35" s="133"/>
      <c r="F35" s="133"/>
    </row>
    <row r="36" spans="1:6" x14ac:dyDescent="0.25">
      <c r="A36" s="133"/>
      <c r="B36" s="133"/>
      <c r="C36" s="133"/>
      <c r="D36" s="133"/>
      <c r="E36" s="133"/>
      <c r="F36" s="133"/>
    </row>
    <row r="37" spans="1:6" x14ac:dyDescent="0.25">
      <c r="A37" s="133" t="str">
        <f>'FORMULARIO 1'!A28:H28</f>
        <v>Ing. Leonardo Heriberto Cueva Jimenez</v>
      </c>
      <c r="B37" s="133"/>
      <c r="C37" s="133"/>
      <c r="D37" s="133"/>
      <c r="E37" s="133"/>
      <c r="F37" s="133"/>
    </row>
    <row r="38" spans="1:6" x14ac:dyDescent="0.25">
      <c r="A38" s="134" t="str">
        <f>'FORMULARIO 1'!A29:H29</f>
        <v>DIRECTOR FINANCIERO GADM YANTZAZA</v>
      </c>
      <c r="B38" s="134"/>
      <c r="C38" s="134"/>
      <c r="D38" s="134"/>
      <c r="E38" s="134"/>
      <c r="F38" s="134"/>
    </row>
    <row r="39" spans="1:6" x14ac:dyDescent="0.25">
      <c r="A39" s="133"/>
      <c r="B39" s="133"/>
      <c r="C39" s="133"/>
      <c r="D39" s="133"/>
      <c r="E39" s="133"/>
      <c r="F39" s="133"/>
    </row>
    <row r="40" spans="1:6" x14ac:dyDescent="0.25">
      <c r="A40" s="137" t="str">
        <f>'FORMULARIO 1'!A31:H31</f>
        <v>Yantzaza, 23 de abril de 2021</v>
      </c>
      <c r="B40" s="137"/>
      <c r="C40" s="137"/>
      <c r="D40" s="137"/>
      <c r="E40" s="137"/>
      <c r="F40" s="137"/>
    </row>
  </sheetData>
  <mergeCells count="17">
    <mergeCell ref="A36:F36"/>
    <mergeCell ref="A37:F37"/>
    <mergeCell ref="A38:F38"/>
    <mergeCell ref="A39:F39"/>
    <mergeCell ref="A40:F40"/>
    <mergeCell ref="A35:F35"/>
    <mergeCell ref="A1:F1"/>
    <mergeCell ref="A3:F7"/>
    <mergeCell ref="A9:B9"/>
    <mergeCell ref="A10:F10"/>
    <mergeCell ref="A28:B28"/>
    <mergeCell ref="A29:F29"/>
    <mergeCell ref="A30:F30"/>
    <mergeCell ref="A31:F31"/>
    <mergeCell ref="A32:F32"/>
    <mergeCell ref="A33:F33"/>
    <mergeCell ref="A34:F34"/>
  </mergeCells>
  <pageMargins left="0.7" right="0.7" top="0.75" bottom="0.75" header="0.3" footer="0.3"/>
  <pageSetup paperSize="9" scale="97" fitToHeight="0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07"/>
  <sheetViews>
    <sheetView topLeftCell="A97" zoomScaleNormal="100" workbookViewId="0">
      <selection activeCell="A101" sqref="A101:K101"/>
    </sheetView>
  </sheetViews>
  <sheetFormatPr baseColWidth="10" defaultRowHeight="15" x14ac:dyDescent="0.2"/>
  <cols>
    <col min="1" max="1" width="11" style="64" customWidth="1"/>
    <col min="2" max="2" width="33.85546875" style="33" customWidth="1"/>
    <col min="3" max="3" width="8.140625" style="33" customWidth="1"/>
    <col min="4" max="4" width="8.5703125" style="33" customWidth="1"/>
    <col min="5" max="5" width="45.7109375" style="33" customWidth="1"/>
    <col min="6" max="10" width="9.85546875" style="33" customWidth="1"/>
    <col min="11" max="11" width="11.85546875" style="33" customWidth="1"/>
    <col min="12" max="16384" width="11.42578125" style="33"/>
  </cols>
  <sheetData>
    <row r="1" spans="1:12" x14ac:dyDescent="0.2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</row>
    <row r="2" spans="1:12" s="18" customFormat="1" ht="18.75" x14ac:dyDescent="0.2">
      <c r="A2" s="120" t="str">
        <f>'FORMULARIO 1'!A1:H1</f>
        <v>MINISTERIO DE ECONOMIA Y FINANZAS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</row>
    <row r="3" spans="1:12" s="19" customFormat="1" ht="15.75" x14ac:dyDescent="0.2">
      <c r="A3" s="121" t="s">
        <v>64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2" s="19" customFormat="1" ht="15.75" x14ac:dyDescent="0.2">
      <c r="A4" s="121" t="s">
        <v>65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</row>
    <row r="5" spans="1:12" s="19" customFormat="1" ht="15.75" x14ac:dyDescent="0.2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</row>
    <row r="6" spans="1:12" s="19" customFormat="1" ht="15.75" x14ac:dyDescent="0.2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2" s="20" customFormat="1" ht="12.75" x14ac:dyDescent="0.2">
      <c r="A7" s="122" t="str">
        <f>'FORMULARIO 1'!A5:H5</f>
        <v>GOBIERNO AUTÓNOMO DESCENTRALIZADO MUNICIPAL DE YANTZAZA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</row>
    <row r="8" spans="1:12" s="20" customFormat="1" ht="12.75" x14ac:dyDescent="0.2">
      <c r="A8" s="122" t="str">
        <f>'FORMULARIO 1'!A6:H6</f>
        <v>Nº PROYECTO CONTRATO COLECTIVO: DECIMO CUARTO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</row>
    <row r="9" spans="1:12" s="20" customFormat="1" ht="12.75" x14ac:dyDescent="0.2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</row>
    <row r="10" spans="1:12" s="20" customFormat="1" ht="13.5" thickBot="1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1" spans="1:12" s="42" customFormat="1" ht="45.75" thickBot="1" x14ac:dyDescent="0.25">
      <c r="A11" s="40" t="s">
        <v>66</v>
      </c>
      <c r="B11" s="41" t="s">
        <v>67</v>
      </c>
      <c r="C11" s="21" t="s">
        <v>68</v>
      </c>
      <c r="D11" s="21" t="s">
        <v>69</v>
      </c>
      <c r="E11" s="4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41" t="s">
        <v>11</v>
      </c>
    </row>
    <row r="12" spans="1:12" s="49" customFormat="1" ht="12.75" customHeight="1" thickBot="1" x14ac:dyDescent="0.25">
      <c r="A12" s="43">
        <v>1103055552</v>
      </c>
      <c r="B12" s="44" t="s">
        <v>76</v>
      </c>
      <c r="C12" s="45">
        <v>1</v>
      </c>
      <c r="D12" s="45">
        <v>2</v>
      </c>
      <c r="E12" s="46" t="s">
        <v>77</v>
      </c>
      <c r="F12" s="47">
        <v>548</v>
      </c>
      <c r="G12" s="47">
        <v>578</v>
      </c>
      <c r="H12" s="47">
        <v>578</v>
      </c>
      <c r="I12" s="47">
        <v>578</v>
      </c>
      <c r="J12" s="47">
        <v>578</v>
      </c>
      <c r="K12" s="48"/>
    </row>
    <row r="13" spans="1:12" s="49" customFormat="1" ht="12.75" customHeight="1" thickBot="1" x14ac:dyDescent="0.25">
      <c r="A13" s="43">
        <v>1204917619</v>
      </c>
      <c r="B13" s="44" t="s">
        <v>78</v>
      </c>
      <c r="C13" s="45">
        <v>2</v>
      </c>
      <c r="D13" s="45">
        <v>5</v>
      </c>
      <c r="E13" s="46" t="s">
        <v>79</v>
      </c>
      <c r="F13" s="47">
        <v>708</v>
      </c>
      <c r="G13" s="47">
        <v>738</v>
      </c>
      <c r="H13" s="47">
        <v>738</v>
      </c>
      <c r="I13" s="47">
        <v>738</v>
      </c>
      <c r="J13" s="47">
        <v>738</v>
      </c>
      <c r="K13" s="48"/>
      <c r="L13" s="50"/>
    </row>
    <row r="14" spans="1:12" s="49" customFormat="1" ht="12.75" customHeight="1" thickBot="1" x14ac:dyDescent="0.25">
      <c r="A14" s="43">
        <v>1900284207</v>
      </c>
      <c r="B14" s="44" t="s">
        <v>80</v>
      </c>
      <c r="C14" s="45">
        <v>3</v>
      </c>
      <c r="D14" s="45">
        <v>1</v>
      </c>
      <c r="E14" s="46" t="s">
        <v>81</v>
      </c>
      <c r="F14" s="47">
        <v>531</v>
      </c>
      <c r="G14" s="47">
        <v>561</v>
      </c>
      <c r="H14" s="47">
        <v>561</v>
      </c>
      <c r="I14" s="47">
        <v>561</v>
      </c>
      <c r="J14" s="47">
        <v>561</v>
      </c>
      <c r="K14" s="48"/>
    </row>
    <row r="15" spans="1:12" s="49" customFormat="1" ht="12.75" customHeight="1" thickBot="1" x14ac:dyDescent="0.25">
      <c r="A15" s="43">
        <v>1105004830</v>
      </c>
      <c r="B15" s="44" t="s">
        <v>82</v>
      </c>
      <c r="C15" s="45">
        <v>4</v>
      </c>
      <c r="D15" s="45">
        <v>3</v>
      </c>
      <c r="E15" s="46" t="s">
        <v>83</v>
      </c>
      <c r="F15" s="47">
        <v>566</v>
      </c>
      <c r="G15" s="47">
        <v>596</v>
      </c>
      <c r="H15" s="47">
        <v>596</v>
      </c>
      <c r="I15" s="47">
        <v>596</v>
      </c>
      <c r="J15" s="47">
        <v>596</v>
      </c>
      <c r="K15" s="48"/>
    </row>
    <row r="16" spans="1:12" s="49" customFormat="1" ht="12.75" customHeight="1" thickBot="1" x14ac:dyDescent="0.25">
      <c r="A16" s="43">
        <v>1900457134</v>
      </c>
      <c r="B16" s="44" t="s">
        <v>84</v>
      </c>
      <c r="C16" s="45">
        <v>5</v>
      </c>
      <c r="D16" s="45">
        <v>1</v>
      </c>
      <c r="E16" s="46" t="s">
        <v>81</v>
      </c>
      <c r="F16" s="47">
        <v>583.05999999999995</v>
      </c>
      <c r="G16" s="47">
        <v>583.05999999999995</v>
      </c>
      <c r="H16" s="47">
        <v>583.05999999999995</v>
      </c>
      <c r="I16" s="47">
        <v>583.05999999999995</v>
      </c>
      <c r="J16" s="47">
        <v>583.05999999999995</v>
      </c>
      <c r="K16" s="48"/>
    </row>
    <row r="17" spans="1:11" s="49" customFormat="1" ht="12.75" customHeight="1" thickBot="1" x14ac:dyDescent="0.25">
      <c r="A17" s="43">
        <v>1900307941</v>
      </c>
      <c r="B17" s="44" t="s">
        <v>85</v>
      </c>
      <c r="C17" s="45">
        <v>6</v>
      </c>
      <c r="D17" s="45">
        <v>8</v>
      </c>
      <c r="E17" s="46" t="s">
        <v>86</v>
      </c>
      <c r="F17" s="47">
        <v>703.83</v>
      </c>
      <c r="G17" s="47">
        <v>733.83</v>
      </c>
      <c r="H17" s="47">
        <v>733.83</v>
      </c>
      <c r="I17" s="47">
        <v>733.83</v>
      </c>
      <c r="J17" s="47">
        <v>733.83</v>
      </c>
      <c r="K17" s="48"/>
    </row>
    <row r="18" spans="1:11" s="49" customFormat="1" ht="12.75" customHeight="1" thickBot="1" x14ac:dyDescent="0.25">
      <c r="A18" s="43">
        <v>1900310622</v>
      </c>
      <c r="B18" s="44" t="s">
        <v>87</v>
      </c>
      <c r="C18" s="45">
        <v>7</v>
      </c>
      <c r="D18" s="45">
        <v>1</v>
      </c>
      <c r="E18" s="46" t="s">
        <v>88</v>
      </c>
      <c r="F18" s="47">
        <v>603.71</v>
      </c>
      <c r="G18" s="47">
        <v>603.71</v>
      </c>
      <c r="H18" s="47">
        <v>603.71</v>
      </c>
      <c r="I18" s="47">
        <v>603.71</v>
      </c>
      <c r="J18" s="47">
        <v>603.71</v>
      </c>
      <c r="K18" s="48"/>
    </row>
    <row r="19" spans="1:11" s="49" customFormat="1" ht="12.75" customHeight="1" thickBot="1" x14ac:dyDescent="0.25">
      <c r="A19" s="43">
        <v>1900515329</v>
      </c>
      <c r="B19" s="44" t="s">
        <v>89</v>
      </c>
      <c r="C19" s="45">
        <v>8</v>
      </c>
      <c r="D19" s="45">
        <v>5</v>
      </c>
      <c r="E19" s="46" t="s">
        <v>79</v>
      </c>
      <c r="F19" s="47">
        <v>708</v>
      </c>
      <c r="G19" s="47">
        <v>738</v>
      </c>
      <c r="H19" s="47">
        <v>738</v>
      </c>
      <c r="I19" s="47">
        <v>738</v>
      </c>
      <c r="J19" s="47">
        <v>738</v>
      </c>
      <c r="K19" s="48"/>
    </row>
    <row r="20" spans="1:11" s="49" customFormat="1" ht="12.75" customHeight="1" thickBot="1" x14ac:dyDescent="0.25">
      <c r="A20" s="43">
        <v>1102815279</v>
      </c>
      <c r="B20" s="44" t="s">
        <v>90</v>
      </c>
      <c r="C20" s="45">
        <v>9</v>
      </c>
      <c r="D20" s="45">
        <v>4</v>
      </c>
      <c r="E20" s="46" t="s">
        <v>91</v>
      </c>
      <c r="F20" s="47">
        <v>749.54</v>
      </c>
      <c r="G20" s="47">
        <v>749.54</v>
      </c>
      <c r="H20" s="47">
        <v>749.54</v>
      </c>
      <c r="I20" s="47">
        <v>749.54</v>
      </c>
      <c r="J20" s="47">
        <v>749.54</v>
      </c>
      <c r="K20" s="48"/>
    </row>
    <row r="21" spans="1:11" s="49" customFormat="1" ht="12.75" customHeight="1" thickBot="1" x14ac:dyDescent="0.25">
      <c r="A21" s="43">
        <v>1104157688</v>
      </c>
      <c r="B21" s="44" t="s">
        <v>92</v>
      </c>
      <c r="C21" s="45">
        <v>10</v>
      </c>
      <c r="D21" s="45">
        <v>1</v>
      </c>
      <c r="E21" s="46" t="s">
        <v>93</v>
      </c>
      <c r="F21" s="47">
        <v>531</v>
      </c>
      <c r="G21" s="47">
        <v>561</v>
      </c>
      <c r="H21" s="47">
        <v>561</v>
      </c>
      <c r="I21" s="47">
        <v>561</v>
      </c>
      <c r="J21" s="47">
        <v>561</v>
      </c>
      <c r="K21" s="48"/>
    </row>
    <row r="22" spans="1:11" s="49" customFormat="1" ht="12.75" customHeight="1" thickBot="1" x14ac:dyDescent="0.25">
      <c r="A22" s="43">
        <v>1900453224</v>
      </c>
      <c r="B22" s="44" t="s">
        <v>94</v>
      </c>
      <c r="C22" s="45">
        <v>11</v>
      </c>
      <c r="D22" s="45">
        <v>1</v>
      </c>
      <c r="E22" s="46" t="s">
        <v>95</v>
      </c>
      <c r="F22" s="47">
        <v>624.12</v>
      </c>
      <c r="G22" s="47">
        <v>624.12</v>
      </c>
      <c r="H22" s="47">
        <v>624.12</v>
      </c>
      <c r="I22" s="47">
        <v>624.12</v>
      </c>
      <c r="J22" s="47">
        <v>624.12</v>
      </c>
      <c r="K22" s="48"/>
    </row>
    <row r="23" spans="1:11" s="49" customFormat="1" ht="12.75" customHeight="1" thickBot="1" x14ac:dyDescent="0.25">
      <c r="A23" s="43">
        <v>1900185057</v>
      </c>
      <c r="B23" s="44" t="s">
        <v>96</v>
      </c>
      <c r="C23" s="45">
        <v>12</v>
      </c>
      <c r="D23" s="45">
        <v>5</v>
      </c>
      <c r="E23" s="46" t="s">
        <v>97</v>
      </c>
      <c r="F23" s="47">
        <v>921.65</v>
      </c>
      <c r="G23" s="47">
        <v>921.65</v>
      </c>
      <c r="H23" s="47">
        <v>921.65</v>
      </c>
      <c r="I23" s="47">
        <v>921.65</v>
      </c>
      <c r="J23" s="47">
        <v>921.65</v>
      </c>
      <c r="K23" s="48"/>
    </row>
    <row r="24" spans="1:11" s="49" customFormat="1" ht="12.75" customHeight="1" thickBot="1" x14ac:dyDescent="0.25">
      <c r="A24" s="43">
        <v>1102527452</v>
      </c>
      <c r="B24" s="44" t="s">
        <v>98</v>
      </c>
      <c r="C24" s="45">
        <v>13</v>
      </c>
      <c r="D24" s="45">
        <v>1</v>
      </c>
      <c r="E24" s="46" t="s">
        <v>88</v>
      </c>
      <c r="F24" s="47">
        <v>579.45000000000005</v>
      </c>
      <c r="G24" s="47">
        <v>579.45000000000005</v>
      </c>
      <c r="H24" s="47">
        <v>579.45000000000005</v>
      </c>
      <c r="I24" s="47">
        <v>579.45000000000005</v>
      </c>
      <c r="J24" s="47">
        <v>579.45000000000005</v>
      </c>
      <c r="K24" s="48"/>
    </row>
    <row r="25" spans="1:11" s="49" customFormat="1" ht="12.75" customHeight="1" thickBot="1" x14ac:dyDescent="0.25">
      <c r="A25" s="43">
        <v>1900576727</v>
      </c>
      <c r="B25" s="44" t="s">
        <v>99</v>
      </c>
      <c r="C25" s="45">
        <v>14</v>
      </c>
      <c r="D25" s="45">
        <v>3</v>
      </c>
      <c r="E25" s="46" t="s">
        <v>83</v>
      </c>
      <c r="F25" s="47">
        <v>566</v>
      </c>
      <c r="G25" s="47">
        <v>596</v>
      </c>
      <c r="H25" s="47">
        <v>596</v>
      </c>
      <c r="I25" s="47">
        <v>596</v>
      </c>
      <c r="J25" s="47">
        <v>596</v>
      </c>
      <c r="K25" s="48"/>
    </row>
    <row r="26" spans="1:11" s="49" customFormat="1" ht="12.75" customHeight="1" thickBot="1" x14ac:dyDescent="0.25">
      <c r="A26" s="43">
        <v>1900066695</v>
      </c>
      <c r="B26" s="44" t="s">
        <v>100</v>
      </c>
      <c r="C26" s="45">
        <v>15</v>
      </c>
      <c r="D26" s="45">
        <v>3</v>
      </c>
      <c r="E26" s="46" t="s">
        <v>83</v>
      </c>
      <c r="F26" s="47">
        <v>610.36</v>
      </c>
      <c r="G26" s="47">
        <v>610.36</v>
      </c>
      <c r="H26" s="47">
        <v>610.36</v>
      </c>
      <c r="I26" s="47">
        <v>610.36</v>
      </c>
      <c r="J26" s="47">
        <v>610.36</v>
      </c>
      <c r="K26" s="48"/>
    </row>
    <row r="27" spans="1:11" s="49" customFormat="1" ht="12.75" customHeight="1" thickBot="1" x14ac:dyDescent="0.25">
      <c r="A27" s="43" t="s">
        <v>101</v>
      </c>
      <c r="B27" s="44" t="s">
        <v>102</v>
      </c>
      <c r="C27" s="45">
        <v>16</v>
      </c>
      <c r="D27" s="45">
        <v>2</v>
      </c>
      <c r="E27" s="46" t="s">
        <v>103</v>
      </c>
      <c r="F27" s="47">
        <v>548</v>
      </c>
      <c r="G27" s="47">
        <v>578</v>
      </c>
      <c r="H27" s="47">
        <v>578</v>
      </c>
      <c r="I27" s="47">
        <v>578</v>
      </c>
      <c r="J27" s="47">
        <v>578</v>
      </c>
      <c r="K27" s="48"/>
    </row>
    <row r="28" spans="1:11" s="49" customFormat="1" ht="12.75" customHeight="1" thickBot="1" x14ac:dyDescent="0.25">
      <c r="A28" s="43">
        <v>1900406552</v>
      </c>
      <c r="B28" s="44" t="s">
        <v>104</v>
      </c>
      <c r="C28" s="45">
        <v>17</v>
      </c>
      <c r="D28" s="45">
        <v>1</v>
      </c>
      <c r="E28" s="46" t="s">
        <v>105</v>
      </c>
      <c r="F28" s="47">
        <v>531</v>
      </c>
      <c r="G28" s="47">
        <v>561</v>
      </c>
      <c r="H28" s="47">
        <v>561</v>
      </c>
      <c r="I28" s="47">
        <v>561</v>
      </c>
      <c r="J28" s="47">
        <v>561</v>
      </c>
      <c r="K28" s="48"/>
    </row>
    <row r="29" spans="1:11" s="49" customFormat="1" ht="12.75" customHeight="1" thickBot="1" x14ac:dyDescent="0.25">
      <c r="A29" s="43">
        <v>1900333053</v>
      </c>
      <c r="B29" s="44" t="s">
        <v>106</v>
      </c>
      <c r="C29" s="45">
        <v>18</v>
      </c>
      <c r="D29" s="45">
        <v>1</v>
      </c>
      <c r="E29" s="46" t="s">
        <v>81</v>
      </c>
      <c r="F29" s="47">
        <v>567.19000000000005</v>
      </c>
      <c r="G29" s="47">
        <v>567.19000000000005</v>
      </c>
      <c r="H29" s="47">
        <v>567.19000000000005</v>
      </c>
      <c r="I29" s="47">
        <v>567.19000000000005</v>
      </c>
      <c r="J29" s="47">
        <v>567.19000000000005</v>
      </c>
      <c r="K29" s="48"/>
    </row>
    <row r="30" spans="1:11" s="49" customFormat="1" ht="12.75" customHeight="1" thickBot="1" x14ac:dyDescent="0.25">
      <c r="A30" s="43">
        <v>1900451590</v>
      </c>
      <c r="B30" s="44" t="s">
        <v>107</v>
      </c>
      <c r="C30" s="45">
        <v>19</v>
      </c>
      <c r="D30" s="45">
        <v>1</v>
      </c>
      <c r="E30" s="46" t="s">
        <v>108</v>
      </c>
      <c r="F30" s="47">
        <v>531</v>
      </c>
      <c r="G30" s="47">
        <v>561</v>
      </c>
      <c r="H30" s="47">
        <v>561</v>
      </c>
      <c r="I30" s="47">
        <v>561</v>
      </c>
      <c r="J30" s="47">
        <v>561</v>
      </c>
      <c r="K30" s="48"/>
    </row>
    <row r="31" spans="1:11" s="49" customFormat="1" ht="12.75" customHeight="1" thickBot="1" x14ac:dyDescent="0.25">
      <c r="A31" s="43">
        <v>1900198589</v>
      </c>
      <c r="B31" s="44" t="s">
        <v>109</v>
      </c>
      <c r="C31" s="45">
        <v>20</v>
      </c>
      <c r="D31" s="45">
        <v>1</v>
      </c>
      <c r="E31" s="46" t="s">
        <v>110</v>
      </c>
      <c r="F31" s="47">
        <v>531</v>
      </c>
      <c r="G31" s="47">
        <v>561</v>
      </c>
      <c r="H31" s="47">
        <v>561</v>
      </c>
      <c r="I31" s="47">
        <v>561</v>
      </c>
      <c r="J31" s="47">
        <v>561</v>
      </c>
      <c r="K31" s="48"/>
    </row>
    <row r="32" spans="1:11" s="49" customFormat="1" ht="12.75" customHeight="1" thickBot="1" x14ac:dyDescent="0.25">
      <c r="A32" s="43">
        <v>1900466721</v>
      </c>
      <c r="B32" s="44" t="s">
        <v>111</v>
      </c>
      <c r="C32" s="45">
        <v>21</v>
      </c>
      <c r="D32" s="45">
        <v>5</v>
      </c>
      <c r="E32" s="46" t="s">
        <v>112</v>
      </c>
      <c r="F32" s="47">
        <v>708</v>
      </c>
      <c r="G32" s="47">
        <v>738</v>
      </c>
      <c r="H32" s="47">
        <v>738</v>
      </c>
      <c r="I32" s="47">
        <v>738</v>
      </c>
      <c r="J32" s="47">
        <v>738</v>
      </c>
      <c r="K32" s="48"/>
    </row>
    <row r="33" spans="1:11" s="49" customFormat="1" ht="12.75" customHeight="1" thickBot="1" x14ac:dyDescent="0.25">
      <c r="A33" s="43">
        <v>1900127752</v>
      </c>
      <c r="B33" s="44" t="s">
        <v>113</v>
      </c>
      <c r="C33" s="45">
        <v>22</v>
      </c>
      <c r="D33" s="45">
        <v>1</v>
      </c>
      <c r="E33" s="46" t="s">
        <v>114</v>
      </c>
      <c r="F33" s="47">
        <v>594.11</v>
      </c>
      <c r="G33" s="47">
        <v>594.11</v>
      </c>
      <c r="H33" s="47">
        <v>594.11</v>
      </c>
      <c r="I33" s="47">
        <v>594.11</v>
      </c>
      <c r="J33" s="47">
        <v>594.11</v>
      </c>
      <c r="K33" s="48"/>
    </row>
    <row r="34" spans="1:11" s="49" customFormat="1" ht="12.75" customHeight="1" thickBot="1" x14ac:dyDescent="0.25">
      <c r="A34" s="43">
        <v>1101576856</v>
      </c>
      <c r="B34" s="44" t="s">
        <v>115</v>
      </c>
      <c r="C34" s="45">
        <v>23</v>
      </c>
      <c r="D34" s="45">
        <v>1</v>
      </c>
      <c r="E34" s="46" t="s">
        <v>114</v>
      </c>
      <c r="F34" s="47">
        <v>531</v>
      </c>
      <c r="G34" s="47">
        <v>561</v>
      </c>
      <c r="H34" s="47">
        <v>561</v>
      </c>
      <c r="I34" s="47">
        <v>561</v>
      </c>
      <c r="J34" s="47">
        <v>561</v>
      </c>
      <c r="K34" s="48"/>
    </row>
    <row r="35" spans="1:11" s="49" customFormat="1" ht="12.75" customHeight="1" thickBot="1" x14ac:dyDescent="0.25">
      <c r="A35" s="43">
        <v>1103226997</v>
      </c>
      <c r="B35" s="44" t="s">
        <v>116</v>
      </c>
      <c r="C35" s="45">
        <v>24</v>
      </c>
      <c r="D35" s="45">
        <v>1</v>
      </c>
      <c r="E35" s="46" t="s">
        <v>108</v>
      </c>
      <c r="F35" s="47">
        <v>603.67999999999995</v>
      </c>
      <c r="G35" s="47">
        <v>603.67999999999995</v>
      </c>
      <c r="H35" s="47">
        <v>603.67999999999995</v>
      </c>
      <c r="I35" s="47">
        <v>603.67999999999995</v>
      </c>
      <c r="J35" s="47">
        <v>603.67999999999995</v>
      </c>
      <c r="K35" s="48"/>
    </row>
    <row r="36" spans="1:11" s="49" customFormat="1" ht="12.75" customHeight="1" thickBot="1" x14ac:dyDescent="0.25">
      <c r="A36" s="43">
        <v>1900668763</v>
      </c>
      <c r="B36" s="44" t="s">
        <v>117</v>
      </c>
      <c r="C36" s="45">
        <v>25</v>
      </c>
      <c r="D36" s="45">
        <v>1</v>
      </c>
      <c r="E36" s="46" t="s">
        <v>118</v>
      </c>
      <c r="F36" s="47">
        <v>531</v>
      </c>
      <c r="G36" s="47">
        <v>561</v>
      </c>
      <c r="H36" s="47">
        <v>561</v>
      </c>
      <c r="I36" s="47">
        <v>561</v>
      </c>
      <c r="J36" s="47">
        <v>561</v>
      </c>
      <c r="K36" s="48"/>
    </row>
    <row r="37" spans="1:11" s="49" customFormat="1" ht="12.75" customHeight="1" thickBot="1" x14ac:dyDescent="0.25">
      <c r="A37" s="43">
        <v>1900240050</v>
      </c>
      <c r="B37" s="44" t="s">
        <v>119</v>
      </c>
      <c r="C37" s="45">
        <v>26</v>
      </c>
      <c r="D37" s="45">
        <v>4</v>
      </c>
      <c r="E37" s="46" t="s">
        <v>120</v>
      </c>
      <c r="F37" s="47">
        <v>584</v>
      </c>
      <c r="G37" s="47">
        <v>614</v>
      </c>
      <c r="H37" s="47">
        <v>614</v>
      </c>
      <c r="I37" s="47">
        <v>614</v>
      </c>
      <c r="J37" s="47">
        <v>614</v>
      </c>
      <c r="K37" s="48"/>
    </row>
    <row r="38" spans="1:11" s="49" customFormat="1" ht="12.75" customHeight="1" thickBot="1" x14ac:dyDescent="0.25">
      <c r="A38" s="43">
        <v>1900334440</v>
      </c>
      <c r="B38" s="44" t="s">
        <v>121</v>
      </c>
      <c r="C38" s="45">
        <v>27</v>
      </c>
      <c r="D38" s="45">
        <v>2</v>
      </c>
      <c r="E38" s="46" t="s">
        <v>122</v>
      </c>
      <c r="F38" s="47">
        <v>612.76</v>
      </c>
      <c r="G38" s="47">
        <v>612.76</v>
      </c>
      <c r="H38" s="47">
        <v>612.76</v>
      </c>
      <c r="I38" s="47">
        <v>612.76</v>
      </c>
      <c r="J38" s="47">
        <v>612.76</v>
      </c>
      <c r="K38" s="48"/>
    </row>
    <row r="39" spans="1:11" s="49" customFormat="1" ht="12.75" customHeight="1" thickBot="1" x14ac:dyDescent="0.25">
      <c r="A39" s="43">
        <v>1103301725</v>
      </c>
      <c r="B39" s="44" t="s">
        <v>123</v>
      </c>
      <c r="C39" s="45">
        <v>28</v>
      </c>
      <c r="D39" s="45">
        <v>5</v>
      </c>
      <c r="E39" s="46" t="s">
        <v>124</v>
      </c>
      <c r="F39" s="47">
        <v>708</v>
      </c>
      <c r="G39" s="47">
        <v>738</v>
      </c>
      <c r="H39" s="47">
        <v>738</v>
      </c>
      <c r="I39" s="47">
        <v>738</v>
      </c>
      <c r="J39" s="47">
        <v>738</v>
      </c>
      <c r="K39" s="48"/>
    </row>
    <row r="40" spans="1:11" s="49" customFormat="1" ht="12.75" customHeight="1" thickBot="1" x14ac:dyDescent="0.25">
      <c r="A40" s="43">
        <v>1101957338</v>
      </c>
      <c r="B40" s="44" t="s">
        <v>125</v>
      </c>
      <c r="C40" s="45">
        <v>29</v>
      </c>
      <c r="D40" s="45">
        <v>1</v>
      </c>
      <c r="E40" s="46" t="s">
        <v>126</v>
      </c>
      <c r="F40" s="47">
        <v>592.12</v>
      </c>
      <c r="G40" s="47">
        <v>592.12</v>
      </c>
      <c r="H40" s="47">
        <v>592.12</v>
      </c>
      <c r="I40" s="47">
        <v>592.12</v>
      </c>
      <c r="J40" s="47">
        <v>592.12</v>
      </c>
      <c r="K40" s="48"/>
    </row>
    <row r="41" spans="1:11" s="49" customFormat="1" ht="12.75" customHeight="1" thickBot="1" x14ac:dyDescent="0.25">
      <c r="A41" s="43">
        <v>1900280460</v>
      </c>
      <c r="B41" s="44" t="s">
        <v>127</v>
      </c>
      <c r="C41" s="45">
        <v>30</v>
      </c>
      <c r="D41" s="45">
        <v>3</v>
      </c>
      <c r="E41" s="46" t="s">
        <v>128</v>
      </c>
      <c r="F41" s="47">
        <v>566</v>
      </c>
      <c r="G41" s="47">
        <v>596</v>
      </c>
      <c r="H41" s="47">
        <v>596</v>
      </c>
      <c r="I41" s="47">
        <v>596</v>
      </c>
      <c r="J41" s="47">
        <v>596</v>
      </c>
      <c r="K41" s="48"/>
    </row>
    <row r="42" spans="1:11" s="49" customFormat="1" ht="12.75" customHeight="1" thickBot="1" x14ac:dyDescent="0.25">
      <c r="A42" s="43">
        <v>1900495258</v>
      </c>
      <c r="B42" s="44" t="s">
        <v>129</v>
      </c>
      <c r="C42" s="45">
        <v>31</v>
      </c>
      <c r="D42" s="45">
        <v>2</v>
      </c>
      <c r="E42" s="46" t="s">
        <v>103</v>
      </c>
      <c r="F42" s="47">
        <v>548</v>
      </c>
      <c r="G42" s="47">
        <v>578</v>
      </c>
      <c r="H42" s="47">
        <v>578</v>
      </c>
      <c r="I42" s="47">
        <v>578</v>
      </c>
      <c r="J42" s="47">
        <v>578</v>
      </c>
      <c r="K42" s="48"/>
    </row>
    <row r="43" spans="1:11" s="49" customFormat="1" ht="12.75" customHeight="1" thickBot="1" x14ac:dyDescent="0.25">
      <c r="A43" s="43">
        <v>1101422887</v>
      </c>
      <c r="B43" s="44" t="s">
        <v>130</v>
      </c>
      <c r="C43" s="45">
        <v>32</v>
      </c>
      <c r="D43" s="45">
        <v>1</v>
      </c>
      <c r="E43" s="46" t="s">
        <v>88</v>
      </c>
      <c r="F43" s="47">
        <v>594.53</v>
      </c>
      <c r="G43" s="47">
        <v>594.53</v>
      </c>
      <c r="H43" s="47">
        <v>594.53</v>
      </c>
      <c r="I43" s="47">
        <v>594.53</v>
      </c>
      <c r="J43" s="47">
        <v>594.53</v>
      </c>
      <c r="K43" s="48"/>
    </row>
    <row r="44" spans="1:11" s="49" customFormat="1" ht="12.75" customHeight="1" thickBot="1" x14ac:dyDescent="0.25">
      <c r="A44" s="43">
        <v>1900551902</v>
      </c>
      <c r="B44" s="44" t="s">
        <v>131</v>
      </c>
      <c r="C44" s="45">
        <v>33</v>
      </c>
      <c r="D44" s="45">
        <v>5</v>
      </c>
      <c r="E44" s="46" t="s">
        <v>132</v>
      </c>
      <c r="F44" s="47">
        <v>708</v>
      </c>
      <c r="G44" s="47">
        <v>738</v>
      </c>
      <c r="H44" s="47">
        <v>738</v>
      </c>
      <c r="I44" s="47">
        <v>738</v>
      </c>
      <c r="J44" s="47">
        <v>738</v>
      </c>
      <c r="K44" s="48"/>
    </row>
    <row r="45" spans="1:11" s="49" customFormat="1" ht="12.75" customHeight="1" thickBot="1" x14ac:dyDescent="0.25">
      <c r="A45" s="43">
        <v>1900612910</v>
      </c>
      <c r="B45" s="44" t="s">
        <v>133</v>
      </c>
      <c r="C45" s="45">
        <v>34</v>
      </c>
      <c r="D45" s="45">
        <v>3</v>
      </c>
      <c r="E45" s="46" t="s">
        <v>83</v>
      </c>
      <c r="F45" s="47">
        <v>566</v>
      </c>
      <c r="G45" s="47">
        <v>596</v>
      </c>
      <c r="H45" s="47">
        <v>596</v>
      </c>
      <c r="I45" s="47">
        <v>596</v>
      </c>
      <c r="J45" s="47">
        <v>596</v>
      </c>
      <c r="K45" s="48"/>
    </row>
    <row r="46" spans="1:11" s="49" customFormat="1" ht="12.75" customHeight="1" thickBot="1" x14ac:dyDescent="0.25">
      <c r="A46" s="43">
        <v>1900281120</v>
      </c>
      <c r="B46" s="44" t="s">
        <v>134</v>
      </c>
      <c r="C46" s="45">
        <v>35</v>
      </c>
      <c r="D46" s="45">
        <v>1</v>
      </c>
      <c r="E46" s="46" t="s">
        <v>88</v>
      </c>
      <c r="F46" s="47">
        <v>531</v>
      </c>
      <c r="G46" s="47">
        <v>561</v>
      </c>
      <c r="H46" s="47">
        <v>561</v>
      </c>
      <c r="I46" s="47">
        <v>561</v>
      </c>
      <c r="J46" s="47">
        <v>561</v>
      </c>
      <c r="K46" s="48"/>
    </row>
    <row r="47" spans="1:11" s="49" customFormat="1" ht="12.75" customHeight="1" thickBot="1" x14ac:dyDescent="0.25">
      <c r="A47" s="43">
        <v>1900180603</v>
      </c>
      <c r="B47" s="44" t="s">
        <v>135</v>
      </c>
      <c r="C47" s="45">
        <v>36</v>
      </c>
      <c r="D47" s="45">
        <v>2</v>
      </c>
      <c r="E47" s="46" t="s">
        <v>77</v>
      </c>
      <c r="F47" s="47">
        <v>548</v>
      </c>
      <c r="G47" s="47">
        <v>578</v>
      </c>
      <c r="H47" s="47">
        <v>578</v>
      </c>
      <c r="I47" s="47">
        <v>578</v>
      </c>
      <c r="J47" s="47">
        <v>578</v>
      </c>
      <c r="K47" s="48"/>
    </row>
    <row r="48" spans="1:11" s="49" customFormat="1" ht="12.75" customHeight="1" thickBot="1" x14ac:dyDescent="0.25">
      <c r="A48" s="43">
        <v>1102830625</v>
      </c>
      <c r="B48" s="44" t="s">
        <v>136</v>
      </c>
      <c r="C48" s="45">
        <v>37</v>
      </c>
      <c r="D48" s="45">
        <v>1</v>
      </c>
      <c r="E48" s="46" t="s">
        <v>137</v>
      </c>
      <c r="F48" s="47">
        <v>600.96</v>
      </c>
      <c r="G48" s="47">
        <v>600.96</v>
      </c>
      <c r="H48" s="47">
        <v>600.96</v>
      </c>
      <c r="I48" s="47">
        <v>600.96</v>
      </c>
      <c r="J48" s="47">
        <v>600.96</v>
      </c>
      <c r="K48" s="48"/>
    </row>
    <row r="49" spans="1:11" s="49" customFormat="1" ht="12.75" customHeight="1" thickBot="1" x14ac:dyDescent="0.25">
      <c r="A49" s="43">
        <v>1900561372</v>
      </c>
      <c r="B49" s="44" t="s">
        <v>138</v>
      </c>
      <c r="C49" s="45">
        <v>38</v>
      </c>
      <c r="D49" s="45">
        <v>3</v>
      </c>
      <c r="E49" s="46" t="s">
        <v>139</v>
      </c>
      <c r="F49" s="47">
        <v>566</v>
      </c>
      <c r="G49" s="47">
        <v>596</v>
      </c>
      <c r="H49" s="47">
        <v>596</v>
      </c>
      <c r="I49" s="47">
        <v>596</v>
      </c>
      <c r="J49" s="47">
        <v>596</v>
      </c>
      <c r="K49" s="48"/>
    </row>
    <row r="50" spans="1:11" s="49" customFormat="1" ht="12.75" customHeight="1" thickBot="1" x14ac:dyDescent="0.25">
      <c r="A50" s="43">
        <v>1102600515</v>
      </c>
      <c r="B50" s="44" t="s">
        <v>140</v>
      </c>
      <c r="C50" s="45">
        <v>39</v>
      </c>
      <c r="D50" s="45">
        <v>1</v>
      </c>
      <c r="E50" s="46" t="s">
        <v>141</v>
      </c>
      <c r="F50" s="47">
        <v>531</v>
      </c>
      <c r="G50" s="47">
        <v>561</v>
      </c>
      <c r="H50" s="47">
        <v>561</v>
      </c>
      <c r="I50" s="47">
        <v>561</v>
      </c>
      <c r="J50" s="47">
        <v>561</v>
      </c>
      <c r="K50" s="48"/>
    </row>
    <row r="51" spans="1:11" s="49" customFormat="1" ht="12.75" customHeight="1" thickBot="1" x14ac:dyDescent="0.25">
      <c r="A51" s="43">
        <v>1102739321</v>
      </c>
      <c r="B51" s="44" t="s">
        <v>142</v>
      </c>
      <c r="C51" s="45">
        <v>40</v>
      </c>
      <c r="D51" s="45">
        <v>2</v>
      </c>
      <c r="E51" s="46" t="s">
        <v>143</v>
      </c>
      <c r="F51" s="47">
        <v>1112.6600000000001</v>
      </c>
      <c r="G51" s="47">
        <v>1112.6600000000001</v>
      </c>
      <c r="H51" s="47">
        <v>1112.6600000000001</v>
      </c>
      <c r="I51" s="47">
        <v>1112.6600000000001</v>
      </c>
      <c r="J51" s="47">
        <v>1112.6600000000001</v>
      </c>
      <c r="K51" s="48"/>
    </row>
    <row r="52" spans="1:11" s="49" customFormat="1" ht="12.75" customHeight="1" thickBot="1" x14ac:dyDescent="0.25">
      <c r="A52" s="43">
        <v>1900241918</v>
      </c>
      <c r="B52" s="44" t="s">
        <v>144</v>
      </c>
      <c r="C52" s="45">
        <v>41</v>
      </c>
      <c r="D52" s="45">
        <v>1</v>
      </c>
      <c r="E52" s="46" t="s">
        <v>81</v>
      </c>
      <c r="F52" s="47">
        <v>577.29999999999995</v>
      </c>
      <c r="G52" s="47">
        <v>577.29999999999995</v>
      </c>
      <c r="H52" s="47">
        <v>577.29999999999995</v>
      </c>
      <c r="I52" s="47">
        <v>577.29999999999995</v>
      </c>
      <c r="J52" s="47">
        <v>577.29999999999995</v>
      </c>
      <c r="K52" s="48"/>
    </row>
    <row r="53" spans="1:11" s="49" customFormat="1" ht="12.75" customHeight="1" thickBot="1" x14ac:dyDescent="0.25">
      <c r="A53" s="43">
        <v>1900209881</v>
      </c>
      <c r="B53" s="44" t="s">
        <v>145</v>
      </c>
      <c r="C53" s="45">
        <v>42</v>
      </c>
      <c r="D53" s="45">
        <v>4</v>
      </c>
      <c r="E53" s="46" t="s">
        <v>120</v>
      </c>
      <c r="F53" s="47">
        <v>584</v>
      </c>
      <c r="G53" s="47">
        <v>614</v>
      </c>
      <c r="H53" s="47">
        <v>614</v>
      </c>
      <c r="I53" s="47">
        <v>614</v>
      </c>
      <c r="J53" s="47">
        <v>614</v>
      </c>
      <c r="K53" s="48"/>
    </row>
    <row r="54" spans="1:11" s="49" customFormat="1" ht="12.75" customHeight="1" thickBot="1" x14ac:dyDescent="0.25">
      <c r="A54" s="43">
        <v>1900369560</v>
      </c>
      <c r="B54" s="44" t="s">
        <v>146</v>
      </c>
      <c r="C54" s="45">
        <v>43</v>
      </c>
      <c r="D54" s="45">
        <v>5</v>
      </c>
      <c r="E54" s="46" t="s">
        <v>147</v>
      </c>
      <c r="F54" s="47">
        <v>708</v>
      </c>
      <c r="G54" s="47">
        <v>738</v>
      </c>
      <c r="H54" s="47">
        <v>738</v>
      </c>
      <c r="I54" s="47">
        <v>738</v>
      </c>
      <c r="J54" s="47">
        <v>738</v>
      </c>
      <c r="K54" s="48"/>
    </row>
    <row r="55" spans="1:11" s="49" customFormat="1" ht="12.75" customHeight="1" thickBot="1" x14ac:dyDescent="0.25">
      <c r="A55" s="43" t="s">
        <v>148</v>
      </c>
      <c r="B55" s="44" t="s">
        <v>149</v>
      </c>
      <c r="C55" s="45">
        <v>44</v>
      </c>
      <c r="D55" s="45">
        <v>3</v>
      </c>
      <c r="E55" s="46" t="s">
        <v>83</v>
      </c>
      <c r="F55" s="47">
        <v>610.36</v>
      </c>
      <c r="G55" s="47">
        <v>610.36</v>
      </c>
      <c r="H55" s="47">
        <v>610.36</v>
      </c>
      <c r="I55" s="47">
        <v>610.36</v>
      </c>
      <c r="J55" s="47">
        <v>610.36</v>
      </c>
      <c r="K55" s="48"/>
    </row>
    <row r="56" spans="1:11" s="49" customFormat="1" ht="12.75" customHeight="1" thickBot="1" x14ac:dyDescent="0.25">
      <c r="A56" s="43">
        <v>1900253558</v>
      </c>
      <c r="B56" s="44" t="s">
        <v>150</v>
      </c>
      <c r="C56" s="45">
        <v>45</v>
      </c>
      <c r="D56" s="45">
        <v>5</v>
      </c>
      <c r="E56" s="46" t="s">
        <v>124</v>
      </c>
      <c r="F56" s="47">
        <v>708</v>
      </c>
      <c r="G56" s="47">
        <v>738</v>
      </c>
      <c r="H56" s="47">
        <v>738</v>
      </c>
      <c r="I56" s="47">
        <v>738</v>
      </c>
      <c r="J56" s="47">
        <v>738</v>
      </c>
      <c r="K56" s="48"/>
    </row>
    <row r="57" spans="1:11" s="49" customFormat="1" ht="12.75" customHeight="1" thickBot="1" x14ac:dyDescent="0.25">
      <c r="A57" s="43">
        <v>1101785986</v>
      </c>
      <c r="B57" s="44" t="s">
        <v>151</v>
      </c>
      <c r="C57" s="45">
        <v>46</v>
      </c>
      <c r="D57" s="45">
        <v>4</v>
      </c>
      <c r="E57" s="46" t="s">
        <v>91</v>
      </c>
      <c r="F57" s="47">
        <v>584</v>
      </c>
      <c r="G57" s="47">
        <v>614</v>
      </c>
      <c r="H57" s="47">
        <v>614</v>
      </c>
      <c r="I57" s="47">
        <v>614</v>
      </c>
      <c r="J57" s="47">
        <v>614</v>
      </c>
      <c r="K57" s="48"/>
    </row>
    <row r="58" spans="1:11" s="49" customFormat="1" ht="12.75" customHeight="1" thickBot="1" x14ac:dyDescent="0.25">
      <c r="A58" s="43">
        <v>1102603444</v>
      </c>
      <c r="B58" s="44" t="s">
        <v>152</v>
      </c>
      <c r="C58" s="45">
        <v>47</v>
      </c>
      <c r="D58" s="45">
        <v>4</v>
      </c>
      <c r="E58" s="46" t="s">
        <v>91</v>
      </c>
      <c r="F58" s="47">
        <v>630</v>
      </c>
      <c r="G58" s="47">
        <v>630</v>
      </c>
      <c r="H58" s="47">
        <v>630</v>
      </c>
      <c r="I58" s="47">
        <v>630</v>
      </c>
      <c r="J58" s="47">
        <v>630</v>
      </c>
      <c r="K58" s="48"/>
    </row>
    <row r="59" spans="1:11" s="49" customFormat="1" ht="12.75" customHeight="1" thickBot="1" x14ac:dyDescent="0.25">
      <c r="A59" s="43">
        <v>1900359082</v>
      </c>
      <c r="B59" s="44" t="s">
        <v>153</v>
      </c>
      <c r="C59" s="45">
        <v>48</v>
      </c>
      <c r="D59" s="45">
        <v>6</v>
      </c>
      <c r="E59" s="46" t="s">
        <v>154</v>
      </c>
      <c r="F59" s="47">
        <v>743</v>
      </c>
      <c r="G59" s="47">
        <v>773</v>
      </c>
      <c r="H59" s="47">
        <v>773</v>
      </c>
      <c r="I59" s="47">
        <v>773</v>
      </c>
      <c r="J59" s="47">
        <v>773</v>
      </c>
      <c r="K59" s="48"/>
    </row>
    <row r="60" spans="1:11" s="49" customFormat="1" ht="12.75" customHeight="1" thickBot="1" x14ac:dyDescent="0.25">
      <c r="A60" s="43">
        <v>1900568534</v>
      </c>
      <c r="B60" s="44" t="s">
        <v>155</v>
      </c>
      <c r="C60" s="45">
        <v>49</v>
      </c>
      <c r="D60" s="45">
        <v>5</v>
      </c>
      <c r="E60" s="46" t="s">
        <v>79</v>
      </c>
      <c r="F60" s="47">
        <v>708</v>
      </c>
      <c r="G60" s="47">
        <v>738</v>
      </c>
      <c r="H60" s="47">
        <v>738</v>
      </c>
      <c r="I60" s="47">
        <v>738</v>
      </c>
      <c r="J60" s="47">
        <v>738</v>
      </c>
      <c r="K60" s="48"/>
    </row>
    <row r="61" spans="1:11" s="49" customFormat="1" ht="12.75" customHeight="1" thickBot="1" x14ac:dyDescent="0.25">
      <c r="A61" s="43">
        <v>1900521939</v>
      </c>
      <c r="B61" s="44" t="s">
        <v>156</v>
      </c>
      <c r="C61" s="45">
        <v>50</v>
      </c>
      <c r="D61" s="45">
        <v>1</v>
      </c>
      <c r="E61" s="46" t="s">
        <v>81</v>
      </c>
      <c r="F61" s="47">
        <v>531</v>
      </c>
      <c r="G61" s="47">
        <v>561</v>
      </c>
      <c r="H61" s="47">
        <v>561</v>
      </c>
      <c r="I61" s="47">
        <v>561</v>
      </c>
      <c r="J61" s="47">
        <v>561</v>
      </c>
      <c r="K61" s="48"/>
    </row>
    <row r="62" spans="1:11" s="49" customFormat="1" ht="12.75" customHeight="1" thickBot="1" x14ac:dyDescent="0.25">
      <c r="A62" s="43">
        <v>1900228506</v>
      </c>
      <c r="B62" s="44" t="s">
        <v>157</v>
      </c>
      <c r="C62" s="45">
        <v>51</v>
      </c>
      <c r="D62" s="45">
        <v>1</v>
      </c>
      <c r="E62" s="46" t="s">
        <v>158</v>
      </c>
      <c r="F62" s="47">
        <v>807.86</v>
      </c>
      <c r="G62" s="47">
        <v>807.86</v>
      </c>
      <c r="H62" s="47">
        <v>807.86</v>
      </c>
      <c r="I62" s="47">
        <v>807.86</v>
      </c>
      <c r="J62" s="47">
        <v>807.86</v>
      </c>
      <c r="K62" s="48"/>
    </row>
    <row r="63" spans="1:11" s="49" customFormat="1" ht="12.75" customHeight="1" thickBot="1" x14ac:dyDescent="0.25">
      <c r="A63" s="43">
        <v>101018976</v>
      </c>
      <c r="B63" s="44" t="s">
        <v>159</v>
      </c>
      <c r="C63" s="45">
        <v>52</v>
      </c>
      <c r="D63" s="45">
        <v>5</v>
      </c>
      <c r="E63" s="46" t="s">
        <v>160</v>
      </c>
      <c r="F63" s="47">
        <v>708</v>
      </c>
      <c r="G63" s="47">
        <v>738</v>
      </c>
      <c r="H63" s="47">
        <v>738</v>
      </c>
      <c r="I63" s="47">
        <v>738</v>
      </c>
      <c r="J63" s="47">
        <v>738</v>
      </c>
      <c r="K63" s="48"/>
    </row>
    <row r="64" spans="1:11" s="49" customFormat="1" ht="12.75" customHeight="1" thickBot="1" x14ac:dyDescent="0.25">
      <c r="A64" s="43" t="s">
        <v>161</v>
      </c>
      <c r="B64" s="44" t="s">
        <v>162</v>
      </c>
      <c r="C64" s="45">
        <v>53</v>
      </c>
      <c r="D64" s="45">
        <v>4</v>
      </c>
      <c r="E64" s="46" t="s">
        <v>91</v>
      </c>
      <c r="F64" s="47">
        <v>758.01</v>
      </c>
      <c r="G64" s="47">
        <v>758.01</v>
      </c>
      <c r="H64" s="47">
        <v>758.01</v>
      </c>
      <c r="I64" s="47">
        <v>758.01</v>
      </c>
      <c r="J64" s="47">
        <v>758.01</v>
      </c>
      <c r="K64" s="48"/>
    </row>
    <row r="65" spans="1:12" s="49" customFormat="1" ht="12.75" customHeight="1" thickBot="1" x14ac:dyDescent="0.25">
      <c r="A65" s="43">
        <v>1900286467</v>
      </c>
      <c r="B65" s="44" t="s">
        <v>163</v>
      </c>
      <c r="C65" s="45">
        <v>54</v>
      </c>
      <c r="D65" s="45">
        <v>5</v>
      </c>
      <c r="E65" s="46" t="s">
        <v>164</v>
      </c>
      <c r="F65" s="47">
        <v>708</v>
      </c>
      <c r="G65" s="47">
        <v>738</v>
      </c>
      <c r="H65" s="47">
        <v>738</v>
      </c>
      <c r="I65" s="47">
        <v>738</v>
      </c>
      <c r="J65" s="47">
        <v>738</v>
      </c>
      <c r="K65" s="48"/>
    </row>
    <row r="66" spans="1:12" s="49" customFormat="1" ht="12.75" customHeight="1" thickBot="1" x14ac:dyDescent="0.25">
      <c r="A66" s="43" t="s">
        <v>165</v>
      </c>
      <c r="B66" s="44" t="s">
        <v>166</v>
      </c>
      <c r="C66" s="45">
        <v>55</v>
      </c>
      <c r="D66" s="45">
        <v>5</v>
      </c>
      <c r="E66" s="46" t="s">
        <v>167</v>
      </c>
      <c r="F66" s="47">
        <v>800.08</v>
      </c>
      <c r="G66" s="47">
        <v>800.08</v>
      </c>
      <c r="H66" s="47">
        <v>800.08</v>
      </c>
      <c r="I66" s="47">
        <v>800.08</v>
      </c>
      <c r="J66" s="47">
        <v>800.08</v>
      </c>
      <c r="K66" s="48"/>
    </row>
    <row r="67" spans="1:12" s="49" customFormat="1" ht="12.75" customHeight="1" thickBot="1" x14ac:dyDescent="0.25">
      <c r="A67" s="43">
        <v>1900282185</v>
      </c>
      <c r="B67" s="44" t="s">
        <v>168</v>
      </c>
      <c r="C67" s="45">
        <v>56</v>
      </c>
      <c r="D67" s="45">
        <v>4</v>
      </c>
      <c r="E67" s="46" t="s">
        <v>91</v>
      </c>
      <c r="F67" s="47">
        <v>616.16999999999996</v>
      </c>
      <c r="G67" s="47">
        <v>616.16999999999996</v>
      </c>
      <c r="H67" s="47">
        <v>616.16999999999996</v>
      </c>
      <c r="I67" s="47">
        <v>616.16999999999996</v>
      </c>
      <c r="J67" s="47">
        <v>616.16999999999996</v>
      </c>
      <c r="K67" s="48"/>
    </row>
    <row r="68" spans="1:12" s="49" customFormat="1" ht="12.75" customHeight="1" thickBot="1" x14ac:dyDescent="0.25">
      <c r="A68" s="43">
        <v>1707510846</v>
      </c>
      <c r="B68" s="44" t="s">
        <v>169</v>
      </c>
      <c r="C68" s="45">
        <v>57</v>
      </c>
      <c r="D68" s="45">
        <v>1</v>
      </c>
      <c r="E68" s="46" t="s">
        <v>108</v>
      </c>
      <c r="F68" s="47">
        <v>531</v>
      </c>
      <c r="G68" s="47">
        <v>561</v>
      </c>
      <c r="H68" s="47">
        <v>561</v>
      </c>
      <c r="I68" s="47">
        <v>561</v>
      </c>
      <c r="J68" s="47">
        <v>561</v>
      </c>
      <c r="K68" s="48"/>
      <c r="L68" s="50"/>
    </row>
    <row r="69" spans="1:12" s="49" customFormat="1" ht="12.75" customHeight="1" thickBot="1" x14ac:dyDescent="0.25">
      <c r="A69" s="43">
        <v>1900493931</v>
      </c>
      <c r="B69" s="44" t="s">
        <v>170</v>
      </c>
      <c r="C69" s="45">
        <v>58</v>
      </c>
      <c r="D69" s="45">
        <v>3</v>
      </c>
      <c r="E69" s="46" t="s">
        <v>171</v>
      </c>
      <c r="F69" s="47">
        <v>566</v>
      </c>
      <c r="G69" s="47">
        <v>596</v>
      </c>
      <c r="H69" s="47">
        <v>596</v>
      </c>
      <c r="I69" s="47">
        <v>596</v>
      </c>
      <c r="J69" s="47">
        <v>596</v>
      </c>
      <c r="K69" s="48"/>
    </row>
    <row r="70" spans="1:12" s="49" customFormat="1" ht="12.75" customHeight="1" thickBot="1" x14ac:dyDescent="0.25">
      <c r="A70" s="43">
        <v>1102061627</v>
      </c>
      <c r="B70" s="44" t="s">
        <v>172</v>
      </c>
      <c r="C70" s="45">
        <v>59</v>
      </c>
      <c r="D70" s="45">
        <v>2</v>
      </c>
      <c r="E70" s="46" t="s">
        <v>77</v>
      </c>
      <c r="F70" s="47">
        <v>548</v>
      </c>
      <c r="G70" s="47">
        <v>578</v>
      </c>
      <c r="H70" s="47">
        <v>578</v>
      </c>
      <c r="I70" s="47">
        <v>578</v>
      </c>
      <c r="J70" s="47">
        <v>578</v>
      </c>
      <c r="K70" s="48"/>
    </row>
    <row r="71" spans="1:12" s="49" customFormat="1" ht="12.75" customHeight="1" thickBot="1" x14ac:dyDescent="0.25">
      <c r="A71" s="43">
        <v>102284460</v>
      </c>
      <c r="B71" s="44" t="s">
        <v>173</v>
      </c>
      <c r="C71" s="45">
        <v>60</v>
      </c>
      <c r="D71" s="45">
        <v>3</v>
      </c>
      <c r="E71" s="46" t="s">
        <v>174</v>
      </c>
      <c r="F71" s="47">
        <v>566</v>
      </c>
      <c r="G71" s="47">
        <v>596</v>
      </c>
      <c r="H71" s="47">
        <v>596</v>
      </c>
      <c r="I71" s="47">
        <v>596</v>
      </c>
      <c r="J71" s="47">
        <v>596</v>
      </c>
      <c r="K71" s="48"/>
    </row>
    <row r="72" spans="1:12" s="49" customFormat="1" ht="12.75" customHeight="1" thickBot="1" x14ac:dyDescent="0.25">
      <c r="A72" s="43">
        <v>1900413731</v>
      </c>
      <c r="B72" s="44" t="s">
        <v>175</v>
      </c>
      <c r="C72" s="45">
        <v>61</v>
      </c>
      <c r="D72" s="45">
        <v>1</v>
      </c>
      <c r="E72" s="46" t="s">
        <v>176</v>
      </c>
      <c r="F72" s="47">
        <v>596</v>
      </c>
      <c r="G72" s="47">
        <v>596</v>
      </c>
      <c r="H72" s="47">
        <v>596</v>
      </c>
      <c r="I72" s="47">
        <v>596</v>
      </c>
      <c r="J72" s="47">
        <v>596</v>
      </c>
      <c r="K72" s="48"/>
    </row>
    <row r="73" spans="1:12" s="49" customFormat="1" ht="12.75" customHeight="1" thickBot="1" x14ac:dyDescent="0.25">
      <c r="A73" s="43">
        <v>1900705987</v>
      </c>
      <c r="B73" s="44" t="s">
        <v>177</v>
      </c>
      <c r="C73" s="45">
        <v>62</v>
      </c>
      <c r="D73" s="45">
        <v>3</v>
      </c>
      <c r="E73" s="46" t="s">
        <v>83</v>
      </c>
      <c r="F73" s="47">
        <v>596.15</v>
      </c>
      <c r="G73" s="47">
        <v>596.15</v>
      </c>
      <c r="H73" s="47">
        <v>596.15</v>
      </c>
      <c r="I73" s="47">
        <v>596.15</v>
      </c>
      <c r="J73" s="47">
        <v>596.15</v>
      </c>
      <c r="K73" s="48"/>
    </row>
    <row r="74" spans="1:12" s="49" customFormat="1" ht="12.75" customHeight="1" thickBot="1" x14ac:dyDescent="0.25">
      <c r="A74" s="43">
        <v>701385684</v>
      </c>
      <c r="B74" s="44" t="s">
        <v>178</v>
      </c>
      <c r="C74" s="45">
        <v>63</v>
      </c>
      <c r="D74" s="45">
        <v>4</v>
      </c>
      <c r="E74" s="46" t="s">
        <v>91</v>
      </c>
      <c r="F74" s="47">
        <v>626.36</v>
      </c>
      <c r="G74" s="47">
        <v>626.36</v>
      </c>
      <c r="H74" s="47">
        <v>626.36</v>
      </c>
      <c r="I74" s="47">
        <v>626.36</v>
      </c>
      <c r="J74" s="47">
        <v>626.36</v>
      </c>
      <c r="K74" s="48"/>
    </row>
    <row r="75" spans="1:12" s="49" customFormat="1" ht="12.75" customHeight="1" thickBot="1" x14ac:dyDescent="0.25">
      <c r="A75" s="43">
        <v>1900513266</v>
      </c>
      <c r="B75" s="44" t="s">
        <v>179</v>
      </c>
      <c r="C75" s="45">
        <v>64</v>
      </c>
      <c r="D75" s="45">
        <v>1</v>
      </c>
      <c r="E75" s="46" t="s">
        <v>108</v>
      </c>
      <c r="F75" s="47">
        <v>614.58000000000004</v>
      </c>
      <c r="G75" s="47">
        <v>614.58000000000004</v>
      </c>
      <c r="H75" s="47">
        <v>614.58000000000004</v>
      </c>
      <c r="I75" s="47">
        <v>614.58000000000004</v>
      </c>
      <c r="J75" s="47">
        <v>614.58000000000004</v>
      </c>
      <c r="K75" s="48"/>
    </row>
    <row r="76" spans="1:12" s="49" customFormat="1" ht="12.75" customHeight="1" thickBot="1" x14ac:dyDescent="0.25">
      <c r="A76" s="43">
        <v>1900564335</v>
      </c>
      <c r="B76" s="44" t="s">
        <v>180</v>
      </c>
      <c r="C76" s="45">
        <v>65</v>
      </c>
      <c r="D76" s="45">
        <v>3</v>
      </c>
      <c r="E76" s="46" t="s">
        <v>83</v>
      </c>
      <c r="F76" s="47">
        <v>566</v>
      </c>
      <c r="G76" s="47">
        <v>596</v>
      </c>
      <c r="H76" s="47">
        <v>596</v>
      </c>
      <c r="I76" s="47">
        <v>596</v>
      </c>
      <c r="J76" s="47">
        <v>596</v>
      </c>
      <c r="K76" s="48"/>
    </row>
    <row r="77" spans="1:12" s="49" customFormat="1" ht="12.75" customHeight="1" thickBot="1" x14ac:dyDescent="0.25">
      <c r="A77" s="43">
        <v>1900392935</v>
      </c>
      <c r="B77" s="44" t="s">
        <v>181</v>
      </c>
      <c r="C77" s="45">
        <v>66</v>
      </c>
      <c r="D77" s="45">
        <v>4</v>
      </c>
      <c r="E77" s="46" t="s">
        <v>120</v>
      </c>
      <c r="F77" s="47">
        <v>584</v>
      </c>
      <c r="G77" s="47">
        <v>614</v>
      </c>
      <c r="H77" s="47">
        <v>614</v>
      </c>
      <c r="I77" s="47">
        <v>614</v>
      </c>
      <c r="J77" s="47">
        <v>614</v>
      </c>
      <c r="K77" s="48"/>
    </row>
    <row r="78" spans="1:12" s="49" customFormat="1" ht="12.75" customHeight="1" thickBot="1" x14ac:dyDescent="0.25">
      <c r="A78" s="43">
        <v>1900447788</v>
      </c>
      <c r="B78" s="44" t="s">
        <v>182</v>
      </c>
      <c r="C78" s="45">
        <v>67</v>
      </c>
      <c r="D78" s="45">
        <v>1</v>
      </c>
      <c r="E78" s="46" t="s">
        <v>108</v>
      </c>
      <c r="F78" s="47">
        <v>531</v>
      </c>
      <c r="G78" s="47">
        <v>561</v>
      </c>
      <c r="H78" s="47">
        <v>561</v>
      </c>
      <c r="I78" s="47">
        <v>561</v>
      </c>
      <c r="J78" s="47">
        <v>561</v>
      </c>
      <c r="K78" s="48"/>
    </row>
    <row r="79" spans="1:12" s="49" customFormat="1" ht="12.75" customHeight="1" thickBot="1" x14ac:dyDescent="0.25">
      <c r="A79" s="43">
        <v>1900286228</v>
      </c>
      <c r="B79" s="44" t="s">
        <v>183</v>
      </c>
      <c r="C79" s="45">
        <v>68</v>
      </c>
      <c r="D79" s="45">
        <v>1</v>
      </c>
      <c r="E79" s="46" t="s">
        <v>184</v>
      </c>
      <c r="F79" s="47">
        <v>812.55</v>
      </c>
      <c r="G79" s="47">
        <v>812.55</v>
      </c>
      <c r="H79" s="47">
        <v>812.55</v>
      </c>
      <c r="I79" s="47">
        <v>812.55</v>
      </c>
      <c r="J79" s="47">
        <v>812.55</v>
      </c>
      <c r="K79" s="48"/>
    </row>
    <row r="80" spans="1:12" s="49" customFormat="1" ht="12.75" customHeight="1" thickBot="1" x14ac:dyDescent="0.25">
      <c r="A80" s="43">
        <v>1101166708</v>
      </c>
      <c r="B80" s="44" t="s">
        <v>185</v>
      </c>
      <c r="C80" s="45">
        <v>69</v>
      </c>
      <c r="D80" s="45">
        <v>1</v>
      </c>
      <c r="E80" s="46" t="s">
        <v>137</v>
      </c>
      <c r="F80" s="47">
        <v>563.26</v>
      </c>
      <c r="G80" s="47">
        <v>563.26</v>
      </c>
      <c r="H80" s="47">
        <v>563.26</v>
      </c>
      <c r="I80" s="47">
        <v>563.26</v>
      </c>
      <c r="J80" s="47">
        <v>563.26</v>
      </c>
      <c r="K80" s="48"/>
    </row>
    <row r="81" spans="1:11" s="49" customFormat="1" ht="12.75" customHeight="1" thickBot="1" x14ac:dyDescent="0.25">
      <c r="A81" s="43">
        <v>1900493915</v>
      </c>
      <c r="B81" s="44" t="s">
        <v>186</v>
      </c>
      <c r="C81" s="45">
        <v>70</v>
      </c>
      <c r="D81" s="45">
        <v>1</v>
      </c>
      <c r="E81" s="46" t="s">
        <v>187</v>
      </c>
      <c r="F81" s="47">
        <v>531</v>
      </c>
      <c r="G81" s="47">
        <v>561</v>
      </c>
      <c r="H81" s="47">
        <v>561</v>
      </c>
      <c r="I81" s="47">
        <v>561</v>
      </c>
      <c r="J81" s="47">
        <v>561</v>
      </c>
      <c r="K81" s="48"/>
    </row>
    <row r="82" spans="1:11" s="49" customFormat="1" ht="12.75" customHeight="1" thickBot="1" x14ac:dyDescent="0.25">
      <c r="A82" s="43">
        <v>1900369941</v>
      </c>
      <c r="B82" s="44" t="s">
        <v>188</v>
      </c>
      <c r="C82" s="45">
        <v>71</v>
      </c>
      <c r="D82" s="45">
        <v>3</v>
      </c>
      <c r="E82" s="46" t="s">
        <v>83</v>
      </c>
      <c r="F82" s="47">
        <v>566</v>
      </c>
      <c r="G82" s="47">
        <v>596</v>
      </c>
      <c r="H82" s="47">
        <v>596</v>
      </c>
      <c r="I82" s="47">
        <v>596</v>
      </c>
      <c r="J82" s="47">
        <v>596</v>
      </c>
      <c r="K82" s="48"/>
    </row>
    <row r="83" spans="1:11" s="49" customFormat="1" ht="12.75" customHeight="1" thickBot="1" x14ac:dyDescent="0.25">
      <c r="A83" s="43">
        <v>1102113907</v>
      </c>
      <c r="B83" s="44" t="s">
        <v>189</v>
      </c>
      <c r="C83" s="45">
        <v>72</v>
      </c>
      <c r="D83" s="45">
        <v>5</v>
      </c>
      <c r="E83" s="46" t="s">
        <v>190</v>
      </c>
      <c r="F83" s="47">
        <v>927.4</v>
      </c>
      <c r="G83" s="47">
        <v>927.4</v>
      </c>
      <c r="H83" s="47">
        <v>927.4</v>
      </c>
      <c r="I83" s="47">
        <v>927.4</v>
      </c>
      <c r="J83" s="47">
        <v>927.4</v>
      </c>
      <c r="K83" s="48"/>
    </row>
    <row r="84" spans="1:11" s="49" customFormat="1" ht="12.75" customHeight="1" thickBot="1" x14ac:dyDescent="0.25">
      <c r="A84" s="43" t="s">
        <v>191</v>
      </c>
      <c r="B84" s="44" t="s">
        <v>192</v>
      </c>
      <c r="C84" s="45">
        <v>73</v>
      </c>
      <c r="D84" s="45">
        <v>3</v>
      </c>
      <c r="E84" s="46" t="s">
        <v>83</v>
      </c>
      <c r="F84" s="47">
        <v>610.36</v>
      </c>
      <c r="G84" s="47">
        <v>610.36</v>
      </c>
      <c r="H84" s="47">
        <v>610.36</v>
      </c>
      <c r="I84" s="47">
        <v>610.36</v>
      </c>
      <c r="J84" s="47">
        <v>610.36</v>
      </c>
      <c r="K84" s="48"/>
    </row>
    <row r="85" spans="1:11" s="49" customFormat="1" ht="12.75" customHeight="1" thickBot="1" x14ac:dyDescent="0.25">
      <c r="A85" s="43">
        <v>1900281948</v>
      </c>
      <c r="B85" s="44" t="s">
        <v>193</v>
      </c>
      <c r="C85" s="45">
        <v>74</v>
      </c>
      <c r="D85" s="45">
        <v>3</v>
      </c>
      <c r="E85" s="46" t="s">
        <v>83</v>
      </c>
      <c r="F85" s="47">
        <v>610.36</v>
      </c>
      <c r="G85" s="47">
        <v>610.36</v>
      </c>
      <c r="H85" s="47">
        <v>610.36</v>
      </c>
      <c r="I85" s="47">
        <v>610.36</v>
      </c>
      <c r="J85" s="47">
        <v>610.36</v>
      </c>
      <c r="K85" s="48"/>
    </row>
    <row r="86" spans="1:11" s="49" customFormat="1" ht="12.75" customHeight="1" thickBot="1" x14ac:dyDescent="0.25">
      <c r="A86" s="43">
        <v>1900130566</v>
      </c>
      <c r="B86" s="44" t="s">
        <v>194</v>
      </c>
      <c r="C86" s="45">
        <v>75</v>
      </c>
      <c r="D86" s="45">
        <v>4</v>
      </c>
      <c r="E86" s="46" t="s">
        <v>91</v>
      </c>
      <c r="F86" s="47">
        <v>584</v>
      </c>
      <c r="G86" s="47">
        <v>614</v>
      </c>
      <c r="H86" s="47">
        <v>614</v>
      </c>
      <c r="I86" s="47">
        <v>614</v>
      </c>
      <c r="J86" s="47">
        <v>614</v>
      </c>
      <c r="K86" s="48"/>
    </row>
    <row r="87" spans="1:11" s="49" customFormat="1" ht="12.75" customHeight="1" thickBot="1" x14ac:dyDescent="0.25">
      <c r="A87" s="43">
        <v>1900268135</v>
      </c>
      <c r="B87" s="44" t="s">
        <v>195</v>
      </c>
      <c r="C87" s="45">
        <v>76</v>
      </c>
      <c r="D87" s="45">
        <v>5</v>
      </c>
      <c r="E87" s="46" t="s">
        <v>196</v>
      </c>
      <c r="F87" s="47">
        <v>708</v>
      </c>
      <c r="G87" s="47">
        <v>738</v>
      </c>
      <c r="H87" s="47">
        <v>738</v>
      </c>
      <c r="I87" s="47">
        <v>738</v>
      </c>
      <c r="J87" s="47">
        <v>738</v>
      </c>
      <c r="K87" s="48"/>
    </row>
    <row r="88" spans="1:11" s="49" customFormat="1" ht="12.75" customHeight="1" thickBot="1" x14ac:dyDescent="0.25">
      <c r="A88" s="43">
        <v>1102365010</v>
      </c>
      <c r="B88" s="44" t="s">
        <v>197</v>
      </c>
      <c r="C88" s="45">
        <v>77</v>
      </c>
      <c r="D88" s="45">
        <v>4</v>
      </c>
      <c r="E88" s="46" t="s">
        <v>91</v>
      </c>
      <c r="F88" s="47">
        <v>584</v>
      </c>
      <c r="G88" s="47">
        <v>614</v>
      </c>
      <c r="H88" s="47">
        <v>614</v>
      </c>
      <c r="I88" s="47">
        <v>614</v>
      </c>
      <c r="J88" s="47">
        <v>614</v>
      </c>
      <c r="K88" s="48"/>
    </row>
    <row r="89" spans="1:11" s="49" customFormat="1" ht="12.75" customHeight="1" thickBot="1" x14ac:dyDescent="0.25">
      <c r="A89" s="43">
        <v>1900498849</v>
      </c>
      <c r="B89" s="44" t="s">
        <v>198</v>
      </c>
      <c r="C89" s="45">
        <v>78</v>
      </c>
      <c r="D89" s="45">
        <v>1</v>
      </c>
      <c r="E89" s="46" t="s">
        <v>199</v>
      </c>
      <c r="F89" s="47">
        <v>531</v>
      </c>
      <c r="G89" s="47">
        <v>561</v>
      </c>
      <c r="H89" s="47">
        <v>561</v>
      </c>
      <c r="I89" s="47">
        <v>561</v>
      </c>
      <c r="J89" s="47">
        <v>561</v>
      </c>
      <c r="K89" s="48"/>
    </row>
    <row r="90" spans="1:11" s="49" customFormat="1" ht="12.75" customHeight="1" thickBot="1" x14ac:dyDescent="0.25">
      <c r="A90" s="43">
        <v>1900180538</v>
      </c>
      <c r="B90" s="44" t="s">
        <v>200</v>
      </c>
      <c r="C90" s="45">
        <v>79</v>
      </c>
      <c r="D90" s="45">
        <v>1</v>
      </c>
      <c r="E90" s="46" t="s">
        <v>95</v>
      </c>
      <c r="F90" s="47">
        <v>618.78</v>
      </c>
      <c r="G90" s="47">
        <v>618.78</v>
      </c>
      <c r="H90" s="47">
        <v>618.78</v>
      </c>
      <c r="I90" s="47">
        <v>618.78</v>
      </c>
      <c r="J90" s="47">
        <v>618.78</v>
      </c>
      <c r="K90" s="48"/>
    </row>
    <row r="91" spans="1:11" s="49" customFormat="1" ht="12.75" customHeight="1" thickBot="1" x14ac:dyDescent="0.25">
      <c r="A91" s="43">
        <v>1102014253</v>
      </c>
      <c r="B91" s="44" t="s">
        <v>201</v>
      </c>
      <c r="C91" s="45">
        <v>80</v>
      </c>
      <c r="D91" s="45">
        <v>3</v>
      </c>
      <c r="E91" s="46" t="s">
        <v>171</v>
      </c>
      <c r="F91" s="47">
        <v>566</v>
      </c>
      <c r="G91" s="47">
        <v>596</v>
      </c>
      <c r="H91" s="47">
        <v>596</v>
      </c>
      <c r="I91" s="47">
        <v>596</v>
      </c>
      <c r="J91" s="47">
        <v>596</v>
      </c>
      <c r="K91" s="48"/>
    </row>
    <row r="92" spans="1:11" s="49" customFormat="1" ht="12.75" customHeight="1" thickBot="1" x14ac:dyDescent="0.25">
      <c r="A92" s="43">
        <v>1900120195</v>
      </c>
      <c r="B92" s="44" t="s">
        <v>202</v>
      </c>
      <c r="C92" s="45">
        <v>81</v>
      </c>
      <c r="D92" s="45">
        <v>4</v>
      </c>
      <c r="E92" s="46" t="s">
        <v>91</v>
      </c>
      <c r="F92" s="47">
        <v>626.75</v>
      </c>
      <c r="G92" s="47">
        <v>626.75</v>
      </c>
      <c r="H92" s="47">
        <v>626.75</v>
      </c>
      <c r="I92" s="47">
        <v>626.75</v>
      </c>
      <c r="J92" s="47">
        <v>626.75</v>
      </c>
      <c r="K92" s="48"/>
    </row>
    <row r="93" spans="1:11" s="57" customFormat="1" ht="12.75" customHeight="1" thickBot="1" x14ac:dyDescent="0.25">
      <c r="A93" s="51"/>
      <c r="B93" s="52"/>
      <c r="C93" s="53"/>
      <c r="D93" s="53"/>
      <c r="E93" s="54"/>
      <c r="F93" s="55"/>
      <c r="G93" s="55"/>
      <c r="H93" s="55"/>
      <c r="I93" s="55"/>
      <c r="J93" s="55"/>
      <c r="K93" s="56"/>
    </row>
    <row r="94" spans="1:11" s="49" customFormat="1" ht="12" thickBot="1" x14ac:dyDescent="0.25">
      <c r="A94" s="58"/>
      <c r="B94" s="59"/>
      <c r="C94" s="53"/>
      <c r="D94" s="53"/>
      <c r="E94" s="60" t="s">
        <v>203</v>
      </c>
      <c r="F94" s="61">
        <f>SUM(F12:F92)</f>
        <v>50525.060000000012</v>
      </c>
      <c r="G94" s="61">
        <f t="shared" ref="G94:J94" si="0">SUM(G12:G92)</f>
        <v>51965.060000000012</v>
      </c>
      <c r="H94" s="61">
        <f t="shared" si="0"/>
        <v>51965.060000000012</v>
      </c>
      <c r="I94" s="61">
        <f t="shared" si="0"/>
        <v>51965.060000000012</v>
      </c>
      <c r="J94" s="61">
        <f t="shared" si="0"/>
        <v>51965.060000000012</v>
      </c>
      <c r="K94" s="56"/>
    </row>
    <row r="95" spans="1:11" s="49" customFormat="1" ht="12" thickBot="1" x14ac:dyDescent="0.25">
      <c r="A95" s="58"/>
      <c r="B95" s="59"/>
      <c r="C95" s="53"/>
      <c r="D95" s="53"/>
      <c r="E95" s="62" t="s">
        <v>204</v>
      </c>
      <c r="F95" s="63">
        <f>F94*4</f>
        <v>202100.24000000005</v>
      </c>
      <c r="G95" s="63">
        <f>G94*8</f>
        <v>415720.4800000001</v>
      </c>
      <c r="H95" s="63">
        <f>H94*12</f>
        <v>623580.7200000002</v>
      </c>
      <c r="I95" s="63">
        <f t="shared" ref="I95:J95" si="1">I94*12</f>
        <v>623580.7200000002</v>
      </c>
      <c r="J95" s="63">
        <f t="shared" si="1"/>
        <v>623580.7200000002</v>
      </c>
      <c r="K95" s="56"/>
    </row>
    <row r="96" spans="1:11" x14ac:dyDescent="0.2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</row>
    <row r="97" spans="1:11" x14ac:dyDescent="0.2">
      <c r="A97" s="141" t="s">
        <v>205</v>
      </c>
      <c r="B97" s="141"/>
      <c r="C97" s="141"/>
      <c r="D97" s="141"/>
      <c r="E97" s="141"/>
      <c r="F97" s="141"/>
      <c r="G97" s="141"/>
      <c r="H97" s="141"/>
      <c r="I97" s="141"/>
      <c r="J97" s="141"/>
      <c r="K97" s="141"/>
    </row>
    <row r="98" spans="1:11" x14ac:dyDescent="0.2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</row>
    <row r="99" spans="1:11" x14ac:dyDescent="0.2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</row>
    <row r="100" spans="1:11" x14ac:dyDescent="0.2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</row>
    <row r="101" spans="1:11" x14ac:dyDescent="0.2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</row>
    <row r="102" spans="1:11" x14ac:dyDescent="0.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</row>
    <row r="103" spans="1:11" x14ac:dyDescent="0.2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</row>
    <row r="104" spans="1:11" x14ac:dyDescent="0.2">
      <c r="A104" s="138" t="str">
        <f>'FORMULARIO 1'!A28:H28</f>
        <v>Ing. Leonardo Heriberto Cueva Jimenez</v>
      </c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</row>
    <row r="105" spans="1:11" x14ac:dyDescent="0.2">
      <c r="A105" s="143" t="str">
        <f>'FORMULARIO 1'!A29:H29</f>
        <v>DIRECTOR FINANCIERO GADM YANTZAZA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 spans="1:11" x14ac:dyDescent="0.2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</row>
    <row r="107" spans="1:11" x14ac:dyDescent="0.2">
      <c r="A107" s="142" t="str">
        <f>'FORMULARIO 1'!A31:H31</f>
        <v>Yantzaza, 23 de abril de 2021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</row>
  </sheetData>
  <mergeCells count="20">
    <mergeCell ref="A106:K106"/>
    <mergeCell ref="A107:K107"/>
    <mergeCell ref="A100:K100"/>
    <mergeCell ref="A101:K101"/>
    <mergeCell ref="A102:K102"/>
    <mergeCell ref="A103:K103"/>
    <mergeCell ref="A104:K104"/>
    <mergeCell ref="A105:K105"/>
    <mergeCell ref="A99:K99"/>
    <mergeCell ref="A1:K1"/>
    <mergeCell ref="A2:K2"/>
    <mergeCell ref="A3:K3"/>
    <mergeCell ref="A4:K4"/>
    <mergeCell ref="A5:K5"/>
    <mergeCell ref="A7:K7"/>
    <mergeCell ref="A8:K8"/>
    <mergeCell ref="A9:K9"/>
    <mergeCell ref="A96:K96"/>
    <mergeCell ref="A97:K97"/>
    <mergeCell ref="A98:K98"/>
  </mergeCells>
  <pageMargins left="0.7" right="0.7" top="0.75" bottom="0.75" header="0.3" footer="0.3"/>
  <pageSetup paperSize="9" scale="78" fitToHeight="0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49"/>
  <sheetViews>
    <sheetView tabSelected="1" topLeftCell="A124" zoomScale="85" zoomScaleNormal="85" workbookViewId="0">
      <selection activeCell="E147" sqref="E147:M147"/>
    </sheetView>
  </sheetViews>
  <sheetFormatPr baseColWidth="10" defaultRowHeight="12.75" x14ac:dyDescent="0.2"/>
  <cols>
    <col min="1" max="1" width="8.28515625" style="103" bestFit="1" customWidth="1"/>
    <col min="2" max="2" width="57.42578125" style="104" bestFit="1" customWidth="1"/>
    <col min="3" max="4" width="12.7109375" style="104" bestFit="1" customWidth="1"/>
    <col min="5" max="11" width="12.85546875" style="80" bestFit="1" customWidth="1"/>
    <col min="12" max="12" width="12.85546875" style="80" customWidth="1"/>
    <col min="13" max="13" width="14" style="80" bestFit="1" customWidth="1"/>
    <col min="14" max="14" width="12" style="80" customWidth="1"/>
    <col min="15" max="16384" width="11.42578125" style="80"/>
  </cols>
  <sheetData>
    <row r="1" spans="1:13" s="65" customFormat="1" ht="18.75" x14ac:dyDescent="0.2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s="66" customFormat="1" ht="15.75" x14ac:dyDescent="0.2">
      <c r="A2" s="146" t="s">
        <v>206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 spans="1:13" s="66" customFormat="1" ht="15.75" x14ac:dyDescent="0.2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</row>
    <row r="4" spans="1:13" s="67" customFormat="1" x14ac:dyDescent="0.2">
      <c r="A4" s="147" t="str">
        <f>'FORMULARIO 1'!A5:H5</f>
        <v>GOBIERNO AUTÓNOMO DESCENTRALIZADO MUNICIPAL DE YANTZAZA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</row>
    <row r="5" spans="1:13" s="68" customFormat="1" ht="13.5" thickBot="1" x14ac:dyDescent="0.25">
      <c r="A5" s="148"/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</row>
    <row r="6" spans="1:13" s="68" customFormat="1" ht="13.5" customHeight="1" thickBot="1" x14ac:dyDescent="0.25">
      <c r="A6" s="149" t="s">
        <v>207</v>
      </c>
      <c r="B6" s="149"/>
      <c r="C6" s="150" t="s">
        <v>208</v>
      </c>
      <c r="D6" s="151"/>
      <c r="E6" s="151"/>
      <c r="F6" s="151"/>
      <c r="G6" s="151"/>
      <c r="H6" s="152"/>
      <c r="I6" s="150" t="s">
        <v>209</v>
      </c>
      <c r="J6" s="151"/>
      <c r="K6" s="151"/>
      <c r="L6" s="152"/>
      <c r="M6" s="69" t="s">
        <v>11</v>
      </c>
    </row>
    <row r="7" spans="1:13" s="68" customFormat="1" ht="39" thickBot="1" x14ac:dyDescent="0.25">
      <c r="A7" s="70" t="s">
        <v>210</v>
      </c>
      <c r="B7" s="71" t="s">
        <v>211</v>
      </c>
      <c r="C7" s="72">
        <v>2015</v>
      </c>
      <c r="D7" s="72">
        <v>2016</v>
      </c>
      <c r="E7" s="72">
        <v>2017</v>
      </c>
      <c r="F7" s="72">
        <v>2018</v>
      </c>
      <c r="G7" s="72">
        <v>2019</v>
      </c>
      <c r="H7" s="72">
        <v>2020</v>
      </c>
      <c r="I7" s="72">
        <v>2021</v>
      </c>
      <c r="J7" s="72">
        <v>2022</v>
      </c>
      <c r="K7" s="72">
        <v>2023</v>
      </c>
      <c r="L7" s="72">
        <v>2024</v>
      </c>
      <c r="M7" s="69"/>
    </row>
    <row r="8" spans="1:13" s="68" customFormat="1" ht="13.5" thickBot="1" x14ac:dyDescent="0.25">
      <c r="A8" s="153" t="s">
        <v>212</v>
      </c>
      <c r="B8" s="153"/>
      <c r="C8" s="73">
        <f t="shared" ref="C8:L8" si="0">SUM(C9,C13,C17:C20)</f>
        <v>3247930.96</v>
      </c>
      <c r="D8" s="73">
        <f t="shared" si="0"/>
        <v>2846323.2499999995</v>
      </c>
      <c r="E8" s="73">
        <f t="shared" si="0"/>
        <v>1349651.6</v>
      </c>
      <c r="F8" s="73">
        <f t="shared" si="0"/>
        <v>4733296.6400000006</v>
      </c>
      <c r="G8" s="73">
        <f t="shared" si="0"/>
        <v>5081231.9200000009</v>
      </c>
      <c r="H8" s="73">
        <f t="shared" si="0"/>
        <v>5725427.7199999997</v>
      </c>
      <c r="I8" s="73">
        <f t="shared" si="0"/>
        <v>5868563.4130000006</v>
      </c>
      <c r="J8" s="73">
        <f t="shared" si="0"/>
        <v>6015277.4983249987</v>
      </c>
      <c r="K8" s="73">
        <f t="shared" si="0"/>
        <v>6165659.4357831227</v>
      </c>
      <c r="L8" s="73">
        <f t="shared" si="0"/>
        <v>6319800.9216777002</v>
      </c>
      <c r="M8" s="73"/>
    </row>
    <row r="9" spans="1:13" s="68" customFormat="1" ht="13.5" thickBot="1" x14ac:dyDescent="0.25">
      <c r="A9" s="74">
        <v>11</v>
      </c>
      <c r="B9" s="75" t="s">
        <v>213</v>
      </c>
      <c r="C9" s="76">
        <f t="shared" ref="C9:L9" si="1">SUM(C10:C12)</f>
        <v>967650.67999999993</v>
      </c>
      <c r="D9" s="76">
        <f t="shared" si="1"/>
        <v>1033052.64</v>
      </c>
      <c r="E9" s="76">
        <f t="shared" si="1"/>
        <v>144135.56</v>
      </c>
      <c r="F9" s="76">
        <f t="shared" si="1"/>
        <v>1546509.24</v>
      </c>
      <c r="G9" s="76">
        <f t="shared" si="1"/>
        <v>2231453.17</v>
      </c>
      <c r="H9" s="76">
        <f t="shared" si="1"/>
        <v>2951059.8200000003</v>
      </c>
      <c r="I9" s="76">
        <f t="shared" si="1"/>
        <v>3024836.3155</v>
      </c>
      <c r="J9" s="76">
        <f t="shared" si="1"/>
        <v>3100457.2233874998</v>
      </c>
      <c r="K9" s="76">
        <f t="shared" si="1"/>
        <v>3177968.6539721871</v>
      </c>
      <c r="L9" s="76">
        <f t="shared" si="1"/>
        <v>3257417.8703214908</v>
      </c>
      <c r="M9" s="76"/>
    </row>
    <row r="10" spans="1:13" ht="13.5" thickBot="1" x14ac:dyDescent="0.25">
      <c r="A10" s="77" t="s">
        <v>214</v>
      </c>
      <c r="B10" s="78" t="s">
        <v>13</v>
      </c>
      <c r="C10" s="79">
        <v>93116.3</v>
      </c>
      <c r="D10" s="79">
        <v>58723.33</v>
      </c>
      <c r="E10" s="79">
        <v>10235</v>
      </c>
      <c r="F10" s="79">
        <v>84797.2</v>
      </c>
      <c r="G10" s="79">
        <v>81474.7</v>
      </c>
      <c r="H10" s="79">
        <v>71749.69</v>
      </c>
      <c r="I10" s="79">
        <f t="shared" ref="I10:L12" si="2">H10*1.025</f>
        <v>73543.432249999998</v>
      </c>
      <c r="J10" s="79">
        <f t="shared" si="2"/>
        <v>75382.018056249988</v>
      </c>
      <c r="K10" s="79">
        <f t="shared" si="2"/>
        <v>77266.568507656237</v>
      </c>
      <c r="L10" s="79">
        <f t="shared" si="2"/>
        <v>79198.232720347631</v>
      </c>
      <c r="M10" s="79"/>
    </row>
    <row r="11" spans="1:13" ht="13.5" thickBot="1" x14ac:dyDescent="0.25">
      <c r="A11" s="77" t="s">
        <v>215</v>
      </c>
      <c r="B11" s="78" t="s">
        <v>14</v>
      </c>
      <c r="C11" s="79">
        <v>636882.68999999994</v>
      </c>
      <c r="D11" s="79">
        <v>751767.77</v>
      </c>
      <c r="E11" s="79">
        <v>96157.93</v>
      </c>
      <c r="F11" s="79">
        <v>1189771.8</v>
      </c>
      <c r="G11" s="79">
        <v>1804598.1099999999</v>
      </c>
      <c r="H11" s="79">
        <v>2388529.16</v>
      </c>
      <c r="I11" s="79">
        <f t="shared" si="2"/>
        <v>2448242.389</v>
      </c>
      <c r="J11" s="79">
        <f t="shared" si="2"/>
        <v>2509448.4487249996</v>
      </c>
      <c r="K11" s="79">
        <f t="shared" si="2"/>
        <v>2572184.6599431243</v>
      </c>
      <c r="L11" s="79">
        <f t="shared" si="2"/>
        <v>2636489.2764417022</v>
      </c>
      <c r="M11" s="79"/>
    </row>
    <row r="12" spans="1:13" ht="13.5" thickBot="1" x14ac:dyDescent="0.25">
      <c r="A12" s="77" t="s">
        <v>216</v>
      </c>
      <c r="B12" s="78" t="s">
        <v>15</v>
      </c>
      <c r="C12" s="79">
        <v>237651.69</v>
      </c>
      <c r="D12" s="79">
        <v>222561.54</v>
      </c>
      <c r="E12" s="79">
        <v>37742.629999999997</v>
      </c>
      <c r="F12" s="79">
        <v>271940.24</v>
      </c>
      <c r="G12" s="79">
        <v>345380.36</v>
      </c>
      <c r="H12" s="79">
        <v>490780.97</v>
      </c>
      <c r="I12" s="79">
        <f t="shared" si="2"/>
        <v>503050.49424999993</v>
      </c>
      <c r="J12" s="79">
        <f t="shared" si="2"/>
        <v>515626.7566062499</v>
      </c>
      <c r="K12" s="79">
        <f t="shared" si="2"/>
        <v>528517.42552140611</v>
      </c>
      <c r="L12" s="79">
        <f t="shared" si="2"/>
        <v>541730.36115944118</v>
      </c>
      <c r="M12" s="79"/>
    </row>
    <row r="13" spans="1:13" s="68" customFormat="1" ht="13.5" thickBot="1" x14ac:dyDescent="0.25">
      <c r="A13" s="74">
        <v>13</v>
      </c>
      <c r="B13" s="75" t="s">
        <v>217</v>
      </c>
      <c r="C13" s="76">
        <f t="shared" ref="C13:L13" si="3">SUM(C14:C16)</f>
        <v>456174.06</v>
      </c>
      <c r="D13" s="76">
        <f t="shared" si="3"/>
        <v>449225.20999999996</v>
      </c>
      <c r="E13" s="76">
        <f t="shared" si="3"/>
        <v>168544.68</v>
      </c>
      <c r="F13" s="76">
        <f t="shared" si="3"/>
        <v>1474118.3800000001</v>
      </c>
      <c r="G13" s="76">
        <f t="shared" si="3"/>
        <v>1044660.4000000001</v>
      </c>
      <c r="H13" s="76">
        <f t="shared" si="3"/>
        <v>1259095.94</v>
      </c>
      <c r="I13" s="76">
        <f t="shared" si="3"/>
        <v>1290573.3384999998</v>
      </c>
      <c r="J13" s="76">
        <f t="shared" si="3"/>
        <v>1322837.6719624996</v>
      </c>
      <c r="K13" s="76">
        <f t="shared" si="3"/>
        <v>1355908.6137615622</v>
      </c>
      <c r="L13" s="76">
        <f t="shared" si="3"/>
        <v>1389806.3291056009</v>
      </c>
      <c r="M13" s="76"/>
    </row>
    <row r="14" spans="1:13" ht="13.5" thickBot="1" x14ac:dyDescent="0.25">
      <c r="A14" s="77" t="s">
        <v>218</v>
      </c>
      <c r="B14" s="78" t="s">
        <v>17</v>
      </c>
      <c r="C14" s="79">
        <v>416523.72</v>
      </c>
      <c r="D14" s="79">
        <v>418858.68999999994</v>
      </c>
      <c r="E14" s="79">
        <v>168544.68</v>
      </c>
      <c r="F14" s="79">
        <v>1439364.9000000001</v>
      </c>
      <c r="G14" s="79">
        <v>641076.19000000018</v>
      </c>
      <c r="H14" s="79">
        <v>673566.46</v>
      </c>
      <c r="I14" s="79">
        <f t="shared" ref="I14:L19" si="4">H14*1.025</f>
        <v>690405.62149999989</v>
      </c>
      <c r="J14" s="79">
        <f t="shared" si="4"/>
        <v>707665.76203749981</v>
      </c>
      <c r="K14" s="79">
        <f t="shared" si="4"/>
        <v>725357.40608843719</v>
      </c>
      <c r="L14" s="79">
        <f t="shared" si="4"/>
        <v>743491.34124064806</v>
      </c>
      <c r="M14" s="79"/>
    </row>
    <row r="15" spans="1:13" ht="13.5" thickBot="1" x14ac:dyDescent="0.25">
      <c r="A15" s="77" t="s">
        <v>219</v>
      </c>
      <c r="B15" s="78" t="s">
        <v>220</v>
      </c>
      <c r="C15" s="79">
        <v>0</v>
      </c>
      <c r="D15" s="79">
        <v>0</v>
      </c>
      <c r="E15" s="79">
        <v>0</v>
      </c>
      <c r="F15" s="79">
        <v>20457.23</v>
      </c>
      <c r="G15" s="79">
        <v>389896.61</v>
      </c>
      <c r="H15" s="79">
        <v>573492.86</v>
      </c>
      <c r="I15" s="79">
        <f t="shared" si="4"/>
        <v>587830.18149999995</v>
      </c>
      <c r="J15" s="79">
        <f t="shared" si="4"/>
        <v>602525.93603749992</v>
      </c>
      <c r="K15" s="79">
        <f t="shared" si="4"/>
        <v>617589.08443843736</v>
      </c>
      <c r="L15" s="79">
        <f t="shared" si="4"/>
        <v>633028.81154939823</v>
      </c>
      <c r="M15" s="79"/>
    </row>
    <row r="16" spans="1:13" ht="13.5" thickBot="1" x14ac:dyDescent="0.25">
      <c r="A16" s="77" t="s">
        <v>221</v>
      </c>
      <c r="B16" s="78" t="s">
        <v>222</v>
      </c>
      <c r="C16" s="79">
        <v>39650.340000000004</v>
      </c>
      <c r="D16" s="79">
        <v>30366.52</v>
      </c>
      <c r="E16" s="79">
        <v>0</v>
      </c>
      <c r="F16" s="79">
        <v>14296.25</v>
      </c>
      <c r="G16" s="79">
        <v>13687.600000000002</v>
      </c>
      <c r="H16" s="79">
        <v>12036.619999999999</v>
      </c>
      <c r="I16" s="79">
        <f t="shared" si="4"/>
        <v>12337.535499999998</v>
      </c>
      <c r="J16" s="79">
        <f t="shared" si="4"/>
        <v>12645.973887499997</v>
      </c>
      <c r="K16" s="79">
        <f t="shared" si="4"/>
        <v>12962.123234687495</v>
      </c>
      <c r="L16" s="79">
        <f t="shared" si="4"/>
        <v>13286.176315554681</v>
      </c>
      <c r="M16" s="79"/>
    </row>
    <row r="17" spans="1:13" s="68" customFormat="1" ht="13.5" thickBot="1" x14ac:dyDescent="0.25">
      <c r="A17" s="74">
        <v>14</v>
      </c>
      <c r="B17" s="81" t="s">
        <v>223</v>
      </c>
      <c r="C17" s="76">
        <v>287488.94</v>
      </c>
      <c r="D17" s="76">
        <v>276620.11</v>
      </c>
      <c r="E17" s="76">
        <v>123075.91</v>
      </c>
      <c r="F17" s="76">
        <v>356681.45999999996</v>
      </c>
      <c r="G17" s="76">
        <v>409549.70999999996</v>
      </c>
      <c r="H17" s="76">
        <v>422844.29000000004</v>
      </c>
      <c r="I17" s="76">
        <f t="shared" si="4"/>
        <v>433415.39724999998</v>
      </c>
      <c r="J17" s="76">
        <f t="shared" si="4"/>
        <v>444250.78218124993</v>
      </c>
      <c r="K17" s="76">
        <f t="shared" si="4"/>
        <v>455357.05173578113</v>
      </c>
      <c r="L17" s="76">
        <f t="shared" si="4"/>
        <v>466740.9780291756</v>
      </c>
      <c r="M17" s="76"/>
    </row>
    <row r="18" spans="1:13" s="68" customFormat="1" ht="13.5" thickBot="1" x14ac:dyDescent="0.25">
      <c r="A18" s="74">
        <v>17</v>
      </c>
      <c r="B18" s="75" t="s">
        <v>224</v>
      </c>
      <c r="C18" s="76">
        <v>118099.82999999999</v>
      </c>
      <c r="D18" s="76">
        <v>132498.15</v>
      </c>
      <c r="E18" s="76">
        <v>41797.31</v>
      </c>
      <c r="F18" s="76">
        <v>193331.48</v>
      </c>
      <c r="G18" s="76">
        <v>212876.27</v>
      </c>
      <c r="H18" s="76">
        <v>165895.67000000004</v>
      </c>
      <c r="I18" s="76">
        <f t="shared" si="4"/>
        <v>170043.06175000002</v>
      </c>
      <c r="J18" s="76">
        <f t="shared" si="4"/>
        <v>174294.13829375</v>
      </c>
      <c r="K18" s="76">
        <f t="shared" si="4"/>
        <v>178651.49175109374</v>
      </c>
      <c r="L18" s="76">
        <f t="shared" si="4"/>
        <v>183117.77904487107</v>
      </c>
      <c r="M18" s="76"/>
    </row>
    <row r="19" spans="1:13" s="68" customFormat="1" ht="13.5" thickBot="1" x14ac:dyDescent="0.25">
      <c r="A19" s="74">
        <v>18</v>
      </c>
      <c r="B19" s="75" t="s">
        <v>225</v>
      </c>
      <c r="C19" s="76">
        <v>1392333.04</v>
      </c>
      <c r="D19" s="76">
        <v>925597.74</v>
      </c>
      <c r="E19" s="76">
        <v>857961.67</v>
      </c>
      <c r="F19" s="76">
        <v>1139993.8500000001</v>
      </c>
      <c r="G19" s="76">
        <v>1039488.34</v>
      </c>
      <c r="H19" s="76">
        <v>864136.37999999989</v>
      </c>
      <c r="I19" s="76">
        <f t="shared" si="4"/>
        <v>885739.78949999984</v>
      </c>
      <c r="J19" s="76">
        <f t="shared" si="4"/>
        <v>907883.2842374997</v>
      </c>
      <c r="K19" s="76">
        <f t="shared" si="4"/>
        <v>930580.36634343711</v>
      </c>
      <c r="L19" s="76">
        <f t="shared" si="4"/>
        <v>953844.87550202291</v>
      </c>
      <c r="M19" s="76"/>
    </row>
    <row r="20" spans="1:13" s="68" customFormat="1" ht="13.5" thickBot="1" x14ac:dyDescent="0.25">
      <c r="A20" s="74">
        <v>19</v>
      </c>
      <c r="B20" s="75" t="s">
        <v>226</v>
      </c>
      <c r="C20" s="76">
        <f t="shared" ref="C20:L20" si="5">SUM(C21:C21)</f>
        <v>26184.41</v>
      </c>
      <c r="D20" s="76">
        <f t="shared" si="5"/>
        <v>29329.4</v>
      </c>
      <c r="E20" s="76">
        <f t="shared" si="5"/>
        <v>14136.47</v>
      </c>
      <c r="F20" s="76">
        <f t="shared" si="5"/>
        <v>22662.23</v>
      </c>
      <c r="G20" s="76">
        <f t="shared" si="5"/>
        <v>143204.03</v>
      </c>
      <c r="H20" s="76">
        <f t="shared" si="5"/>
        <v>62395.62</v>
      </c>
      <c r="I20" s="76">
        <f t="shared" si="5"/>
        <v>63955.510499999997</v>
      </c>
      <c r="J20" s="76">
        <f t="shared" si="5"/>
        <v>65554.398262499992</v>
      </c>
      <c r="K20" s="76">
        <f t="shared" si="5"/>
        <v>67193.258219062482</v>
      </c>
      <c r="L20" s="76">
        <f t="shared" si="5"/>
        <v>68873.089674539035</v>
      </c>
      <c r="M20" s="76"/>
    </row>
    <row r="21" spans="1:13" ht="13.5" thickBot="1" x14ac:dyDescent="0.25">
      <c r="A21" s="77" t="s">
        <v>227</v>
      </c>
      <c r="B21" s="78" t="s">
        <v>228</v>
      </c>
      <c r="C21" s="79">
        <v>26184.41</v>
      </c>
      <c r="D21" s="79">
        <v>29329.4</v>
      </c>
      <c r="E21" s="79">
        <v>14136.47</v>
      </c>
      <c r="F21" s="79">
        <v>22662.23</v>
      </c>
      <c r="G21" s="79">
        <v>143204.03</v>
      </c>
      <c r="H21" s="79">
        <v>62395.62</v>
      </c>
      <c r="I21" s="79">
        <f t="shared" ref="I21:L21" si="6">H21*1.025</f>
        <v>63955.510499999997</v>
      </c>
      <c r="J21" s="79">
        <f t="shared" si="6"/>
        <v>65554.398262499992</v>
      </c>
      <c r="K21" s="79">
        <f t="shared" si="6"/>
        <v>67193.258219062482</v>
      </c>
      <c r="L21" s="79">
        <f t="shared" si="6"/>
        <v>68873.089674539035</v>
      </c>
      <c r="M21" s="79"/>
    </row>
    <row r="22" spans="1:13" s="68" customFormat="1" ht="13.5" thickBot="1" x14ac:dyDescent="0.25">
      <c r="A22" s="153" t="s">
        <v>229</v>
      </c>
      <c r="B22" s="153"/>
      <c r="C22" s="73">
        <f t="shared" ref="C22:L22" si="7">SUM(C23,C40,C50,C53,C56)</f>
        <v>2774531.1700000004</v>
      </c>
      <c r="D22" s="73">
        <f t="shared" si="7"/>
        <v>2286649.7299999995</v>
      </c>
      <c r="E22" s="73">
        <f t="shared" si="7"/>
        <v>2236453.88</v>
      </c>
      <c r="F22" s="73">
        <f t="shared" si="7"/>
        <v>2458555.1</v>
      </c>
      <c r="G22" s="73">
        <f t="shared" si="7"/>
        <v>2935706.57</v>
      </c>
      <c r="H22" s="73">
        <f t="shared" si="7"/>
        <v>2718089.1599999997</v>
      </c>
      <c r="I22" s="73">
        <f t="shared" si="7"/>
        <v>2786041.389</v>
      </c>
      <c r="J22" s="73">
        <f t="shared" si="7"/>
        <v>2855692.4237250001</v>
      </c>
      <c r="K22" s="73">
        <f t="shared" si="7"/>
        <v>2927084.7343181237</v>
      </c>
      <c r="L22" s="73">
        <f t="shared" si="7"/>
        <v>3000261.8526760773</v>
      </c>
      <c r="M22" s="73"/>
    </row>
    <row r="23" spans="1:13" s="68" customFormat="1" ht="13.5" thickBot="1" x14ac:dyDescent="0.25">
      <c r="A23" s="74">
        <v>51</v>
      </c>
      <c r="B23" s="75" t="s">
        <v>230</v>
      </c>
      <c r="C23" s="76">
        <f t="shared" ref="C23:L23" si="8">SUM(C24:C39)</f>
        <v>2165295.4299999997</v>
      </c>
      <c r="D23" s="76">
        <f t="shared" si="8"/>
        <v>1713301.64</v>
      </c>
      <c r="E23" s="76">
        <f t="shared" si="8"/>
        <v>1677904.94</v>
      </c>
      <c r="F23" s="76">
        <f t="shared" si="8"/>
        <v>1962304.8900000001</v>
      </c>
      <c r="G23" s="76">
        <f t="shared" si="8"/>
        <v>2097424.2999999998</v>
      </c>
      <c r="H23" s="76">
        <f t="shared" si="8"/>
        <v>2049503.33</v>
      </c>
      <c r="I23" s="76">
        <f t="shared" si="8"/>
        <v>2100740.9132500002</v>
      </c>
      <c r="J23" s="76">
        <f t="shared" si="8"/>
        <v>2153259.4360812497</v>
      </c>
      <c r="K23" s="76">
        <f t="shared" si="8"/>
        <v>2207090.9219832802</v>
      </c>
      <c r="L23" s="76">
        <f t="shared" si="8"/>
        <v>2262268.1950328625</v>
      </c>
      <c r="M23" s="76"/>
    </row>
    <row r="24" spans="1:13" ht="13.5" thickBot="1" x14ac:dyDescent="0.25">
      <c r="A24" s="82" t="s">
        <v>231</v>
      </c>
      <c r="B24" s="78" t="s">
        <v>232</v>
      </c>
      <c r="C24" s="83">
        <v>747880.52</v>
      </c>
      <c r="D24" s="83">
        <v>544874.28</v>
      </c>
      <c r="E24" s="83">
        <v>592199.5</v>
      </c>
      <c r="F24" s="83">
        <v>768452.03</v>
      </c>
      <c r="G24" s="79">
        <v>852272.51</v>
      </c>
      <c r="H24" s="79">
        <v>839204.25</v>
      </c>
      <c r="I24" s="79">
        <f t="shared" ref="I24:L39" si="9">H24*1.025</f>
        <v>860184.35624999995</v>
      </c>
      <c r="J24" s="79">
        <f t="shared" si="9"/>
        <v>881688.96515624982</v>
      </c>
      <c r="K24" s="79">
        <f t="shared" si="9"/>
        <v>903731.18928515597</v>
      </c>
      <c r="L24" s="79">
        <f t="shared" si="9"/>
        <v>926324.46901728481</v>
      </c>
      <c r="M24" s="79"/>
    </row>
    <row r="25" spans="1:13" ht="13.5" thickBot="1" x14ac:dyDescent="0.25">
      <c r="A25" s="82" t="s">
        <v>233</v>
      </c>
      <c r="B25" s="78" t="s">
        <v>234</v>
      </c>
      <c r="C25" s="83">
        <v>456277.38</v>
      </c>
      <c r="D25" s="83">
        <v>310149.81</v>
      </c>
      <c r="E25" s="83">
        <v>289597.25</v>
      </c>
      <c r="F25" s="83">
        <v>299573.99</v>
      </c>
      <c r="G25" s="79">
        <v>285234.09999999998</v>
      </c>
      <c r="H25" s="79">
        <v>272492.21999999997</v>
      </c>
      <c r="I25" s="79">
        <f t="shared" si="9"/>
        <v>279304.52549999993</v>
      </c>
      <c r="J25" s="79">
        <f t="shared" si="9"/>
        <v>286287.13863749988</v>
      </c>
      <c r="K25" s="79">
        <f t="shared" si="9"/>
        <v>293444.31710343738</v>
      </c>
      <c r="L25" s="79">
        <f t="shared" si="9"/>
        <v>300780.42503102327</v>
      </c>
      <c r="M25" s="79"/>
    </row>
    <row r="26" spans="1:13" ht="13.5" thickBot="1" x14ac:dyDescent="0.25">
      <c r="A26" s="82" t="s">
        <v>235</v>
      </c>
      <c r="B26" s="78" t="s">
        <v>236</v>
      </c>
      <c r="C26" s="83">
        <v>126845.23</v>
      </c>
      <c r="D26" s="83">
        <v>103933.71</v>
      </c>
      <c r="E26" s="83">
        <v>101155.03</v>
      </c>
      <c r="F26" s="83">
        <v>110074.82</v>
      </c>
      <c r="G26" s="79">
        <v>122723.23</v>
      </c>
      <c r="H26" s="79">
        <v>129560.59</v>
      </c>
      <c r="I26" s="79">
        <f t="shared" si="9"/>
        <v>132799.60475</v>
      </c>
      <c r="J26" s="79">
        <f t="shared" si="9"/>
        <v>136119.59486874999</v>
      </c>
      <c r="K26" s="79">
        <f t="shared" si="9"/>
        <v>139522.58474046874</v>
      </c>
      <c r="L26" s="79">
        <f t="shared" si="9"/>
        <v>143010.64935898044</v>
      </c>
      <c r="M26" s="79"/>
    </row>
    <row r="27" spans="1:13" ht="13.5" thickBot="1" x14ac:dyDescent="0.25">
      <c r="A27" s="82" t="s">
        <v>237</v>
      </c>
      <c r="B27" s="78" t="s">
        <v>238</v>
      </c>
      <c r="C27" s="83">
        <v>65210.239999999998</v>
      </c>
      <c r="D27" s="83">
        <v>48696.68</v>
      </c>
      <c r="E27" s="83">
        <v>43370.02</v>
      </c>
      <c r="F27" s="83">
        <v>50950.38</v>
      </c>
      <c r="G27" s="79">
        <v>55003.34</v>
      </c>
      <c r="H27" s="79">
        <v>71441.19</v>
      </c>
      <c r="I27" s="79">
        <f t="shared" si="9"/>
        <v>73227.219749999989</v>
      </c>
      <c r="J27" s="79">
        <f t="shared" si="9"/>
        <v>75057.900243749988</v>
      </c>
      <c r="K27" s="79">
        <f t="shared" si="9"/>
        <v>76934.347749843728</v>
      </c>
      <c r="L27" s="79">
        <f t="shared" si="9"/>
        <v>78857.706443589821</v>
      </c>
      <c r="M27" s="79"/>
    </row>
    <row r="28" spans="1:13" ht="13.5" thickBot="1" x14ac:dyDescent="0.25">
      <c r="A28" s="82" t="s">
        <v>239</v>
      </c>
      <c r="B28" s="78" t="s">
        <v>240</v>
      </c>
      <c r="C28" s="83">
        <v>2981.76</v>
      </c>
      <c r="D28" s="83">
        <v>1795.8600000000001</v>
      </c>
      <c r="E28" s="83">
        <v>1995</v>
      </c>
      <c r="F28" s="83">
        <v>2066.0100000000002</v>
      </c>
      <c r="G28" s="79">
        <v>1924.95</v>
      </c>
      <c r="H28" s="79">
        <v>2182.08</v>
      </c>
      <c r="I28" s="79">
        <f t="shared" si="9"/>
        <v>2236.6319999999996</v>
      </c>
      <c r="J28" s="79">
        <f t="shared" si="9"/>
        <v>2292.5477999999994</v>
      </c>
      <c r="K28" s="79">
        <f t="shared" si="9"/>
        <v>2349.8614949999992</v>
      </c>
      <c r="L28" s="79">
        <f t="shared" si="9"/>
        <v>2408.6080323749989</v>
      </c>
      <c r="M28" s="79"/>
    </row>
    <row r="29" spans="1:13" ht="13.5" thickBot="1" x14ac:dyDescent="0.25">
      <c r="A29" s="82" t="s">
        <v>241</v>
      </c>
      <c r="B29" s="78" t="s">
        <v>242</v>
      </c>
      <c r="C29" s="83">
        <v>10724.4</v>
      </c>
      <c r="D29" s="83">
        <v>5730.79</v>
      </c>
      <c r="E29" s="83">
        <v>4503.24</v>
      </c>
      <c r="F29" s="83">
        <v>8296.5</v>
      </c>
      <c r="G29" s="79">
        <v>7108.86</v>
      </c>
      <c r="H29" s="79">
        <v>6942.24</v>
      </c>
      <c r="I29" s="79">
        <f t="shared" si="9"/>
        <v>7115.7959999999994</v>
      </c>
      <c r="J29" s="79">
        <f t="shared" si="9"/>
        <v>7293.6908999999987</v>
      </c>
      <c r="K29" s="79">
        <f t="shared" si="9"/>
        <v>7476.0331724999978</v>
      </c>
      <c r="L29" s="79">
        <f t="shared" si="9"/>
        <v>7662.9340018124967</v>
      </c>
      <c r="M29" s="79"/>
    </row>
    <row r="30" spans="1:13" ht="13.5" thickBot="1" x14ac:dyDescent="0.25">
      <c r="A30" s="82" t="s">
        <v>243</v>
      </c>
      <c r="B30" s="78" t="s">
        <v>244</v>
      </c>
      <c r="C30" s="83">
        <v>0</v>
      </c>
      <c r="D30" s="83">
        <v>6955.7300000000005</v>
      </c>
      <c r="E30" s="83">
        <v>10653.19</v>
      </c>
      <c r="F30" s="83">
        <v>9113.7999999999993</v>
      </c>
      <c r="G30" s="79">
        <v>5634.91</v>
      </c>
      <c r="H30" s="79">
        <v>0</v>
      </c>
      <c r="I30" s="79">
        <f t="shared" si="9"/>
        <v>0</v>
      </c>
      <c r="J30" s="79">
        <f t="shared" si="9"/>
        <v>0</v>
      </c>
      <c r="K30" s="79">
        <f t="shared" si="9"/>
        <v>0</v>
      </c>
      <c r="L30" s="79">
        <f t="shared" si="9"/>
        <v>0</v>
      </c>
      <c r="M30" s="79"/>
    </row>
    <row r="31" spans="1:13" ht="13.5" thickBot="1" x14ac:dyDescent="0.25">
      <c r="A31" s="82" t="s">
        <v>245</v>
      </c>
      <c r="B31" s="78" t="s">
        <v>246</v>
      </c>
      <c r="C31" s="83">
        <v>8048.51</v>
      </c>
      <c r="D31" s="83">
        <v>11381.86</v>
      </c>
      <c r="E31" s="83">
        <v>8113.44</v>
      </c>
      <c r="F31" s="83">
        <v>4977.34</v>
      </c>
      <c r="G31" s="79">
        <v>6658.32</v>
      </c>
      <c r="H31" s="79">
        <v>7679.05</v>
      </c>
      <c r="I31" s="79">
        <f>H31*1.025</f>
        <v>7871.0262499999999</v>
      </c>
      <c r="J31" s="79">
        <f>I31*1.025</f>
        <v>8067.8019062499989</v>
      </c>
      <c r="K31" s="79">
        <f>J31*1.025</f>
        <v>8269.4969539062477</v>
      </c>
      <c r="L31" s="79">
        <f>K31*1.025</f>
        <v>8476.2343777539027</v>
      </c>
      <c r="M31" s="79"/>
    </row>
    <row r="32" spans="1:13" ht="13.5" thickBot="1" x14ac:dyDescent="0.25">
      <c r="A32" s="82" t="s">
        <v>247</v>
      </c>
      <c r="B32" s="78" t="s">
        <v>248</v>
      </c>
      <c r="C32" s="83">
        <v>297257.53000000003</v>
      </c>
      <c r="D32" s="83">
        <v>365792.49</v>
      </c>
      <c r="E32" s="83">
        <v>337975.29</v>
      </c>
      <c r="F32" s="83">
        <v>287487.03999999998</v>
      </c>
      <c r="G32" s="79">
        <v>365918.46</v>
      </c>
      <c r="H32" s="79">
        <v>436762.97</v>
      </c>
      <c r="I32" s="79">
        <f t="shared" si="9"/>
        <v>447682.04424999992</v>
      </c>
      <c r="J32" s="79">
        <f t="shared" si="9"/>
        <v>458874.09535624989</v>
      </c>
      <c r="K32" s="79">
        <f t="shared" si="9"/>
        <v>470345.94774015609</v>
      </c>
      <c r="L32" s="79">
        <f t="shared" si="9"/>
        <v>482104.59643365996</v>
      </c>
      <c r="M32" s="79"/>
    </row>
    <row r="33" spans="1:13" ht="13.5" thickBot="1" x14ac:dyDescent="0.25">
      <c r="A33" s="82" t="s">
        <v>249</v>
      </c>
      <c r="B33" s="78" t="s">
        <v>250</v>
      </c>
      <c r="C33" s="83">
        <v>3500.52</v>
      </c>
      <c r="D33" s="83">
        <v>3695.8</v>
      </c>
      <c r="E33" s="83">
        <v>5586.02</v>
      </c>
      <c r="F33" s="83">
        <v>4748.28</v>
      </c>
      <c r="G33" s="79">
        <v>555.66999999999996</v>
      </c>
      <c r="H33" s="79">
        <v>1681.62</v>
      </c>
      <c r="I33" s="79">
        <f t="shared" si="9"/>
        <v>1723.6604999999997</v>
      </c>
      <c r="J33" s="79">
        <f t="shared" si="9"/>
        <v>1766.7520124999996</v>
      </c>
      <c r="K33" s="79">
        <f t="shared" si="9"/>
        <v>1810.9208128124994</v>
      </c>
      <c r="L33" s="79">
        <f t="shared" si="9"/>
        <v>1856.1938331328117</v>
      </c>
      <c r="M33" s="79"/>
    </row>
    <row r="34" spans="1:13" ht="13.5" thickBot="1" x14ac:dyDescent="0.25">
      <c r="A34" s="82" t="s">
        <v>251</v>
      </c>
      <c r="B34" s="78" t="s">
        <v>252</v>
      </c>
      <c r="C34" s="83">
        <v>185023.35</v>
      </c>
      <c r="D34" s="83">
        <v>148337.20000000001</v>
      </c>
      <c r="E34" s="83">
        <v>142720.14000000001</v>
      </c>
      <c r="F34" s="83">
        <v>171295.01</v>
      </c>
      <c r="G34" s="79">
        <v>177198.17</v>
      </c>
      <c r="H34" s="79">
        <v>183028.94</v>
      </c>
      <c r="I34" s="79">
        <f t="shared" si="9"/>
        <v>187604.6635</v>
      </c>
      <c r="J34" s="79">
        <f t="shared" si="9"/>
        <v>192294.78008749997</v>
      </c>
      <c r="K34" s="79">
        <f t="shared" si="9"/>
        <v>197102.14958968744</v>
      </c>
      <c r="L34" s="79">
        <f t="shared" si="9"/>
        <v>202029.70332942961</v>
      </c>
      <c r="M34" s="79"/>
    </row>
    <row r="35" spans="1:13" ht="13.5" thickBot="1" x14ac:dyDescent="0.25">
      <c r="A35" s="82" t="s">
        <v>253</v>
      </c>
      <c r="B35" s="78" t="s">
        <v>254</v>
      </c>
      <c r="C35" s="83">
        <v>82164.59</v>
      </c>
      <c r="D35" s="83">
        <v>79192.490000000005</v>
      </c>
      <c r="E35" s="83">
        <v>80193.66</v>
      </c>
      <c r="F35" s="83">
        <v>85302.88</v>
      </c>
      <c r="G35" s="79">
        <v>71487.11</v>
      </c>
      <c r="H35" s="79">
        <v>81269.990000000005</v>
      </c>
      <c r="I35" s="79">
        <f t="shared" si="9"/>
        <v>83301.739749999993</v>
      </c>
      <c r="J35" s="79">
        <f t="shared" si="9"/>
        <v>85384.283243749989</v>
      </c>
      <c r="K35" s="79">
        <f t="shared" si="9"/>
        <v>87518.890324843727</v>
      </c>
      <c r="L35" s="79">
        <f t="shared" si="9"/>
        <v>89706.862582964808</v>
      </c>
      <c r="M35" s="79"/>
    </row>
    <row r="36" spans="1:13" ht="13.5" thickBot="1" x14ac:dyDescent="0.25">
      <c r="A36" s="82" t="s">
        <v>255</v>
      </c>
      <c r="B36" s="78" t="s">
        <v>256</v>
      </c>
      <c r="C36" s="83">
        <v>0</v>
      </c>
      <c r="D36" s="83">
        <v>0</v>
      </c>
      <c r="E36" s="83">
        <v>1574.65</v>
      </c>
      <c r="F36" s="83">
        <v>131766.94</v>
      </c>
      <c r="G36" s="79">
        <v>84267.64</v>
      </c>
      <c r="H36" s="79">
        <v>0</v>
      </c>
      <c r="I36" s="79">
        <f t="shared" si="9"/>
        <v>0</v>
      </c>
      <c r="J36" s="79">
        <f t="shared" si="9"/>
        <v>0</v>
      </c>
      <c r="K36" s="79">
        <f t="shared" si="9"/>
        <v>0</v>
      </c>
      <c r="L36" s="79">
        <f t="shared" si="9"/>
        <v>0</v>
      </c>
      <c r="M36" s="79"/>
    </row>
    <row r="37" spans="1:13" ht="13.5" thickBot="1" x14ac:dyDescent="0.25">
      <c r="A37" s="82" t="s">
        <v>257</v>
      </c>
      <c r="B37" s="78" t="s">
        <v>258</v>
      </c>
      <c r="C37" s="83">
        <v>0</v>
      </c>
      <c r="D37" s="83">
        <v>0</v>
      </c>
      <c r="E37" s="83">
        <v>0</v>
      </c>
      <c r="F37" s="83">
        <v>0</v>
      </c>
      <c r="G37" s="79">
        <v>4992.3599999999997</v>
      </c>
      <c r="H37" s="79">
        <v>0</v>
      </c>
      <c r="I37" s="79">
        <f t="shared" si="9"/>
        <v>0</v>
      </c>
      <c r="J37" s="79">
        <f t="shared" si="9"/>
        <v>0</v>
      </c>
      <c r="K37" s="79">
        <f t="shared" si="9"/>
        <v>0</v>
      </c>
      <c r="L37" s="79">
        <f t="shared" si="9"/>
        <v>0</v>
      </c>
      <c r="M37" s="79"/>
    </row>
    <row r="38" spans="1:13" ht="13.5" thickBot="1" x14ac:dyDescent="0.25">
      <c r="A38" s="82" t="s">
        <v>259</v>
      </c>
      <c r="B38" s="78" t="s">
        <v>260</v>
      </c>
      <c r="C38" s="83">
        <v>18770.64</v>
      </c>
      <c r="D38" s="83">
        <v>29853.489999999998</v>
      </c>
      <c r="E38" s="83">
        <v>12099.91</v>
      </c>
      <c r="F38" s="83">
        <v>12653.09</v>
      </c>
      <c r="G38" s="79">
        <v>56444.67</v>
      </c>
      <c r="H38" s="79">
        <v>17258.189999999999</v>
      </c>
      <c r="I38" s="79">
        <f t="shared" si="9"/>
        <v>17689.644749999996</v>
      </c>
      <c r="J38" s="79">
        <f t="shared" si="9"/>
        <v>18131.885868749992</v>
      </c>
      <c r="K38" s="79">
        <f t="shared" si="9"/>
        <v>18585.183015468741</v>
      </c>
      <c r="L38" s="79">
        <f t="shared" si="9"/>
        <v>19049.812590855458</v>
      </c>
      <c r="M38" s="79"/>
    </row>
    <row r="39" spans="1:13" ht="13.5" thickBot="1" x14ac:dyDescent="0.25">
      <c r="A39" s="82" t="s">
        <v>261</v>
      </c>
      <c r="B39" s="78" t="s">
        <v>262</v>
      </c>
      <c r="C39" s="83">
        <v>160610.76</v>
      </c>
      <c r="D39" s="83">
        <v>52911.450000000004</v>
      </c>
      <c r="E39" s="83">
        <v>46168.6</v>
      </c>
      <c r="F39" s="83">
        <v>15546.78</v>
      </c>
      <c r="G39" s="79">
        <v>0</v>
      </c>
      <c r="H39" s="79">
        <v>0</v>
      </c>
      <c r="I39" s="79">
        <f>H39*1.025</f>
        <v>0</v>
      </c>
      <c r="J39" s="79">
        <f t="shared" si="9"/>
        <v>0</v>
      </c>
      <c r="K39" s="79">
        <f t="shared" si="9"/>
        <v>0</v>
      </c>
      <c r="L39" s="79">
        <f t="shared" si="9"/>
        <v>0</v>
      </c>
      <c r="M39" s="79"/>
    </row>
    <row r="40" spans="1:13" s="86" customFormat="1" ht="13.5" thickBot="1" x14ac:dyDescent="0.25">
      <c r="A40" s="84">
        <v>53</v>
      </c>
      <c r="B40" s="81" t="s">
        <v>263</v>
      </c>
      <c r="C40" s="85">
        <f t="shared" ref="C40:L40" si="10">SUM(C41:C49)</f>
        <v>360968.99</v>
      </c>
      <c r="D40" s="85">
        <f t="shared" si="10"/>
        <v>271170.83</v>
      </c>
      <c r="E40" s="85">
        <f t="shared" si="10"/>
        <v>287599.05999999994</v>
      </c>
      <c r="F40" s="85">
        <f t="shared" si="10"/>
        <v>265578.02</v>
      </c>
      <c r="G40" s="85">
        <f t="shared" si="10"/>
        <v>296706.26999999996</v>
      </c>
      <c r="H40" s="85">
        <f t="shared" si="10"/>
        <v>291358.46000000002</v>
      </c>
      <c r="I40" s="85">
        <f t="shared" si="10"/>
        <v>298642.4215</v>
      </c>
      <c r="J40" s="85">
        <f t="shared" si="10"/>
        <v>306108.48203749995</v>
      </c>
      <c r="K40" s="85">
        <f t="shared" si="10"/>
        <v>313761.19408843742</v>
      </c>
      <c r="L40" s="85">
        <f t="shared" si="10"/>
        <v>321605.22394064837</v>
      </c>
      <c r="M40" s="85"/>
    </row>
    <row r="41" spans="1:13" ht="13.5" thickBot="1" x14ac:dyDescent="0.25">
      <c r="A41" s="82" t="s">
        <v>264</v>
      </c>
      <c r="B41" s="87" t="s">
        <v>265</v>
      </c>
      <c r="C41" s="83">
        <v>62635.16</v>
      </c>
      <c r="D41" s="83">
        <v>55218.280000000006</v>
      </c>
      <c r="E41" s="83">
        <v>74825.62999999999</v>
      </c>
      <c r="F41" s="83">
        <v>62677.799999999996</v>
      </c>
      <c r="G41" s="83">
        <v>73223.150000000009</v>
      </c>
      <c r="H41" s="79">
        <v>68926.92</v>
      </c>
      <c r="I41" s="79">
        <f>H41*1.025</f>
        <v>70650.092999999993</v>
      </c>
      <c r="J41" s="79">
        <f>I41*1.025</f>
        <v>72416.345324999987</v>
      </c>
      <c r="K41" s="79">
        <f>J41*1.025</f>
        <v>74226.753958124988</v>
      </c>
      <c r="L41" s="79">
        <f>K41*1.025</f>
        <v>76082.42280707811</v>
      </c>
      <c r="M41" s="79"/>
    </row>
    <row r="42" spans="1:13" ht="13.5" thickBot="1" x14ac:dyDescent="0.25">
      <c r="A42" s="82" t="s">
        <v>266</v>
      </c>
      <c r="B42" s="87" t="s">
        <v>267</v>
      </c>
      <c r="C42" s="83">
        <v>32852.1</v>
      </c>
      <c r="D42" s="83">
        <v>60091.740000000005</v>
      </c>
      <c r="E42" s="83">
        <v>24938.129999999997</v>
      </c>
      <c r="F42" s="83">
        <v>14097.48</v>
      </c>
      <c r="G42" s="83">
        <v>18708.03</v>
      </c>
      <c r="H42" s="79">
        <v>28648.68</v>
      </c>
      <c r="I42" s="79">
        <f t="shared" ref="I42:L49" si="11">H42*1.025</f>
        <v>29364.896999999997</v>
      </c>
      <c r="J42" s="79">
        <f t="shared" si="11"/>
        <v>30099.019424999995</v>
      </c>
      <c r="K42" s="79">
        <f t="shared" si="11"/>
        <v>30851.494910624991</v>
      </c>
      <c r="L42" s="79">
        <f t="shared" si="11"/>
        <v>31622.782283390614</v>
      </c>
      <c r="M42" s="79"/>
    </row>
    <row r="43" spans="1:13" ht="13.5" thickBot="1" x14ac:dyDescent="0.25">
      <c r="A43" s="82" t="s">
        <v>268</v>
      </c>
      <c r="B43" s="87" t="s">
        <v>269</v>
      </c>
      <c r="C43" s="83">
        <v>13898.33</v>
      </c>
      <c r="D43" s="83">
        <v>9192.44</v>
      </c>
      <c r="E43" s="83">
        <v>13988.42</v>
      </c>
      <c r="F43" s="83">
        <v>13189.28</v>
      </c>
      <c r="G43" s="83">
        <v>14036.67</v>
      </c>
      <c r="H43" s="79">
        <v>3692.75</v>
      </c>
      <c r="I43" s="79">
        <f t="shared" si="11"/>
        <v>3785.0687499999995</v>
      </c>
      <c r="J43" s="79">
        <f t="shared" si="11"/>
        <v>3879.6954687499992</v>
      </c>
      <c r="K43" s="79">
        <f t="shared" si="11"/>
        <v>3976.6878554687487</v>
      </c>
      <c r="L43" s="79">
        <f t="shared" si="11"/>
        <v>4076.1050518554671</v>
      </c>
      <c r="M43" s="79"/>
    </row>
    <row r="44" spans="1:13" ht="13.5" thickBot="1" x14ac:dyDescent="0.25">
      <c r="A44" s="82" t="s">
        <v>270</v>
      </c>
      <c r="B44" s="87" t="s">
        <v>271</v>
      </c>
      <c r="C44" s="83">
        <v>17862.260000000002</v>
      </c>
      <c r="D44" s="83">
        <v>8776.5300000000007</v>
      </c>
      <c r="E44" s="83">
        <v>15052</v>
      </c>
      <c r="F44" s="83">
        <v>27997.7</v>
      </c>
      <c r="G44" s="83">
        <v>18933.22</v>
      </c>
      <c r="H44" s="79">
        <v>33178.080000000002</v>
      </c>
      <c r="I44" s="79">
        <f>H44*1.025</f>
        <v>34007.531999999999</v>
      </c>
      <c r="J44" s="79">
        <f>I44*1.025</f>
        <v>34857.720299999994</v>
      </c>
      <c r="K44" s="79">
        <f>J44*1.025</f>
        <v>35729.163307499992</v>
      </c>
      <c r="L44" s="79">
        <f>K44*1.025</f>
        <v>36622.392390187488</v>
      </c>
      <c r="M44" s="79"/>
    </row>
    <row r="45" spans="1:13" ht="13.5" thickBot="1" x14ac:dyDescent="0.25">
      <c r="A45" s="82" t="s">
        <v>272</v>
      </c>
      <c r="B45" s="87" t="s">
        <v>273</v>
      </c>
      <c r="C45" s="83">
        <v>26.88</v>
      </c>
      <c r="D45" s="83">
        <v>1209.44</v>
      </c>
      <c r="E45" s="83">
        <v>2722.88</v>
      </c>
      <c r="F45" s="83">
        <v>6666.24</v>
      </c>
      <c r="G45" s="83">
        <v>4898.7299999999996</v>
      </c>
      <c r="H45" s="79">
        <v>7020</v>
      </c>
      <c r="I45" s="79">
        <f t="shared" si="11"/>
        <v>7195.4999999999991</v>
      </c>
      <c r="J45" s="79">
        <f t="shared" si="11"/>
        <v>7375.387499999998</v>
      </c>
      <c r="K45" s="79">
        <f t="shared" si="11"/>
        <v>7559.772187499997</v>
      </c>
      <c r="L45" s="79">
        <f t="shared" si="11"/>
        <v>7748.7664921874966</v>
      </c>
      <c r="M45" s="79"/>
    </row>
    <row r="46" spans="1:13" ht="26.25" thickBot="1" x14ac:dyDescent="0.25">
      <c r="A46" s="82" t="s">
        <v>274</v>
      </c>
      <c r="B46" s="87" t="s">
        <v>275</v>
      </c>
      <c r="C46" s="83">
        <v>37958.400000000001</v>
      </c>
      <c r="D46" s="83">
        <v>45907.519999999997</v>
      </c>
      <c r="E46" s="83">
        <v>23799.599999999999</v>
      </c>
      <c r="F46" s="83">
        <v>18333.599999999999</v>
      </c>
      <c r="G46" s="83">
        <v>3213.73</v>
      </c>
      <c r="H46" s="79">
        <v>19195.07</v>
      </c>
      <c r="I46" s="79">
        <f t="shared" si="11"/>
        <v>19674.946749999999</v>
      </c>
      <c r="J46" s="79">
        <f t="shared" si="11"/>
        <v>20166.820418749998</v>
      </c>
      <c r="K46" s="79">
        <f t="shared" si="11"/>
        <v>20670.990929218748</v>
      </c>
      <c r="L46" s="79">
        <f t="shared" si="11"/>
        <v>21187.765702449215</v>
      </c>
      <c r="M46" s="79"/>
    </row>
    <row r="47" spans="1:13" ht="13.5" thickBot="1" x14ac:dyDescent="0.25">
      <c r="A47" s="82" t="s">
        <v>276</v>
      </c>
      <c r="B47" s="87" t="s">
        <v>277</v>
      </c>
      <c r="C47" s="83">
        <v>18519.760000000002</v>
      </c>
      <c r="D47" s="83">
        <v>0</v>
      </c>
      <c r="E47" s="83">
        <v>2223</v>
      </c>
      <c r="F47" s="83">
        <v>1008</v>
      </c>
      <c r="G47" s="83">
        <v>1494.53</v>
      </c>
      <c r="H47" s="79">
        <v>504</v>
      </c>
      <c r="I47" s="79">
        <f>H47*1.025</f>
        <v>516.59999999999991</v>
      </c>
      <c r="J47" s="79">
        <f>I47*1.025</f>
        <v>529.51499999999987</v>
      </c>
      <c r="K47" s="79">
        <f>J47*1.025</f>
        <v>542.75287499999979</v>
      </c>
      <c r="L47" s="79">
        <f>K47*1.025</f>
        <v>556.3216968749997</v>
      </c>
      <c r="M47" s="79"/>
    </row>
    <row r="48" spans="1:13" ht="13.5" thickBot="1" x14ac:dyDescent="0.25">
      <c r="A48" s="82" t="s">
        <v>278</v>
      </c>
      <c r="B48" s="87" t="s">
        <v>279</v>
      </c>
      <c r="C48" s="83">
        <v>175531.13</v>
      </c>
      <c r="D48" s="83">
        <v>90346.270000000019</v>
      </c>
      <c r="E48" s="83">
        <v>128245.23999999999</v>
      </c>
      <c r="F48" s="83">
        <v>120819.99000000002</v>
      </c>
      <c r="G48" s="79">
        <v>160496.85999999999</v>
      </c>
      <c r="H48" s="79">
        <v>129159.56000000001</v>
      </c>
      <c r="I48" s="79">
        <f t="shared" si="11"/>
        <v>132388.549</v>
      </c>
      <c r="J48" s="79">
        <f t="shared" si="11"/>
        <v>135698.26272499998</v>
      </c>
      <c r="K48" s="79">
        <f t="shared" si="11"/>
        <v>139090.71929312497</v>
      </c>
      <c r="L48" s="79">
        <f t="shared" si="11"/>
        <v>142567.98727545308</v>
      </c>
      <c r="M48" s="79"/>
    </row>
    <row r="49" spans="1:13" ht="13.5" thickBot="1" x14ac:dyDescent="0.25">
      <c r="A49" s="82" t="s">
        <v>280</v>
      </c>
      <c r="B49" s="87" t="s">
        <v>281</v>
      </c>
      <c r="C49" s="83">
        <v>1684.97</v>
      </c>
      <c r="D49" s="83">
        <v>428.61</v>
      </c>
      <c r="E49" s="83">
        <v>1804.16</v>
      </c>
      <c r="F49" s="83">
        <v>787.93000000000006</v>
      </c>
      <c r="G49" s="79">
        <v>1701.35</v>
      </c>
      <c r="H49" s="79">
        <v>1033.4000000000001</v>
      </c>
      <c r="I49" s="79">
        <f t="shared" si="11"/>
        <v>1059.2349999999999</v>
      </c>
      <c r="J49" s="79">
        <f t="shared" si="11"/>
        <v>1085.7158749999999</v>
      </c>
      <c r="K49" s="79">
        <f t="shared" si="11"/>
        <v>1112.8587718749998</v>
      </c>
      <c r="L49" s="79">
        <f t="shared" si="11"/>
        <v>1140.6802411718747</v>
      </c>
      <c r="M49" s="79"/>
    </row>
    <row r="50" spans="1:13" s="68" customFormat="1" ht="13.5" thickBot="1" x14ac:dyDescent="0.25">
      <c r="A50" s="74">
        <v>56</v>
      </c>
      <c r="B50" s="75" t="s">
        <v>282</v>
      </c>
      <c r="C50" s="76">
        <f t="shared" ref="C50:L50" si="12">SUM(C51:C52)</f>
        <v>150076.83000000002</v>
      </c>
      <c r="D50" s="76">
        <f t="shared" si="12"/>
        <v>187088.75</v>
      </c>
      <c r="E50" s="76">
        <f t="shared" si="12"/>
        <v>157087.33000000002</v>
      </c>
      <c r="F50" s="76">
        <f t="shared" si="12"/>
        <v>130349.83</v>
      </c>
      <c r="G50" s="76">
        <f t="shared" si="12"/>
        <v>374133.75</v>
      </c>
      <c r="H50" s="76">
        <f t="shared" si="12"/>
        <v>307164.67</v>
      </c>
      <c r="I50" s="76">
        <f t="shared" si="12"/>
        <v>314843.78674999997</v>
      </c>
      <c r="J50" s="76">
        <f t="shared" si="12"/>
        <v>322714.88141874998</v>
      </c>
      <c r="K50" s="76">
        <f t="shared" si="12"/>
        <v>330782.75345421873</v>
      </c>
      <c r="L50" s="76">
        <f t="shared" si="12"/>
        <v>339052.32229057414</v>
      </c>
      <c r="M50" s="76"/>
    </row>
    <row r="51" spans="1:13" ht="13.5" thickBot="1" x14ac:dyDescent="0.25">
      <c r="A51" s="77" t="s">
        <v>283</v>
      </c>
      <c r="B51" s="78" t="s">
        <v>284</v>
      </c>
      <c r="C51" s="83">
        <v>5481.01</v>
      </c>
      <c r="D51" s="83">
        <v>9271.69</v>
      </c>
      <c r="E51" s="83">
        <v>9130.85</v>
      </c>
      <c r="F51" s="83">
        <v>10600.12</v>
      </c>
      <c r="G51" s="79">
        <v>28912.7</v>
      </c>
      <c r="H51" s="79">
        <v>27378.55</v>
      </c>
      <c r="I51" s="79">
        <f>H51*1.025</f>
        <v>28063.013749999998</v>
      </c>
      <c r="J51" s="79">
        <f>I51*1.025</f>
        <v>28764.589093749997</v>
      </c>
      <c r="K51" s="79">
        <f>J51*1.025</f>
        <v>29483.703821093746</v>
      </c>
      <c r="L51" s="79">
        <f>K51*1.025</f>
        <v>30220.796416621088</v>
      </c>
      <c r="M51" s="79"/>
    </row>
    <row r="52" spans="1:13" ht="13.5" thickBot="1" x14ac:dyDescent="0.25">
      <c r="A52" s="77" t="s">
        <v>285</v>
      </c>
      <c r="B52" s="78" t="s">
        <v>286</v>
      </c>
      <c r="C52" s="83">
        <v>144595.82</v>
      </c>
      <c r="D52" s="83">
        <v>177817.06</v>
      </c>
      <c r="E52" s="83">
        <v>147956.48000000001</v>
      </c>
      <c r="F52" s="83">
        <v>119749.71</v>
      </c>
      <c r="G52" s="79">
        <v>345221.05</v>
      </c>
      <c r="H52" s="79">
        <v>279786.12</v>
      </c>
      <c r="I52" s="79">
        <f t="shared" ref="I52:L52" si="13">H52*1.025</f>
        <v>286780.77299999999</v>
      </c>
      <c r="J52" s="79">
        <f t="shared" si="13"/>
        <v>293950.29232499999</v>
      </c>
      <c r="K52" s="79">
        <f t="shared" si="13"/>
        <v>301299.04963312496</v>
      </c>
      <c r="L52" s="79">
        <f t="shared" si="13"/>
        <v>308831.52587395307</v>
      </c>
      <c r="M52" s="79"/>
    </row>
    <row r="53" spans="1:13" s="68" customFormat="1" ht="13.5" thickBot="1" x14ac:dyDescent="0.25">
      <c r="A53" s="74">
        <v>57</v>
      </c>
      <c r="B53" s="75" t="s">
        <v>287</v>
      </c>
      <c r="C53" s="76">
        <f t="shared" ref="C53:L53" si="14">SUM(C54:C55)</f>
        <v>17922.43</v>
      </c>
      <c r="D53" s="76">
        <f t="shared" si="14"/>
        <v>15941.460000000001</v>
      </c>
      <c r="E53" s="76">
        <f t="shared" si="14"/>
        <v>23279.3</v>
      </c>
      <c r="F53" s="76">
        <f t="shared" si="14"/>
        <v>8022.36</v>
      </c>
      <c r="G53" s="76">
        <f t="shared" si="14"/>
        <v>21083.88</v>
      </c>
      <c r="H53" s="76">
        <f t="shared" si="14"/>
        <v>4189.55</v>
      </c>
      <c r="I53" s="76">
        <f t="shared" si="14"/>
        <v>4294.2887499999997</v>
      </c>
      <c r="J53" s="76">
        <f t="shared" si="14"/>
        <v>4401.6459687499992</v>
      </c>
      <c r="K53" s="76">
        <f t="shared" si="14"/>
        <v>4511.6871179687487</v>
      </c>
      <c r="L53" s="76">
        <f t="shared" si="14"/>
        <v>4624.4792959179667</v>
      </c>
      <c r="M53" s="76"/>
    </row>
    <row r="54" spans="1:13" s="68" customFormat="1" ht="13.5" thickBot="1" x14ac:dyDescent="0.25">
      <c r="A54" s="77" t="s">
        <v>288</v>
      </c>
      <c r="B54" s="78" t="s">
        <v>289</v>
      </c>
      <c r="C54" s="79">
        <v>1822.49</v>
      </c>
      <c r="D54" s="79">
        <v>0</v>
      </c>
      <c r="E54" s="79">
        <v>339.22</v>
      </c>
      <c r="F54" s="79">
        <v>138.96</v>
      </c>
      <c r="G54" s="79">
        <v>283.68</v>
      </c>
      <c r="H54" s="79">
        <v>0</v>
      </c>
      <c r="I54" s="79">
        <f t="shared" ref="I54:L55" si="15">H54*1.025</f>
        <v>0</v>
      </c>
      <c r="J54" s="79">
        <f t="shared" si="15"/>
        <v>0</v>
      </c>
      <c r="K54" s="79">
        <f t="shared" si="15"/>
        <v>0</v>
      </c>
      <c r="L54" s="79">
        <f t="shared" si="15"/>
        <v>0</v>
      </c>
      <c r="M54" s="76"/>
    </row>
    <row r="55" spans="1:13" s="68" customFormat="1" ht="13.5" thickBot="1" x14ac:dyDescent="0.25">
      <c r="A55" s="77" t="s">
        <v>290</v>
      </c>
      <c r="B55" s="78" t="s">
        <v>291</v>
      </c>
      <c r="C55" s="79">
        <v>16099.94</v>
      </c>
      <c r="D55" s="79">
        <v>15941.460000000001</v>
      </c>
      <c r="E55" s="79">
        <v>22940.079999999998</v>
      </c>
      <c r="F55" s="79">
        <v>7883.4</v>
      </c>
      <c r="G55" s="79">
        <v>20800.2</v>
      </c>
      <c r="H55" s="79">
        <v>4189.55</v>
      </c>
      <c r="I55" s="79">
        <f t="shared" si="15"/>
        <v>4294.2887499999997</v>
      </c>
      <c r="J55" s="79">
        <f t="shared" si="15"/>
        <v>4401.6459687499992</v>
      </c>
      <c r="K55" s="79">
        <f t="shared" si="15"/>
        <v>4511.6871179687487</v>
      </c>
      <c r="L55" s="79">
        <f t="shared" si="15"/>
        <v>4624.4792959179667</v>
      </c>
      <c r="M55" s="76"/>
    </row>
    <row r="56" spans="1:13" s="68" customFormat="1" ht="13.5" thickBot="1" x14ac:dyDescent="0.25">
      <c r="A56" s="74">
        <v>58</v>
      </c>
      <c r="B56" s="75" t="s">
        <v>292</v>
      </c>
      <c r="C56" s="76">
        <f t="shared" ref="C56:L56" si="16">SUM(C57:C58)</f>
        <v>80267.490000000005</v>
      </c>
      <c r="D56" s="76">
        <f t="shared" si="16"/>
        <v>99147.05</v>
      </c>
      <c r="E56" s="76">
        <f t="shared" si="16"/>
        <v>90583.25</v>
      </c>
      <c r="F56" s="76">
        <f t="shared" si="16"/>
        <v>92300</v>
      </c>
      <c r="G56" s="76">
        <f t="shared" si="16"/>
        <v>146358.37</v>
      </c>
      <c r="H56" s="76">
        <f t="shared" si="16"/>
        <v>65873.149999999994</v>
      </c>
      <c r="I56" s="76">
        <f t="shared" si="16"/>
        <v>67519.978749999995</v>
      </c>
      <c r="J56" s="76">
        <f t="shared" si="16"/>
        <v>69207.978218749995</v>
      </c>
      <c r="K56" s="76">
        <f t="shared" si="16"/>
        <v>70938.177674218736</v>
      </c>
      <c r="L56" s="76">
        <f t="shared" si="16"/>
        <v>72711.632116074194</v>
      </c>
      <c r="M56" s="76"/>
    </row>
    <row r="57" spans="1:13" s="68" customFormat="1" ht="13.5" thickBot="1" x14ac:dyDescent="0.25">
      <c r="A57" s="77" t="s">
        <v>293</v>
      </c>
      <c r="B57" s="78" t="s">
        <v>294</v>
      </c>
      <c r="C57" s="83">
        <v>35026.550000000003</v>
      </c>
      <c r="D57" s="83">
        <v>99147.05</v>
      </c>
      <c r="E57" s="83">
        <v>90583.25</v>
      </c>
      <c r="F57" s="83">
        <v>92300</v>
      </c>
      <c r="G57" s="79">
        <v>146358.37</v>
      </c>
      <c r="H57" s="79">
        <v>65873.149999999994</v>
      </c>
      <c r="I57" s="79">
        <f t="shared" ref="I57:L58" si="17">H57*1.025</f>
        <v>67519.978749999995</v>
      </c>
      <c r="J57" s="79">
        <f t="shared" si="17"/>
        <v>69207.978218749995</v>
      </c>
      <c r="K57" s="79">
        <f t="shared" si="17"/>
        <v>70938.177674218736</v>
      </c>
      <c r="L57" s="79">
        <f t="shared" si="17"/>
        <v>72711.632116074194</v>
      </c>
      <c r="M57" s="79"/>
    </row>
    <row r="58" spans="1:13" s="68" customFormat="1" ht="13.5" thickBot="1" x14ac:dyDescent="0.25">
      <c r="A58" s="77" t="s">
        <v>295</v>
      </c>
      <c r="B58" s="78" t="s">
        <v>296</v>
      </c>
      <c r="C58" s="83">
        <v>45240.94</v>
      </c>
      <c r="D58" s="83">
        <v>0</v>
      </c>
      <c r="E58" s="83">
        <v>0</v>
      </c>
      <c r="F58" s="83">
        <v>0</v>
      </c>
      <c r="G58" s="79">
        <v>0</v>
      </c>
      <c r="H58" s="79">
        <v>0</v>
      </c>
      <c r="I58" s="79">
        <f t="shared" si="17"/>
        <v>0</v>
      </c>
      <c r="J58" s="79">
        <f t="shared" si="17"/>
        <v>0</v>
      </c>
      <c r="K58" s="79">
        <f t="shared" si="17"/>
        <v>0</v>
      </c>
      <c r="L58" s="79">
        <f t="shared" si="17"/>
        <v>0</v>
      </c>
      <c r="M58" s="79"/>
    </row>
    <row r="59" spans="1:13" s="68" customFormat="1" ht="13.5" thickBot="1" x14ac:dyDescent="0.25">
      <c r="A59" s="144" t="s">
        <v>297</v>
      </c>
      <c r="B59" s="144"/>
      <c r="C59" s="88">
        <f t="shared" ref="C59:L59" si="18">C8-C22</f>
        <v>473399.78999999957</v>
      </c>
      <c r="D59" s="88">
        <f t="shared" si="18"/>
        <v>559673.52</v>
      </c>
      <c r="E59" s="88">
        <f t="shared" si="18"/>
        <v>-886802.2799999998</v>
      </c>
      <c r="F59" s="88">
        <f t="shared" si="18"/>
        <v>2274741.5400000005</v>
      </c>
      <c r="G59" s="88">
        <f t="shared" si="18"/>
        <v>2145525.350000001</v>
      </c>
      <c r="H59" s="88">
        <f t="shared" si="18"/>
        <v>3007338.56</v>
      </c>
      <c r="I59" s="88">
        <f t="shared" si="18"/>
        <v>3082522.0240000007</v>
      </c>
      <c r="J59" s="88">
        <f t="shared" si="18"/>
        <v>3159585.0745999985</v>
      </c>
      <c r="K59" s="88">
        <f t="shared" si="18"/>
        <v>3238574.701464999</v>
      </c>
      <c r="L59" s="88">
        <f t="shared" si="18"/>
        <v>3319539.069001623</v>
      </c>
      <c r="M59" s="88"/>
    </row>
    <row r="60" spans="1:13" s="68" customFormat="1" ht="13.5" thickBot="1" x14ac:dyDescent="0.25">
      <c r="A60" s="153" t="s">
        <v>298</v>
      </c>
      <c r="B60" s="153"/>
      <c r="C60" s="73">
        <f t="shared" ref="C60:D60" si="19">SUM(C61:C62)</f>
        <v>5422385.79</v>
      </c>
      <c r="D60" s="73">
        <f t="shared" si="19"/>
        <v>5594463.9899999993</v>
      </c>
      <c r="E60" s="73">
        <f t="shared" ref="E60:L60" si="20">SUM(E61:E62)</f>
        <v>4378974.03</v>
      </c>
      <c r="F60" s="73">
        <f t="shared" si="20"/>
        <v>5744722.8999999994</v>
      </c>
      <c r="G60" s="73">
        <f t="shared" si="20"/>
        <v>8573457.1300000008</v>
      </c>
      <c r="H60" s="73">
        <f>SUM(H61:H62)</f>
        <v>5537922.3700000001</v>
      </c>
      <c r="I60" s="73">
        <f t="shared" si="20"/>
        <v>5676370.429250001</v>
      </c>
      <c r="J60" s="73">
        <f t="shared" si="20"/>
        <v>5818279.6899812482</v>
      </c>
      <c r="K60" s="73">
        <f t="shared" si="20"/>
        <v>5963736.6822307799</v>
      </c>
      <c r="L60" s="73">
        <f t="shared" si="20"/>
        <v>6112830.0992865488</v>
      </c>
      <c r="M60" s="73"/>
    </row>
    <row r="61" spans="1:13" s="68" customFormat="1" ht="13.5" thickBot="1" x14ac:dyDescent="0.25">
      <c r="A61" s="74">
        <v>24</v>
      </c>
      <c r="B61" s="75" t="s">
        <v>299</v>
      </c>
      <c r="C61" s="76">
        <v>5457.14</v>
      </c>
      <c r="D61" s="76">
        <v>15707.89</v>
      </c>
      <c r="E61" s="76">
        <v>12224</v>
      </c>
      <c r="F61" s="76">
        <v>0</v>
      </c>
      <c r="G61" s="76">
        <v>4817.3900000000003</v>
      </c>
      <c r="H61" s="76">
        <v>6039.42</v>
      </c>
      <c r="I61" s="76">
        <f>H61*1.025</f>
        <v>6190.4054999999998</v>
      </c>
      <c r="J61" s="76">
        <f>I61*1.025</f>
        <v>6345.1656374999993</v>
      </c>
      <c r="K61" s="76">
        <f>J61*1.025</f>
        <v>6503.7947784374992</v>
      </c>
      <c r="L61" s="76">
        <f>K61*1.025</f>
        <v>6666.3896478984361</v>
      </c>
      <c r="M61" s="76"/>
    </row>
    <row r="62" spans="1:13" s="68" customFormat="1" ht="13.5" thickBot="1" x14ac:dyDescent="0.25">
      <c r="A62" s="74">
        <v>28</v>
      </c>
      <c r="B62" s="75" t="s">
        <v>300</v>
      </c>
      <c r="C62" s="76">
        <f t="shared" ref="C62:L62" si="21">SUM(C63:C69)</f>
        <v>5416928.6500000004</v>
      </c>
      <c r="D62" s="76">
        <f t="shared" si="21"/>
        <v>5578756.0999999996</v>
      </c>
      <c r="E62" s="76">
        <f t="shared" si="21"/>
        <v>4366750.03</v>
      </c>
      <c r="F62" s="76">
        <f t="shared" si="21"/>
        <v>5744722.8999999994</v>
      </c>
      <c r="G62" s="76">
        <f t="shared" si="21"/>
        <v>8568639.7400000002</v>
      </c>
      <c r="H62" s="76">
        <f t="shared" si="21"/>
        <v>5531882.9500000002</v>
      </c>
      <c r="I62" s="76">
        <f t="shared" si="21"/>
        <v>5670180.0237500006</v>
      </c>
      <c r="J62" s="76">
        <f t="shared" si="21"/>
        <v>5811934.5243437486</v>
      </c>
      <c r="K62" s="76">
        <f t="shared" si="21"/>
        <v>5957232.8874523425</v>
      </c>
      <c r="L62" s="76">
        <f t="shared" si="21"/>
        <v>6106163.7096386505</v>
      </c>
      <c r="M62" s="76"/>
    </row>
    <row r="63" spans="1:13" ht="13.5" thickBot="1" x14ac:dyDescent="0.25">
      <c r="A63" s="77" t="s">
        <v>301</v>
      </c>
      <c r="B63" s="78" t="s">
        <v>302</v>
      </c>
      <c r="C63" s="79">
        <v>620520.91</v>
      </c>
      <c r="D63" s="79">
        <v>338486.76</v>
      </c>
      <c r="E63" s="79">
        <v>152998.39999999999</v>
      </c>
      <c r="F63" s="79">
        <v>308870.11</v>
      </c>
      <c r="G63" s="79">
        <v>398359.3</v>
      </c>
      <c r="H63" s="79">
        <v>1942393.08</v>
      </c>
      <c r="I63" s="79">
        <f t="shared" ref="I63:L69" si="22">H63*1.025</f>
        <v>1990952.9069999999</v>
      </c>
      <c r="J63" s="79">
        <f t="shared" si="22"/>
        <v>2040726.7296749996</v>
      </c>
      <c r="K63" s="79">
        <f t="shared" si="22"/>
        <v>2091744.8979168744</v>
      </c>
      <c r="L63" s="79">
        <f t="shared" si="22"/>
        <v>2144038.5203647963</v>
      </c>
      <c r="M63" s="79"/>
    </row>
    <row r="64" spans="1:13" ht="13.5" thickBot="1" x14ac:dyDescent="0.25">
      <c r="A64" s="77" t="s">
        <v>303</v>
      </c>
      <c r="B64" s="78" t="s">
        <v>304</v>
      </c>
      <c r="C64" s="79">
        <v>15000</v>
      </c>
      <c r="D64" s="79">
        <v>20000</v>
      </c>
      <c r="E64" s="79">
        <v>0</v>
      </c>
      <c r="F64" s="79">
        <v>46867.68</v>
      </c>
      <c r="G64" s="79">
        <v>1641023.46</v>
      </c>
      <c r="H64" s="79">
        <v>27933.81</v>
      </c>
      <c r="I64" s="79">
        <f t="shared" si="22"/>
        <v>28632.15525</v>
      </c>
      <c r="J64" s="79">
        <f t="shared" si="22"/>
        <v>29347.959131249998</v>
      </c>
      <c r="K64" s="79">
        <f t="shared" si="22"/>
        <v>30081.658109531247</v>
      </c>
      <c r="L64" s="79">
        <f t="shared" si="22"/>
        <v>30833.699562269525</v>
      </c>
      <c r="M64" s="79"/>
    </row>
    <row r="65" spans="1:13" ht="13.5" thickBot="1" x14ac:dyDescent="0.25">
      <c r="A65" s="77" t="s">
        <v>305</v>
      </c>
      <c r="B65" s="78" t="s">
        <v>306</v>
      </c>
      <c r="C65" s="79">
        <v>0</v>
      </c>
      <c r="D65" s="79">
        <v>80905</v>
      </c>
      <c r="E65" s="79">
        <v>0</v>
      </c>
      <c r="F65" s="79">
        <v>0</v>
      </c>
      <c r="G65" s="79">
        <v>0</v>
      </c>
      <c r="H65" s="79">
        <v>0</v>
      </c>
      <c r="I65" s="79">
        <f t="shared" si="22"/>
        <v>0</v>
      </c>
      <c r="J65" s="79">
        <f t="shared" si="22"/>
        <v>0</v>
      </c>
      <c r="K65" s="79">
        <f t="shared" si="22"/>
        <v>0</v>
      </c>
      <c r="L65" s="79">
        <f t="shared" si="22"/>
        <v>0</v>
      </c>
      <c r="M65" s="79"/>
    </row>
    <row r="66" spans="1:13" ht="13.5" thickBot="1" x14ac:dyDescent="0.25">
      <c r="A66" s="77" t="s">
        <v>307</v>
      </c>
      <c r="B66" s="78" t="s">
        <v>308</v>
      </c>
      <c r="C66" s="79">
        <v>2139266.91</v>
      </c>
      <c r="D66" s="79">
        <v>2636329.34</v>
      </c>
      <c r="E66" s="79">
        <v>0</v>
      </c>
      <c r="F66" s="79">
        <v>2520998.0299999998</v>
      </c>
      <c r="G66" s="79">
        <v>3379889.12</v>
      </c>
      <c r="H66" s="79">
        <v>2534303.84</v>
      </c>
      <c r="I66" s="79">
        <f t="shared" si="22"/>
        <v>2597661.4359999998</v>
      </c>
      <c r="J66" s="79">
        <f t="shared" si="22"/>
        <v>2662602.9718999993</v>
      </c>
      <c r="K66" s="79">
        <f t="shared" si="22"/>
        <v>2729168.0461974991</v>
      </c>
      <c r="L66" s="79">
        <f t="shared" si="22"/>
        <v>2797397.2473524362</v>
      </c>
      <c r="M66" s="79"/>
    </row>
    <row r="67" spans="1:13" ht="13.5" thickBot="1" x14ac:dyDescent="0.25">
      <c r="A67" s="77" t="s">
        <v>309</v>
      </c>
      <c r="B67" s="78" t="s">
        <v>310</v>
      </c>
      <c r="C67" s="79">
        <v>2001206.12</v>
      </c>
      <c r="D67" s="79">
        <v>2110727.96</v>
      </c>
      <c r="E67" s="79">
        <v>2147985.4900000002</v>
      </c>
      <c r="F67" s="79">
        <v>2518988.02</v>
      </c>
      <c r="G67" s="79">
        <v>2336437.3000000003</v>
      </c>
      <c r="H67" s="79">
        <v>203758.37</v>
      </c>
      <c r="I67" s="79">
        <f t="shared" si="22"/>
        <v>208852.32924999998</v>
      </c>
      <c r="J67" s="79">
        <f t="shared" si="22"/>
        <v>214073.63748124996</v>
      </c>
      <c r="K67" s="79">
        <f t="shared" si="22"/>
        <v>219425.47841828119</v>
      </c>
      <c r="L67" s="79">
        <f t="shared" si="22"/>
        <v>224911.11537873821</v>
      </c>
      <c r="M67" s="79"/>
    </row>
    <row r="68" spans="1:13" ht="13.5" thickBot="1" x14ac:dyDescent="0.25">
      <c r="A68" s="77" t="s">
        <v>311</v>
      </c>
      <c r="B68" s="78" t="s">
        <v>312</v>
      </c>
      <c r="C68" s="79">
        <v>0</v>
      </c>
      <c r="D68" s="79">
        <v>0</v>
      </c>
      <c r="E68" s="79">
        <v>1927434.9</v>
      </c>
      <c r="F68" s="79">
        <v>0</v>
      </c>
      <c r="G68" s="79">
        <v>0</v>
      </c>
      <c r="H68" s="79">
        <v>0</v>
      </c>
      <c r="I68" s="79">
        <f t="shared" si="22"/>
        <v>0</v>
      </c>
      <c r="J68" s="79">
        <f t="shared" si="22"/>
        <v>0</v>
      </c>
      <c r="K68" s="79">
        <f t="shared" si="22"/>
        <v>0</v>
      </c>
      <c r="L68" s="79">
        <f t="shared" si="22"/>
        <v>0</v>
      </c>
      <c r="M68" s="79"/>
    </row>
    <row r="69" spans="1:13" ht="13.5" thickBot="1" x14ac:dyDescent="0.25">
      <c r="A69" s="77" t="s">
        <v>313</v>
      </c>
      <c r="B69" s="78" t="s">
        <v>314</v>
      </c>
      <c r="C69" s="79">
        <v>640934.71</v>
      </c>
      <c r="D69" s="79">
        <v>392307.04000000004</v>
      </c>
      <c r="E69" s="79">
        <v>138331.24</v>
      </c>
      <c r="F69" s="79">
        <v>348999.06</v>
      </c>
      <c r="G69" s="79">
        <v>812930.56000000006</v>
      </c>
      <c r="H69" s="79">
        <v>823493.85</v>
      </c>
      <c r="I69" s="79">
        <f t="shared" si="22"/>
        <v>844081.19624999992</v>
      </c>
      <c r="J69" s="79">
        <f t="shared" si="22"/>
        <v>865183.22615624988</v>
      </c>
      <c r="K69" s="79">
        <f t="shared" si="22"/>
        <v>886812.80681015609</v>
      </c>
      <c r="L69" s="79">
        <f t="shared" si="22"/>
        <v>908983.12698040996</v>
      </c>
      <c r="M69" s="79"/>
    </row>
    <row r="70" spans="1:13" s="68" customFormat="1" ht="13.5" thickBot="1" x14ac:dyDescent="0.25">
      <c r="A70" s="153" t="s">
        <v>315</v>
      </c>
      <c r="B70" s="153"/>
      <c r="C70" s="73">
        <f>SUM(C71:C71,C88,C99,C103,C107,C110)</f>
        <v>7545231.1799999997</v>
      </c>
      <c r="D70" s="73">
        <f t="shared" ref="D70:L70" si="23">SUM(D71:D71,D88,D99,D103,D107,D110)</f>
        <v>5472523.0800000001</v>
      </c>
      <c r="E70" s="73">
        <f t="shared" si="23"/>
        <v>6182571.2700000005</v>
      </c>
      <c r="F70" s="73">
        <f t="shared" si="23"/>
        <v>5654586.3000000017</v>
      </c>
      <c r="G70" s="73">
        <f t="shared" si="23"/>
        <v>10021532.550000001</v>
      </c>
      <c r="H70" s="73">
        <f t="shared" si="23"/>
        <v>10474251.460000001</v>
      </c>
      <c r="I70" s="73">
        <f t="shared" si="23"/>
        <v>10736107.746499998</v>
      </c>
      <c r="J70" s="73">
        <f t="shared" si="23"/>
        <v>11004510.440162495</v>
      </c>
      <c r="K70" s="73">
        <f t="shared" si="23"/>
        <v>11279623.201166557</v>
      </c>
      <c r="L70" s="73">
        <f t="shared" si="23"/>
        <v>11561613.781195721</v>
      </c>
      <c r="M70" s="73"/>
    </row>
    <row r="71" spans="1:13" s="68" customFormat="1" ht="13.5" thickBot="1" x14ac:dyDescent="0.25">
      <c r="A71" s="74">
        <v>71</v>
      </c>
      <c r="B71" s="75" t="s">
        <v>316</v>
      </c>
      <c r="C71" s="76">
        <f t="shared" ref="C71:L71" si="24">SUM(C72:C87)</f>
        <v>1438579.9099999997</v>
      </c>
      <c r="D71" s="76">
        <f t="shared" si="24"/>
        <v>1812384.47</v>
      </c>
      <c r="E71" s="76">
        <f t="shared" si="24"/>
        <v>1900239.18</v>
      </c>
      <c r="F71" s="76">
        <f t="shared" si="24"/>
        <v>2251496.7399999998</v>
      </c>
      <c r="G71" s="76">
        <f t="shared" si="24"/>
        <v>2366349.7400000002</v>
      </c>
      <c r="H71" s="76">
        <f t="shared" si="24"/>
        <v>2720354.35</v>
      </c>
      <c r="I71" s="76">
        <f t="shared" si="24"/>
        <v>2788363.2087500002</v>
      </c>
      <c r="J71" s="76">
        <f t="shared" si="24"/>
        <v>2858072.2889687493</v>
      </c>
      <c r="K71" s="76">
        <f t="shared" si="24"/>
        <v>2929524.0961929676</v>
      </c>
      <c r="L71" s="76">
        <f t="shared" si="24"/>
        <v>3002762.1985977911</v>
      </c>
      <c r="M71" s="76"/>
    </row>
    <row r="72" spans="1:13" ht="13.5" thickBot="1" x14ac:dyDescent="0.25">
      <c r="A72" s="77" t="s">
        <v>317</v>
      </c>
      <c r="B72" s="78" t="s">
        <v>318</v>
      </c>
      <c r="C72" s="83">
        <v>361479.16000000003</v>
      </c>
      <c r="D72" s="83">
        <v>165026</v>
      </c>
      <c r="E72" s="83">
        <v>189447.72</v>
      </c>
      <c r="F72" s="83">
        <v>480138.16</v>
      </c>
      <c r="G72" s="79">
        <v>569512.49</v>
      </c>
      <c r="H72" s="79">
        <v>585648.36</v>
      </c>
      <c r="I72" s="79">
        <f t="shared" ref="I72:L87" si="25">H72*1.025</f>
        <v>600289.5689999999</v>
      </c>
      <c r="J72" s="79">
        <f t="shared" si="25"/>
        <v>615296.80822499981</v>
      </c>
      <c r="K72" s="79">
        <f t="shared" si="25"/>
        <v>630679.2284306247</v>
      </c>
      <c r="L72" s="79">
        <f t="shared" si="25"/>
        <v>646446.20914139028</v>
      </c>
      <c r="M72" s="79"/>
    </row>
    <row r="73" spans="1:13" ht="13.5" thickBot="1" x14ac:dyDescent="0.25">
      <c r="A73" s="77" t="s">
        <v>319</v>
      </c>
      <c r="B73" s="78" t="s">
        <v>320</v>
      </c>
      <c r="C73" s="83">
        <v>434426.06</v>
      </c>
      <c r="D73" s="83">
        <v>501260.94</v>
      </c>
      <c r="E73" s="83">
        <v>464760.83</v>
      </c>
      <c r="F73" s="83">
        <v>452097.01</v>
      </c>
      <c r="G73" s="79">
        <v>387671.79</v>
      </c>
      <c r="H73" s="79">
        <v>380148.12</v>
      </c>
      <c r="I73" s="79">
        <f t="shared" si="25"/>
        <v>389651.82299999997</v>
      </c>
      <c r="J73" s="79">
        <f t="shared" si="25"/>
        <v>399393.11857499991</v>
      </c>
      <c r="K73" s="79">
        <f t="shared" si="25"/>
        <v>409377.94653937488</v>
      </c>
      <c r="L73" s="79">
        <f t="shared" si="25"/>
        <v>419612.39520285925</v>
      </c>
      <c r="M73" s="79"/>
    </row>
    <row r="74" spans="1:13" ht="13.5" thickBot="1" x14ac:dyDescent="0.25">
      <c r="A74" s="77" t="s">
        <v>321</v>
      </c>
      <c r="B74" s="78" t="s">
        <v>236</v>
      </c>
      <c r="C74" s="83">
        <v>88725.11</v>
      </c>
      <c r="D74" s="83">
        <v>100163.40000000001</v>
      </c>
      <c r="E74" s="83">
        <v>103830.38</v>
      </c>
      <c r="F74" s="83">
        <v>115872.34</v>
      </c>
      <c r="G74" s="79">
        <v>121305.02</v>
      </c>
      <c r="H74" s="79">
        <v>137881.9</v>
      </c>
      <c r="I74" s="79">
        <f t="shared" si="25"/>
        <v>141328.94749999998</v>
      </c>
      <c r="J74" s="79">
        <f t="shared" si="25"/>
        <v>144862.17118749997</v>
      </c>
      <c r="K74" s="79">
        <f t="shared" si="25"/>
        <v>148483.72546718747</v>
      </c>
      <c r="L74" s="79">
        <f t="shared" si="25"/>
        <v>152195.81860386714</v>
      </c>
      <c r="M74" s="79"/>
    </row>
    <row r="75" spans="1:13" ht="13.5" thickBot="1" x14ac:dyDescent="0.25">
      <c r="A75" s="77" t="s">
        <v>322</v>
      </c>
      <c r="B75" s="78" t="s">
        <v>238</v>
      </c>
      <c r="C75" s="83">
        <v>49852.840000000004</v>
      </c>
      <c r="D75" s="83">
        <v>48387.57</v>
      </c>
      <c r="E75" s="83">
        <v>54816.6</v>
      </c>
      <c r="F75" s="83">
        <v>60038.66</v>
      </c>
      <c r="G75" s="79">
        <v>65447.62</v>
      </c>
      <c r="H75" s="79">
        <v>78557.91</v>
      </c>
      <c r="I75" s="79">
        <f t="shared" si="25"/>
        <v>80521.857749999996</v>
      </c>
      <c r="J75" s="79">
        <f t="shared" si="25"/>
        <v>82534.904193749986</v>
      </c>
      <c r="K75" s="79">
        <f t="shared" si="25"/>
        <v>84598.276798593724</v>
      </c>
      <c r="L75" s="79">
        <f t="shared" si="25"/>
        <v>86713.233718558564</v>
      </c>
      <c r="M75" s="79"/>
    </row>
    <row r="76" spans="1:13" ht="13.5" thickBot="1" x14ac:dyDescent="0.25">
      <c r="A76" s="77" t="s">
        <v>323</v>
      </c>
      <c r="B76" s="78" t="s">
        <v>324</v>
      </c>
      <c r="C76" s="83">
        <v>3459.84</v>
      </c>
      <c r="D76" s="83">
        <v>2678.56</v>
      </c>
      <c r="E76" s="83">
        <v>2550</v>
      </c>
      <c r="F76" s="83">
        <v>2610</v>
      </c>
      <c r="G76" s="79">
        <v>2618.2600000000002</v>
      </c>
      <c r="H76" s="79">
        <v>2638.21</v>
      </c>
      <c r="I76" s="79">
        <f t="shared" si="25"/>
        <v>2704.16525</v>
      </c>
      <c r="J76" s="79">
        <f t="shared" si="25"/>
        <v>2771.7693812499997</v>
      </c>
      <c r="K76" s="79">
        <f t="shared" si="25"/>
        <v>2841.0636157812496</v>
      </c>
      <c r="L76" s="79">
        <f t="shared" si="25"/>
        <v>2912.0902061757806</v>
      </c>
      <c r="M76" s="79"/>
    </row>
    <row r="77" spans="1:13" ht="13.5" thickBot="1" x14ac:dyDescent="0.25">
      <c r="A77" s="77" t="s">
        <v>325</v>
      </c>
      <c r="B77" s="78" t="s">
        <v>326</v>
      </c>
      <c r="C77" s="83">
        <v>13771.800000000001</v>
      </c>
      <c r="D77" s="83">
        <v>18069.510000000002</v>
      </c>
      <c r="E77" s="83">
        <v>12955.56</v>
      </c>
      <c r="F77" s="83">
        <v>15960.48</v>
      </c>
      <c r="G77" s="79">
        <v>10869.96</v>
      </c>
      <c r="H77" s="79">
        <v>11364.37</v>
      </c>
      <c r="I77" s="79">
        <f t="shared" si="25"/>
        <v>11648.47925</v>
      </c>
      <c r="J77" s="79">
        <f t="shared" si="25"/>
        <v>11939.691231249999</v>
      </c>
      <c r="K77" s="79">
        <f t="shared" si="25"/>
        <v>12238.183512031248</v>
      </c>
      <c r="L77" s="79">
        <f t="shared" si="25"/>
        <v>12544.138099832027</v>
      </c>
      <c r="M77" s="79"/>
    </row>
    <row r="78" spans="1:13" ht="13.5" thickBot="1" x14ac:dyDescent="0.25">
      <c r="A78" s="77" t="s">
        <v>327</v>
      </c>
      <c r="B78" s="78" t="s">
        <v>328</v>
      </c>
      <c r="C78" s="83">
        <v>1167.32</v>
      </c>
      <c r="D78" s="83">
        <v>4623.42</v>
      </c>
      <c r="E78" s="83">
        <v>4182.12</v>
      </c>
      <c r="F78" s="83">
        <v>854.75</v>
      </c>
      <c r="G78" s="79">
        <v>4487.22</v>
      </c>
      <c r="H78" s="79">
        <v>4600</v>
      </c>
      <c r="I78" s="79">
        <f t="shared" si="25"/>
        <v>4715</v>
      </c>
      <c r="J78" s="79">
        <f t="shared" si="25"/>
        <v>4832.875</v>
      </c>
      <c r="K78" s="79">
        <f t="shared" si="25"/>
        <v>4953.6968749999996</v>
      </c>
      <c r="L78" s="79">
        <f t="shared" si="25"/>
        <v>5077.5392968749993</v>
      </c>
      <c r="M78" s="79"/>
    </row>
    <row r="79" spans="1:13" ht="13.5" thickBot="1" x14ac:dyDescent="0.25">
      <c r="A79" s="77" t="s">
        <v>329</v>
      </c>
      <c r="B79" s="78" t="s">
        <v>248</v>
      </c>
      <c r="C79" s="83">
        <v>279239.95</v>
      </c>
      <c r="D79" s="83">
        <v>548122.5</v>
      </c>
      <c r="E79" s="83">
        <v>619360.86</v>
      </c>
      <c r="F79" s="83">
        <v>483110.47</v>
      </c>
      <c r="G79" s="79">
        <v>487280.9</v>
      </c>
      <c r="H79" s="79">
        <v>599657.36</v>
      </c>
      <c r="I79" s="79">
        <f t="shared" si="25"/>
        <v>614648.79399999988</v>
      </c>
      <c r="J79" s="79">
        <f t="shared" si="25"/>
        <v>630015.01384999987</v>
      </c>
      <c r="K79" s="79">
        <f t="shared" si="25"/>
        <v>645765.38919624977</v>
      </c>
      <c r="L79" s="79">
        <f t="shared" si="25"/>
        <v>661909.52392615599</v>
      </c>
      <c r="M79" s="79"/>
    </row>
    <row r="80" spans="1:13" ht="13.5" thickBot="1" x14ac:dyDescent="0.25">
      <c r="A80" s="77" t="s">
        <v>330</v>
      </c>
      <c r="B80" s="78" t="s">
        <v>250</v>
      </c>
      <c r="C80" s="83">
        <v>1259.7</v>
      </c>
      <c r="D80" s="83">
        <v>2191.4299999999998</v>
      </c>
      <c r="E80" s="83">
        <v>5280.63</v>
      </c>
      <c r="F80" s="83">
        <v>5582.49</v>
      </c>
      <c r="G80" s="79">
        <v>2350.54</v>
      </c>
      <c r="H80" s="79">
        <v>819.37</v>
      </c>
      <c r="I80" s="79">
        <f t="shared" si="25"/>
        <v>839.85424999999998</v>
      </c>
      <c r="J80" s="79">
        <f t="shared" si="25"/>
        <v>860.85060624999994</v>
      </c>
      <c r="K80" s="79">
        <f t="shared" si="25"/>
        <v>882.37187140624985</v>
      </c>
      <c r="L80" s="79">
        <f t="shared" si="25"/>
        <v>904.43116819140607</v>
      </c>
      <c r="M80" s="79"/>
    </row>
    <row r="81" spans="1:13" ht="13.5" thickBot="1" x14ac:dyDescent="0.25">
      <c r="A81" s="77" t="s">
        <v>331</v>
      </c>
      <c r="B81" s="78" t="s">
        <v>252</v>
      </c>
      <c r="C81" s="83">
        <v>130150.71</v>
      </c>
      <c r="D81" s="83">
        <v>138893.71</v>
      </c>
      <c r="E81" s="83">
        <v>149142.37</v>
      </c>
      <c r="F81" s="83">
        <v>175510.08</v>
      </c>
      <c r="G81" s="79">
        <v>169363.38</v>
      </c>
      <c r="H81" s="79">
        <v>185088.18</v>
      </c>
      <c r="I81" s="79">
        <f t="shared" si="25"/>
        <v>189715.38449999999</v>
      </c>
      <c r="J81" s="79">
        <f t="shared" si="25"/>
        <v>194458.26911249995</v>
      </c>
      <c r="K81" s="79">
        <f t="shared" si="25"/>
        <v>199319.72584031243</v>
      </c>
      <c r="L81" s="79">
        <f t="shared" si="25"/>
        <v>204302.71898632022</v>
      </c>
      <c r="M81" s="79"/>
    </row>
    <row r="82" spans="1:13" ht="13.5" thickBot="1" x14ac:dyDescent="0.25">
      <c r="A82" s="77" t="s">
        <v>332</v>
      </c>
      <c r="B82" s="78" t="s">
        <v>254</v>
      </c>
      <c r="C82" s="83">
        <v>58861.23</v>
      </c>
      <c r="D82" s="83">
        <v>72317.33</v>
      </c>
      <c r="E82" s="83">
        <v>70807.570000000007</v>
      </c>
      <c r="F82" s="83">
        <v>79286.44</v>
      </c>
      <c r="G82" s="79">
        <v>77716.14</v>
      </c>
      <c r="H82" s="79">
        <v>83279.48</v>
      </c>
      <c r="I82" s="79">
        <f t="shared" si="25"/>
        <v>85361.46699999999</v>
      </c>
      <c r="J82" s="79">
        <f t="shared" si="25"/>
        <v>87495.503674999985</v>
      </c>
      <c r="K82" s="79">
        <f t="shared" si="25"/>
        <v>89682.891266874984</v>
      </c>
      <c r="L82" s="79">
        <f t="shared" si="25"/>
        <v>91924.963548546846</v>
      </c>
      <c r="M82" s="79"/>
    </row>
    <row r="83" spans="1:13" ht="13.5" thickBot="1" x14ac:dyDescent="0.25">
      <c r="A83" s="77" t="s">
        <v>333</v>
      </c>
      <c r="B83" s="78" t="s">
        <v>334</v>
      </c>
      <c r="C83" s="83">
        <v>0</v>
      </c>
      <c r="D83" s="83">
        <v>0</v>
      </c>
      <c r="E83" s="83">
        <v>0</v>
      </c>
      <c r="F83" s="83">
        <v>0</v>
      </c>
      <c r="G83" s="79">
        <v>1765.8</v>
      </c>
      <c r="H83" s="79">
        <v>0</v>
      </c>
      <c r="I83" s="79">
        <f t="shared" si="25"/>
        <v>0</v>
      </c>
      <c r="J83" s="79">
        <f t="shared" si="25"/>
        <v>0</v>
      </c>
      <c r="K83" s="79">
        <f t="shared" si="25"/>
        <v>0</v>
      </c>
      <c r="L83" s="79">
        <f t="shared" si="25"/>
        <v>0</v>
      </c>
      <c r="M83" s="79"/>
    </row>
    <row r="84" spans="1:13" ht="13.5" thickBot="1" x14ac:dyDescent="0.25">
      <c r="A84" s="77" t="s">
        <v>335</v>
      </c>
      <c r="B84" s="78" t="s">
        <v>336</v>
      </c>
      <c r="C84" s="83">
        <v>0</v>
      </c>
      <c r="D84" s="83">
        <v>200000</v>
      </c>
      <c r="E84" s="83">
        <v>200000</v>
      </c>
      <c r="F84" s="83">
        <v>363476</v>
      </c>
      <c r="G84" s="79">
        <v>422260.64</v>
      </c>
      <c r="H84" s="79">
        <v>464831.38</v>
      </c>
      <c r="I84" s="79">
        <f t="shared" si="25"/>
        <v>476452.16449999996</v>
      </c>
      <c r="J84" s="79">
        <f t="shared" si="25"/>
        <v>488363.46861249988</v>
      </c>
      <c r="K84" s="79">
        <f t="shared" si="25"/>
        <v>500572.55532781233</v>
      </c>
      <c r="L84" s="79">
        <f t="shared" si="25"/>
        <v>513086.86921100761</v>
      </c>
      <c r="M84" s="79"/>
    </row>
    <row r="85" spans="1:13" ht="13.5" thickBot="1" x14ac:dyDescent="0.25">
      <c r="A85" s="77" t="s">
        <v>337</v>
      </c>
      <c r="B85" s="78" t="s">
        <v>338</v>
      </c>
      <c r="C85" s="83">
        <v>12355.29</v>
      </c>
      <c r="D85" s="83">
        <v>10650.1</v>
      </c>
      <c r="E85" s="83">
        <v>23104.54</v>
      </c>
      <c r="F85" s="83">
        <v>16959.86</v>
      </c>
      <c r="G85" s="79">
        <v>43699.98</v>
      </c>
      <c r="H85" s="79">
        <v>16265.27</v>
      </c>
      <c r="I85" s="79">
        <f t="shared" si="25"/>
        <v>16671.901749999997</v>
      </c>
      <c r="J85" s="79">
        <f t="shared" si="25"/>
        <v>17088.699293749996</v>
      </c>
      <c r="K85" s="79">
        <f t="shared" si="25"/>
        <v>17515.916776093745</v>
      </c>
      <c r="L85" s="79">
        <f t="shared" si="25"/>
        <v>17953.814695496087</v>
      </c>
      <c r="M85" s="79"/>
    </row>
    <row r="86" spans="1:13" ht="13.5" thickBot="1" x14ac:dyDescent="0.25">
      <c r="A86" s="77" t="s">
        <v>339</v>
      </c>
      <c r="B86" s="78" t="s">
        <v>340</v>
      </c>
      <c r="C86" s="83">
        <v>0</v>
      </c>
      <c r="D86" s="83">
        <v>0</v>
      </c>
      <c r="E86" s="83">
        <v>0</v>
      </c>
      <c r="F86" s="83">
        <v>0</v>
      </c>
      <c r="G86" s="79">
        <v>0</v>
      </c>
      <c r="H86" s="79">
        <v>53000</v>
      </c>
      <c r="I86" s="79">
        <f t="shared" si="25"/>
        <v>54324.999999999993</v>
      </c>
      <c r="J86" s="79">
        <f t="shared" si="25"/>
        <v>55683.124999999985</v>
      </c>
      <c r="K86" s="79">
        <f t="shared" si="25"/>
        <v>57075.203124999978</v>
      </c>
      <c r="L86" s="79">
        <f t="shared" si="25"/>
        <v>58502.083203124974</v>
      </c>
      <c r="M86" s="79"/>
    </row>
    <row r="87" spans="1:13" ht="13.5" thickBot="1" x14ac:dyDescent="0.25">
      <c r="A87" s="77" t="s">
        <v>341</v>
      </c>
      <c r="B87" s="78" t="s">
        <v>262</v>
      </c>
      <c r="C87" s="83">
        <v>3830.9</v>
      </c>
      <c r="D87" s="83">
        <v>0</v>
      </c>
      <c r="E87" s="83">
        <v>0</v>
      </c>
      <c r="F87" s="83">
        <v>0</v>
      </c>
      <c r="G87" s="79">
        <v>0</v>
      </c>
      <c r="H87" s="79">
        <v>116574.44</v>
      </c>
      <c r="I87" s="79">
        <f t="shared" si="25"/>
        <v>119488.80099999999</v>
      </c>
      <c r="J87" s="79">
        <f t="shared" si="25"/>
        <v>122476.02102499998</v>
      </c>
      <c r="K87" s="79">
        <f t="shared" si="25"/>
        <v>125537.92155062497</v>
      </c>
      <c r="L87" s="79">
        <f t="shared" si="25"/>
        <v>128676.36958939058</v>
      </c>
      <c r="M87" s="79"/>
    </row>
    <row r="88" spans="1:13" s="68" customFormat="1" ht="13.5" thickBot="1" x14ac:dyDescent="0.25">
      <c r="A88" s="74">
        <v>73</v>
      </c>
      <c r="B88" s="75" t="s">
        <v>342</v>
      </c>
      <c r="C88" s="76">
        <f t="shared" ref="C88:L88" si="26">SUM(C89:C98)</f>
        <v>2049403.7899999998</v>
      </c>
      <c r="D88" s="76">
        <f t="shared" si="26"/>
        <v>2441358.1400000006</v>
      </c>
      <c r="E88" s="76">
        <f t="shared" si="26"/>
        <v>2050128.3600000003</v>
      </c>
      <c r="F88" s="76">
        <f t="shared" si="26"/>
        <v>2144905.66</v>
      </c>
      <c r="G88" s="76">
        <f t="shared" si="26"/>
        <v>2342242.7900000005</v>
      </c>
      <c r="H88" s="76">
        <f t="shared" si="26"/>
        <v>1590313.67</v>
      </c>
      <c r="I88" s="76">
        <f t="shared" si="26"/>
        <v>1630071.5117499998</v>
      </c>
      <c r="J88" s="76">
        <f t="shared" si="26"/>
        <v>1670823.2995437495</v>
      </c>
      <c r="K88" s="76">
        <f t="shared" si="26"/>
        <v>1712593.8820323437</v>
      </c>
      <c r="L88" s="76">
        <f t="shared" si="26"/>
        <v>1755408.7290831518</v>
      </c>
      <c r="M88" s="76"/>
    </row>
    <row r="89" spans="1:13" s="68" customFormat="1" ht="13.5" thickBot="1" x14ac:dyDescent="0.25">
      <c r="A89" s="82" t="s">
        <v>343</v>
      </c>
      <c r="B89" s="87" t="s">
        <v>265</v>
      </c>
      <c r="C89" s="79">
        <v>861.18000000000006</v>
      </c>
      <c r="D89" s="79">
        <v>1335.21</v>
      </c>
      <c r="E89" s="79">
        <v>1584.6799999999998</v>
      </c>
      <c r="F89" s="83">
        <v>3349.95</v>
      </c>
      <c r="G89" s="79">
        <v>2628.5099999999998</v>
      </c>
      <c r="H89" s="79">
        <v>3984.32</v>
      </c>
      <c r="I89" s="79">
        <f>H89*1.025</f>
        <v>4083.9279999999999</v>
      </c>
      <c r="J89" s="79">
        <f>I89*1.025</f>
        <v>4186.0261999999993</v>
      </c>
      <c r="K89" s="79">
        <f>J89*1.025</f>
        <v>4290.6768549999988</v>
      </c>
      <c r="L89" s="79">
        <f>K89*1.025</f>
        <v>4397.9437763749984</v>
      </c>
      <c r="M89" s="79"/>
    </row>
    <row r="90" spans="1:13" s="68" customFormat="1" ht="13.5" thickBot="1" x14ac:dyDescent="0.25">
      <c r="A90" s="82" t="s">
        <v>344</v>
      </c>
      <c r="B90" s="87" t="s">
        <v>267</v>
      </c>
      <c r="C90" s="79">
        <v>156131.22999999998</v>
      </c>
      <c r="D90" s="79">
        <v>278377.98000000004</v>
      </c>
      <c r="E90" s="79">
        <v>296186.01000000007</v>
      </c>
      <c r="F90" s="83">
        <v>409998.52999999991</v>
      </c>
      <c r="G90" s="79">
        <v>403976.75</v>
      </c>
      <c r="H90" s="79">
        <v>240035.34</v>
      </c>
      <c r="I90" s="79">
        <f t="shared" ref="I90:L98" si="27">H90*1.025</f>
        <v>246036.22349999996</v>
      </c>
      <c r="J90" s="79">
        <f t="shared" si="27"/>
        <v>252187.12908749995</v>
      </c>
      <c r="K90" s="79">
        <f t="shared" si="27"/>
        <v>258491.80731468744</v>
      </c>
      <c r="L90" s="79">
        <f t="shared" si="27"/>
        <v>264954.10249755462</v>
      </c>
      <c r="M90" s="79"/>
    </row>
    <row r="91" spans="1:13" s="68" customFormat="1" ht="13.5" thickBot="1" x14ac:dyDescent="0.25">
      <c r="A91" s="82" t="s">
        <v>345</v>
      </c>
      <c r="B91" s="87" t="s">
        <v>269</v>
      </c>
      <c r="C91" s="79">
        <v>14441.84</v>
      </c>
      <c r="D91" s="79">
        <v>10221.67</v>
      </c>
      <c r="E91" s="79">
        <v>17114.05</v>
      </c>
      <c r="F91" s="83">
        <v>7213.23</v>
      </c>
      <c r="G91" s="79">
        <v>5552.86</v>
      </c>
      <c r="H91" s="79">
        <v>2163.63</v>
      </c>
      <c r="I91" s="79">
        <f t="shared" si="27"/>
        <v>2217.72075</v>
      </c>
      <c r="J91" s="79">
        <f t="shared" si="27"/>
        <v>2273.1637687499997</v>
      </c>
      <c r="K91" s="79">
        <f t="shared" si="27"/>
        <v>2329.9928629687497</v>
      </c>
      <c r="L91" s="79">
        <f t="shared" si="27"/>
        <v>2388.2426845429682</v>
      </c>
      <c r="M91" s="79"/>
    </row>
    <row r="92" spans="1:13" s="68" customFormat="1" ht="13.5" thickBot="1" x14ac:dyDescent="0.25">
      <c r="A92" s="82" t="s">
        <v>346</v>
      </c>
      <c r="B92" s="87" t="s">
        <v>347</v>
      </c>
      <c r="C92" s="79">
        <v>114530.64</v>
      </c>
      <c r="D92" s="79">
        <v>161404.34</v>
      </c>
      <c r="E92" s="79">
        <v>121757.70999999999</v>
      </c>
      <c r="F92" s="83">
        <v>137099.82</v>
      </c>
      <c r="G92" s="79">
        <v>174745.90000000002</v>
      </c>
      <c r="H92" s="79">
        <v>260852.99999999997</v>
      </c>
      <c r="I92" s="79">
        <f t="shared" si="27"/>
        <v>267374.32499999995</v>
      </c>
      <c r="J92" s="79">
        <f t="shared" si="27"/>
        <v>274058.68312499992</v>
      </c>
      <c r="K92" s="79">
        <f t="shared" si="27"/>
        <v>280910.15020312491</v>
      </c>
      <c r="L92" s="79">
        <f t="shared" si="27"/>
        <v>287932.90395820298</v>
      </c>
      <c r="M92" s="79"/>
    </row>
    <row r="93" spans="1:13" s="68" customFormat="1" ht="13.5" thickBot="1" x14ac:dyDescent="0.25">
      <c r="A93" s="82" t="s">
        <v>348</v>
      </c>
      <c r="B93" s="87" t="s">
        <v>273</v>
      </c>
      <c r="C93" s="79">
        <v>82856.899999999994</v>
      </c>
      <c r="D93" s="79">
        <v>20571.45</v>
      </c>
      <c r="E93" s="79">
        <v>44041.06</v>
      </c>
      <c r="F93" s="83">
        <v>73886.850000000006</v>
      </c>
      <c r="G93" s="79">
        <v>121197.84</v>
      </c>
      <c r="H93" s="79">
        <v>33864.400000000001</v>
      </c>
      <c r="I93" s="79">
        <f t="shared" si="27"/>
        <v>34711.01</v>
      </c>
      <c r="J93" s="79">
        <f t="shared" si="27"/>
        <v>35578.785250000001</v>
      </c>
      <c r="K93" s="79">
        <f t="shared" si="27"/>
        <v>36468.254881249995</v>
      </c>
      <c r="L93" s="79">
        <f t="shared" si="27"/>
        <v>37379.961253281239</v>
      </c>
      <c r="M93" s="79"/>
    </row>
    <row r="94" spans="1:13" s="68" customFormat="1" ht="26.25" thickBot="1" x14ac:dyDescent="0.25">
      <c r="A94" s="82" t="s">
        <v>349</v>
      </c>
      <c r="B94" s="87" t="s">
        <v>350</v>
      </c>
      <c r="C94" s="79">
        <v>187565.23</v>
      </c>
      <c r="D94" s="79">
        <v>340821.95</v>
      </c>
      <c r="E94" s="79">
        <v>351058.74</v>
      </c>
      <c r="F94" s="83">
        <v>495691.88</v>
      </c>
      <c r="G94" s="79">
        <v>230092.36000000002</v>
      </c>
      <c r="H94" s="79">
        <v>403512.29000000004</v>
      </c>
      <c r="I94" s="79">
        <f t="shared" si="27"/>
        <v>413600.09724999999</v>
      </c>
      <c r="J94" s="79">
        <f t="shared" si="27"/>
        <v>423940.09968124994</v>
      </c>
      <c r="K94" s="79">
        <f t="shared" si="27"/>
        <v>434538.60217328114</v>
      </c>
      <c r="L94" s="79">
        <f t="shared" si="27"/>
        <v>445402.06722761312</v>
      </c>
      <c r="M94" s="79"/>
    </row>
    <row r="95" spans="1:13" s="68" customFormat="1" ht="13.5" thickBot="1" x14ac:dyDescent="0.25">
      <c r="A95" s="82" t="s">
        <v>351</v>
      </c>
      <c r="B95" s="87" t="s">
        <v>277</v>
      </c>
      <c r="C95" s="79">
        <v>0</v>
      </c>
      <c r="D95" s="79">
        <v>6612</v>
      </c>
      <c r="E95" s="79">
        <v>0</v>
      </c>
      <c r="F95" s="83">
        <v>2996</v>
      </c>
      <c r="G95" s="79">
        <v>761.6</v>
      </c>
      <c r="H95" s="79">
        <v>0</v>
      </c>
      <c r="I95" s="79">
        <f t="shared" si="27"/>
        <v>0</v>
      </c>
      <c r="J95" s="79">
        <f t="shared" si="27"/>
        <v>0</v>
      </c>
      <c r="K95" s="79">
        <f t="shared" si="27"/>
        <v>0</v>
      </c>
      <c r="L95" s="79">
        <f t="shared" si="27"/>
        <v>0</v>
      </c>
      <c r="M95" s="79"/>
    </row>
    <row r="96" spans="1:13" ht="13.5" thickBot="1" x14ac:dyDescent="0.25">
      <c r="A96" s="82" t="s">
        <v>352</v>
      </c>
      <c r="B96" s="87" t="s">
        <v>353</v>
      </c>
      <c r="C96" s="79">
        <v>1491920.72</v>
      </c>
      <c r="D96" s="79">
        <v>1618173.2900000003</v>
      </c>
      <c r="E96" s="79">
        <v>1217256.2900000003</v>
      </c>
      <c r="F96" s="83">
        <v>1013009.43</v>
      </c>
      <c r="G96" s="79">
        <v>1402793.0000000002</v>
      </c>
      <c r="H96" s="79">
        <v>645714.99</v>
      </c>
      <c r="I96" s="79">
        <f t="shared" si="27"/>
        <v>661857.86474999995</v>
      </c>
      <c r="J96" s="79">
        <f t="shared" si="27"/>
        <v>678404.31136874994</v>
      </c>
      <c r="K96" s="79">
        <f t="shared" si="27"/>
        <v>695364.41915296868</v>
      </c>
      <c r="L96" s="79">
        <f t="shared" si="27"/>
        <v>712748.5296317928</v>
      </c>
      <c r="M96" s="79"/>
    </row>
    <row r="97" spans="1:13" ht="13.5" thickBot="1" x14ac:dyDescent="0.25">
      <c r="A97" s="82" t="s">
        <v>354</v>
      </c>
      <c r="B97" s="87" t="s">
        <v>281</v>
      </c>
      <c r="C97" s="83">
        <v>1096.05</v>
      </c>
      <c r="D97" s="83">
        <v>2390.25</v>
      </c>
      <c r="E97" s="83">
        <v>1129.82</v>
      </c>
      <c r="F97" s="83">
        <v>1659.97</v>
      </c>
      <c r="G97" s="79">
        <v>493.97</v>
      </c>
      <c r="H97" s="79">
        <v>185.7</v>
      </c>
      <c r="I97" s="79">
        <f t="shared" si="27"/>
        <v>190.34249999999997</v>
      </c>
      <c r="J97" s="79">
        <f t="shared" si="27"/>
        <v>195.10106249999995</v>
      </c>
      <c r="K97" s="79">
        <f t="shared" si="27"/>
        <v>199.97858906249994</v>
      </c>
      <c r="L97" s="79">
        <f t="shared" si="27"/>
        <v>204.97805378906241</v>
      </c>
      <c r="M97" s="79"/>
    </row>
    <row r="98" spans="1:13" ht="13.5" thickBot="1" x14ac:dyDescent="0.25">
      <c r="A98" s="82" t="s">
        <v>355</v>
      </c>
      <c r="B98" s="87" t="s">
        <v>356</v>
      </c>
      <c r="C98" s="83">
        <v>0</v>
      </c>
      <c r="D98" s="83">
        <v>1450</v>
      </c>
      <c r="E98" s="83">
        <v>0</v>
      </c>
      <c r="F98" s="83">
        <v>0</v>
      </c>
      <c r="G98" s="79">
        <v>0</v>
      </c>
      <c r="H98" s="79">
        <v>0</v>
      </c>
      <c r="I98" s="79">
        <f t="shared" si="27"/>
        <v>0</v>
      </c>
      <c r="J98" s="79">
        <f t="shared" si="27"/>
        <v>0</v>
      </c>
      <c r="K98" s="79">
        <f t="shared" si="27"/>
        <v>0</v>
      </c>
      <c r="L98" s="79">
        <f t="shared" si="27"/>
        <v>0</v>
      </c>
      <c r="M98" s="79"/>
    </row>
    <row r="99" spans="1:13" s="68" customFormat="1" ht="13.5" thickBot="1" x14ac:dyDescent="0.25">
      <c r="A99" s="74">
        <v>75</v>
      </c>
      <c r="B99" s="75" t="s">
        <v>357</v>
      </c>
      <c r="C99" s="89">
        <f t="shared" ref="C99:L99" si="28">SUM(C100:C102)</f>
        <v>2704477.1400000006</v>
      </c>
      <c r="D99" s="89">
        <f t="shared" si="28"/>
        <v>777937.27</v>
      </c>
      <c r="E99" s="89">
        <f t="shared" si="28"/>
        <v>1757413.02</v>
      </c>
      <c r="F99" s="89">
        <f t="shared" si="28"/>
        <v>978629.14999999991</v>
      </c>
      <c r="G99" s="89">
        <f t="shared" si="28"/>
        <v>4712558.4399999995</v>
      </c>
      <c r="H99" s="89">
        <f t="shared" si="28"/>
        <v>5699742.5499999998</v>
      </c>
      <c r="I99" s="89">
        <f t="shared" si="28"/>
        <v>5842236.1137499996</v>
      </c>
      <c r="J99" s="89">
        <f t="shared" si="28"/>
        <v>5988292.0165937478</v>
      </c>
      <c r="K99" s="89">
        <f t="shared" si="28"/>
        <v>6137999.3170085913</v>
      </c>
      <c r="L99" s="89">
        <f t="shared" si="28"/>
        <v>6291449.2999338051</v>
      </c>
      <c r="M99" s="76"/>
    </row>
    <row r="100" spans="1:13" ht="13.5" thickBot="1" x14ac:dyDescent="0.25">
      <c r="A100" s="82" t="s">
        <v>358</v>
      </c>
      <c r="B100" s="87" t="s">
        <v>359</v>
      </c>
      <c r="C100" s="83">
        <v>2579431.1700000004</v>
      </c>
      <c r="D100" s="83">
        <v>715280.30999999994</v>
      </c>
      <c r="E100" s="83">
        <v>1671484.62</v>
      </c>
      <c r="F100" s="83">
        <v>964441.17999999993</v>
      </c>
      <c r="G100" s="79">
        <v>4460217.43</v>
      </c>
      <c r="H100" s="79">
        <v>5695082.7999999998</v>
      </c>
      <c r="I100" s="79">
        <f t="shared" ref="I100:L102" si="29">H100*1.025</f>
        <v>5837459.8699999992</v>
      </c>
      <c r="J100" s="79">
        <f t="shared" si="29"/>
        <v>5983396.3667499982</v>
      </c>
      <c r="K100" s="79">
        <f t="shared" si="29"/>
        <v>6132981.2759187473</v>
      </c>
      <c r="L100" s="79">
        <f t="shared" si="29"/>
        <v>6286305.807816715</v>
      </c>
      <c r="M100" s="79"/>
    </row>
    <row r="101" spans="1:13" ht="26.25" thickBot="1" x14ac:dyDescent="0.25">
      <c r="A101" s="82" t="s">
        <v>360</v>
      </c>
      <c r="B101" s="87" t="s">
        <v>361</v>
      </c>
      <c r="C101" s="79">
        <v>125045.97</v>
      </c>
      <c r="D101" s="79">
        <v>5214.78</v>
      </c>
      <c r="E101" s="79">
        <v>0</v>
      </c>
      <c r="F101" s="79">
        <v>0</v>
      </c>
      <c r="G101" s="79">
        <v>131546.46</v>
      </c>
      <c r="H101" s="79">
        <v>0</v>
      </c>
      <c r="I101" s="79">
        <f t="shared" si="29"/>
        <v>0</v>
      </c>
      <c r="J101" s="79">
        <f t="shared" si="29"/>
        <v>0</v>
      </c>
      <c r="K101" s="79">
        <f t="shared" si="29"/>
        <v>0</v>
      </c>
      <c r="L101" s="79">
        <f t="shared" si="29"/>
        <v>0</v>
      </c>
      <c r="M101" s="79"/>
    </row>
    <row r="102" spans="1:13" ht="13.5" thickBot="1" x14ac:dyDescent="0.25">
      <c r="A102" s="82" t="s">
        <v>362</v>
      </c>
      <c r="B102" s="87" t="s">
        <v>363</v>
      </c>
      <c r="C102" s="83">
        <v>0</v>
      </c>
      <c r="D102" s="83">
        <v>57442.18</v>
      </c>
      <c r="E102" s="83">
        <v>85928.4</v>
      </c>
      <c r="F102" s="83">
        <v>14187.97</v>
      </c>
      <c r="G102" s="79">
        <v>120794.55</v>
      </c>
      <c r="H102" s="79">
        <v>4659.75</v>
      </c>
      <c r="I102" s="79">
        <f t="shared" si="29"/>
        <v>4776.2437499999996</v>
      </c>
      <c r="J102" s="79">
        <f t="shared" si="29"/>
        <v>4895.6498437499995</v>
      </c>
      <c r="K102" s="79">
        <f t="shared" si="29"/>
        <v>5018.0410898437494</v>
      </c>
      <c r="L102" s="79">
        <f t="shared" si="29"/>
        <v>5143.4921170898424</v>
      </c>
      <c r="M102" s="79"/>
    </row>
    <row r="103" spans="1:13" s="68" customFormat="1" ht="13.5" thickBot="1" x14ac:dyDescent="0.25">
      <c r="A103" s="74">
        <v>77</v>
      </c>
      <c r="B103" s="75" t="s">
        <v>364</v>
      </c>
      <c r="C103" s="89">
        <f t="shared" ref="C103:L103" si="30">SUM(C104:C106)</f>
        <v>72269.929999999993</v>
      </c>
      <c r="D103" s="89">
        <f t="shared" si="30"/>
        <v>61731.27</v>
      </c>
      <c r="E103" s="89">
        <f t="shared" si="30"/>
        <v>75599.83</v>
      </c>
      <c r="F103" s="89">
        <f t="shared" si="30"/>
        <v>15103.86</v>
      </c>
      <c r="G103" s="89">
        <f t="shared" si="30"/>
        <v>62073.189999999995</v>
      </c>
      <c r="H103" s="89">
        <f t="shared" si="30"/>
        <v>54299.65</v>
      </c>
      <c r="I103" s="89">
        <f t="shared" si="30"/>
        <v>55657.141250000001</v>
      </c>
      <c r="J103" s="89">
        <f t="shared" si="30"/>
        <v>57048.569781249993</v>
      </c>
      <c r="K103" s="89">
        <f t="shared" si="30"/>
        <v>58474.784025781242</v>
      </c>
      <c r="L103" s="89">
        <f t="shared" si="30"/>
        <v>59936.653626425759</v>
      </c>
      <c r="M103" s="76"/>
    </row>
    <row r="104" spans="1:13" s="68" customFormat="1" ht="13.5" thickBot="1" x14ac:dyDescent="0.25">
      <c r="A104" s="77" t="s">
        <v>365</v>
      </c>
      <c r="B104" s="78" t="s">
        <v>289</v>
      </c>
      <c r="C104" s="83">
        <v>22270.89</v>
      </c>
      <c r="D104" s="83">
        <v>11046.17</v>
      </c>
      <c r="E104" s="83">
        <v>4739.97</v>
      </c>
      <c r="F104" s="83">
        <v>7294.91</v>
      </c>
      <c r="G104" s="79">
        <v>5069.74</v>
      </c>
      <c r="H104" s="79">
        <v>2875.21</v>
      </c>
      <c r="I104" s="79">
        <f t="shared" ref="I104:L106" si="31">H104*1.025</f>
        <v>2947.0902499999997</v>
      </c>
      <c r="J104" s="79">
        <f t="shared" si="31"/>
        <v>3020.7675062499993</v>
      </c>
      <c r="K104" s="79">
        <f t="shared" si="31"/>
        <v>3096.2866939062492</v>
      </c>
      <c r="L104" s="79">
        <f t="shared" si="31"/>
        <v>3173.6938612539052</v>
      </c>
      <c r="M104" s="76"/>
    </row>
    <row r="105" spans="1:13" s="68" customFormat="1" ht="13.5" thickBot="1" x14ac:dyDescent="0.25">
      <c r="A105" s="77" t="s">
        <v>366</v>
      </c>
      <c r="B105" s="78" t="s">
        <v>291</v>
      </c>
      <c r="C105" s="83">
        <v>49999.040000000001</v>
      </c>
      <c r="D105" s="83">
        <v>50685.1</v>
      </c>
      <c r="E105" s="83">
        <v>70174.600000000006</v>
      </c>
      <c r="F105" s="83">
        <v>6861.43</v>
      </c>
      <c r="G105" s="79">
        <v>57003.45</v>
      </c>
      <c r="H105" s="79">
        <v>51424.44</v>
      </c>
      <c r="I105" s="79">
        <f t="shared" si="31"/>
        <v>52710.050999999999</v>
      </c>
      <c r="J105" s="79">
        <f t="shared" si="31"/>
        <v>54027.802274999995</v>
      </c>
      <c r="K105" s="79">
        <f t="shared" si="31"/>
        <v>55378.497331874991</v>
      </c>
      <c r="L105" s="79">
        <f t="shared" si="31"/>
        <v>56762.959765171858</v>
      </c>
      <c r="M105" s="79"/>
    </row>
    <row r="106" spans="1:13" s="68" customFormat="1" ht="13.5" thickBot="1" x14ac:dyDescent="0.25">
      <c r="A106" s="77" t="s">
        <v>367</v>
      </c>
      <c r="B106" s="78" t="s">
        <v>368</v>
      </c>
      <c r="C106" s="83">
        <v>0</v>
      </c>
      <c r="D106" s="83">
        <v>0</v>
      </c>
      <c r="E106" s="83">
        <v>685.26</v>
      </c>
      <c r="F106" s="83">
        <v>947.52</v>
      </c>
      <c r="G106" s="79">
        <v>0</v>
      </c>
      <c r="H106" s="79">
        <v>0</v>
      </c>
      <c r="I106" s="79">
        <f t="shared" si="31"/>
        <v>0</v>
      </c>
      <c r="J106" s="79">
        <f t="shared" si="31"/>
        <v>0</v>
      </c>
      <c r="K106" s="79">
        <f t="shared" si="31"/>
        <v>0</v>
      </c>
      <c r="L106" s="79">
        <f t="shared" si="31"/>
        <v>0</v>
      </c>
      <c r="M106" s="79"/>
    </row>
    <row r="107" spans="1:13" s="68" customFormat="1" ht="13.5" thickBot="1" x14ac:dyDescent="0.25">
      <c r="A107" s="74">
        <v>78</v>
      </c>
      <c r="B107" s="75" t="s">
        <v>369</v>
      </c>
      <c r="C107" s="89">
        <f t="shared" ref="C107:L107" si="32">SUM(C108:C109)</f>
        <v>61275.11</v>
      </c>
      <c r="D107" s="89">
        <f t="shared" si="32"/>
        <v>62954.01</v>
      </c>
      <c r="E107" s="89">
        <f t="shared" si="32"/>
        <v>124322.84</v>
      </c>
      <c r="F107" s="89">
        <f t="shared" si="32"/>
        <v>112217.99</v>
      </c>
      <c r="G107" s="89">
        <f t="shared" si="32"/>
        <v>183117.3</v>
      </c>
      <c r="H107" s="89">
        <f t="shared" si="32"/>
        <v>90433.77</v>
      </c>
      <c r="I107" s="89">
        <f t="shared" si="32"/>
        <v>92694.614249999999</v>
      </c>
      <c r="J107" s="89">
        <f t="shared" si="32"/>
        <v>95011.979606249995</v>
      </c>
      <c r="K107" s="89">
        <f t="shared" si="32"/>
        <v>97387.279096406244</v>
      </c>
      <c r="L107" s="89">
        <f t="shared" si="32"/>
        <v>99821.96107381639</v>
      </c>
      <c r="M107" s="76"/>
    </row>
    <row r="108" spans="1:13" s="68" customFormat="1" ht="13.5" thickBot="1" x14ac:dyDescent="0.25">
      <c r="A108" s="82" t="s">
        <v>370</v>
      </c>
      <c r="B108" s="87" t="s">
        <v>371</v>
      </c>
      <c r="C108" s="83">
        <v>24275.11</v>
      </c>
      <c r="D108" s="83">
        <v>6454.01</v>
      </c>
      <c r="E108" s="83">
        <v>22322.84</v>
      </c>
      <c r="F108" s="83">
        <v>13217.99</v>
      </c>
      <c r="G108" s="79">
        <v>63117.3</v>
      </c>
      <c r="H108" s="79">
        <v>23433.77</v>
      </c>
      <c r="I108" s="79">
        <f t="shared" ref="I108:L109" si="33">H108*1.025</f>
        <v>24019.614249999999</v>
      </c>
      <c r="J108" s="79">
        <f t="shared" si="33"/>
        <v>24620.104606249995</v>
      </c>
      <c r="K108" s="79">
        <f t="shared" si="33"/>
        <v>25235.607221406244</v>
      </c>
      <c r="L108" s="79">
        <f t="shared" si="33"/>
        <v>25866.497401941397</v>
      </c>
      <c r="M108" s="76"/>
    </row>
    <row r="109" spans="1:13" s="68" customFormat="1" ht="13.5" thickBot="1" x14ac:dyDescent="0.25">
      <c r="A109" s="82" t="s">
        <v>372</v>
      </c>
      <c r="B109" s="87" t="s">
        <v>373</v>
      </c>
      <c r="C109" s="83">
        <v>37000</v>
      </c>
      <c r="D109" s="83">
        <v>56500</v>
      </c>
      <c r="E109" s="83">
        <v>102000</v>
      </c>
      <c r="F109" s="83">
        <v>99000</v>
      </c>
      <c r="G109" s="79">
        <v>120000</v>
      </c>
      <c r="H109" s="79">
        <v>67000</v>
      </c>
      <c r="I109" s="79">
        <f t="shared" si="33"/>
        <v>68675</v>
      </c>
      <c r="J109" s="79">
        <f t="shared" si="33"/>
        <v>70391.875</v>
      </c>
      <c r="K109" s="79">
        <f t="shared" si="33"/>
        <v>72151.671875</v>
      </c>
      <c r="L109" s="79">
        <f t="shared" si="33"/>
        <v>73955.463671874997</v>
      </c>
      <c r="M109" s="79"/>
    </row>
    <row r="110" spans="1:13" s="68" customFormat="1" ht="13.5" thickBot="1" x14ac:dyDescent="0.25">
      <c r="A110" s="74">
        <v>84</v>
      </c>
      <c r="B110" s="75" t="s">
        <v>374</v>
      </c>
      <c r="C110" s="89">
        <f t="shared" ref="C110:L110" si="34">SUM(C111:C112)</f>
        <v>1219225.3</v>
      </c>
      <c r="D110" s="89">
        <f t="shared" si="34"/>
        <v>316157.92000000004</v>
      </c>
      <c r="E110" s="89">
        <f t="shared" si="34"/>
        <v>274868.04000000004</v>
      </c>
      <c r="F110" s="89">
        <f t="shared" si="34"/>
        <v>152232.9</v>
      </c>
      <c r="G110" s="89">
        <f t="shared" si="34"/>
        <v>355191.09</v>
      </c>
      <c r="H110" s="89">
        <f t="shared" si="34"/>
        <v>319107.47000000003</v>
      </c>
      <c r="I110" s="89">
        <f t="shared" si="34"/>
        <v>327085.15675000002</v>
      </c>
      <c r="J110" s="89">
        <f t="shared" si="34"/>
        <v>335262.28566874994</v>
      </c>
      <c r="K110" s="89">
        <f t="shared" si="34"/>
        <v>343643.84281046863</v>
      </c>
      <c r="L110" s="89">
        <f t="shared" si="34"/>
        <v>352234.93888073036</v>
      </c>
      <c r="M110" s="76"/>
    </row>
    <row r="111" spans="1:13" ht="13.5" thickBot="1" x14ac:dyDescent="0.25">
      <c r="A111" s="82" t="s">
        <v>375</v>
      </c>
      <c r="B111" s="87" t="s">
        <v>376</v>
      </c>
      <c r="C111" s="83">
        <v>1113895.8500000001</v>
      </c>
      <c r="D111" s="83">
        <v>74089.610000000015</v>
      </c>
      <c r="E111" s="83">
        <v>111071.62</v>
      </c>
      <c r="F111" s="83">
        <v>61426.09</v>
      </c>
      <c r="G111" s="79">
        <v>355191.09</v>
      </c>
      <c r="H111" s="79">
        <v>315304.41000000003</v>
      </c>
      <c r="I111" s="79">
        <f t="shared" ref="I111:L112" si="35">H111*1.025</f>
        <v>323187.02025</v>
      </c>
      <c r="J111" s="79">
        <f t="shared" si="35"/>
        <v>331266.69575624994</v>
      </c>
      <c r="K111" s="79">
        <f t="shared" si="35"/>
        <v>339548.36315015616</v>
      </c>
      <c r="L111" s="79">
        <f t="shared" si="35"/>
        <v>348037.07222891005</v>
      </c>
      <c r="M111" s="79"/>
    </row>
    <row r="112" spans="1:13" ht="13.5" thickBot="1" x14ac:dyDescent="0.25">
      <c r="A112" s="82" t="s">
        <v>377</v>
      </c>
      <c r="B112" s="87" t="s">
        <v>378</v>
      </c>
      <c r="C112" s="83">
        <v>105329.45</v>
      </c>
      <c r="D112" s="83">
        <v>242068.31</v>
      </c>
      <c r="E112" s="83">
        <v>163796.42000000001</v>
      </c>
      <c r="F112" s="83">
        <v>90806.81</v>
      </c>
      <c r="G112" s="79"/>
      <c r="H112" s="79">
        <v>3803.06</v>
      </c>
      <c r="I112" s="79">
        <f t="shared" si="35"/>
        <v>3898.1364999999996</v>
      </c>
      <c r="J112" s="79">
        <f t="shared" si="35"/>
        <v>3995.5899124999992</v>
      </c>
      <c r="K112" s="79">
        <f t="shared" si="35"/>
        <v>4095.4796603124987</v>
      </c>
      <c r="L112" s="79">
        <f t="shared" si="35"/>
        <v>4197.8666518203108</v>
      </c>
      <c r="M112" s="79"/>
    </row>
    <row r="113" spans="1:13" s="90" customFormat="1" ht="13.5" thickBot="1" x14ac:dyDescent="0.25">
      <c r="A113" s="144" t="s">
        <v>379</v>
      </c>
      <c r="B113" s="144"/>
      <c r="C113" s="88">
        <f t="shared" ref="C113:L113" si="36">C60-C70</f>
        <v>-2122845.3899999997</v>
      </c>
      <c r="D113" s="88">
        <f t="shared" si="36"/>
        <v>121940.90999999922</v>
      </c>
      <c r="E113" s="88">
        <f t="shared" si="36"/>
        <v>-1803597.2400000002</v>
      </c>
      <c r="F113" s="88">
        <f t="shared" si="36"/>
        <v>90136.599999997765</v>
      </c>
      <c r="G113" s="88">
        <f t="shared" si="36"/>
        <v>-1448075.42</v>
      </c>
      <c r="H113" s="88">
        <f t="shared" si="36"/>
        <v>-4936329.0900000008</v>
      </c>
      <c r="I113" s="88">
        <f t="shared" si="36"/>
        <v>-5059737.3172499975</v>
      </c>
      <c r="J113" s="88">
        <f t="shared" si="36"/>
        <v>-5186230.7501812465</v>
      </c>
      <c r="K113" s="88">
        <f t="shared" si="36"/>
        <v>-5315886.5189357772</v>
      </c>
      <c r="L113" s="88">
        <f t="shared" si="36"/>
        <v>-5448783.6819091719</v>
      </c>
      <c r="M113" s="88"/>
    </row>
    <row r="114" spans="1:13" s="68" customFormat="1" ht="13.5" thickBot="1" x14ac:dyDescent="0.25">
      <c r="A114" s="156" t="s">
        <v>380</v>
      </c>
      <c r="B114" s="156"/>
      <c r="C114" s="91">
        <f t="shared" ref="C114:L114" si="37">SUM(C59,C113)</f>
        <v>-1649445.6</v>
      </c>
      <c r="D114" s="91">
        <f t="shared" si="37"/>
        <v>681614.42999999924</v>
      </c>
      <c r="E114" s="91">
        <f t="shared" si="37"/>
        <v>-2690399.52</v>
      </c>
      <c r="F114" s="91">
        <f t="shared" si="37"/>
        <v>2364878.1399999983</v>
      </c>
      <c r="G114" s="91">
        <f t="shared" si="37"/>
        <v>697449.9300000011</v>
      </c>
      <c r="H114" s="91">
        <f t="shared" si="37"/>
        <v>-1928990.5300000007</v>
      </c>
      <c r="I114" s="91">
        <f t="shared" si="37"/>
        <v>-1977215.2932499968</v>
      </c>
      <c r="J114" s="91">
        <f t="shared" si="37"/>
        <v>-2026645.675581248</v>
      </c>
      <c r="K114" s="91">
        <f t="shared" si="37"/>
        <v>-2077311.8174707782</v>
      </c>
      <c r="L114" s="91">
        <f t="shared" si="37"/>
        <v>-2129244.6129075489</v>
      </c>
      <c r="M114" s="91"/>
    </row>
    <row r="115" spans="1:13" s="68" customFormat="1" ht="13.5" thickBot="1" x14ac:dyDescent="0.25">
      <c r="A115" s="153" t="s">
        <v>381</v>
      </c>
      <c r="B115" s="153"/>
      <c r="C115" s="73">
        <f t="shared" ref="C115:D115" si="38">SUM(C116:C118)</f>
        <v>3103452.13</v>
      </c>
      <c r="D115" s="73">
        <f t="shared" si="38"/>
        <v>933018.72</v>
      </c>
      <c r="E115" s="73">
        <f t="shared" ref="E115:L115" si="39">SUM(E116:E118)</f>
        <v>402946.14</v>
      </c>
      <c r="F115" s="73">
        <f t="shared" si="39"/>
        <v>4502719.83</v>
      </c>
      <c r="G115" s="73">
        <f t="shared" si="39"/>
        <v>6440221.3300000001</v>
      </c>
      <c r="H115" s="73">
        <f>SUM(H116:H118)</f>
        <v>4832192.91</v>
      </c>
      <c r="I115" s="73">
        <f t="shared" si="39"/>
        <v>4952997.7327499995</v>
      </c>
      <c r="J115" s="73">
        <f t="shared" si="39"/>
        <v>5076822.6760687493</v>
      </c>
      <c r="K115" s="73">
        <f t="shared" si="39"/>
        <v>5203743.2429704666</v>
      </c>
      <c r="L115" s="73">
        <f t="shared" si="39"/>
        <v>5333836.8240447287</v>
      </c>
      <c r="M115" s="73"/>
    </row>
    <row r="116" spans="1:13" s="68" customFormat="1" ht="13.5" thickBot="1" x14ac:dyDescent="0.25">
      <c r="A116" s="74">
        <v>36</v>
      </c>
      <c r="B116" s="75" t="s">
        <v>382</v>
      </c>
      <c r="C116" s="76">
        <v>1171427.3400000001</v>
      </c>
      <c r="D116" s="76">
        <v>233190.32</v>
      </c>
      <c r="E116" s="76">
        <v>111120</v>
      </c>
      <c r="F116" s="76">
        <v>3161580.82</v>
      </c>
      <c r="G116" s="76">
        <v>114565.8</v>
      </c>
      <c r="H116" s="76">
        <v>572746.56999999995</v>
      </c>
      <c r="I116" s="76">
        <f t="shared" ref="I116:L118" si="40">H116*1.025</f>
        <v>587065.23424999986</v>
      </c>
      <c r="J116" s="76">
        <f t="shared" si="40"/>
        <v>601741.86510624981</v>
      </c>
      <c r="K116" s="76">
        <f t="shared" si="40"/>
        <v>616785.41173390602</v>
      </c>
      <c r="L116" s="76">
        <f t="shared" si="40"/>
        <v>632205.04702725366</v>
      </c>
      <c r="M116" s="76"/>
    </row>
    <row r="117" spans="1:13" s="68" customFormat="1" ht="13.5" thickBot="1" x14ac:dyDescent="0.25">
      <c r="A117" s="74">
        <v>37</v>
      </c>
      <c r="B117" s="75" t="s">
        <v>383</v>
      </c>
      <c r="C117" s="92">
        <v>1168312.6299999999</v>
      </c>
      <c r="D117" s="92">
        <v>128499.11</v>
      </c>
      <c r="E117" s="92">
        <v>7861.31</v>
      </c>
      <c r="F117" s="92">
        <v>390721.88</v>
      </c>
      <c r="G117" s="76">
        <v>5635580.3300000001</v>
      </c>
      <c r="H117" s="76">
        <v>1886000</v>
      </c>
      <c r="I117" s="76">
        <f t="shared" si="40"/>
        <v>1933149.9999999998</v>
      </c>
      <c r="J117" s="76">
        <f t="shared" si="40"/>
        <v>1981478.7499999995</v>
      </c>
      <c r="K117" s="76">
        <f t="shared" si="40"/>
        <v>2031015.7187499993</v>
      </c>
      <c r="L117" s="76">
        <f t="shared" si="40"/>
        <v>2081791.1117187492</v>
      </c>
      <c r="M117" s="76"/>
    </row>
    <row r="118" spans="1:13" s="68" customFormat="1" ht="13.5" thickBot="1" x14ac:dyDescent="0.25">
      <c r="A118" s="74">
        <v>38</v>
      </c>
      <c r="B118" s="75" t="s">
        <v>384</v>
      </c>
      <c r="C118" s="76">
        <v>763712.16</v>
      </c>
      <c r="D118" s="76">
        <v>571329.29</v>
      </c>
      <c r="E118" s="76">
        <v>283964.83</v>
      </c>
      <c r="F118" s="76">
        <v>950417.13</v>
      </c>
      <c r="G118" s="76">
        <v>690075.2</v>
      </c>
      <c r="H118" s="76">
        <v>2373446.34</v>
      </c>
      <c r="I118" s="76">
        <f t="shared" si="40"/>
        <v>2432782.4984999998</v>
      </c>
      <c r="J118" s="76">
        <f t="shared" si="40"/>
        <v>2493602.0609624996</v>
      </c>
      <c r="K118" s="76">
        <f t="shared" si="40"/>
        <v>2555942.1124865618</v>
      </c>
      <c r="L118" s="76">
        <f t="shared" si="40"/>
        <v>2619840.6652987255</v>
      </c>
      <c r="M118" s="76"/>
    </row>
    <row r="119" spans="1:13" s="68" customFormat="1" ht="13.5" thickBot="1" x14ac:dyDescent="0.25">
      <c r="A119" s="153" t="s">
        <v>385</v>
      </c>
      <c r="B119" s="153"/>
      <c r="C119" s="73">
        <f t="shared" ref="C119:D119" si="41">SUM(C120:C122)</f>
        <v>424295.98000000004</v>
      </c>
      <c r="D119" s="73">
        <f t="shared" si="41"/>
        <v>651821.03</v>
      </c>
      <c r="E119" s="73">
        <f t="shared" ref="E119:L119" si="42">SUM(E120:E122)</f>
        <v>583518.85</v>
      </c>
      <c r="F119" s="73">
        <f t="shared" si="42"/>
        <v>436340.73</v>
      </c>
      <c r="G119" s="73">
        <f t="shared" si="42"/>
        <v>469809.45999999996</v>
      </c>
      <c r="H119" s="73">
        <f>SUM(H120:H122)</f>
        <v>377170.1</v>
      </c>
      <c r="I119" s="73">
        <f t="shared" si="42"/>
        <v>386599.35249999992</v>
      </c>
      <c r="J119" s="73">
        <f t="shared" si="42"/>
        <v>396264.33631249989</v>
      </c>
      <c r="K119" s="73">
        <f t="shared" si="42"/>
        <v>406170.94472031237</v>
      </c>
      <c r="L119" s="73">
        <f t="shared" si="42"/>
        <v>416325.21833832015</v>
      </c>
      <c r="M119" s="73"/>
    </row>
    <row r="120" spans="1:13" s="68" customFormat="1" ht="13.5" thickBot="1" x14ac:dyDescent="0.25">
      <c r="A120" s="74">
        <v>96</v>
      </c>
      <c r="B120" s="75" t="s">
        <v>386</v>
      </c>
      <c r="C120" s="93">
        <v>388444.02</v>
      </c>
      <c r="D120" s="93">
        <v>445250.75</v>
      </c>
      <c r="E120" s="93">
        <v>486688.64</v>
      </c>
      <c r="F120" s="92">
        <v>435047.19</v>
      </c>
      <c r="G120" s="76">
        <v>450021.8</v>
      </c>
      <c r="H120" s="76">
        <v>377170.1</v>
      </c>
      <c r="I120" s="76">
        <f t="shared" ref="I120:L122" si="43">H120*1.025</f>
        <v>386599.35249999992</v>
      </c>
      <c r="J120" s="76">
        <f t="shared" si="43"/>
        <v>396264.33631249989</v>
      </c>
      <c r="K120" s="76">
        <f t="shared" si="43"/>
        <v>406170.94472031237</v>
      </c>
      <c r="L120" s="76">
        <f t="shared" si="43"/>
        <v>416325.21833832015</v>
      </c>
      <c r="M120" s="76"/>
    </row>
    <row r="121" spans="1:13" s="68" customFormat="1" ht="13.5" thickBot="1" x14ac:dyDescent="0.25">
      <c r="A121" s="74">
        <v>97</v>
      </c>
      <c r="B121" s="75" t="s">
        <v>387</v>
      </c>
      <c r="C121" s="76">
        <v>35851.96</v>
      </c>
      <c r="D121" s="76">
        <v>206570.28</v>
      </c>
      <c r="E121" s="76">
        <v>96830.21</v>
      </c>
      <c r="F121" s="76">
        <v>1293.54</v>
      </c>
      <c r="G121" s="76">
        <v>19787.66</v>
      </c>
      <c r="H121" s="76">
        <v>0</v>
      </c>
      <c r="I121" s="76">
        <f t="shared" si="43"/>
        <v>0</v>
      </c>
      <c r="J121" s="76">
        <f t="shared" si="43"/>
        <v>0</v>
      </c>
      <c r="K121" s="76">
        <f t="shared" si="43"/>
        <v>0</v>
      </c>
      <c r="L121" s="76">
        <f t="shared" si="43"/>
        <v>0</v>
      </c>
      <c r="M121" s="76"/>
    </row>
    <row r="122" spans="1:13" s="68" customFormat="1" ht="13.5" thickBot="1" x14ac:dyDescent="0.25">
      <c r="A122" s="74">
        <v>99</v>
      </c>
      <c r="B122" s="75" t="s">
        <v>388</v>
      </c>
      <c r="C122" s="76">
        <v>0</v>
      </c>
      <c r="D122" s="76">
        <v>0</v>
      </c>
      <c r="E122" s="76">
        <v>0</v>
      </c>
      <c r="F122" s="76">
        <v>0</v>
      </c>
      <c r="G122" s="76">
        <v>0</v>
      </c>
      <c r="H122" s="76">
        <v>0</v>
      </c>
      <c r="I122" s="76">
        <f t="shared" si="43"/>
        <v>0</v>
      </c>
      <c r="J122" s="76">
        <f t="shared" si="43"/>
        <v>0</v>
      </c>
      <c r="K122" s="76">
        <f t="shared" si="43"/>
        <v>0</v>
      </c>
      <c r="L122" s="76">
        <f t="shared" si="43"/>
        <v>0</v>
      </c>
      <c r="M122" s="76"/>
    </row>
    <row r="123" spans="1:13" s="68" customFormat="1" ht="13.5" thickBot="1" x14ac:dyDescent="0.25">
      <c r="A123" s="144" t="s">
        <v>389</v>
      </c>
      <c r="B123" s="144"/>
      <c r="C123" s="88">
        <f t="shared" ref="C123:L123" si="44">C115-C119</f>
        <v>2679156.15</v>
      </c>
      <c r="D123" s="88">
        <f t="shared" si="44"/>
        <v>281197.68999999994</v>
      </c>
      <c r="E123" s="88">
        <f t="shared" si="44"/>
        <v>-180572.70999999996</v>
      </c>
      <c r="F123" s="88">
        <f t="shared" si="44"/>
        <v>4066379.1</v>
      </c>
      <c r="G123" s="88">
        <f t="shared" si="44"/>
        <v>5970411.8700000001</v>
      </c>
      <c r="H123" s="88">
        <f>H115-H119</f>
        <v>4455022.8100000005</v>
      </c>
      <c r="I123" s="88">
        <f t="shared" si="44"/>
        <v>4566398.3802499995</v>
      </c>
      <c r="J123" s="88">
        <f t="shared" si="44"/>
        <v>4680558.3397562495</v>
      </c>
      <c r="K123" s="88">
        <f t="shared" si="44"/>
        <v>4797572.2982501546</v>
      </c>
      <c r="L123" s="88">
        <f t="shared" si="44"/>
        <v>4917511.6057064086</v>
      </c>
      <c r="M123" s="88"/>
    </row>
    <row r="124" spans="1:13" s="68" customFormat="1" ht="13.5" thickBot="1" x14ac:dyDescent="0.25">
      <c r="A124" s="157" t="s">
        <v>390</v>
      </c>
      <c r="B124" s="157"/>
      <c r="C124" s="94">
        <f t="shared" ref="C124:L124" si="45">SUM(C114,C123)</f>
        <v>1029710.5499999998</v>
      </c>
      <c r="D124" s="94">
        <f t="shared" si="45"/>
        <v>962812.11999999918</v>
      </c>
      <c r="E124" s="94">
        <f t="shared" si="45"/>
        <v>-2870972.23</v>
      </c>
      <c r="F124" s="94">
        <f t="shared" si="45"/>
        <v>6431257.2399999984</v>
      </c>
      <c r="G124" s="94">
        <f t="shared" si="45"/>
        <v>6667861.8000000007</v>
      </c>
      <c r="H124" s="94">
        <f>SUM(H114,H123)</f>
        <v>2526032.2799999998</v>
      </c>
      <c r="I124" s="94">
        <f t="shared" si="45"/>
        <v>2589183.0870000026</v>
      </c>
      <c r="J124" s="94">
        <f t="shared" si="45"/>
        <v>2653912.6641750014</v>
      </c>
      <c r="K124" s="94">
        <f t="shared" si="45"/>
        <v>2720260.4807793763</v>
      </c>
      <c r="L124" s="94">
        <f t="shared" si="45"/>
        <v>2788266.9927988597</v>
      </c>
      <c r="M124" s="94"/>
    </row>
    <row r="125" spans="1:13" s="95" customFormat="1" ht="13.5" thickBot="1" x14ac:dyDescent="0.25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</row>
    <row r="126" spans="1:13" s="97" customFormat="1" ht="13.5" thickBot="1" x14ac:dyDescent="0.25">
      <c r="A126" s="159" t="s">
        <v>391</v>
      </c>
      <c r="B126" s="159"/>
      <c r="C126" s="96">
        <v>2015</v>
      </c>
      <c r="D126" s="96">
        <v>2016</v>
      </c>
      <c r="E126" s="96">
        <v>2017</v>
      </c>
      <c r="F126" s="96">
        <v>2018</v>
      </c>
      <c r="G126" s="96">
        <v>2019</v>
      </c>
      <c r="H126" s="96">
        <v>2020</v>
      </c>
      <c r="I126" s="96">
        <v>2021</v>
      </c>
      <c r="J126" s="96">
        <v>2022</v>
      </c>
      <c r="K126" s="96">
        <v>2023</v>
      </c>
      <c r="L126" s="96">
        <v>2024</v>
      </c>
    </row>
    <row r="127" spans="1:13" s="97" customFormat="1" ht="13.5" thickBot="1" x14ac:dyDescent="0.25">
      <c r="A127" s="160" t="s">
        <v>392</v>
      </c>
      <c r="B127" s="160"/>
      <c r="C127" s="98">
        <v>0.2969881878882914</v>
      </c>
      <c r="D127" s="98">
        <v>0.28128504871543242</v>
      </c>
      <c r="E127" s="98">
        <v>0.33548738984362636</v>
      </c>
      <c r="F127" s="98">
        <v>0.45384329852089583</v>
      </c>
      <c r="G127" s="98">
        <v>0.31730959043699347</v>
      </c>
      <c r="H127" s="98">
        <v>0.43826966049671995</v>
      </c>
      <c r="I127" s="98">
        <v>0.44494412631028774</v>
      </c>
      <c r="J127" s="98">
        <v>0.45145580027474436</v>
      </c>
      <c r="K127" s="98">
        <v>0.4578086529229945</v>
      </c>
      <c r="L127" s="98">
        <v>0.46400655794567763</v>
      </c>
    </row>
    <row r="128" spans="1:13" s="97" customFormat="1" ht="13.5" thickBot="1" x14ac:dyDescent="0.25">
      <c r="A128" s="161" t="s">
        <v>393</v>
      </c>
      <c r="B128" s="161"/>
      <c r="C128" s="99">
        <v>6.2110862328068936E-2</v>
      </c>
      <c r="D128" s="99">
        <v>7.4914754041354101E-2</v>
      </c>
      <c r="E128" s="99">
        <v>0.11237878185452309</v>
      </c>
      <c r="F128" s="99">
        <v>5.3960294485192385E-2</v>
      </c>
      <c r="G128" s="99">
        <v>6.0356962138218742E-2</v>
      </c>
      <c r="H128" s="99">
        <v>6.0757657760063463E-2</v>
      </c>
      <c r="I128" s="99">
        <v>6.0757657760063449E-2</v>
      </c>
      <c r="J128" s="99">
        <v>6.075765776006347E-2</v>
      </c>
      <c r="K128" s="99">
        <v>6.0757657760063463E-2</v>
      </c>
      <c r="L128" s="99">
        <v>6.0757657760063456E-2</v>
      </c>
    </row>
    <row r="129" spans="1:13" s="97" customFormat="1" x14ac:dyDescent="0.2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</row>
    <row r="130" spans="1:13" s="101" customFormat="1" ht="13.5" thickBot="1" x14ac:dyDescent="0.25">
      <c r="A130" s="163" t="s">
        <v>394</v>
      </c>
      <c r="B130" s="164"/>
      <c r="C130" s="164"/>
      <c r="D130" s="164"/>
      <c r="E130" s="164"/>
      <c r="F130" s="164"/>
      <c r="G130" s="164"/>
      <c r="H130" s="164"/>
      <c r="I130" s="100"/>
      <c r="J130" s="100"/>
      <c r="K130" s="100"/>
      <c r="L130" s="100"/>
      <c r="M130" s="100"/>
    </row>
    <row r="131" spans="1:13" s="101" customFormat="1" ht="13.5" thickBot="1" x14ac:dyDescent="0.25">
      <c r="A131" s="154" t="s">
        <v>395</v>
      </c>
      <c r="B131" s="155"/>
      <c r="C131" s="102">
        <v>2015</v>
      </c>
      <c r="D131" s="102">
        <v>2016</v>
      </c>
      <c r="E131" s="102">
        <v>2017</v>
      </c>
      <c r="F131" s="102">
        <v>2018</v>
      </c>
      <c r="G131" s="102">
        <v>2019</v>
      </c>
      <c r="H131" s="102">
        <v>2020</v>
      </c>
      <c r="I131" s="100"/>
      <c r="J131" s="100"/>
      <c r="K131" s="100"/>
      <c r="L131" s="100"/>
      <c r="M131" s="100"/>
    </row>
    <row r="132" spans="1:13" ht="13.5" thickBot="1" x14ac:dyDescent="0.25">
      <c r="A132" s="166" t="s">
        <v>396</v>
      </c>
      <c r="B132" s="166"/>
      <c r="C132" s="92">
        <v>297698.3</v>
      </c>
      <c r="D132" s="92">
        <v>285099.10000000003</v>
      </c>
      <c r="E132" s="92">
        <v>258340.09000000003</v>
      </c>
      <c r="F132" s="92">
        <v>346755.97</v>
      </c>
      <c r="G132" s="92">
        <v>256229.88</v>
      </c>
      <c r="H132" s="92">
        <v>693037.96</v>
      </c>
      <c r="I132" s="100"/>
      <c r="J132" s="100"/>
      <c r="K132" s="100"/>
      <c r="L132" s="100"/>
      <c r="M132" s="100"/>
    </row>
    <row r="133" spans="1:13" ht="13.5" thickBot="1" x14ac:dyDescent="0.25">
      <c r="A133" s="166" t="s">
        <v>397</v>
      </c>
      <c r="B133" s="166"/>
      <c r="C133" s="92">
        <v>2277283.3600000003</v>
      </c>
      <c r="D133" s="92">
        <v>2089168.1500000001</v>
      </c>
      <c r="E133" s="92">
        <v>1663541.5699999998</v>
      </c>
      <c r="F133" s="92">
        <v>4408622.9799999995</v>
      </c>
      <c r="G133" s="92">
        <v>4076533.91</v>
      </c>
      <c r="H133" s="92">
        <v>4243346.66</v>
      </c>
      <c r="I133" s="100"/>
      <c r="J133" s="100"/>
      <c r="K133" s="100"/>
      <c r="L133" s="100"/>
      <c r="M133" s="100"/>
    </row>
    <row r="134" spans="1:13" x14ac:dyDescent="0.2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</row>
    <row r="135" spans="1:13" x14ac:dyDescent="0.2">
      <c r="A135" s="167" t="s">
        <v>398</v>
      </c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</row>
    <row r="136" spans="1:13" x14ac:dyDescent="0.2">
      <c r="A136" s="168" t="s">
        <v>399</v>
      </c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</row>
    <row r="137" spans="1:13" x14ac:dyDescent="0.2">
      <c r="A137" s="168" t="s">
        <v>400</v>
      </c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</row>
    <row r="138" spans="1:13" s="67" customFormat="1" x14ac:dyDescent="0.2">
      <c r="A138" s="165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</row>
    <row r="139" spans="1:13" s="67" customFormat="1" x14ac:dyDescent="0.2">
      <c r="A139" s="165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</row>
    <row r="140" spans="1:13" s="67" customFormat="1" x14ac:dyDescent="0.2">
      <c r="A140" s="165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</row>
    <row r="141" spans="1:13" s="67" customFormat="1" x14ac:dyDescent="0.2">
      <c r="A141" s="165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</row>
    <row r="142" spans="1:13" s="67" customFormat="1" x14ac:dyDescent="0.2">
      <c r="A142" s="165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</row>
    <row r="143" spans="1:13" s="67" customFormat="1" x14ac:dyDescent="0.2">
      <c r="A143" s="165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</row>
    <row r="144" spans="1:13" s="67" customFormat="1" x14ac:dyDescent="0.2">
      <c r="A144" s="165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</row>
    <row r="145" spans="1:13" s="67" customFormat="1" x14ac:dyDescent="0.2">
      <c r="A145" s="165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</row>
    <row r="146" spans="1:13" s="67" customFormat="1" x14ac:dyDescent="0.2">
      <c r="A146" s="165" t="s">
        <v>401</v>
      </c>
      <c r="B146" s="165"/>
      <c r="C146" s="165"/>
      <c r="D146" s="165"/>
      <c r="E146" s="165" t="s">
        <v>403</v>
      </c>
      <c r="F146" s="165"/>
      <c r="G146" s="165"/>
      <c r="H146" s="165"/>
      <c r="I146" s="165"/>
      <c r="J146" s="165"/>
      <c r="K146" s="165"/>
      <c r="L146" s="165"/>
      <c r="M146" s="165"/>
    </row>
    <row r="147" spans="1:13" s="67" customFormat="1" x14ac:dyDescent="0.2">
      <c r="A147" s="170" t="s">
        <v>402</v>
      </c>
      <c r="B147" s="170"/>
      <c r="C147" s="170"/>
      <c r="D147" s="170"/>
      <c r="E147" s="170" t="s">
        <v>25</v>
      </c>
      <c r="F147" s="170"/>
      <c r="G147" s="170"/>
      <c r="H147" s="170"/>
      <c r="I147" s="170"/>
      <c r="J147" s="170"/>
      <c r="K147" s="170"/>
      <c r="L147" s="170"/>
      <c r="M147" s="170"/>
    </row>
    <row r="148" spans="1:13" s="67" customFormat="1" x14ac:dyDescent="0.2">
      <c r="A148" s="165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</row>
    <row r="149" spans="1:13" s="67" customFormat="1" x14ac:dyDescent="0.2">
      <c r="A149" s="169" t="str">
        <f>'FORMULARIO 1'!A31:H31</f>
        <v>Yantzaza, 23 de abril de 2021</v>
      </c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</row>
  </sheetData>
  <mergeCells count="46">
    <mergeCell ref="A148:M148"/>
    <mergeCell ref="A149:M149"/>
    <mergeCell ref="A144:M144"/>
    <mergeCell ref="A145:M145"/>
    <mergeCell ref="A146:D146"/>
    <mergeCell ref="E146:M146"/>
    <mergeCell ref="A147:D147"/>
    <mergeCell ref="E147:M147"/>
    <mergeCell ref="A143:M143"/>
    <mergeCell ref="A132:B132"/>
    <mergeCell ref="A133:B133"/>
    <mergeCell ref="A134:M134"/>
    <mergeCell ref="A135:M135"/>
    <mergeCell ref="A136:M136"/>
    <mergeCell ref="A137:M137"/>
    <mergeCell ref="A138:M138"/>
    <mergeCell ref="A139:M139"/>
    <mergeCell ref="A140:M140"/>
    <mergeCell ref="A141:M141"/>
    <mergeCell ref="A142:M142"/>
    <mergeCell ref="A131:B131"/>
    <mergeCell ref="A114:B114"/>
    <mergeCell ref="A115:B115"/>
    <mergeCell ref="A119:B119"/>
    <mergeCell ref="A123:B123"/>
    <mergeCell ref="A124:B124"/>
    <mergeCell ref="A125:M125"/>
    <mergeCell ref="A126:B126"/>
    <mergeCell ref="A127:B127"/>
    <mergeCell ref="A128:B128"/>
    <mergeCell ref="A129:M129"/>
    <mergeCell ref="A130:H130"/>
    <mergeCell ref="A113:B113"/>
    <mergeCell ref="A1:M1"/>
    <mergeCell ref="A2:M2"/>
    <mergeCell ref="A3:M3"/>
    <mergeCell ref="A4:M4"/>
    <mergeCell ref="A5:M5"/>
    <mergeCell ref="A6:B6"/>
    <mergeCell ref="C6:H6"/>
    <mergeCell ref="I6:L6"/>
    <mergeCell ref="A8:B8"/>
    <mergeCell ref="A22:B22"/>
    <mergeCell ref="A59:B59"/>
    <mergeCell ref="A60:B60"/>
    <mergeCell ref="A70:B70"/>
  </mergeCells>
  <printOptions horizontalCentered="1"/>
  <pageMargins left="0.7" right="0.7" top="0.75" bottom="0.75" header="0.3" footer="0.3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FORMULARIO 1</vt:lpstr>
      <vt:lpstr>FORMULARIO 2</vt:lpstr>
      <vt:lpstr>CERTIFICACION</vt:lpstr>
      <vt:lpstr>FORMULARIO 3</vt:lpstr>
      <vt:lpstr>FORMULARIO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J&amp;S Asesoría y Consultoría</dc:creator>
  <cp:lastModifiedBy>J&amp;S Asesoría y Consultoría</cp:lastModifiedBy>
  <dcterms:created xsi:type="dcterms:W3CDTF">2021-04-23T13:27:19Z</dcterms:created>
  <dcterms:modified xsi:type="dcterms:W3CDTF">2021-04-23T16:15:03Z</dcterms:modified>
</cp:coreProperties>
</file>