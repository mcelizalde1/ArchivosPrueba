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PROPUESTA C COLECTIVO" sheetId="3" r:id="rId1"/>
    <sheet name="SU PERSIVIDO ACTUALMENTE" sheetId="6" r:id="rId2"/>
  </sheets>
  <calcPr calcId="144525"/>
</workbook>
</file>

<file path=xl/calcChain.xml><?xml version="1.0" encoding="utf-8"?>
<calcChain xmlns="http://schemas.openxmlformats.org/spreadsheetml/2006/main">
  <c r="O74" i="3" l="1"/>
  <c r="L17" i="3"/>
  <c r="L21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4" i="3"/>
  <c r="L33" i="3"/>
  <c r="L32" i="3"/>
  <c r="L31" i="3"/>
  <c r="L30" i="3"/>
  <c r="L29" i="3"/>
  <c r="L28" i="3"/>
  <c r="L25" i="3"/>
  <c r="L24" i="3"/>
  <c r="L23" i="3"/>
  <c r="L26" i="3" s="1"/>
  <c r="L20" i="3"/>
  <c r="L16" i="3"/>
  <c r="L15" i="3"/>
  <c r="L12" i="3"/>
  <c r="L11" i="3"/>
  <c r="L10" i="3"/>
  <c r="L9" i="3"/>
  <c r="J67" i="6"/>
  <c r="I67" i="6"/>
  <c r="E67" i="6"/>
  <c r="K66" i="6"/>
  <c r="F66" i="6"/>
  <c r="H66" i="6" s="1"/>
  <c r="K65" i="6"/>
  <c r="F65" i="6"/>
  <c r="L65" i="6" s="1"/>
  <c r="K64" i="6"/>
  <c r="F64" i="6"/>
  <c r="H64" i="6" s="1"/>
  <c r="K63" i="6"/>
  <c r="F63" i="6"/>
  <c r="M63" i="6" s="1"/>
  <c r="K62" i="6"/>
  <c r="F62" i="6"/>
  <c r="K61" i="6"/>
  <c r="F61" i="6"/>
  <c r="G61" i="6" s="1"/>
  <c r="F60" i="6"/>
  <c r="L60" i="6" s="1"/>
  <c r="K59" i="6"/>
  <c r="K60" i="6" s="1"/>
  <c r="F59" i="6"/>
  <c r="M59" i="6" s="1"/>
  <c r="M58" i="6"/>
  <c r="L58" i="6"/>
  <c r="K58" i="6"/>
  <c r="F58" i="6"/>
  <c r="H58" i="6" s="1"/>
  <c r="K57" i="6"/>
  <c r="F57" i="6"/>
  <c r="M57" i="6" s="1"/>
  <c r="L56" i="6"/>
  <c r="K56" i="6"/>
  <c r="H56" i="6"/>
  <c r="F56" i="6"/>
  <c r="G56" i="6" s="1"/>
  <c r="K55" i="6"/>
  <c r="F55" i="6"/>
  <c r="M55" i="6" s="1"/>
  <c r="F54" i="6"/>
  <c r="F53" i="6"/>
  <c r="L53" i="6" s="1"/>
  <c r="K52" i="6"/>
  <c r="K53" i="6" s="1"/>
  <c r="K54" i="6" s="1"/>
  <c r="F52" i="6"/>
  <c r="L52" i="6" s="1"/>
  <c r="K51" i="6"/>
  <c r="F51" i="6"/>
  <c r="M51" i="6" s="1"/>
  <c r="K50" i="6"/>
  <c r="F50" i="6"/>
  <c r="H50" i="6" s="1"/>
  <c r="K49" i="6"/>
  <c r="F49" i="6"/>
  <c r="K48" i="6"/>
  <c r="G48" i="6"/>
  <c r="F48" i="6"/>
  <c r="M48" i="6" s="1"/>
  <c r="K47" i="6"/>
  <c r="F47" i="6"/>
  <c r="M47" i="6" s="1"/>
  <c r="K46" i="6"/>
  <c r="F46" i="6"/>
  <c r="K45" i="6"/>
  <c r="F45" i="6"/>
  <c r="L45" i="6" s="1"/>
  <c r="K44" i="6"/>
  <c r="F44" i="6"/>
  <c r="L44" i="6" s="1"/>
  <c r="K43" i="6"/>
  <c r="F43" i="6"/>
  <c r="M43" i="6" s="1"/>
  <c r="K42" i="6"/>
  <c r="F42" i="6"/>
  <c r="H42" i="6" s="1"/>
  <c r="M41" i="6"/>
  <c r="L41" i="6"/>
  <c r="K41" i="6"/>
  <c r="F41" i="6"/>
  <c r="K40" i="6"/>
  <c r="F40" i="6"/>
  <c r="M40" i="6" s="1"/>
  <c r="F39" i="6"/>
  <c r="M39" i="6" s="1"/>
  <c r="K38" i="6"/>
  <c r="K39" i="6" s="1"/>
  <c r="F38" i="6"/>
  <c r="F37" i="6"/>
  <c r="L37" i="6" s="1"/>
  <c r="B36" i="6"/>
  <c r="J35" i="6"/>
  <c r="I35" i="6"/>
  <c r="E35" i="6"/>
  <c r="K34" i="6"/>
  <c r="K37" i="6" s="1"/>
  <c r="F34" i="6"/>
  <c r="M34" i="6" s="1"/>
  <c r="K33" i="6"/>
  <c r="F33" i="6"/>
  <c r="K32" i="6"/>
  <c r="F32" i="6"/>
  <c r="L32" i="6" s="1"/>
  <c r="K31" i="6"/>
  <c r="F31" i="6"/>
  <c r="L31" i="6" s="1"/>
  <c r="K30" i="6"/>
  <c r="F30" i="6"/>
  <c r="M30" i="6" s="1"/>
  <c r="K29" i="6"/>
  <c r="F29" i="6"/>
  <c r="G29" i="6" s="1"/>
  <c r="F28" i="6"/>
  <c r="B27" i="6"/>
  <c r="J26" i="6"/>
  <c r="I26" i="6"/>
  <c r="E26" i="6"/>
  <c r="K25" i="6"/>
  <c r="F25" i="6"/>
  <c r="M25" i="6" s="1"/>
  <c r="M24" i="6"/>
  <c r="K24" i="6"/>
  <c r="K28" i="6" s="1"/>
  <c r="F24" i="6"/>
  <c r="G24" i="6" s="1"/>
  <c r="K23" i="6"/>
  <c r="F23" i="6"/>
  <c r="M23" i="6" s="1"/>
  <c r="B22" i="6"/>
  <c r="J21" i="6"/>
  <c r="I21" i="6"/>
  <c r="E21" i="6"/>
  <c r="F20" i="6"/>
  <c r="M20" i="6" s="1"/>
  <c r="M21" i="6" s="1"/>
  <c r="J17" i="6"/>
  <c r="I17" i="6"/>
  <c r="E17" i="6"/>
  <c r="E18" i="6" s="1"/>
  <c r="K16" i="6"/>
  <c r="K20" i="6" s="1"/>
  <c r="K21" i="6" s="1"/>
  <c r="F16" i="6"/>
  <c r="M16" i="6" s="1"/>
  <c r="K15" i="6"/>
  <c r="F15" i="6"/>
  <c r="G15" i="6" s="1"/>
  <c r="B14" i="6"/>
  <c r="B18" i="6" s="1"/>
  <c r="J13" i="6"/>
  <c r="I13" i="6"/>
  <c r="E13" i="6"/>
  <c r="K12" i="6"/>
  <c r="F12" i="6"/>
  <c r="G12" i="6" s="1"/>
  <c r="M11" i="6"/>
  <c r="K11" i="6"/>
  <c r="F11" i="6"/>
  <c r="L11" i="6" s="1"/>
  <c r="K10" i="6"/>
  <c r="F10" i="6"/>
  <c r="G10" i="6" s="1"/>
  <c r="M9" i="6"/>
  <c r="K9" i="6"/>
  <c r="F9" i="6"/>
  <c r="H9" i="6" s="1"/>
  <c r="B8" i="6"/>
  <c r="G45" i="6" l="1"/>
  <c r="M56" i="6"/>
  <c r="N56" i="6" s="1"/>
  <c r="L43" i="6"/>
  <c r="M60" i="6"/>
  <c r="K35" i="6"/>
  <c r="H12" i="6"/>
  <c r="H10" i="6"/>
  <c r="L16" i="6"/>
  <c r="G20" i="6"/>
  <c r="G21" i="6" s="1"/>
  <c r="L12" i="6"/>
  <c r="H15" i="6"/>
  <c r="H20" i="6"/>
  <c r="H21" i="6" s="1"/>
  <c r="G30" i="6"/>
  <c r="B68" i="6"/>
  <c r="B69" i="6" s="1"/>
  <c r="M12" i="6"/>
  <c r="N12" i="6" s="1"/>
  <c r="K17" i="6"/>
  <c r="L20" i="6"/>
  <c r="L21" i="6" s="1"/>
  <c r="H30" i="6"/>
  <c r="G43" i="6"/>
  <c r="H48" i="6"/>
  <c r="L51" i="6"/>
  <c r="K13" i="6"/>
  <c r="L15" i="6"/>
  <c r="G37" i="6"/>
  <c r="H43" i="6"/>
  <c r="G60" i="6"/>
  <c r="H63" i="6"/>
  <c r="M15" i="6"/>
  <c r="J18" i="6"/>
  <c r="F21" i="6"/>
  <c r="L30" i="6"/>
  <c r="K67" i="6"/>
  <c r="H60" i="6"/>
  <c r="N60" i="6" s="1"/>
  <c r="I68" i="6"/>
  <c r="J68" i="6"/>
  <c r="H39" i="6"/>
  <c r="L66" i="6"/>
  <c r="M66" i="6"/>
  <c r="L64" i="6"/>
  <c r="M64" i="6"/>
  <c r="G64" i="6"/>
  <c r="L61" i="6"/>
  <c r="G59" i="6"/>
  <c r="H59" i="6"/>
  <c r="L59" i="6"/>
  <c r="N59" i="6" s="1"/>
  <c r="H55" i="6"/>
  <c r="L50" i="6"/>
  <c r="G52" i="6"/>
  <c r="L48" i="6"/>
  <c r="M50" i="6"/>
  <c r="H52" i="6"/>
  <c r="H47" i="6"/>
  <c r="G51" i="6"/>
  <c r="M52" i="6"/>
  <c r="H51" i="6"/>
  <c r="G44" i="6"/>
  <c r="H44" i="6"/>
  <c r="M44" i="6"/>
  <c r="G40" i="6"/>
  <c r="H40" i="6"/>
  <c r="L40" i="6"/>
  <c r="N40" i="6" s="1"/>
  <c r="L42" i="6"/>
  <c r="M42" i="6"/>
  <c r="N42" i="6" s="1"/>
  <c r="M31" i="6"/>
  <c r="G32" i="6"/>
  <c r="G31" i="6"/>
  <c r="H31" i="6"/>
  <c r="H34" i="6"/>
  <c r="H29" i="6"/>
  <c r="E68" i="6"/>
  <c r="E69" i="6" s="1"/>
  <c r="M29" i="6"/>
  <c r="L29" i="6"/>
  <c r="G25" i="6"/>
  <c r="H25" i="6"/>
  <c r="H24" i="6"/>
  <c r="L25" i="6"/>
  <c r="N25" i="6" s="1"/>
  <c r="L24" i="6"/>
  <c r="N24" i="6" s="1"/>
  <c r="M10" i="6"/>
  <c r="N10" i="6" s="1"/>
  <c r="L10" i="6"/>
  <c r="F13" i="6"/>
  <c r="L13" i="3"/>
  <c r="L18" i="3" s="1"/>
  <c r="L35" i="3"/>
  <c r="L68" i="3" s="1"/>
  <c r="L69" i="3" s="1"/>
  <c r="L67" i="3"/>
  <c r="J69" i="6"/>
  <c r="I69" i="6"/>
  <c r="M26" i="6"/>
  <c r="H49" i="6"/>
  <c r="G49" i="6"/>
  <c r="K26" i="6"/>
  <c r="H28" i="6"/>
  <c r="G28" i="6"/>
  <c r="M54" i="6"/>
  <c r="L54" i="6"/>
  <c r="H54" i="6"/>
  <c r="G54" i="6"/>
  <c r="H57" i="6"/>
  <c r="G57" i="6"/>
  <c r="F17" i="6"/>
  <c r="H16" i="6"/>
  <c r="H17" i="6" s="1"/>
  <c r="G16" i="6"/>
  <c r="G17" i="6" s="1"/>
  <c r="L23" i="6"/>
  <c r="F26" i="6"/>
  <c r="L28" i="6"/>
  <c r="L49" i="6"/>
  <c r="M62" i="6"/>
  <c r="L62" i="6"/>
  <c r="H62" i="6"/>
  <c r="G62" i="6"/>
  <c r="H65" i="6"/>
  <c r="G65" i="6"/>
  <c r="H11" i="6"/>
  <c r="G11" i="6"/>
  <c r="I18" i="6"/>
  <c r="M28" i="6"/>
  <c r="M33" i="6"/>
  <c r="L33" i="6"/>
  <c r="H33" i="6"/>
  <c r="G33" i="6"/>
  <c r="F67" i="6"/>
  <c r="M37" i="6"/>
  <c r="H37" i="6"/>
  <c r="M45" i="6"/>
  <c r="H45" i="6"/>
  <c r="M49" i="6"/>
  <c r="L57" i="6"/>
  <c r="M46" i="6"/>
  <c r="L46" i="6"/>
  <c r="H46" i="6"/>
  <c r="G46" i="6"/>
  <c r="F35" i="6"/>
  <c r="M53" i="6"/>
  <c r="H53" i="6"/>
  <c r="M61" i="6"/>
  <c r="H61" i="6"/>
  <c r="M65" i="6"/>
  <c r="H23" i="6"/>
  <c r="G23" i="6"/>
  <c r="G26" i="6" s="1"/>
  <c r="L9" i="6"/>
  <c r="G9" i="6"/>
  <c r="M32" i="6"/>
  <c r="H32" i="6"/>
  <c r="H41" i="6"/>
  <c r="G41" i="6"/>
  <c r="G53" i="6"/>
  <c r="M38" i="6"/>
  <c r="L38" i="6"/>
  <c r="H38" i="6"/>
  <c r="G38" i="6"/>
  <c r="G34" i="6"/>
  <c r="G39" i="6"/>
  <c r="G47" i="6"/>
  <c r="G55" i="6"/>
  <c r="G63" i="6"/>
  <c r="L34" i="6"/>
  <c r="L39" i="6"/>
  <c r="G42" i="6"/>
  <c r="L47" i="6"/>
  <c r="G50" i="6"/>
  <c r="L55" i="6"/>
  <c r="G58" i="6"/>
  <c r="N58" i="6" s="1"/>
  <c r="L63" i="6"/>
  <c r="G66" i="6"/>
  <c r="K12" i="3"/>
  <c r="H13" i="6" l="1"/>
  <c r="H18" i="6" s="1"/>
  <c r="N20" i="6"/>
  <c r="N21" i="6" s="1"/>
  <c r="F18" i="6"/>
  <c r="N50" i="6"/>
  <c r="N43" i="6"/>
  <c r="N41" i="6"/>
  <c r="N65" i="6"/>
  <c r="L17" i="6"/>
  <c r="K68" i="6"/>
  <c r="K69" i="6" s="1"/>
  <c r="N39" i="6"/>
  <c r="N52" i="6"/>
  <c r="M17" i="6"/>
  <c r="N15" i="6"/>
  <c r="N34" i="6"/>
  <c r="G13" i="6"/>
  <c r="G18" i="6" s="1"/>
  <c r="N63" i="6"/>
  <c r="N29" i="6"/>
  <c r="N44" i="6"/>
  <c r="N48" i="6"/>
  <c r="L26" i="6"/>
  <c r="N30" i="6"/>
  <c r="K18" i="6"/>
  <c r="N66" i="6"/>
  <c r="N64" i="6"/>
  <c r="N57" i="6"/>
  <c r="N47" i="6"/>
  <c r="G67" i="6"/>
  <c r="N51" i="6"/>
  <c r="N45" i="6"/>
  <c r="L67" i="6"/>
  <c r="N31" i="6"/>
  <c r="G35" i="6"/>
  <c r="H26" i="6"/>
  <c r="M13" i="6"/>
  <c r="L13" i="6"/>
  <c r="N9" i="6"/>
  <c r="M35" i="6"/>
  <c r="N28" i="6"/>
  <c r="N55" i="6"/>
  <c r="N53" i="6"/>
  <c r="H67" i="6"/>
  <c r="M67" i="6"/>
  <c r="N37" i="6"/>
  <c r="N62" i="6"/>
  <c r="N54" i="6"/>
  <c r="F68" i="6"/>
  <c r="F69" i="6" s="1"/>
  <c r="N11" i="6"/>
  <c r="N46" i="6"/>
  <c r="N23" i="6"/>
  <c r="N32" i="6"/>
  <c r="N49" i="6"/>
  <c r="L35" i="6"/>
  <c r="H35" i="6"/>
  <c r="N38" i="6"/>
  <c r="N61" i="6"/>
  <c r="N33" i="6"/>
  <c r="N16" i="6"/>
  <c r="J67" i="3"/>
  <c r="I67" i="3"/>
  <c r="E67" i="3"/>
  <c r="K66" i="3"/>
  <c r="F66" i="3"/>
  <c r="M65" i="3"/>
  <c r="K65" i="3"/>
  <c r="F65" i="3"/>
  <c r="N65" i="3" s="1"/>
  <c r="K64" i="3"/>
  <c r="F64" i="3"/>
  <c r="K63" i="3"/>
  <c r="F63" i="3"/>
  <c r="H63" i="3" s="1"/>
  <c r="K62" i="3"/>
  <c r="F62" i="3"/>
  <c r="G62" i="3" s="1"/>
  <c r="K61" i="3"/>
  <c r="F61" i="3"/>
  <c r="N61" i="3" s="1"/>
  <c r="F60" i="3"/>
  <c r="H60" i="3" s="1"/>
  <c r="K59" i="3"/>
  <c r="K60" i="3" s="1"/>
  <c r="F59" i="3"/>
  <c r="N59" i="3" s="1"/>
  <c r="F58" i="3"/>
  <c r="G58" i="3" s="1"/>
  <c r="K57" i="3"/>
  <c r="K58" i="3" s="1"/>
  <c r="F57" i="3"/>
  <c r="G57" i="3" s="1"/>
  <c r="K56" i="3"/>
  <c r="F56" i="3"/>
  <c r="M56" i="3" s="1"/>
  <c r="K55" i="3"/>
  <c r="F55" i="3"/>
  <c r="N55" i="3" s="1"/>
  <c r="F54" i="3"/>
  <c r="G54" i="3" s="1"/>
  <c r="F53" i="3"/>
  <c r="M53" i="3" s="1"/>
  <c r="K52" i="3"/>
  <c r="K53" i="3" s="1"/>
  <c r="K54" i="3" s="1"/>
  <c r="F52" i="3"/>
  <c r="H52" i="3" s="1"/>
  <c r="K51" i="3"/>
  <c r="F51" i="3"/>
  <c r="K50" i="3"/>
  <c r="F50" i="3"/>
  <c r="K49" i="3"/>
  <c r="F49" i="3"/>
  <c r="N49" i="3" s="1"/>
  <c r="K48" i="3"/>
  <c r="F48" i="3"/>
  <c r="K47" i="3"/>
  <c r="F47" i="3"/>
  <c r="N47" i="3" s="1"/>
  <c r="K46" i="3"/>
  <c r="F46" i="3"/>
  <c r="G46" i="3" s="1"/>
  <c r="K45" i="3"/>
  <c r="F45" i="3"/>
  <c r="N45" i="3" s="1"/>
  <c r="K44" i="3"/>
  <c r="F44" i="3"/>
  <c r="H44" i="3" s="1"/>
  <c r="K43" i="3"/>
  <c r="F43" i="3"/>
  <c r="M43" i="3" s="1"/>
  <c r="K42" i="3"/>
  <c r="F42" i="3"/>
  <c r="G42" i="3" s="1"/>
  <c r="K41" i="3"/>
  <c r="F41" i="3"/>
  <c r="K40" i="3"/>
  <c r="F40" i="3"/>
  <c r="N40" i="3" s="1"/>
  <c r="F39" i="3"/>
  <c r="H39" i="3" s="1"/>
  <c r="N38" i="3"/>
  <c r="K38" i="3"/>
  <c r="K39" i="3" s="1"/>
  <c r="F38" i="3"/>
  <c r="G38" i="3" s="1"/>
  <c r="F37" i="3"/>
  <c r="B36" i="3"/>
  <c r="J35" i="3"/>
  <c r="I35" i="3"/>
  <c r="E35" i="3"/>
  <c r="K34" i="3"/>
  <c r="K37" i="3" s="1"/>
  <c r="F34" i="3"/>
  <c r="H34" i="3" s="1"/>
  <c r="K33" i="3"/>
  <c r="F33" i="3"/>
  <c r="G33" i="3" s="1"/>
  <c r="K32" i="3"/>
  <c r="F32" i="3"/>
  <c r="K31" i="3"/>
  <c r="F31" i="3"/>
  <c r="H31" i="3" s="1"/>
  <c r="K30" i="3"/>
  <c r="F30" i="3"/>
  <c r="M30" i="3" s="1"/>
  <c r="K29" i="3"/>
  <c r="F29" i="3"/>
  <c r="H29" i="3" s="1"/>
  <c r="F28" i="3"/>
  <c r="N28" i="3" s="1"/>
  <c r="B27" i="3"/>
  <c r="J26" i="3"/>
  <c r="I26" i="3"/>
  <c r="E26" i="3"/>
  <c r="K25" i="3"/>
  <c r="F25" i="3"/>
  <c r="M25" i="3" s="1"/>
  <c r="K24" i="3"/>
  <c r="K28" i="3" s="1"/>
  <c r="F24" i="3"/>
  <c r="G24" i="3" s="1"/>
  <c r="K23" i="3"/>
  <c r="F23" i="3"/>
  <c r="N23" i="3" s="1"/>
  <c r="B22" i="3"/>
  <c r="J21" i="3"/>
  <c r="I21" i="3"/>
  <c r="E21" i="3"/>
  <c r="F20" i="3"/>
  <c r="M20" i="3" s="1"/>
  <c r="M21" i="3" s="1"/>
  <c r="J17" i="3"/>
  <c r="I17" i="3"/>
  <c r="E17" i="3"/>
  <c r="K16" i="3"/>
  <c r="K20" i="3" s="1"/>
  <c r="K21" i="3" s="1"/>
  <c r="F16" i="3"/>
  <c r="M16" i="3" s="1"/>
  <c r="K15" i="3"/>
  <c r="F15" i="3"/>
  <c r="B14" i="3"/>
  <c r="J13" i="3"/>
  <c r="J18" i="3" s="1"/>
  <c r="I13" i="3"/>
  <c r="E13" i="3"/>
  <c r="F12" i="3"/>
  <c r="M12" i="3" s="1"/>
  <c r="K11" i="3"/>
  <c r="F11" i="3"/>
  <c r="N11" i="3" s="1"/>
  <c r="K10" i="3"/>
  <c r="F10" i="3"/>
  <c r="G10" i="3" s="1"/>
  <c r="K9" i="3"/>
  <c r="F9" i="3"/>
  <c r="N9" i="3" s="1"/>
  <c r="B8" i="3"/>
  <c r="L18" i="6" l="1"/>
  <c r="M18" i="6"/>
  <c r="G68" i="6"/>
  <c r="G69" i="6" s="1"/>
  <c r="L68" i="6"/>
  <c r="M68" i="6"/>
  <c r="H68" i="6"/>
  <c r="H69" i="6" s="1"/>
  <c r="I18" i="3"/>
  <c r="N34" i="3"/>
  <c r="M38" i="3"/>
  <c r="N46" i="3"/>
  <c r="H59" i="3"/>
  <c r="M62" i="3"/>
  <c r="M33" i="3"/>
  <c r="N44" i="3"/>
  <c r="N56" i="3"/>
  <c r="H9" i="3"/>
  <c r="N30" i="3"/>
  <c r="N33" i="3"/>
  <c r="G43" i="3"/>
  <c r="M63" i="3"/>
  <c r="H40" i="3"/>
  <c r="H43" i="3"/>
  <c r="N63" i="3"/>
  <c r="M10" i="3"/>
  <c r="N10" i="3"/>
  <c r="H24" i="3"/>
  <c r="M34" i="3"/>
  <c r="H38" i="3"/>
  <c r="O38" i="3" s="1"/>
  <c r="N43" i="3"/>
  <c r="M46" i="3"/>
  <c r="H62" i="3"/>
  <c r="B18" i="3"/>
  <c r="G49" i="3"/>
  <c r="G23" i="3"/>
  <c r="H25" i="3"/>
  <c r="N31" i="3"/>
  <c r="M45" i="3"/>
  <c r="G47" i="3"/>
  <c r="G55" i="3"/>
  <c r="M9" i="3"/>
  <c r="H11" i="3"/>
  <c r="K26" i="3"/>
  <c r="H47" i="3"/>
  <c r="H49" i="3"/>
  <c r="G52" i="3"/>
  <c r="H55" i="3"/>
  <c r="O55" i="3" s="1"/>
  <c r="N62" i="3"/>
  <c r="M23" i="3"/>
  <c r="N25" i="3"/>
  <c r="G34" i="3"/>
  <c r="G44" i="3"/>
  <c r="M11" i="3"/>
  <c r="H46" i="3"/>
  <c r="M47" i="3"/>
  <c r="O47" i="3" s="1"/>
  <c r="M49" i="3"/>
  <c r="M52" i="3"/>
  <c r="M55" i="3"/>
  <c r="M61" i="3"/>
  <c r="G63" i="3"/>
  <c r="O63" i="3" s="1"/>
  <c r="G65" i="3"/>
  <c r="H10" i="3"/>
  <c r="H33" i="3"/>
  <c r="G40" i="3"/>
  <c r="M44" i="3"/>
  <c r="N52" i="3"/>
  <c r="H65" i="3"/>
  <c r="N26" i="6"/>
  <c r="N35" i="6"/>
  <c r="N17" i="6"/>
  <c r="N13" i="6"/>
  <c r="N67" i="6"/>
  <c r="N53" i="3"/>
  <c r="N39" i="3"/>
  <c r="M39" i="3"/>
  <c r="F35" i="3"/>
  <c r="E18" i="3"/>
  <c r="M60" i="3"/>
  <c r="N60" i="3"/>
  <c r="G60" i="3"/>
  <c r="H54" i="3"/>
  <c r="M54" i="3"/>
  <c r="N54" i="3"/>
  <c r="G39" i="3"/>
  <c r="G28" i="3"/>
  <c r="H28" i="3"/>
  <c r="M28" i="3"/>
  <c r="G20" i="3"/>
  <c r="G21" i="3" s="1"/>
  <c r="N20" i="3"/>
  <c r="E68" i="3"/>
  <c r="H12" i="3"/>
  <c r="F13" i="3"/>
  <c r="N12" i="3"/>
  <c r="F17" i="3"/>
  <c r="G15" i="3"/>
  <c r="N15" i="3"/>
  <c r="K67" i="3"/>
  <c r="H15" i="3"/>
  <c r="N41" i="3"/>
  <c r="G41" i="3"/>
  <c r="M41" i="3"/>
  <c r="M64" i="3"/>
  <c r="G64" i="3"/>
  <c r="N64" i="3"/>
  <c r="K17" i="3"/>
  <c r="H41" i="3"/>
  <c r="M51" i="3"/>
  <c r="G51" i="3"/>
  <c r="N51" i="3"/>
  <c r="H51" i="3"/>
  <c r="H64" i="3"/>
  <c r="M15" i="3"/>
  <c r="M17" i="3" s="1"/>
  <c r="K13" i="3"/>
  <c r="N16" i="3"/>
  <c r="G16" i="3"/>
  <c r="M48" i="3"/>
  <c r="G48" i="3"/>
  <c r="N48" i="3"/>
  <c r="H16" i="3"/>
  <c r="H48" i="3"/>
  <c r="N57" i="3"/>
  <c r="M57" i="3"/>
  <c r="H57" i="3"/>
  <c r="H32" i="3"/>
  <c r="G32" i="3"/>
  <c r="H37" i="3"/>
  <c r="G37" i="3"/>
  <c r="F67" i="3"/>
  <c r="N29" i="3"/>
  <c r="M29" i="3"/>
  <c r="G30" i="3"/>
  <c r="G31" i="3"/>
  <c r="I68" i="3"/>
  <c r="I69" i="3" s="1"/>
  <c r="M40" i="3"/>
  <c r="O40" i="3" s="1"/>
  <c r="H45" i="3"/>
  <c r="G45" i="3"/>
  <c r="N50" i="3"/>
  <c r="M50" i="3"/>
  <c r="H50" i="3"/>
  <c r="G56" i="3"/>
  <c r="H61" i="3"/>
  <c r="G61" i="3"/>
  <c r="N66" i="3"/>
  <c r="M66" i="3"/>
  <c r="H66" i="3"/>
  <c r="G9" i="3"/>
  <c r="G11" i="3"/>
  <c r="G12" i="3"/>
  <c r="B68" i="3"/>
  <c r="N24" i="3"/>
  <c r="M24" i="3"/>
  <c r="G25" i="3"/>
  <c r="F26" i="3"/>
  <c r="G29" i="3"/>
  <c r="H30" i="3"/>
  <c r="M32" i="3"/>
  <c r="M37" i="3"/>
  <c r="G50" i="3"/>
  <c r="H56" i="3"/>
  <c r="G66" i="3"/>
  <c r="J68" i="3"/>
  <c r="J69" i="3" s="1"/>
  <c r="F21" i="3"/>
  <c r="M31" i="3"/>
  <c r="N32" i="3"/>
  <c r="N37" i="3"/>
  <c r="N42" i="3"/>
  <c r="M42" i="3"/>
  <c r="M59" i="3"/>
  <c r="G59" i="3"/>
  <c r="H20" i="3"/>
  <c r="H21" i="3" s="1"/>
  <c r="H23" i="3"/>
  <c r="K35" i="3"/>
  <c r="H42" i="3"/>
  <c r="H53" i="3"/>
  <c r="G53" i="3"/>
  <c r="N58" i="3"/>
  <c r="M58" i="3"/>
  <c r="H58" i="3"/>
  <c r="M69" i="6" l="1"/>
  <c r="L69" i="6"/>
  <c r="O43" i="3"/>
  <c r="O44" i="3"/>
  <c r="O30" i="3"/>
  <c r="M13" i="3"/>
  <c r="O46" i="3"/>
  <c r="O34" i="3"/>
  <c r="M26" i="3"/>
  <c r="O28" i="3"/>
  <c r="H35" i="3"/>
  <c r="O65" i="3"/>
  <c r="O66" i="3"/>
  <c r="O24" i="3"/>
  <c r="O61" i="3"/>
  <c r="B69" i="3"/>
  <c r="O11" i="3"/>
  <c r="H26" i="3"/>
  <c r="O56" i="3"/>
  <c r="O23" i="3"/>
  <c r="O9" i="3"/>
  <c r="O33" i="3"/>
  <c r="O49" i="3"/>
  <c r="O62" i="3"/>
  <c r="O54" i="3"/>
  <c r="O59" i="3"/>
  <c r="O10" i="3"/>
  <c r="O45" i="3"/>
  <c r="O48" i="3"/>
  <c r="O25" i="3"/>
  <c r="O58" i="3"/>
  <c r="M18" i="3"/>
  <c r="N13" i="3"/>
  <c r="O12" i="3"/>
  <c r="O64" i="3"/>
  <c r="O15" i="3"/>
  <c r="H13" i="3"/>
  <c r="O50" i="3"/>
  <c r="O29" i="3"/>
  <c r="O51" i="3"/>
  <c r="G17" i="3"/>
  <c r="O39" i="3"/>
  <c r="O52" i="3"/>
  <c r="O42" i="3"/>
  <c r="O57" i="3"/>
  <c r="O16" i="3"/>
  <c r="N21" i="3"/>
  <c r="O20" i="3"/>
  <c r="O53" i="3"/>
  <c r="O37" i="3"/>
  <c r="O32" i="3"/>
  <c r="O41" i="3"/>
  <c r="O60" i="3"/>
  <c r="O31" i="3"/>
  <c r="N18" i="6"/>
  <c r="N68" i="6"/>
  <c r="M35" i="3"/>
  <c r="E69" i="3"/>
  <c r="F18" i="3"/>
  <c r="G13" i="3"/>
  <c r="G67" i="3"/>
  <c r="M67" i="3"/>
  <c r="N26" i="3"/>
  <c r="H67" i="3"/>
  <c r="G26" i="3"/>
  <c r="K18" i="3"/>
  <c r="H17" i="3"/>
  <c r="G35" i="3"/>
  <c r="K68" i="3"/>
  <c r="N67" i="3"/>
  <c r="N35" i="3"/>
  <c r="F68" i="3"/>
  <c r="N17" i="3"/>
  <c r="N18" i="3" l="1"/>
  <c r="H18" i="3"/>
  <c r="H68" i="3"/>
  <c r="G18" i="3"/>
  <c r="M68" i="3"/>
  <c r="M69" i="3" s="1"/>
  <c r="N69" i="6"/>
  <c r="G68" i="3"/>
  <c r="F69" i="3"/>
  <c r="O26" i="3"/>
  <c r="O13" i="3"/>
  <c r="O67" i="3"/>
  <c r="O21" i="3"/>
  <c r="N68" i="3"/>
  <c r="O17" i="3"/>
  <c r="K69" i="3"/>
  <c r="O35" i="3"/>
  <c r="G69" i="3" l="1"/>
  <c r="N69" i="3"/>
  <c r="H69" i="3"/>
  <c r="O68" i="3"/>
  <c r="O18" i="3"/>
  <c r="O69" i="3" l="1"/>
  <c r="O73" i="3" s="1"/>
  <c r="O75" i="3" s="1"/>
</calcChain>
</file>

<file path=xl/sharedStrings.xml><?xml version="1.0" encoding="utf-8"?>
<sst xmlns="http://schemas.openxmlformats.org/spreadsheetml/2006/main" count="382" uniqueCount="165">
  <si>
    <t xml:space="preserve">GOBIERNO AUTONOMO DESCENTRALIZADO DEL CANTON CENTINELA DEL CONDOR </t>
  </si>
  <si>
    <t>DIRECCION FINANCIERA</t>
  </si>
  <si>
    <t xml:space="preserve">Nro. DE  </t>
  </si>
  <si>
    <t>SALARIO</t>
  </si>
  <si>
    <t>FONDOS</t>
  </si>
  <si>
    <t>DECIMO</t>
  </si>
  <si>
    <t>SUBSIDIO</t>
  </si>
  <si>
    <t xml:space="preserve">APORTE </t>
  </si>
  <si>
    <t>IECE</t>
  </si>
  <si>
    <t>PRESUPUESTO</t>
  </si>
  <si>
    <t>PARTIDA</t>
  </si>
  <si>
    <t>JORNA</t>
  </si>
  <si>
    <t>DENOMINACION DEL CARGO</t>
  </si>
  <si>
    <t>UNIFICADA</t>
  </si>
  <si>
    <t>ANUAL</t>
  </si>
  <si>
    <t>DE</t>
  </si>
  <si>
    <t>TERCERO</t>
  </si>
  <si>
    <t xml:space="preserve">DE </t>
  </si>
  <si>
    <t xml:space="preserve">CARGAS </t>
  </si>
  <si>
    <t>CUARTO</t>
  </si>
  <si>
    <t xml:space="preserve">PATRTONAL </t>
  </si>
  <si>
    <t>LEROS</t>
  </si>
  <si>
    <t>RESERVA</t>
  </si>
  <si>
    <t>ANTIGÜEDAD</t>
  </si>
  <si>
    <t>FAMILIAR</t>
  </si>
  <si>
    <t>PROGRAMA1.- ADMINISTRACIÓN GENERAL</t>
  </si>
  <si>
    <t>111.51.01.06.01</t>
  </si>
  <si>
    <t>GRANDA GRANDA ENMA LUCILA</t>
  </si>
  <si>
    <t>111.51.01.06.02</t>
  </si>
  <si>
    <t>SARANGO QUEZADA MANUEL DE JESUS</t>
  </si>
  <si>
    <t>111.51.01.06.03</t>
  </si>
  <si>
    <t>SARANGO PINZÒN GLANDER VINICIO</t>
  </si>
  <si>
    <t>111.51.01.06.04</t>
  </si>
  <si>
    <t>OBANDO CALDERON MERCY YAQUELINE</t>
  </si>
  <si>
    <t>SUB TOTAL</t>
  </si>
  <si>
    <t>PROGRAMA. 3.- JUST.POLIC.Y VIGILANCIA</t>
  </si>
  <si>
    <t>131.51.01.06.01</t>
  </si>
  <si>
    <t>ORTIZ ALVAREZ JULIO RIGOBERTO</t>
  </si>
  <si>
    <t>Policía Municipal</t>
  </si>
  <si>
    <t>131.51.01.06.02</t>
  </si>
  <si>
    <t>ALULIMA MINGA JOSE EDUARDO</t>
  </si>
  <si>
    <t>TOTAL GASTO CORRIENTE</t>
  </si>
  <si>
    <t>PROG. 2.- CANALIZACIÒN Y ALCANTARILLADO</t>
  </si>
  <si>
    <t>321.71.01.06.01</t>
  </si>
  <si>
    <t>VEGA RODRIGUEZ DARWIN EFREN</t>
  </si>
  <si>
    <t>PROG. 3.- ABASTECIMIENTO DE AGUA POTABLE</t>
  </si>
  <si>
    <t>331.71.01.06.01</t>
  </si>
  <si>
    <t>CALVA ALVAREZ LEONSO ANGEL</t>
  </si>
  <si>
    <t>331.71.01.06.02</t>
  </si>
  <si>
    <t>SOTO VALAREZO MARINO ALBERTO</t>
  </si>
  <si>
    <t>331.71.01.06.03</t>
  </si>
  <si>
    <t>ALVAREZ ALVAREZ MANUEL EDILSON</t>
  </si>
  <si>
    <t>PROG. 4.- DEPART. DES. COMUNITARIO, TURISMO Y GESTION AMBIENTAL</t>
  </si>
  <si>
    <t>341.71.01.06.01</t>
  </si>
  <si>
    <t>PACCHA CUENCA LUCIO ERDULFO</t>
  </si>
  <si>
    <t>341.71.01.06.02</t>
  </si>
  <si>
    <t>TILLAGUANGO JIMENEZ PORFIRIO MARTIN</t>
  </si>
  <si>
    <t>341.71.01.06.03</t>
  </si>
  <si>
    <t>GAHONA ESTALIN PATRICIO</t>
  </si>
  <si>
    <t>341.71.01.06.04</t>
  </si>
  <si>
    <t>JIMENEZ GRANDA JOSELITO</t>
  </si>
  <si>
    <t>341.71.01.06.05</t>
  </si>
  <si>
    <t>GUAMAN PADILLA LUIS MONFILIO</t>
  </si>
  <si>
    <t>341.71.01.06.06</t>
  </si>
  <si>
    <t>MICHAY CURIPOMA FLORESMILO ADALBERTO</t>
  </si>
  <si>
    <t>341.71.01.06.07</t>
  </si>
  <si>
    <t>COELLO JARAMILLO MAXIMO AGUSTIN</t>
  </si>
  <si>
    <t>PROG. 5.- OTROS SERV. COMUNALES</t>
  </si>
  <si>
    <t>351.71.01.06.01</t>
  </si>
  <si>
    <t>351.71.01.06.02</t>
  </si>
  <si>
    <t>MEDINA MEDINA WILLAN MAURICIO</t>
  </si>
  <si>
    <t>Operador Retroexcavadora</t>
  </si>
  <si>
    <t>351.71.01.06.03</t>
  </si>
  <si>
    <t>Operador Rodillo</t>
  </si>
  <si>
    <t>351.71.01.06.04</t>
  </si>
  <si>
    <t>ORDOÑEZ CORONEL BYRON LEONARDO</t>
  </si>
  <si>
    <t>351.71.01.06.05</t>
  </si>
  <si>
    <t>CALVA ALVAREZ OLGER IVAN</t>
  </si>
  <si>
    <t>351.71.01.06.06</t>
  </si>
  <si>
    <t>JIMENEZ AVILA ADAN EUGENIO</t>
  </si>
  <si>
    <t>351.71.01.06.07</t>
  </si>
  <si>
    <t>LEON MALDONADO CRISTHIAN ADAN</t>
  </si>
  <si>
    <t>351.71.01.06.08</t>
  </si>
  <si>
    <t>LOPEZ DELGADO NELSON RAMIRO</t>
  </si>
  <si>
    <t>351.71.01.06.09</t>
  </si>
  <si>
    <t>COELLO GUEVARA VICTOR ALONZO</t>
  </si>
  <si>
    <t>351.71.01.06.10</t>
  </si>
  <si>
    <t>JARAMILLO VEGA BOLIVAR ORLANDO</t>
  </si>
  <si>
    <t>351.71.01.06.11</t>
  </si>
  <si>
    <t xml:space="preserve">ALVAREZ CALVA DIEGO FABIAN </t>
  </si>
  <si>
    <t>351.71.01.06.12</t>
  </si>
  <si>
    <t>ROCILLO MORA HUGO ORLANDO</t>
  </si>
  <si>
    <t>351.71.01.06.13</t>
  </si>
  <si>
    <t>RODRIGUEZ BERRU JULIO HERMEL</t>
  </si>
  <si>
    <t>351.71.01.06.14</t>
  </si>
  <si>
    <t>GAHONA BERNARDO CRISTOBAL</t>
  </si>
  <si>
    <t>351.71.01.06.15</t>
  </si>
  <si>
    <t>QUEZADA BIÑAN JHONI ISMAEL</t>
  </si>
  <si>
    <t>351.71.01.06.16</t>
  </si>
  <si>
    <t>ALVAREZ OJEDA CARLOS ENRIQUE</t>
  </si>
  <si>
    <t>351.71.01.06.17</t>
  </si>
  <si>
    <t>PESANTES MASACHE WILSON ANTONIO</t>
  </si>
  <si>
    <t>351.71.01.06.18</t>
  </si>
  <si>
    <t>LEÓN KENEZEVICH RAMON ADAN</t>
  </si>
  <si>
    <t>351.71.01.06.19</t>
  </si>
  <si>
    <t>CONDE CUESTAS CARLOS HUMBERTO</t>
  </si>
  <si>
    <t>Jefe de Trabajos</t>
  </si>
  <si>
    <t>351.71.01.06.20</t>
  </si>
  <si>
    <t>TORRES ALVARADO RAUL ALTEMAR</t>
  </si>
  <si>
    <t>Mecánico</t>
  </si>
  <si>
    <t>351.71.01.06.21</t>
  </si>
  <si>
    <t>TORRES CHAMBA WAGNER GERMAN</t>
  </si>
  <si>
    <t>Ayudante de Mecánica</t>
  </si>
  <si>
    <t>351.71.01.06.22</t>
  </si>
  <si>
    <t>LAPO ROBALINO MANUEL ALCIVAR</t>
  </si>
  <si>
    <t>Carpintero</t>
  </si>
  <si>
    <t>351.71.01.06.23</t>
  </si>
  <si>
    <t>TINITANA CAÑAR ROBERTO WILLAN</t>
  </si>
  <si>
    <t>Cerrajero</t>
  </si>
  <si>
    <t>351.71.01.06.24</t>
  </si>
  <si>
    <t>MALDONADO BRICEÑO WILSON</t>
  </si>
  <si>
    <t>Soldador</t>
  </si>
  <si>
    <t>351.71.01.06.25</t>
  </si>
  <si>
    <t>JARAMILLO PILLAJO ANGEL IVAN</t>
  </si>
  <si>
    <t>Cadenero</t>
  </si>
  <si>
    <t>351.71.01.06.26</t>
  </si>
  <si>
    <t>CALVA CALVA LUDER</t>
  </si>
  <si>
    <t>351.71.01.06.27</t>
  </si>
  <si>
    <t>351.71.01.06.28</t>
  </si>
  <si>
    <t>CABRERA TANDAZO SEGUNDO ROSALINO</t>
  </si>
  <si>
    <t>351.71.01.06.29</t>
  </si>
  <si>
    <t>MALLA CAMACHO ALFREDO ELIBERTO</t>
  </si>
  <si>
    <t>351.71.01.06.30</t>
  </si>
  <si>
    <t>TOTAL SALARIOS UNIFICADOS INVERSION</t>
  </si>
  <si>
    <t>TOTAL SALARIOS UNIFICADOS CTES E INVERSION</t>
  </si>
  <si>
    <t>Auxiliar de Servicios</t>
  </si>
  <si>
    <t>Jornalero de OPM</t>
  </si>
  <si>
    <t>Peon Barrendero</t>
  </si>
  <si>
    <t>Auxiliar de Mantenimiento de Sistemas de Agua Potable</t>
  </si>
  <si>
    <t>Auxiliar de Servicios de Limpìeza</t>
  </si>
  <si>
    <t>Jornalero de Recolecciòn</t>
  </si>
  <si>
    <t>Jornalero de Centro de Reciclaje</t>
  </si>
  <si>
    <t>Auxiliar de Servicios (Balneario Municipal)</t>
  </si>
  <si>
    <t>JIMENEZ JIMENEZ LEONARDO</t>
  </si>
  <si>
    <t xml:space="preserve">Operador Excavadora </t>
  </si>
  <si>
    <t>VACANTE</t>
  </si>
  <si>
    <t>Operador  Motoniveladora</t>
  </si>
  <si>
    <t>Operador  Retroexcavadora</t>
  </si>
  <si>
    <t>Operador Excavadora</t>
  </si>
  <si>
    <t xml:space="preserve">Operador  Tractor </t>
  </si>
  <si>
    <t>Chofer de Vehiculo Livianos</t>
  </si>
  <si>
    <t>Capataz</t>
  </si>
  <si>
    <t>Jornalero de Obras Publicas</t>
  </si>
  <si>
    <t>MENDOZA JIMENEZ RODOLFO SALUSTINO</t>
  </si>
  <si>
    <t>Albañil</t>
  </si>
  <si>
    <t>Ayudante de Albañil</t>
  </si>
  <si>
    <t>SARANGO CHUQUIMARCA LUIS AURELIO</t>
  </si>
  <si>
    <t>ALIMENTACION</t>
  </si>
  <si>
    <t>TOTAL PROPUESTA</t>
  </si>
  <si>
    <t>TOTAL SALARIOS ACTUALES</t>
  </si>
  <si>
    <t>Elab. Irene Morillo</t>
  </si>
  <si>
    <t>ASIST. FINANCIERO</t>
  </si>
  <si>
    <t>DIFERENCIA :</t>
  </si>
  <si>
    <t>DISTRIBUTIVO DE SALARIOS UNIFICADAS  DE TRABAJADORES  PARA PROPUESTA DEL SINDICATO  AÑO 2015</t>
  </si>
  <si>
    <t>DISTRIBUTIVO DE SALARIOS UNIFICADAS  DE TRABAJADORES PERCIBIDOS ACTUALMENTE  AÑO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</si>
</sst>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_ ;\-0\ "/>
    <numFmt numFmtId="165" formatCode="_ * #,##0_ ;_ * \-#,##0_ ;_ * &quot;-&quot;??_ ;_ @_ "/>
    <numFmt numFmtId="166" formatCode="#,##0_ ;\-#,##0\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ahoma"/>
      <family val="2"/>
    </font>
    <font>
      <sz val="12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name val="Tahoma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sz val="8"/>
      <color indexed="8"/>
      <name val="Tahoma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Tahoma"/>
      <family val="2"/>
    </font>
    <font>
      <b/>
      <sz val="8"/>
      <color rgb="FFFF0000"/>
      <name val="Tahoma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9" fontId="5" fillId="0" borderId="5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/>
    </xf>
    <xf numFmtId="165" fontId="4" fillId="0" borderId="7" xfId="1" applyNumberFormat="1" applyFont="1" applyBorder="1" applyAlignment="1">
      <alignment horizontal="center" wrapText="1"/>
    </xf>
    <xf numFmtId="166" fontId="5" fillId="0" borderId="7" xfId="1" applyNumberFormat="1" applyFont="1" applyBorder="1" applyAlignment="1">
      <alignment horizontal="center"/>
    </xf>
    <xf numFmtId="4" fontId="4" fillId="0" borderId="7" xfId="1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7" fillId="2" borderId="9" xfId="0" applyFont="1" applyFill="1" applyBorder="1"/>
    <xf numFmtId="4" fontId="6" fillId="2" borderId="9" xfId="0" applyNumberFormat="1" applyFont="1" applyFill="1" applyBorder="1"/>
    <xf numFmtId="4" fontId="4" fillId="2" borderId="11" xfId="0" applyNumberFormat="1" applyFont="1" applyFill="1" applyBorder="1" applyAlignment="1">
      <alignment horizontal="right"/>
    </xf>
    <xf numFmtId="4" fontId="13" fillId="2" borderId="11" xfId="0" applyNumberFormat="1" applyFont="1" applyFill="1" applyBorder="1"/>
    <xf numFmtId="0" fontId="13" fillId="2" borderId="11" xfId="0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3" fontId="4" fillId="3" borderId="7" xfId="1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center"/>
    </xf>
    <xf numFmtId="0" fontId="6" fillId="2" borderId="9" xfId="0" applyFont="1" applyFill="1" applyBorder="1"/>
    <xf numFmtId="0" fontId="6" fillId="2" borderId="10" xfId="0" applyFont="1" applyFill="1" applyBorder="1"/>
    <xf numFmtId="0" fontId="6" fillId="2" borderId="8" xfId="0" applyFont="1" applyFill="1" applyBorder="1"/>
    <xf numFmtId="0" fontId="4" fillId="2" borderId="8" xfId="0" applyFont="1" applyFill="1" applyBorder="1" applyAlignment="1">
      <alignment horizontal="right"/>
    </xf>
    <xf numFmtId="0" fontId="4" fillId="2" borderId="11" xfId="0" applyFont="1" applyFill="1" applyBorder="1" applyAlignment="1">
      <alignment horizontal="center"/>
    </xf>
    <xf numFmtId="0" fontId="4" fillId="2" borderId="11" xfId="0" applyFont="1" applyFill="1" applyBorder="1"/>
    <xf numFmtId="4" fontId="4" fillId="2" borderId="11" xfId="0" applyNumberFormat="1" applyFont="1" applyFill="1" applyBorder="1"/>
    <xf numFmtId="0" fontId="7" fillId="2" borderId="8" xfId="0" applyFont="1" applyFill="1" applyBorder="1"/>
    <xf numFmtId="0" fontId="8" fillId="2" borderId="9" xfId="0" applyFont="1" applyFill="1" applyBorder="1"/>
    <xf numFmtId="0" fontId="13" fillId="2" borderId="9" xfId="0" applyFont="1" applyFill="1" applyBorder="1"/>
    <xf numFmtId="0" fontId="6" fillId="2" borderId="4" xfId="0" applyFont="1" applyFill="1" applyBorder="1"/>
    <xf numFmtId="0" fontId="4" fillId="2" borderId="11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left"/>
    </xf>
    <xf numFmtId="0" fontId="6" fillId="4" borderId="4" xfId="0" applyFont="1" applyFill="1" applyBorder="1"/>
    <xf numFmtId="0" fontId="8" fillId="4" borderId="13" xfId="0" applyFont="1" applyFill="1" applyBorder="1" applyAlignment="1">
      <alignment horizontal="center"/>
    </xf>
    <xf numFmtId="0" fontId="6" fillId="4" borderId="13" xfId="0" applyFont="1" applyFill="1" applyBorder="1"/>
    <xf numFmtId="0" fontId="7" fillId="4" borderId="13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right"/>
    </xf>
    <xf numFmtId="0" fontId="8" fillId="4" borderId="11" xfId="0" applyFont="1" applyFill="1" applyBorder="1" applyAlignment="1">
      <alignment horizontal="center"/>
    </xf>
    <xf numFmtId="0" fontId="4" fillId="4" borderId="11" xfId="0" applyFont="1" applyFill="1" applyBorder="1"/>
    <xf numFmtId="4" fontId="4" fillId="4" borderId="11" xfId="0" applyNumberFormat="1" applyFont="1" applyFill="1" applyBorder="1"/>
    <xf numFmtId="4" fontId="4" fillId="4" borderId="11" xfId="0" applyNumberFormat="1" applyFont="1" applyFill="1" applyBorder="1" applyAlignment="1">
      <alignment horizontal="right"/>
    </xf>
    <xf numFmtId="0" fontId="4" fillId="4" borderId="8" xfId="0" applyFont="1" applyFill="1" applyBorder="1"/>
    <xf numFmtId="0" fontId="4" fillId="4" borderId="9" xfId="0" applyFont="1" applyFill="1" applyBorder="1"/>
    <xf numFmtId="0" fontId="6" fillId="4" borderId="9" xfId="0" applyFont="1" applyFill="1" applyBorder="1" applyAlignment="1">
      <alignment horizontal="left"/>
    </xf>
    <xf numFmtId="0" fontId="6" fillId="4" borderId="9" xfId="0" applyFont="1" applyFill="1" applyBorder="1"/>
    <xf numFmtId="4" fontId="6" fillId="4" borderId="11" xfId="0" applyNumberFormat="1" applyFont="1" applyFill="1" applyBorder="1"/>
    <xf numFmtId="0" fontId="4" fillId="4" borderId="13" xfId="0" applyFont="1" applyFill="1" applyBorder="1" applyAlignment="1">
      <alignment horizontal="center"/>
    </xf>
    <xf numFmtId="4" fontId="6" fillId="4" borderId="13" xfId="0" applyNumberFormat="1" applyFont="1" applyFill="1" applyBorder="1"/>
    <xf numFmtId="4" fontId="4" fillId="4" borderId="13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6" fillId="4" borderId="12" xfId="0" applyFont="1" applyFill="1" applyBorder="1"/>
    <xf numFmtId="0" fontId="6" fillId="4" borderId="5" xfId="0" applyFont="1" applyFill="1" applyBorder="1"/>
    <xf numFmtId="0" fontId="4" fillId="4" borderId="12" xfId="0" applyFont="1" applyFill="1" applyBorder="1"/>
    <xf numFmtId="0" fontId="6" fillId="4" borderId="10" xfId="0" applyFont="1" applyFill="1" applyBorder="1"/>
    <xf numFmtId="0" fontId="6" fillId="4" borderId="8" xfId="0" applyFont="1" applyFill="1" applyBorder="1"/>
    <xf numFmtId="0" fontId="9" fillId="4" borderId="11" xfId="0" applyFont="1" applyFill="1" applyBorder="1" applyAlignment="1" applyProtection="1"/>
    <xf numFmtId="0" fontId="4" fillId="4" borderId="11" xfId="0" applyFont="1" applyFill="1" applyBorder="1" applyAlignment="1">
      <alignment horizontal="left"/>
    </xf>
    <xf numFmtId="0" fontId="9" fillId="4" borderId="11" xfId="0" applyFont="1" applyFill="1" applyBorder="1" applyAlignment="1" applyProtection="1">
      <alignment wrapText="1"/>
    </xf>
    <xf numFmtId="0" fontId="10" fillId="4" borderId="4" xfId="0" applyFont="1" applyFill="1" applyBorder="1"/>
    <xf numFmtId="0" fontId="12" fillId="4" borderId="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left"/>
    </xf>
    <xf numFmtId="4" fontId="6" fillId="4" borderId="4" xfId="0" applyNumberFormat="1" applyFont="1" applyFill="1" applyBorder="1"/>
    <xf numFmtId="0" fontId="10" fillId="4" borderId="8" xfId="0" applyFont="1" applyFill="1" applyBorder="1"/>
    <xf numFmtId="0" fontId="0" fillId="4" borderId="8" xfId="0" applyFill="1" applyBorder="1"/>
    <xf numFmtId="166" fontId="12" fillId="4" borderId="9" xfId="1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4" fontId="6" fillId="4" borderId="8" xfId="0" applyNumberFormat="1" applyFont="1" applyFill="1" applyBorder="1" applyAlignment="1">
      <alignment horizontal="center" vertical="center"/>
    </xf>
    <xf numFmtId="4" fontId="6" fillId="2" borderId="11" xfId="0" applyNumberFormat="1" applyFont="1" applyFill="1" applyBorder="1"/>
    <xf numFmtId="0" fontId="14" fillId="4" borderId="11" xfId="0" applyFont="1" applyFill="1" applyBorder="1"/>
    <xf numFmtId="4" fontId="6" fillId="4" borderId="8" xfId="0" applyNumberFormat="1" applyFont="1" applyFill="1" applyBorder="1" applyAlignment="1">
      <alignment horizontal="right" vertical="center"/>
    </xf>
    <xf numFmtId="4" fontId="14" fillId="4" borderId="11" xfId="0" applyNumberFormat="1" applyFont="1" applyFill="1" applyBorder="1" applyAlignment="1">
      <alignment horizontal="right"/>
    </xf>
    <xf numFmtId="4" fontId="15" fillId="0" borderId="0" xfId="0" applyNumberFormat="1" applyFont="1"/>
    <xf numFmtId="4" fontId="0" fillId="0" borderId="0" xfId="0" applyNumberFormat="1"/>
    <xf numFmtId="0" fontId="8" fillId="3" borderId="11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wrapText="1"/>
    </xf>
    <xf numFmtId="0" fontId="9" fillId="3" borderId="11" xfId="0" applyFont="1" applyFill="1" applyBorder="1" applyAlignment="1" applyProtection="1">
      <alignment horizontal="left" wrapText="1"/>
    </xf>
    <xf numFmtId="0" fontId="4" fillId="3" borderId="11" xfId="0" applyFont="1" applyFill="1" applyBorder="1" applyAlignment="1">
      <alignment horizontal="left"/>
    </xf>
    <xf numFmtId="0" fontId="9" fillId="3" borderId="11" xfId="0" applyFont="1" applyFill="1" applyBorder="1" applyAlignment="1" applyProtection="1"/>
    <xf numFmtId="0" fontId="10" fillId="3" borderId="11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14" fillId="3" borderId="11" xfId="0" applyFont="1" applyFill="1" applyBorder="1"/>
    <xf numFmtId="0" fontId="9" fillId="3" borderId="11" xfId="0" applyFont="1" applyFill="1" applyBorder="1" applyAlignment="1" applyProtection="1">
      <alignment horizontal="left"/>
    </xf>
    <xf numFmtId="0" fontId="4" fillId="3" borderId="11" xfId="0" applyFont="1" applyFill="1" applyBorder="1" applyAlignment="1" applyProtection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11.28515625" customWidth="1"/>
    <col min="2" max="2" width="7" customWidth="1"/>
    <col min="3" max="3" width="29.42578125" customWidth="1"/>
    <col min="4" max="4" width="20.5703125" customWidth="1"/>
    <col min="6" max="6" width="11.28515625" customWidth="1"/>
    <col min="15" max="15" width="11.7109375" customWidth="1"/>
  </cols>
  <sheetData>
    <row r="1" spans="1:15" ht="19.5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5" x14ac:dyDescent="0.25">
      <c r="A2" s="104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s="105" t="s">
        <v>163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15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2.5" customHeight="1" x14ac:dyDescent="0.25">
      <c r="A5" s="3"/>
      <c r="B5" s="3" t="s">
        <v>2</v>
      </c>
      <c r="C5" s="4"/>
      <c r="D5" s="5"/>
      <c r="E5" s="6" t="s">
        <v>3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6</v>
      </c>
      <c r="K5" s="6" t="s">
        <v>5</v>
      </c>
      <c r="L5" s="106" t="s">
        <v>157</v>
      </c>
      <c r="M5" s="7" t="s">
        <v>7</v>
      </c>
      <c r="N5" s="7" t="s">
        <v>8</v>
      </c>
      <c r="O5" s="29" t="s">
        <v>9</v>
      </c>
    </row>
    <row r="6" spans="1:15" ht="21" x14ac:dyDescent="0.25">
      <c r="A6" s="8" t="s">
        <v>10</v>
      </c>
      <c r="B6" s="8" t="s">
        <v>11</v>
      </c>
      <c r="C6" s="9"/>
      <c r="D6" s="10" t="s">
        <v>12</v>
      </c>
      <c r="E6" s="11" t="s">
        <v>13</v>
      </c>
      <c r="F6" s="11" t="s">
        <v>14</v>
      </c>
      <c r="G6" s="11" t="s">
        <v>15</v>
      </c>
      <c r="H6" s="11" t="s">
        <v>16</v>
      </c>
      <c r="I6" s="11" t="s">
        <v>17</v>
      </c>
      <c r="J6" s="11" t="s">
        <v>18</v>
      </c>
      <c r="K6" s="11" t="s">
        <v>19</v>
      </c>
      <c r="L6" s="107"/>
      <c r="M6" s="12" t="s">
        <v>20</v>
      </c>
      <c r="N6" s="13">
        <v>0.01</v>
      </c>
      <c r="O6" s="30" t="s">
        <v>14</v>
      </c>
    </row>
    <row r="7" spans="1:15" ht="33" x14ac:dyDescent="0.25">
      <c r="A7" s="14"/>
      <c r="B7" s="15" t="s">
        <v>21</v>
      </c>
      <c r="C7" s="16"/>
      <c r="D7" s="14"/>
      <c r="E7" s="17">
        <v>2015</v>
      </c>
      <c r="F7" s="18">
        <v>2015</v>
      </c>
      <c r="G7" s="19" t="s">
        <v>22</v>
      </c>
      <c r="H7" s="19"/>
      <c r="I7" s="20" t="s">
        <v>23</v>
      </c>
      <c r="J7" s="20" t="s">
        <v>24</v>
      </c>
      <c r="K7" s="21">
        <v>340</v>
      </c>
      <c r="L7" s="108"/>
      <c r="M7" s="22">
        <v>11.15</v>
      </c>
      <c r="N7" s="22"/>
      <c r="O7" s="31">
        <v>2015</v>
      </c>
    </row>
    <row r="8" spans="1:15" x14ac:dyDescent="0.25">
      <c r="A8" s="32">
        <v>111</v>
      </c>
      <c r="B8" s="33">
        <f>+B12</f>
        <v>4</v>
      </c>
      <c r="C8" s="34" t="s">
        <v>25</v>
      </c>
      <c r="D8" s="35" t="s">
        <v>25</v>
      </c>
      <c r="E8" s="36"/>
      <c r="F8" s="34"/>
      <c r="G8" s="34"/>
      <c r="H8" s="34"/>
      <c r="I8" s="34"/>
      <c r="J8" s="34"/>
      <c r="K8" s="34"/>
      <c r="L8" s="34"/>
      <c r="M8" s="34"/>
      <c r="N8" s="34"/>
      <c r="O8" s="23"/>
    </row>
    <row r="9" spans="1:15" x14ac:dyDescent="0.25">
      <c r="A9" s="37" t="s">
        <v>26</v>
      </c>
      <c r="B9" s="92">
        <v>1</v>
      </c>
      <c r="C9" s="91" t="s">
        <v>27</v>
      </c>
      <c r="D9" s="91" t="s">
        <v>135</v>
      </c>
      <c r="E9" s="40">
        <v>531</v>
      </c>
      <c r="F9" s="40">
        <f>+E9*12</f>
        <v>6372</v>
      </c>
      <c r="G9" s="40">
        <f>+F9/12</f>
        <v>531</v>
      </c>
      <c r="H9" s="40">
        <f>+F9/12</f>
        <v>531</v>
      </c>
      <c r="I9" s="40">
        <v>16</v>
      </c>
      <c r="J9" s="40">
        <v>45</v>
      </c>
      <c r="K9" s="40">
        <f>+K7</f>
        <v>340</v>
      </c>
      <c r="L9" s="40">
        <f>4*5*4</f>
        <v>80</v>
      </c>
      <c r="M9" s="40">
        <f>+F9*11.15/100</f>
        <v>710.47800000000007</v>
      </c>
      <c r="N9" s="40">
        <f>+F9*N6</f>
        <v>63.72</v>
      </c>
      <c r="O9" s="26">
        <f>+N9+M9+K9+H9+G9+F9+I9+J9+L9</f>
        <v>8689.1980000000003</v>
      </c>
    </row>
    <row r="10" spans="1:15" x14ac:dyDescent="0.25">
      <c r="A10" s="37" t="s">
        <v>28</v>
      </c>
      <c r="B10" s="92">
        <v>2</v>
      </c>
      <c r="C10" s="91" t="s">
        <v>29</v>
      </c>
      <c r="D10" s="91" t="s">
        <v>136</v>
      </c>
      <c r="E10" s="40">
        <v>531</v>
      </c>
      <c r="F10" s="40">
        <f>+E10*12</f>
        <v>6372</v>
      </c>
      <c r="G10" s="40">
        <f>+F10/12</f>
        <v>531</v>
      </c>
      <c r="H10" s="40">
        <f>+F10/12</f>
        <v>531</v>
      </c>
      <c r="I10" s="40">
        <v>15</v>
      </c>
      <c r="J10" s="40">
        <v>90</v>
      </c>
      <c r="K10" s="40">
        <f>+K7</f>
        <v>340</v>
      </c>
      <c r="L10" s="40">
        <f t="shared" ref="L10:L12" si="0">4*5*4</f>
        <v>80</v>
      </c>
      <c r="M10" s="40">
        <f>+F10*11.15/100</f>
        <v>710.47800000000007</v>
      </c>
      <c r="N10" s="40">
        <f>+F10*N6</f>
        <v>63.72</v>
      </c>
      <c r="O10" s="26">
        <f t="shared" ref="O10:O12" si="1">+N10+M10+K10+H10+G10+F10+I10+J10+L10</f>
        <v>8733.1980000000003</v>
      </c>
    </row>
    <row r="11" spans="1:15" x14ac:dyDescent="0.25">
      <c r="A11" s="37" t="s">
        <v>30</v>
      </c>
      <c r="B11" s="92">
        <v>3</v>
      </c>
      <c r="C11" s="91" t="s">
        <v>31</v>
      </c>
      <c r="D11" s="91" t="s">
        <v>136</v>
      </c>
      <c r="E11" s="40">
        <v>531</v>
      </c>
      <c r="F11" s="40">
        <f>+E11*12</f>
        <v>6372</v>
      </c>
      <c r="G11" s="40">
        <f>+F11/12</f>
        <v>531</v>
      </c>
      <c r="H11" s="40">
        <f>+F11/12</f>
        <v>531</v>
      </c>
      <c r="I11" s="40">
        <v>16</v>
      </c>
      <c r="J11" s="40">
        <v>45</v>
      </c>
      <c r="K11" s="40">
        <f>+K7</f>
        <v>340</v>
      </c>
      <c r="L11" s="40">
        <f t="shared" si="0"/>
        <v>80</v>
      </c>
      <c r="M11" s="40">
        <f>+F11*11.15/100</f>
        <v>710.47800000000007</v>
      </c>
      <c r="N11" s="40">
        <f>+F11*N6</f>
        <v>63.72</v>
      </c>
      <c r="O11" s="26">
        <f t="shared" si="1"/>
        <v>8689.1980000000003</v>
      </c>
    </row>
    <row r="12" spans="1:15" x14ac:dyDescent="0.25">
      <c r="A12" s="37" t="s">
        <v>32</v>
      </c>
      <c r="B12" s="38">
        <v>4</v>
      </c>
      <c r="C12" s="39" t="s">
        <v>33</v>
      </c>
      <c r="D12" s="39" t="s">
        <v>136</v>
      </c>
      <c r="E12" s="40">
        <v>531</v>
      </c>
      <c r="F12" s="40">
        <f>+E12*12</f>
        <v>6372</v>
      </c>
      <c r="G12" s="40">
        <f>+F12/12</f>
        <v>531</v>
      </c>
      <c r="H12" s="40">
        <f>+F12/12</f>
        <v>531</v>
      </c>
      <c r="I12" s="40">
        <v>16</v>
      </c>
      <c r="J12" s="40">
        <v>45</v>
      </c>
      <c r="K12" s="40">
        <f>+K7</f>
        <v>340</v>
      </c>
      <c r="L12" s="40">
        <f t="shared" si="0"/>
        <v>80</v>
      </c>
      <c r="M12" s="40">
        <f>+F12*11.15/100</f>
        <v>710.47800000000007</v>
      </c>
      <c r="N12" s="40">
        <f>+F12*N6</f>
        <v>63.72</v>
      </c>
      <c r="O12" s="26">
        <f t="shared" si="1"/>
        <v>8689.1980000000003</v>
      </c>
    </row>
    <row r="13" spans="1:15" x14ac:dyDescent="0.25">
      <c r="A13" s="41"/>
      <c r="B13" s="42"/>
      <c r="C13" s="43" t="s">
        <v>34</v>
      </c>
      <c r="D13" s="24"/>
      <c r="E13" s="27">
        <f>SUM(E9:E12)</f>
        <v>2124</v>
      </c>
      <c r="F13" s="27">
        <f t="shared" ref="F13:O13" si="2">SUM(F9:F12)</f>
        <v>25488</v>
      </c>
      <c r="G13" s="27">
        <f t="shared" si="2"/>
        <v>2124</v>
      </c>
      <c r="H13" s="27">
        <f t="shared" si="2"/>
        <v>2124</v>
      </c>
      <c r="I13" s="27">
        <f t="shared" si="2"/>
        <v>63</v>
      </c>
      <c r="J13" s="27">
        <f t="shared" si="2"/>
        <v>225</v>
      </c>
      <c r="K13" s="27">
        <f t="shared" si="2"/>
        <v>1360</v>
      </c>
      <c r="L13" s="27">
        <f t="shared" si="2"/>
        <v>320</v>
      </c>
      <c r="M13" s="27">
        <f t="shared" si="2"/>
        <v>2841.9120000000003</v>
      </c>
      <c r="N13" s="27">
        <f t="shared" si="2"/>
        <v>254.88</v>
      </c>
      <c r="O13" s="27">
        <f t="shared" si="2"/>
        <v>34800.792000000001</v>
      </c>
    </row>
    <row r="14" spans="1:15" x14ac:dyDescent="0.25">
      <c r="A14" s="44">
        <v>131</v>
      </c>
      <c r="B14" s="23">
        <f>+B16</f>
        <v>2</v>
      </c>
      <c r="C14" s="34" t="s">
        <v>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24"/>
    </row>
    <row r="15" spans="1:15" x14ac:dyDescent="0.25">
      <c r="A15" s="45" t="s">
        <v>36</v>
      </c>
      <c r="B15" s="90">
        <v>1</v>
      </c>
      <c r="C15" s="91" t="s">
        <v>37</v>
      </c>
      <c r="D15" s="91" t="s">
        <v>38</v>
      </c>
      <c r="E15" s="40">
        <v>566</v>
      </c>
      <c r="F15" s="40">
        <f>+E15*12</f>
        <v>6792</v>
      </c>
      <c r="G15" s="40">
        <f>+F15/12</f>
        <v>566</v>
      </c>
      <c r="H15" s="40">
        <f>+F15/12</f>
        <v>566</v>
      </c>
      <c r="I15" s="40">
        <v>17</v>
      </c>
      <c r="J15" s="40">
        <v>45</v>
      </c>
      <c r="K15" s="40">
        <f>+K7</f>
        <v>340</v>
      </c>
      <c r="L15" s="40">
        <f t="shared" ref="L15:L16" si="3">4*5*4</f>
        <v>80</v>
      </c>
      <c r="M15" s="40">
        <f>+F15*11.15/100</f>
        <v>757.30799999999999</v>
      </c>
      <c r="N15" s="40">
        <f>+F15*N6</f>
        <v>67.92</v>
      </c>
      <c r="O15" s="26">
        <f t="shared" ref="O15:O16" si="4">+N15+M15+K15+H15+G15+F15+I15+J15+L15</f>
        <v>9231.2279999999992</v>
      </c>
    </row>
    <row r="16" spans="1:15" x14ac:dyDescent="0.25">
      <c r="A16" s="45" t="s">
        <v>39</v>
      </c>
      <c r="B16" s="90">
        <v>2</v>
      </c>
      <c r="C16" s="91" t="s">
        <v>40</v>
      </c>
      <c r="D16" s="91" t="s">
        <v>38</v>
      </c>
      <c r="E16" s="40">
        <v>566</v>
      </c>
      <c r="F16" s="40">
        <f>+E16*12</f>
        <v>6792</v>
      </c>
      <c r="G16" s="40">
        <f>+F16/12</f>
        <v>566</v>
      </c>
      <c r="H16" s="40">
        <f>+F16/12</f>
        <v>566</v>
      </c>
      <c r="I16" s="40">
        <v>17</v>
      </c>
      <c r="J16" s="40">
        <v>89</v>
      </c>
      <c r="K16" s="40">
        <f>+K7</f>
        <v>340</v>
      </c>
      <c r="L16" s="40">
        <f t="shared" si="3"/>
        <v>80</v>
      </c>
      <c r="M16" s="40">
        <f>+F16*11.15/100</f>
        <v>757.30799999999999</v>
      </c>
      <c r="N16" s="40">
        <f>+F16*N6</f>
        <v>67.92</v>
      </c>
      <c r="O16" s="26">
        <f t="shared" si="4"/>
        <v>9275.2279999999992</v>
      </c>
    </row>
    <row r="17" spans="1:15" x14ac:dyDescent="0.25">
      <c r="A17" s="41"/>
      <c r="B17" s="42"/>
      <c r="C17" s="43" t="s">
        <v>34</v>
      </c>
      <c r="D17" s="24"/>
      <c r="E17" s="27">
        <f>SUM(E15:E16)</f>
        <v>1132</v>
      </c>
      <c r="F17" s="28">
        <f t="shared" ref="F17:O17" si="5">SUM(F15:F16)</f>
        <v>13584</v>
      </c>
      <c r="G17" s="28">
        <f t="shared" si="5"/>
        <v>1132</v>
      </c>
      <c r="H17" s="28">
        <f t="shared" si="5"/>
        <v>1132</v>
      </c>
      <c r="I17" s="27">
        <f t="shared" si="5"/>
        <v>34</v>
      </c>
      <c r="J17" s="27">
        <f t="shared" si="5"/>
        <v>134</v>
      </c>
      <c r="K17" s="27">
        <f t="shared" si="5"/>
        <v>680</v>
      </c>
      <c r="L17" s="27">
        <f t="shared" si="5"/>
        <v>160</v>
      </c>
      <c r="M17" s="27">
        <f t="shared" si="5"/>
        <v>1514.616</v>
      </c>
      <c r="N17" s="28">
        <f t="shared" si="5"/>
        <v>135.84</v>
      </c>
      <c r="O17" s="28">
        <f t="shared" si="5"/>
        <v>18506.455999999998</v>
      </c>
    </row>
    <row r="18" spans="1:15" x14ac:dyDescent="0.25">
      <c r="A18" s="36"/>
      <c r="B18" s="33">
        <f>+B14+B8</f>
        <v>6</v>
      </c>
      <c r="C18" s="46" t="s">
        <v>41</v>
      </c>
      <c r="D18" s="34"/>
      <c r="E18" s="84">
        <f>+E17+E13</f>
        <v>3256</v>
      </c>
      <c r="F18" s="25">
        <f t="shared" ref="F18:O18" si="6">+F17+F13</f>
        <v>39072</v>
      </c>
      <c r="G18" s="25">
        <f t="shared" si="6"/>
        <v>3256</v>
      </c>
      <c r="H18" s="25">
        <f t="shared" si="6"/>
        <v>3256</v>
      </c>
      <c r="I18" s="25">
        <f t="shared" si="6"/>
        <v>97</v>
      </c>
      <c r="J18" s="25">
        <f t="shared" si="6"/>
        <v>359</v>
      </c>
      <c r="K18" s="25">
        <f t="shared" si="6"/>
        <v>2040</v>
      </c>
      <c r="L18" s="25">
        <f t="shared" si="6"/>
        <v>480</v>
      </c>
      <c r="M18" s="25">
        <f t="shared" si="6"/>
        <v>4356.5280000000002</v>
      </c>
      <c r="N18" s="25">
        <f t="shared" si="6"/>
        <v>390.72</v>
      </c>
      <c r="O18" s="25">
        <f t="shared" si="6"/>
        <v>53307.248</v>
      </c>
    </row>
    <row r="19" spans="1:15" x14ac:dyDescent="0.25">
      <c r="A19" s="47">
        <v>321</v>
      </c>
      <c r="B19" s="48">
        <v>1</v>
      </c>
      <c r="C19" s="49" t="s">
        <v>42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</row>
    <row r="20" spans="1:15" x14ac:dyDescent="0.25">
      <c r="A20" s="51" t="s">
        <v>43</v>
      </c>
      <c r="B20" s="52">
        <v>1</v>
      </c>
      <c r="C20" s="53" t="s">
        <v>44</v>
      </c>
      <c r="D20" s="53" t="s">
        <v>137</v>
      </c>
      <c r="E20" s="54">
        <v>531</v>
      </c>
      <c r="F20" s="54">
        <f>+E20*12</f>
        <v>6372</v>
      </c>
      <c r="G20" s="54">
        <f>+F20/12</f>
        <v>531</v>
      </c>
      <c r="H20" s="54">
        <f>+F20/12</f>
        <v>531</v>
      </c>
      <c r="I20" s="54">
        <v>13</v>
      </c>
      <c r="J20" s="54">
        <v>45</v>
      </c>
      <c r="K20" s="54">
        <f>+K16</f>
        <v>340</v>
      </c>
      <c r="L20" s="54">
        <f>4*5*4</f>
        <v>80</v>
      </c>
      <c r="M20" s="54">
        <f>+F20*11.15/100</f>
        <v>710.47800000000007</v>
      </c>
      <c r="N20" s="54">
        <f>+F20*N6</f>
        <v>63.72</v>
      </c>
      <c r="O20" s="55">
        <f>+N20+M20+K20+H20+G20+F20+I20+J20+L20</f>
        <v>8686.1980000000003</v>
      </c>
    </row>
    <row r="21" spans="1:15" x14ac:dyDescent="0.25">
      <c r="A21" s="56"/>
      <c r="B21" s="57"/>
      <c r="C21" s="58" t="s">
        <v>34</v>
      </c>
      <c r="D21" s="59"/>
      <c r="E21" s="60">
        <f>SUM(E20)</f>
        <v>531</v>
      </c>
      <c r="F21" s="60">
        <f t="shared" ref="F21:O21" si="7">SUM(F20)</f>
        <v>6372</v>
      </c>
      <c r="G21" s="60">
        <f t="shared" si="7"/>
        <v>531</v>
      </c>
      <c r="H21" s="60">
        <f t="shared" si="7"/>
        <v>531</v>
      </c>
      <c r="I21" s="60">
        <f t="shared" si="7"/>
        <v>13</v>
      </c>
      <c r="J21" s="60">
        <f t="shared" si="7"/>
        <v>45</v>
      </c>
      <c r="K21" s="60">
        <f t="shared" si="7"/>
        <v>340</v>
      </c>
      <c r="L21" s="60">
        <f t="shared" si="7"/>
        <v>80</v>
      </c>
      <c r="M21" s="60">
        <f t="shared" si="7"/>
        <v>710.47800000000007</v>
      </c>
      <c r="N21" s="60">
        <f t="shared" si="7"/>
        <v>63.72</v>
      </c>
      <c r="O21" s="60">
        <f t="shared" si="7"/>
        <v>8686.1980000000003</v>
      </c>
    </row>
    <row r="22" spans="1:15" x14ac:dyDescent="0.25">
      <c r="A22" s="47">
        <v>331</v>
      </c>
      <c r="B22" s="61">
        <f>+B25</f>
        <v>3</v>
      </c>
      <c r="C22" s="49" t="s">
        <v>45</v>
      </c>
      <c r="D22" s="49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</row>
    <row r="23" spans="1:15" ht="30" customHeight="1" x14ac:dyDescent="0.25">
      <c r="A23" s="51" t="s">
        <v>46</v>
      </c>
      <c r="B23" s="92">
        <v>1</v>
      </c>
      <c r="C23" s="91" t="s">
        <v>47</v>
      </c>
      <c r="D23" s="93" t="s">
        <v>138</v>
      </c>
      <c r="E23" s="54">
        <v>531</v>
      </c>
      <c r="F23" s="54">
        <f>+E23*12</f>
        <v>6372</v>
      </c>
      <c r="G23" s="54">
        <f>+F23/12</f>
        <v>531</v>
      </c>
      <c r="H23" s="54">
        <f>+F23/12</f>
        <v>531</v>
      </c>
      <c r="I23" s="54">
        <v>15</v>
      </c>
      <c r="J23" s="54">
        <v>265</v>
      </c>
      <c r="K23" s="54">
        <f>+K7</f>
        <v>340</v>
      </c>
      <c r="L23" s="54">
        <f t="shared" ref="L23:L25" si="8">4*5*4</f>
        <v>80</v>
      </c>
      <c r="M23" s="54">
        <f>+F23*11.15/100</f>
        <v>710.47800000000007</v>
      </c>
      <c r="N23" s="54">
        <f>+F23*N6</f>
        <v>63.72</v>
      </c>
      <c r="O23" s="55">
        <f t="shared" ref="O23:O25" si="9">+N23+M23+K23+H23+G23+F23+I23+J23+L23</f>
        <v>8908.1980000000003</v>
      </c>
    </row>
    <row r="24" spans="1:15" ht="26.25" customHeight="1" x14ac:dyDescent="0.25">
      <c r="A24" s="51" t="s">
        <v>48</v>
      </c>
      <c r="B24" s="92">
        <v>2</v>
      </c>
      <c r="C24" s="91" t="s">
        <v>49</v>
      </c>
      <c r="D24" s="93" t="s">
        <v>138</v>
      </c>
      <c r="E24" s="54">
        <v>531</v>
      </c>
      <c r="F24" s="54">
        <f>+E24*12</f>
        <v>6372</v>
      </c>
      <c r="G24" s="54">
        <f>+F24/12</f>
        <v>531</v>
      </c>
      <c r="H24" s="54">
        <f>+F24/12</f>
        <v>531</v>
      </c>
      <c r="I24" s="54">
        <v>15</v>
      </c>
      <c r="J24" s="54">
        <v>133</v>
      </c>
      <c r="K24" s="54">
        <f>+K7</f>
        <v>340</v>
      </c>
      <c r="L24" s="54">
        <f t="shared" si="8"/>
        <v>80</v>
      </c>
      <c r="M24" s="54">
        <f>+F24*11.15/100</f>
        <v>710.47800000000007</v>
      </c>
      <c r="N24" s="54">
        <f>+F24*N6</f>
        <v>63.72</v>
      </c>
      <c r="O24" s="55">
        <f t="shared" si="9"/>
        <v>8776.1980000000003</v>
      </c>
    </row>
    <row r="25" spans="1:15" ht="24" customHeight="1" x14ac:dyDescent="0.25">
      <c r="A25" s="51" t="s">
        <v>50</v>
      </c>
      <c r="B25" s="92">
        <v>3</v>
      </c>
      <c r="C25" s="91" t="s">
        <v>51</v>
      </c>
      <c r="D25" s="93" t="s">
        <v>139</v>
      </c>
      <c r="E25" s="54">
        <v>531</v>
      </c>
      <c r="F25" s="54">
        <f>+E25*12</f>
        <v>6372</v>
      </c>
      <c r="G25" s="54">
        <f>+F25/12</f>
        <v>531</v>
      </c>
      <c r="H25" s="54">
        <f>+F25/12</f>
        <v>531</v>
      </c>
      <c r="I25" s="54">
        <v>15</v>
      </c>
      <c r="J25" s="54">
        <v>89</v>
      </c>
      <c r="K25" s="54">
        <f>+K7</f>
        <v>340</v>
      </c>
      <c r="L25" s="54">
        <f t="shared" si="8"/>
        <v>80</v>
      </c>
      <c r="M25" s="54">
        <f>+F25*11.15/100</f>
        <v>710.47800000000007</v>
      </c>
      <c r="N25" s="54">
        <f>+F25*N6</f>
        <v>63.72</v>
      </c>
      <c r="O25" s="55">
        <f t="shared" si="9"/>
        <v>8732.1980000000003</v>
      </c>
    </row>
    <row r="26" spans="1:15" x14ac:dyDescent="0.25">
      <c r="A26" s="56"/>
      <c r="B26" s="65"/>
      <c r="C26" s="58" t="s">
        <v>34</v>
      </c>
      <c r="D26" s="59"/>
      <c r="E26" s="60">
        <f>SUM(E23:E25)</f>
        <v>1593</v>
      </c>
      <c r="F26" s="60">
        <f t="shared" ref="F26:O26" si="10">SUM(F23:F25)</f>
        <v>19116</v>
      </c>
      <c r="G26" s="60">
        <f t="shared" si="10"/>
        <v>1593</v>
      </c>
      <c r="H26" s="60">
        <f t="shared" si="10"/>
        <v>1593</v>
      </c>
      <c r="I26" s="60">
        <f t="shared" si="10"/>
        <v>45</v>
      </c>
      <c r="J26" s="60">
        <f t="shared" si="10"/>
        <v>487</v>
      </c>
      <c r="K26" s="60">
        <f t="shared" si="10"/>
        <v>1020</v>
      </c>
      <c r="L26" s="60">
        <f t="shared" si="10"/>
        <v>240</v>
      </c>
      <c r="M26" s="60">
        <f t="shared" si="10"/>
        <v>2131.4340000000002</v>
      </c>
      <c r="N26" s="60">
        <f t="shared" si="10"/>
        <v>191.16</v>
      </c>
      <c r="O26" s="60">
        <f t="shared" si="10"/>
        <v>26416.594000000001</v>
      </c>
    </row>
    <row r="27" spans="1:15" x14ac:dyDescent="0.25">
      <c r="A27" s="47">
        <v>341</v>
      </c>
      <c r="B27" s="65">
        <f>+B34</f>
        <v>7</v>
      </c>
      <c r="C27" s="66" t="s">
        <v>52</v>
      </c>
      <c r="D27" s="67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8"/>
    </row>
    <row r="28" spans="1:15" x14ac:dyDescent="0.25">
      <c r="A28" s="51" t="s">
        <v>53</v>
      </c>
      <c r="B28" s="64">
        <v>1</v>
      </c>
      <c r="C28" s="53" t="s">
        <v>54</v>
      </c>
      <c r="D28" s="53" t="s">
        <v>140</v>
      </c>
      <c r="E28" s="54">
        <v>531</v>
      </c>
      <c r="F28" s="54">
        <f t="shared" ref="F28:F34" si="11">+E28*12</f>
        <v>6372</v>
      </c>
      <c r="G28" s="54">
        <f t="shared" ref="G28:G34" si="12">+F28/12</f>
        <v>531</v>
      </c>
      <c r="H28" s="54">
        <f t="shared" ref="H28:H34" si="13">+F28/12</f>
        <v>531</v>
      </c>
      <c r="I28" s="54">
        <v>15</v>
      </c>
      <c r="J28" s="54">
        <v>89</v>
      </c>
      <c r="K28" s="54">
        <f>+K24</f>
        <v>340</v>
      </c>
      <c r="L28" s="54">
        <f t="shared" ref="L28:L34" si="14">4*5*4</f>
        <v>80</v>
      </c>
      <c r="M28" s="54">
        <f t="shared" ref="M28:M34" si="15">+F28*11.15/100</f>
        <v>710.47800000000007</v>
      </c>
      <c r="N28" s="54">
        <f>+F28*N6</f>
        <v>63.72</v>
      </c>
      <c r="O28" s="55">
        <f t="shared" ref="O28:O34" si="16">+N28+M28+K28+H28+G28+F28+I28+J28+L28</f>
        <v>8732.1980000000003</v>
      </c>
    </row>
    <row r="29" spans="1:15" ht="22.5" customHeight="1" x14ac:dyDescent="0.25">
      <c r="A29" s="51" t="s">
        <v>55</v>
      </c>
      <c r="B29" s="92">
        <v>2</v>
      </c>
      <c r="C29" s="91" t="s">
        <v>56</v>
      </c>
      <c r="D29" s="93" t="s">
        <v>139</v>
      </c>
      <c r="E29" s="54">
        <v>531</v>
      </c>
      <c r="F29" s="54">
        <f t="shared" si="11"/>
        <v>6372</v>
      </c>
      <c r="G29" s="54">
        <f t="shared" si="12"/>
        <v>531</v>
      </c>
      <c r="H29" s="54">
        <f t="shared" si="13"/>
        <v>531</v>
      </c>
      <c r="I29" s="54">
        <v>15</v>
      </c>
      <c r="J29" s="54">
        <v>89</v>
      </c>
      <c r="K29" s="54">
        <f>+K7</f>
        <v>340</v>
      </c>
      <c r="L29" s="54">
        <f t="shared" si="14"/>
        <v>80</v>
      </c>
      <c r="M29" s="54">
        <f t="shared" si="15"/>
        <v>710.47800000000007</v>
      </c>
      <c r="N29" s="54">
        <f>+F29*N6</f>
        <v>63.72</v>
      </c>
      <c r="O29" s="55">
        <f t="shared" si="16"/>
        <v>8732.1980000000003</v>
      </c>
    </row>
    <row r="30" spans="1:15" x14ac:dyDescent="0.25">
      <c r="A30" s="51" t="s">
        <v>57</v>
      </c>
      <c r="B30" s="92">
        <v>3</v>
      </c>
      <c r="C30" s="91" t="s">
        <v>58</v>
      </c>
      <c r="D30" s="91" t="s">
        <v>141</v>
      </c>
      <c r="E30" s="54">
        <v>531</v>
      </c>
      <c r="F30" s="54">
        <f t="shared" si="11"/>
        <v>6372</v>
      </c>
      <c r="G30" s="54">
        <f t="shared" si="12"/>
        <v>531</v>
      </c>
      <c r="H30" s="54">
        <f t="shared" si="13"/>
        <v>531</v>
      </c>
      <c r="I30" s="54">
        <v>15</v>
      </c>
      <c r="J30" s="54">
        <v>45</v>
      </c>
      <c r="K30" s="54">
        <f>+K7</f>
        <v>340</v>
      </c>
      <c r="L30" s="54">
        <f t="shared" si="14"/>
        <v>80</v>
      </c>
      <c r="M30" s="54">
        <f t="shared" si="15"/>
        <v>710.47800000000007</v>
      </c>
      <c r="N30" s="54">
        <f>+F30*N6</f>
        <v>63.72</v>
      </c>
      <c r="O30" s="55">
        <f t="shared" si="16"/>
        <v>8688.1980000000003</v>
      </c>
    </row>
    <row r="31" spans="1:15" x14ac:dyDescent="0.25">
      <c r="A31" s="51" t="s">
        <v>59</v>
      </c>
      <c r="B31" s="92">
        <v>4</v>
      </c>
      <c r="C31" s="91" t="s">
        <v>60</v>
      </c>
      <c r="D31" s="91" t="s">
        <v>142</v>
      </c>
      <c r="E31" s="54">
        <v>531</v>
      </c>
      <c r="F31" s="54">
        <f t="shared" si="11"/>
        <v>6372</v>
      </c>
      <c r="G31" s="54">
        <f t="shared" si="12"/>
        <v>531</v>
      </c>
      <c r="H31" s="54">
        <f t="shared" si="13"/>
        <v>531</v>
      </c>
      <c r="I31" s="54">
        <v>13</v>
      </c>
      <c r="J31" s="54">
        <v>45</v>
      </c>
      <c r="K31" s="54">
        <f>+K7</f>
        <v>340</v>
      </c>
      <c r="L31" s="54">
        <f t="shared" si="14"/>
        <v>80</v>
      </c>
      <c r="M31" s="54">
        <f t="shared" si="15"/>
        <v>710.47800000000007</v>
      </c>
      <c r="N31" s="54">
        <f>+F31*N6</f>
        <v>63.72</v>
      </c>
      <c r="O31" s="55">
        <f t="shared" si="16"/>
        <v>8686.1980000000003</v>
      </c>
    </row>
    <row r="32" spans="1:15" x14ac:dyDescent="0.25">
      <c r="A32" s="51" t="s">
        <v>61</v>
      </c>
      <c r="B32" s="92">
        <v>5</v>
      </c>
      <c r="C32" s="91" t="s">
        <v>62</v>
      </c>
      <c r="D32" s="91" t="s">
        <v>136</v>
      </c>
      <c r="E32" s="54">
        <v>531</v>
      </c>
      <c r="F32" s="54">
        <f t="shared" si="11"/>
        <v>6372</v>
      </c>
      <c r="G32" s="54">
        <f t="shared" si="12"/>
        <v>531</v>
      </c>
      <c r="H32" s="54">
        <f t="shared" si="13"/>
        <v>531</v>
      </c>
      <c r="I32" s="54">
        <v>15</v>
      </c>
      <c r="J32" s="54">
        <v>45</v>
      </c>
      <c r="K32" s="54">
        <f>+K7</f>
        <v>340</v>
      </c>
      <c r="L32" s="54">
        <f t="shared" si="14"/>
        <v>80</v>
      </c>
      <c r="M32" s="54">
        <f t="shared" si="15"/>
        <v>710.47800000000007</v>
      </c>
      <c r="N32" s="54">
        <f>+F32*N6</f>
        <v>63.72</v>
      </c>
      <c r="O32" s="55">
        <f t="shared" si="16"/>
        <v>8688.1980000000003</v>
      </c>
    </row>
    <row r="33" spans="1:15" x14ac:dyDescent="0.25">
      <c r="A33" s="51" t="s">
        <v>63</v>
      </c>
      <c r="B33" s="92">
        <v>6</v>
      </c>
      <c r="C33" s="91" t="s">
        <v>64</v>
      </c>
      <c r="D33" s="91" t="s">
        <v>136</v>
      </c>
      <c r="E33" s="54">
        <v>531</v>
      </c>
      <c r="F33" s="54">
        <f t="shared" si="11"/>
        <v>6372</v>
      </c>
      <c r="G33" s="54">
        <f t="shared" si="12"/>
        <v>531</v>
      </c>
      <c r="H33" s="54">
        <f t="shared" si="13"/>
        <v>531</v>
      </c>
      <c r="I33" s="54">
        <v>15</v>
      </c>
      <c r="J33" s="54">
        <v>0</v>
      </c>
      <c r="K33" s="54">
        <f>+K7</f>
        <v>340</v>
      </c>
      <c r="L33" s="54">
        <f t="shared" si="14"/>
        <v>80</v>
      </c>
      <c r="M33" s="54">
        <f t="shared" si="15"/>
        <v>710.47800000000007</v>
      </c>
      <c r="N33" s="54">
        <f>+F33*N6</f>
        <v>63.72</v>
      </c>
      <c r="O33" s="55">
        <f t="shared" si="16"/>
        <v>8643.1980000000003</v>
      </c>
    </row>
    <row r="34" spans="1:15" x14ac:dyDescent="0.25">
      <c r="A34" s="51" t="s">
        <v>65</v>
      </c>
      <c r="B34" s="92">
        <v>7</v>
      </c>
      <c r="C34" s="91" t="s">
        <v>66</v>
      </c>
      <c r="D34" s="91" t="s">
        <v>136</v>
      </c>
      <c r="E34" s="54">
        <v>531</v>
      </c>
      <c r="F34" s="54">
        <f t="shared" si="11"/>
        <v>6372</v>
      </c>
      <c r="G34" s="54">
        <f t="shared" si="12"/>
        <v>531</v>
      </c>
      <c r="H34" s="54">
        <f t="shared" si="13"/>
        <v>531</v>
      </c>
      <c r="I34" s="54">
        <v>15</v>
      </c>
      <c r="J34" s="54">
        <v>133</v>
      </c>
      <c r="K34" s="54">
        <f>+K7</f>
        <v>340</v>
      </c>
      <c r="L34" s="54">
        <f t="shared" si="14"/>
        <v>80</v>
      </c>
      <c r="M34" s="54">
        <f t="shared" si="15"/>
        <v>710.47800000000007</v>
      </c>
      <c r="N34" s="54">
        <f>+F34*N6</f>
        <v>63.72</v>
      </c>
      <c r="O34" s="55">
        <f t="shared" si="16"/>
        <v>8776.1980000000003</v>
      </c>
    </row>
    <row r="35" spans="1:15" x14ac:dyDescent="0.25">
      <c r="A35" s="56"/>
      <c r="B35" s="65"/>
      <c r="C35" s="58" t="s">
        <v>34</v>
      </c>
      <c r="D35" s="69"/>
      <c r="E35" s="60">
        <f>SUM(E28:E34)</f>
        <v>3717</v>
      </c>
      <c r="F35" s="60">
        <f t="shared" ref="F35:O35" si="17">SUM(F28:F34)</f>
        <v>44604</v>
      </c>
      <c r="G35" s="60">
        <f t="shared" si="17"/>
        <v>3717</v>
      </c>
      <c r="H35" s="60">
        <f t="shared" si="17"/>
        <v>3717</v>
      </c>
      <c r="I35" s="60">
        <f t="shared" si="17"/>
        <v>103</v>
      </c>
      <c r="J35" s="60">
        <f t="shared" si="17"/>
        <v>446</v>
      </c>
      <c r="K35" s="60">
        <f t="shared" si="17"/>
        <v>2380</v>
      </c>
      <c r="L35" s="60">
        <f t="shared" si="17"/>
        <v>560</v>
      </c>
      <c r="M35" s="60">
        <f t="shared" si="17"/>
        <v>4973.3460000000005</v>
      </c>
      <c r="N35" s="60">
        <f t="shared" si="17"/>
        <v>446.04000000000008</v>
      </c>
      <c r="O35" s="60">
        <f t="shared" si="17"/>
        <v>60946.386000000013</v>
      </c>
    </row>
    <row r="36" spans="1:15" x14ac:dyDescent="0.25">
      <c r="A36" s="70">
        <v>351</v>
      </c>
      <c r="B36" s="65">
        <f>+B66</f>
        <v>30</v>
      </c>
      <c r="C36" s="59" t="s">
        <v>67</v>
      </c>
      <c r="D36" s="57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5"/>
    </row>
    <row r="37" spans="1:15" x14ac:dyDescent="0.25">
      <c r="A37" s="51" t="s">
        <v>68</v>
      </c>
      <c r="B37" s="64">
        <v>1</v>
      </c>
      <c r="C37" s="71" t="s">
        <v>145</v>
      </c>
      <c r="D37" s="72" t="s">
        <v>144</v>
      </c>
      <c r="E37" s="55">
        <v>708</v>
      </c>
      <c r="F37" s="54">
        <f t="shared" ref="F37:F66" si="18">+E37*12</f>
        <v>8496</v>
      </c>
      <c r="G37" s="54">
        <f t="shared" ref="G37:G66" si="19">+F37/12</f>
        <v>708</v>
      </c>
      <c r="H37" s="54">
        <f t="shared" ref="H37:H66" si="20">+F37/12</f>
        <v>708</v>
      </c>
      <c r="I37" s="54">
        <v>17</v>
      </c>
      <c r="J37" s="54">
        <v>0</v>
      </c>
      <c r="K37" s="54">
        <f>+K34</f>
        <v>340</v>
      </c>
      <c r="L37" s="54">
        <f t="shared" ref="L37:L66" si="21">4*5*4</f>
        <v>80</v>
      </c>
      <c r="M37" s="54">
        <f t="shared" ref="M37:M66" si="22">+F37*11.15/100</f>
        <v>947.30400000000009</v>
      </c>
      <c r="N37" s="54">
        <f>+F37*N6</f>
        <v>84.960000000000008</v>
      </c>
      <c r="O37" s="55">
        <f t="shared" ref="O37:O66" si="23">+N37+M37+K37+H37+G37+F37+I37+J37+L37</f>
        <v>11381.263999999999</v>
      </c>
    </row>
    <row r="38" spans="1:15" x14ac:dyDescent="0.25">
      <c r="A38" s="51" t="s">
        <v>69</v>
      </c>
      <c r="B38" s="92">
        <v>2</v>
      </c>
      <c r="C38" s="96" t="s">
        <v>70</v>
      </c>
      <c r="D38" s="95" t="s">
        <v>71</v>
      </c>
      <c r="E38" s="55">
        <v>708</v>
      </c>
      <c r="F38" s="54">
        <f t="shared" si="18"/>
        <v>8496</v>
      </c>
      <c r="G38" s="54">
        <f t="shared" si="19"/>
        <v>708</v>
      </c>
      <c r="H38" s="54">
        <f t="shared" si="20"/>
        <v>708</v>
      </c>
      <c r="I38" s="54">
        <v>17</v>
      </c>
      <c r="J38" s="54">
        <v>0</v>
      </c>
      <c r="K38" s="54">
        <f>+K7</f>
        <v>340</v>
      </c>
      <c r="L38" s="54">
        <f t="shared" si="21"/>
        <v>80</v>
      </c>
      <c r="M38" s="54">
        <f t="shared" si="22"/>
        <v>947.30400000000009</v>
      </c>
      <c r="N38" s="54">
        <f>+F38*N6</f>
        <v>84.960000000000008</v>
      </c>
      <c r="O38" s="55">
        <f t="shared" si="23"/>
        <v>11381.263999999999</v>
      </c>
    </row>
    <row r="39" spans="1:15" x14ac:dyDescent="0.25">
      <c r="A39" s="51" t="s">
        <v>72</v>
      </c>
      <c r="B39" s="64">
        <v>3</v>
      </c>
      <c r="C39" s="73" t="s">
        <v>145</v>
      </c>
      <c r="D39" s="72" t="s">
        <v>73</v>
      </c>
      <c r="E39" s="55">
        <v>708</v>
      </c>
      <c r="F39" s="54">
        <f t="shared" si="18"/>
        <v>8496</v>
      </c>
      <c r="G39" s="54">
        <f t="shared" si="19"/>
        <v>708</v>
      </c>
      <c r="H39" s="54">
        <f t="shared" si="20"/>
        <v>708</v>
      </c>
      <c r="I39" s="54">
        <v>17</v>
      </c>
      <c r="J39" s="54">
        <v>0</v>
      </c>
      <c r="K39" s="54">
        <f>+K38</f>
        <v>340</v>
      </c>
      <c r="L39" s="54">
        <f t="shared" si="21"/>
        <v>80</v>
      </c>
      <c r="M39" s="54">
        <f t="shared" si="22"/>
        <v>947.30400000000009</v>
      </c>
      <c r="N39" s="54">
        <f>+F39*N6</f>
        <v>84.960000000000008</v>
      </c>
      <c r="O39" s="55">
        <f t="shared" si="23"/>
        <v>11381.263999999999</v>
      </c>
    </row>
    <row r="40" spans="1:15" x14ac:dyDescent="0.25">
      <c r="A40" s="51" t="s">
        <v>74</v>
      </c>
      <c r="B40" s="92">
        <v>4</v>
      </c>
      <c r="C40" s="95" t="s">
        <v>75</v>
      </c>
      <c r="D40" s="95" t="s">
        <v>146</v>
      </c>
      <c r="E40" s="55">
        <v>708</v>
      </c>
      <c r="F40" s="54">
        <f t="shared" si="18"/>
        <v>8496</v>
      </c>
      <c r="G40" s="54">
        <f t="shared" si="19"/>
        <v>708</v>
      </c>
      <c r="H40" s="54">
        <f t="shared" si="20"/>
        <v>708</v>
      </c>
      <c r="I40" s="54">
        <v>17</v>
      </c>
      <c r="J40" s="54">
        <v>45</v>
      </c>
      <c r="K40" s="54">
        <f>+K7</f>
        <v>340</v>
      </c>
      <c r="L40" s="54">
        <f t="shared" si="21"/>
        <v>80</v>
      </c>
      <c r="M40" s="54">
        <f t="shared" si="22"/>
        <v>947.30400000000009</v>
      </c>
      <c r="N40" s="54">
        <f>+F40*N6</f>
        <v>84.960000000000008</v>
      </c>
      <c r="O40" s="55">
        <f t="shared" si="23"/>
        <v>11426.263999999999</v>
      </c>
    </row>
    <row r="41" spans="1:15" x14ac:dyDescent="0.25">
      <c r="A41" s="51" t="s">
        <v>76</v>
      </c>
      <c r="B41" s="92">
        <v>5</v>
      </c>
      <c r="C41" s="95" t="s">
        <v>77</v>
      </c>
      <c r="D41" s="95" t="s">
        <v>147</v>
      </c>
      <c r="E41" s="55">
        <v>708</v>
      </c>
      <c r="F41" s="54">
        <f t="shared" si="18"/>
        <v>8496</v>
      </c>
      <c r="G41" s="54">
        <f t="shared" si="19"/>
        <v>708</v>
      </c>
      <c r="H41" s="54">
        <f t="shared" si="20"/>
        <v>708</v>
      </c>
      <c r="I41" s="54">
        <v>17</v>
      </c>
      <c r="J41" s="54">
        <v>89</v>
      </c>
      <c r="K41" s="54">
        <f>+K7</f>
        <v>340</v>
      </c>
      <c r="L41" s="54">
        <f t="shared" si="21"/>
        <v>80</v>
      </c>
      <c r="M41" s="54">
        <f t="shared" si="22"/>
        <v>947.30400000000009</v>
      </c>
      <c r="N41" s="54">
        <f>+F41*N6</f>
        <v>84.960000000000008</v>
      </c>
      <c r="O41" s="55">
        <f t="shared" si="23"/>
        <v>11470.263999999999</v>
      </c>
    </row>
    <row r="42" spans="1:15" x14ac:dyDescent="0.25">
      <c r="A42" s="51" t="s">
        <v>78</v>
      </c>
      <c r="B42" s="92">
        <v>6</v>
      </c>
      <c r="C42" s="95" t="s">
        <v>79</v>
      </c>
      <c r="D42" s="95" t="s">
        <v>148</v>
      </c>
      <c r="E42" s="55">
        <v>708</v>
      </c>
      <c r="F42" s="54">
        <f t="shared" si="18"/>
        <v>8496</v>
      </c>
      <c r="G42" s="54">
        <f t="shared" si="19"/>
        <v>708</v>
      </c>
      <c r="H42" s="54">
        <f t="shared" si="20"/>
        <v>708</v>
      </c>
      <c r="I42" s="54">
        <v>17</v>
      </c>
      <c r="J42" s="54">
        <v>221</v>
      </c>
      <c r="K42" s="54">
        <f>+K7</f>
        <v>340</v>
      </c>
      <c r="L42" s="54">
        <f t="shared" si="21"/>
        <v>80</v>
      </c>
      <c r="M42" s="54">
        <f t="shared" si="22"/>
        <v>947.30400000000009</v>
      </c>
      <c r="N42" s="54">
        <f>+F42*N6</f>
        <v>84.960000000000008</v>
      </c>
      <c r="O42" s="55">
        <f t="shared" si="23"/>
        <v>11602.263999999999</v>
      </c>
    </row>
    <row r="43" spans="1:15" x14ac:dyDescent="0.25">
      <c r="A43" s="51" t="s">
        <v>80</v>
      </c>
      <c r="B43" s="92">
        <v>7</v>
      </c>
      <c r="C43" s="95" t="s">
        <v>81</v>
      </c>
      <c r="D43" s="95" t="s">
        <v>149</v>
      </c>
      <c r="E43" s="55">
        <v>708</v>
      </c>
      <c r="F43" s="54">
        <f t="shared" si="18"/>
        <v>8496</v>
      </c>
      <c r="G43" s="54">
        <f t="shared" si="19"/>
        <v>708</v>
      </c>
      <c r="H43" s="54">
        <f t="shared" si="20"/>
        <v>708</v>
      </c>
      <c r="I43" s="54">
        <v>17</v>
      </c>
      <c r="J43" s="54">
        <v>221</v>
      </c>
      <c r="K43" s="54">
        <f>+K7</f>
        <v>340</v>
      </c>
      <c r="L43" s="54">
        <f t="shared" si="21"/>
        <v>80</v>
      </c>
      <c r="M43" s="54">
        <f t="shared" si="22"/>
        <v>947.30400000000009</v>
      </c>
      <c r="N43" s="54">
        <f>+F43*N6</f>
        <v>84.960000000000008</v>
      </c>
      <c r="O43" s="55">
        <f t="shared" si="23"/>
        <v>11602.263999999999</v>
      </c>
    </row>
    <row r="44" spans="1:15" x14ac:dyDescent="0.25">
      <c r="A44" s="51" t="s">
        <v>82</v>
      </c>
      <c r="B44" s="92">
        <v>8</v>
      </c>
      <c r="C44" s="101" t="s">
        <v>83</v>
      </c>
      <c r="D44" s="95" t="s">
        <v>150</v>
      </c>
      <c r="E44" s="55">
        <v>566</v>
      </c>
      <c r="F44" s="54">
        <f t="shared" si="18"/>
        <v>6792</v>
      </c>
      <c r="G44" s="54">
        <f t="shared" si="19"/>
        <v>566</v>
      </c>
      <c r="H44" s="54">
        <f t="shared" si="20"/>
        <v>566</v>
      </c>
      <c r="I44" s="54">
        <v>16</v>
      </c>
      <c r="J44" s="54">
        <v>0</v>
      </c>
      <c r="K44" s="54">
        <f>+K7</f>
        <v>340</v>
      </c>
      <c r="L44" s="54">
        <f t="shared" si="21"/>
        <v>80</v>
      </c>
      <c r="M44" s="54">
        <f t="shared" si="22"/>
        <v>757.30799999999999</v>
      </c>
      <c r="N44" s="54">
        <f>+F44*N6</f>
        <v>67.92</v>
      </c>
      <c r="O44" s="55">
        <f t="shared" si="23"/>
        <v>9185.2279999999992</v>
      </c>
    </row>
    <row r="45" spans="1:15" x14ac:dyDescent="0.25">
      <c r="A45" s="51" t="s">
        <v>84</v>
      </c>
      <c r="B45" s="92">
        <v>9</v>
      </c>
      <c r="C45" s="101" t="s">
        <v>85</v>
      </c>
      <c r="D45" s="95" t="s">
        <v>150</v>
      </c>
      <c r="E45" s="55">
        <v>566</v>
      </c>
      <c r="F45" s="54">
        <f t="shared" si="18"/>
        <v>6792</v>
      </c>
      <c r="G45" s="54">
        <f t="shared" si="19"/>
        <v>566</v>
      </c>
      <c r="H45" s="54">
        <f t="shared" si="20"/>
        <v>566</v>
      </c>
      <c r="I45" s="54">
        <v>16</v>
      </c>
      <c r="J45" s="54">
        <v>89</v>
      </c>
      <c r="K45" s="54">
        <f>+K7</f>
        <v>340</v>
      </c>
      <c r="L45" s="54">
        <f t="shared" si="21"/>
        <v>80</v>
      </c>
      <c r="M45" s="54">
        <f t="shared" si="22"/>
        <v>757.30799999999999</v>
      </c>
      <c r="N45" s="54">
        <f>+F45*N6</f>
        <v>67.92</v>
      </c>
      <c r="O45" s="55">
        <f t="shared" si="23"/>
        <v>9274.2279999999992</v>
      </c>
    </row>
    <row r="46" spans="1:15" x14ac:dyDescent="0.25">
      <c r="A46" s="51" t="s">
        <v>86</v>
      </c>
      <c r="B46" s="92">
        <v>10</v>
      </c>
      <c r="C46" s="101" t="s">
        <v>87</v>
      </c>
      <c r="D46" s="95" t="s">
        <v>150</v>
      </c>
      <c r="E46" s="55">
        <v>566</v>
      </c>
      <c r="F46" s="54">
        <f t="shared" si="18"/>
        <v>6792</v>
      </c>
      <c r="G46" s="54">
        <f t="shared" si="19"/>
        <v>566</v>
      </c>
      <c r="H46" s="54">
        <f t="shared" si="20"/>
        <v>566</v>
      </c>
      <c r="I46" s="54">
        <v>16</v>
      </c>
      <c r="J46" s="54">
        <v>133</v>
      </c>
      <c r="K46" s="54">
        <f>+K7</f>
        <v>340</v>
      </c>
      <c r="L46" s="54">
        <f t="shared" si="21"/>
        <v>80</v>
      </c>
      <c r="M46" s="54">
        <f t="shared" si="22"/>
        <v>757.30799999999999</v>
      </c>
      <c r="N46" s="54">
        <f>+F46*N6</f>
        <v>67.92</v>
      </c>
      <c r="O46" s="55">
        <f t="shared" si="23"/>
        <v>9318.2279999999992</v>
      </c>
    </row>
    <row r="47" spans="1:15" ht="24" customHeight="1" x14ac:dyDescent="0.25">
      <c r="A47" s="51" t="s">
        <v>88</v>
      </c>
      <c r="B47" s="92">
        <v>11</v>
      </c>
      <c r="C47" s="94" t="s">
        <v>89</v>
      </c>
      <c r="D47" s="95" t="s">
        <v>150</v>
      </c>
      <c r="E47" s="55">
        <v>566</v>
      </c>
      <c r="F47" s="54">
        <f t="shared" si="18"/>
        <v>6792</v>
      </c>
      <c r="G47" s="54">
        <f t="shared" si="19"/>
        <v>566</v>
      </c>
      <c r="H47" s="54">
        <f t="shared" si="20"/>
        <v>566</v>
      </c>
      <c r="I47" s="54">
        <v>16</v>
      </c>
      <c r="J47" s="54">
        <v>133</v>
      </c>
      <c r="K47" s="54">
        <f>+K7</f>
        <v>340</v>
      </c>
      <c r="L47" s="54">
        <f t="shared" si="21"/>
        <v>80</v>
      </c>
      <c r="M47" s="54">
        <f t="shared" si="22"/>
        <v>757.30799999999999</v>
      </c>
      <c r="N47" s="54">
        <f>+F47*N6</f>
        <v>67.92</v>
      </c>
      <c r="O47" s="55">
        <f t="shared" si="23"/>
        <v>9318.2279999999992</v>
      </c>
    </row>
    <row r="48" spans="1:15" ht="25.5" customHeight="1" x14ac:dyDescent="0.25">
      <c r="A48" s="51" t="s">
        <v>90</v>
      </c>
      <c r="B48" s="92">
        <v>12</v>
      </c>
      <c r="C48" s="94" t="s">
        <v>91</v>
      </c>
      <c r="D48" s="95" t="s">
        <v>150</v>
      </c>
      <c r="E48" s="55">
        <v>566</v>
      </c>
      <c r="F48" s="54">
        <f t="shared" si="18"/>
        <v>6792</v>
      </c>
      <c r="G48" s="54">
        <f t="shared" si="19"/>
        <v>566</v>
      </c>
      <c r="H48" s="54">
        <f t="shared" si="20"/>
        <v>566</v>
      </c>
      <c r="I48" s="54">
        <v>16</v>
      </c>
      <c r="J48" s="54">
        <v>353</v>
      </c>
      <c r="K48" s="54">
        <f>+K7</f>
        <v>340</v>
      </c>
      <c r="L48" s="54">
        <f t="shared" si="21"/>
        <v>80</v>
      </c>
      <c r="M48" s="54">
        <f t="shared" si="22"/>
        <v>757.30799999999999</v>
      </c>
      <c r="N48" s="54">
        <f>+F48*N6</f>
        <v>67.92</v>
      </c>
      <c r="O48" s="55">
        <f t="shared" si="23"/>
        <v>9538.2279999999992</v>
      </c>
    </row>
    <row r="49" spans="1:15" x14ac:dyDescent="0.25">
      <c r="A49" s="51" t="s">
        <v>92</v>
      </c>
      <c r="B49" s="92">
        <v>13</v>
      </c>
      <c r="C49" s="96" t="s">
        <v>93</v>
      </c>
      <c r="D49" s="95" t="s">
        <v>150</v>
      </c>
      <c r="E49" s="55">
        <v>566</v>
      </c>
      <c r="F49" s="54">
        <f t="shared" si="18"/>
        <v>6792</v>
      </c>
      <c r="G49" s="54">
        <f t="shared" si="19"/>
        <v>566</v>
      </c>
      <c r="H49" s="54">
        <f t="shared" si="20"/>
        <v>566</v>
      </c>
      <c r="I49" s="54">
        <v>16</v>
      </c>
      <c r="J49" s="54">
        <v>89</v>
      </c>
      <c r="K49" s="54">
        <f>+K7</f>
        <v>340</v>
      </c>
      <c r="L49" s="54">
        <f t="shared" si="21"/>
        <v>80</v>
      </c>
      <c r="M49" s="54">
        <f t="shared" si="22"/>
        <v>757.30799999999999</v>
      </c>
      <c r="N49" s="54">
        <f>+F49*N6</f>
        <v>67.92</v>
      </c>
      <c r="O49" s="55">
        <f t="shared" si="23"/>
        <v>9274.2279999999992</v>
      </c>
    </row>
    <row r="50" spans="1:15" x14ac:dyDescent="0.25">
      <c r="A50" s="51" t="s">
        <v>94</v>
      </c>
      <c r="B50" s="92">
        <v>14</v>
      </c>
      <c r="C50" s="96" t="s">
        <v>95</v>
      </c>
      <c r="D50" s="95" t="s">
        <v>150</v>
      </c>
      <c r="E50" s="55">
        <v>566</v>
      </c>
      <c r="F50" s="54">
        <f t="shared" si="18"/>
        <v>6792</v>
      </c>
      <c r="G50" s="54">
        <f t="shared" si="19"/>
        <v>566</v>
      </c>
      <c r="H50" s="54">
        <f t="shared" si="20"/>
        <v>566</v>
      </c>
      <c r="I50" s="54">
        <v>16</v>
      </c>
      <c r="J50" s="54">
        <v>89</v>
      </c>
      <c r="K50" s="54">
        <f>+K7</f>
        <v>340</v>
      </c>
      <c r="L50" s="54">
        <f t="shared" si="21"/>
        <v>80</v>
      </c>
      <c r="M50" s="54">
        <f t="shared" si="22"/>
        <v>757.30799999999999</v>
      </c>
      <c r="N50" s="54">
        <f>+F50*N6</f>
        <v>67.92</v>
      </c>
      <c r="O50" s="55">
        <f t="shared" si="23"/>
        <v>9274.2279999999992</v>
      </c>
    </row>
    <row r="51" spans="1:15" x14ac:dyDescent="0.25">
      <c r="A51" s="51" t="s">
        <v>96</v>
      </c>
      <c r="B51" s="92">
        <v>15</v>
      </c>
      <c r="C51" s="96" t="s">
        <v>97</v>
      </c>
      <c r="D51" s="95" t="s">
        <v>150</v>
      </c>
      <c r="E51" s="55">
        <v>566</v>
      </c>
      <c r="F51" s="54">
        <f t="shared" si="18"/>
        <v>6792</v>
      </c>
      <c r="G51" s="54">
        <f t="shared" si="19"/>
        <v>566</v>
      </c>
      <c r="H51" s="54">
        <f t="shared" si="20"/>
        <v>566</v>
      </c>
      <c r="I51" s="54">
        <v>16</v>
      </c>
      <c r="J51" s="54">
        <v>0</v>
      </c>
      <c r="K51" s="54">
        <f>+K7</f>
        <v>340</v>
      </c>
      <c r="L51" s="54">
        <f t="shared" si="21"/>
        <v>80</v>
      </c>
      <c r="M51" s="54">
        <f t="shared" si="22"/>
        <v>757.30799999999999</v>
      </c>
      <c r="N51" s="54">
        <f>+F51*N6</f>
        <v>67.92</v>
      </c>
      <c r="O51" s="55">
        <f t="shared" si="23"/>
        <v>9185.2279999999992</v>
      </c>
    </row>
    <row r="52" spans="1:15" x14ac:dyDescent="0.25">
      <c r="A52" s="51" t="s">
        <v>98</v>
      </c>
      <c r="B52" s="92">
        <v>16</v>
      </c>
      <c r="C52" s="96" t="s">
        <v>99</v>
      </c>
      <c r="D52" s="95" t="s">
        <v>150</v>
      </c>
      <c r="E52" s="55">
        <v>566</v>
      </c>
      <c r="F52" s="54">
        <f t="shared" si="18"/>
        <v>6792</v>
      </c>
      <c r="G52" s="54">
        <f t="shared" si="19"/>
        <v>566</v>
      </c>
      <c r="H52" s="54">
        <f t="shared" si="20"/>
        <v>566</v>
      </c>
      <c r="I52" s="54">
        <v>16</v>
      </c>
      <c r="J52" s="54">
        <v>89</v>
      </c>
      <c r="K52" s="54">
        <f>+K7</f>
        <v>340</v>
      </c>
      <c r="L52" s="54">
        <f t="shared" si="21"/>
        <v>80</v>
      </c>
      <c r="M52" s="54">
        <f t="shared" si="22"/>
        <v>757.30799999999999</v>
      </c>
      <c r="N52" s="54">
        <f>+F52*N6</f>
        <v>67.92</v>
      </c>
      <c r="O52" s="55">
        <f t="shared" si="23"/>
        <v>9274.2279999999992</v>
      </c>
    </row>
    <row r="53" spans="1:15" x14ac:dyDescent="0.25">
      <c r="A53" s="51" t="s">
        <v>100</v>
      </c>
      <c r="B53" s="64">
        <v>17</v>
      </c>
      <c r="C53" s="71" t="s">
        <v>101</v>
      </c>
      <c r="D53" s="72" t="s">
        <v>150</v>
      </c>
      <c r="E53" s="55">
        <v>566</v>
      </c>
      <c r="F53" s="54">
        <f t="shared" si="18"/>
        <v>6792</v>
      </c>
      <c r="G53" s="54">
        <f t="shared" si="19"/>
        <v>566</v>
      </c>
      <c r="H53" s="54">
        <f t="shared" si="20"/>
        <v>566</v>
      </c>
      <c r="I53" s="54">
        <v>16</v>
      </c>
      <c r="J53" s="54">
        <v>133</v>
      </c>
      <c r="K53" s="54">
        <f>+K52</f>
        <v>340</v>
      </c>
      <c r="L53" s="54">
        <f t="shared" si="21"/>
        <v>80</v>
      </c>
      <c r="M53" s="54">
        <f t="shared" si="22"/>
        <v>757.30799999999999</v>
      </c>
      <c r="N53" s="54">
        <f>+F53*N6</f>
        <v>67.92</v>
      </c>
      <c r="O53" s="55">
        <f t="shared" si="23"/>
        <v>9318.2279999999992</v>
      </c>
    </row>
    <row r="54" spans="1:15" x14ac:dyDescent="0.25">
      <c r="A54" s="51" t="s">
        <v>102</v>
      </c>
      <c r="B54" s="64">
        <v>18</v>
      </c>
      <c r="C54" s="71" t="s">
        <v>103</v>
      </c>
      <c r="D54" s="85" t="s">
        <v>151</v>
      </c>
      <c r="E54" s="87">
        <v>743</v>
      </c>
      <c r="F54" s="54">
        <f t="shared" si="18"/>
        <v>8916</v>
      </c>
      <c r="G54" s="54">
        <f t="shared" si="19"/>
        <v>743</v>
      </c>
      <c r="H54" s="54">
        <f t="shared" si="20"/>
        <v>743</v>
      </c>
      <c r="I54" s="54">
        <v>17</v>
      </c>
      <c r="J54" s="54">
        <v>45</v>
      </c>
      <c r="K54" s="54">
        <f>+K53</f>
        <v>340</v>
      </c>
      <c r="L54" s="54">
        <f t="shared" si="21"/>
        <v>80</v>
      </c>
      <c r="M54" s="54">
        <f t="shared" si="22"/>
        <v>994.13400000000013</v>
      </c>
      <c r="N54" s="54">
        <f>+F54*N6</f>
        <v>89.16</v>
      </c>
      <c r="O54" s="55">
        <f t="shared" si="23"/>
        <v>11967.294</v>
      </c>
    </row>
    <row r="55" spans="1:15" x14ac:dyDescent="0.25">
      <c r="A55" s="51" t="s">
        <v>104</v>
      </c>
      <c r="B55" s="92">
        <v>19</v>
      </c>
      <c r="C55" s="96" t="s">
        <v>105</v>
      </c>
      <c r="D55" s="100" t="s">
        <v>106</v>
      </c>
      <c r="E55" s="87">
        <v>743</v>
      </c>
      <c r="F55" s="54">
        <f t="shared" si="18"/>
        <v>8916</v>
      </c>
      <c r="G55" s="54">
        <f t="shared" si="19"/>
        <v>743</v>
      </c>
      <c r="H55" s="54">
        <f t="shared" si="20"/>
        <v>743</v>
      </c>
      <c r="I55" s="54">
        <v>16</v>
      </c>
      <c r="J55" s="54">
        <v>133</v>
      </c>
      <c r="K55" s="54">
        <f>+K7</f>
        <v>340</v>
      </c>
      <c r="L55" s="54">
        <f t="shared" si="21"/>
        <v>80</v>
      </c>
      <c r="M55" s="54">
        <f t="shared" si="22"/>
        <v>994.13400000000013</v>
      </c>
      <c r="N55" s="54">
        <f>+F55*N6</f>
        <v>89.16</v>
      </c>
      <c r="O55" s="55">
        <f t="shared" si="23"/>
        <v>12054.294</v>
      </c>
    </row>
    <row r="56" spans="1:15" x14ac:dyDescent="0.25">
      <c r="A56" s="51" t="s">
        <v>107</v>
      </c>
      <c r="B56" s="92">
        <v>20</v>
      </c>
      <c r="C56" s="102" t="s">
        <v>108</v>
      </c>
      <c r="D56" s="91" t="s">
        <v>109</v>
      </c>
      <c r="E56" s="55">
        <v>548</v>
      </c>
      <c r="F56" s="54">
        <f t="shared" si="18"/>
        <v>6576</v>
      </c>
      <c r="G56" s="54">
        <f t="shared" si="19"/>
        <v>548</v>
      </c>
      <c r="H56" s="54">
        <f t="shared" si="20"/>
        <v>548</v>
      </c>
      <c r="I56" s="54">
        <v>17</v>
      </c>
      <c r="J56" s="54">
        <v>177</v>
      </c>
      <c r="K56" s="54">
        <f>+K7</f>
        <v>340</v>
      </c>
      <c r="L56" s="54">
        <f t="shared" si="21"/>
        <v>80</v>
      </c>
      <c r="M56" s="54">
        <f t="shared" si="22"/>
        <v>733.22400000000005</v>
      </c>
      <c r="N56" s="54">
        <f>+F56*N6</f>
        <v>65.760000000000005</v>
      </c>
      <c r="O56" s="55">
        <f t="shared" si="23"/>
        <v>9084.9840000000004</v>
      </c>
    </row>
    <row r="57" spans="1:15" x14ac:dyDescent="0.25">
      <c r="A57" s="51" t="s">
        <v>110</v>
      </c>
      <c r="B57" s="92">
        <v>21</v>
      </c>
      <c r="C57" s="96" t="s">
        <v>111</v>
      </c>
      <c r="D57" s="91" t="s">
        <v>112</v>
      </c>
      <c r="E57" s="55">
        <v>531</v>
      </c>
      <c r="F57" s="54">
        <f t="shared" si="18"/>
        <v>6372</v>
      </c>
      <c r="G57" s="54">
        <f t="shared" si="19"/>
        <v>531</v>
      </c>
      <c r="H57" s="54">
        <f t="shared" si="20"/>
        <v>531</v>
      </c>
      <c r="I57" s="54">
        <v>13</v>
      </c>
      <c r="J57" s="54">
        <v>133</v>
      </c>
      <c r="K57" s="54">
        <f>+K7</f>
        <v>340</v>
      </c>
      <c r="L57" s="54">
        <f t="shared" si="21"/>
        <v>80</v>
      </c>
      <c r="M57" s="54">
        <f t="shared" si="22"/>
        <v>710.47800000000007</v>
      </c>
      <c r="N57" s="54">
        <f>+F57*N6</f>
        <v>63.72</v>
      </c>
      <c r="O57" s="55">
        <f t="shared" si="23"/>
        <v>8774.1980000000003</v>
      </c>
    </row>
    <row r="58" spans="1:15" x14ac:dyDescent="0.25">
      <c r="A58" s="51" t="s">
        <v>113</v>
      </c>
      <c r="B58" s="64">
        <v>22</v>
      </c>
      <c r="C58" s="71" t="s">
        <v>114</v>
      </c>
      <c r="D58" s="53" t="s">
        <v>115</v>
      </c>
      <c r="E58" s="55">
        <v>531</v>
      </c>
      <c r="F58" s="54">
        <f t="shared" si="18"/>
        <v>6372</v>
      </c>
      <c r="G58" s="54">
        <f t="shared" si="19"/>
        <v>531</v>
      </c>
      <c r="H58" s="54">
        <f t="shared" si="20"/>
        <v>531</v>
      </c>
      <c r="I58" s="54">
        <v>13</v>
      </c>
      <c r="J58" s="54">
        <v>133</v>
      </c>
      <c r="K58" s="54">
        <f>+K57</f>
        <v>340</v>
      </c>
      <c r="L58" s="54">
        <f t="shared" si="21"/>
        <v>80</v>
      </c>
      <c r="M58" s="54">
        <f t="shared" si="22"/>
        <v>710.47800000000007</v>
      </c>
      <c r="N58" s="54">
        <f>+F58*N6</f>
        <v>63.72</v>
      </c>
      <c r="O58" s="55">
        <f t="shared" si="23"/>
        <v>8774.1980000000003</v>
      </c>
    </row>
    <row r="59" spans="1:15" x14ac:dyDescent="0.25">
      <c r="A59" s="51" t="s">
        <v>116</v>
      </c>
      <c r="B59" s="92">
        <v>23</v>
      </c>
      <c r="C59" s="96" t="s">
        <v>117</v>
      </c>
      <c r="D59" s="91" t="s">
        <v>118</v>
      </c>
      <c r="E59" s="55">
        <v>548</v>
      </c>
      <c r="F59" s="54">
        <f t="shared" si="18"/>
        <v>6576</v>
      </c>
      <c r="G59" s="54">
        <f t="shared" si="19"/>
        <v>548</v>
      </c>
      <c r="H59" s="54">
        <f t="shared" si="20"/>
        <v>548</v>
      </c>
      <c r="I59" s="54">
        <v>15</v>
      </c>
      <c r="J59" s="54">
        <v>133</v>
      </c>
      <c r="K59" s="54">
        <f>+K7</f>
        <v>340</v>
      </c>
      <c r="L59" s="54">
        <f t="shared" si="21"/>
        <v>80</v>
      </c>
      <c r="M59" s="54">
        <f t="shared" si="22"/>
        <v>733.22400000000005</v>
      </c>
      <c r="N59" s="54">
        <f>+F59*N6</f>
        <v>65.760000000000005</v>
      </c>
      <c r="O59" s="55">
        <f t="shared" si="23"/>
        <v>9038.9840000000004</v>
      </c>
    </row>
    <row r="60" spans="1:15" x14ac:dyDescent="0.25">
      <c r="A60" s="51" t="s">
        <v>119</v>
      </c>
      <c r="B60" s="64">
        <v>24</v>
      </c>
      <c r="C60" s="71" t="s">
        <v>120</v>
      </c>
      <c r="D60" s="72" t="s">
        <v>121</v>
      </c>
      <c r="E60" s="55">
        <v>531</v>
      </c>
      <c r="F60" s="54">
        <f t="shared" si="18"/>
        <v>6372</v>
      </c>
      <c r="G60" s="54">
        <f t="shared" si="19"/>
        <v>531</v>
      </c>
      <c r="H60" s="54">
        <f t="shared" si="20"/>
        <v>531</v>
      </c>
      <c r="I60" s="54">
        <v>15</v>
      </c>
      <c r="J60" s="54">
        <v>133</v>
      </c>
      <c r="K60" s="54">
        <f>+K59</f>
        <v>340</v>
      </c>
      <c r="L60" s="54">
        <f t="shared" si="21"/>
        <v>80</v>
      </c>
      <c r="M60" s="54">
        <f t="shared" si="22"/>
        <v>710.47800000000007</v>
      </c>
      <c r="N60" s="54">
        <f>+F60*N6</f>
        <v>63.72</v>
      </c>
      <c r="O60" s="55">
        <f t="shared" si="23"/>
        <v>8776.1980000000003</v>
      </c>
    </row>
    <row r="61" spans="1:15" x14ac:dyDescent="0.25">
      <c r="A61" s="51" t="s">
        <v>122</v>
      </c>
      <c r="B61" s="92">
        <v>25</v>
      </c>
      <c r="C61" s="96" t="s">
        <v>123</v>
      </c>
      <c r="D61" s="91" t="s">
        <v>124</v>
      </c>
      <c r="E61" s="55">
        <v>531</v>
      </c>
      <c r="F61" s="54">
        <f t="shared" si="18"/>
        <v>6372</v>
      </c>
      <c r="G61" s="54">
        <f t="shared" si="19"/>
        <v>531</v>
      </c>
      <c r="H61" s="54">
        <f t="shared" si="20"/>
        <v>531</v>
      </c>
      <c r="I61" s="54">
        <v>15</v>
      </c>
      <c r="J61" s="54">
        <v>133</v>
      </c>
      <c r="K61" s="54">
        <f>+K7</f>
        <v>340</v>
      </c>
      <c r="L61" s="54">
        <f t="shared" si="21"/>
        <v>80</v>
      </c>
      <c r="M61" s="54">
        <f t="shared" si="22"/>
        <v>710.47800000000007</v>
      </c>
      <c r="N61" s="54">
        <f>+F61*N6</f>
        <v>63.72</v>
      </c>
      <c r="O61" s="55">
        <f t="shared" si="23"/>
        <v>8776.1980000000003</v>
      </c>
    </row>
    <row r="62" spans="1:15" x14ac:dyDescent="0.25">
      <c r="A62" s="51" t="s">
        <v>125</v>
      </c>
      <c r="B62" s="92">
        <v>26</v>
      </c>
      <c r="C62" s="99" t="s">
        <v>126</v>
      </c>
      <c r="D62" s="91" t="s">
        <v>152</v>
      </c>
      <c r="E62" s="55">
        <v>531</v>
      </c>
      <c r="F62" s="54">
        <f t="shared" si="18"/>
        <v>6372</v>
      </c>
      <c r="G62" s="54">
        <f t="shared" si="19"/>
        <v>531</v>
      </c>
      <c r="H62" s="54">
        <f t="shared" si="20"/>
        <v>531</v>
      </c>
      <c r="I62" s="54">
        <v>15</v>
      </c>
      <c r="J62" s="54">
        <v>133</v>
      </c>
      <c r="K62" s="54">
        <f>+K7</f>
        <v>340</v>
      </c>
      <c r="L62" s="54">
        <f t="shared" si="21"/>
        <v>80</v>
      </c>
      <c r="M62" s="54">
        <f t="shared" si="22"/>
        <v>710.47800000000007</v>
      </c>
      <c r="N62" s="54">
        <f>+F62*N6</f>
        <v>63.72</v>
      </c>
      <c r="O62" s="55">
        <f t="shared" si="23"/>
        <v>8776.1980000000003</v>
      </c>
    </row>
    <row r="63" spans="1:15" x14ac:dyDescent="0.25">
      <c r="A63" s="51" t="s">
        <v>127</v>
      </c>
      <c r="B63" s="97">
        <v>27</v>
      </c>
      <c r="C63" s="98" t="s">
        <v>153</v>
      </c>
      <c r="D63" s="91" t="s">
        <v>154</v>
      </c>
      <c r="E63" s="55">
        <v>548</v>
      </c>
      <c r="F63" s="54">
        <f t="shared" si="18"/>
        <v>6576</v>
      </c>
      <c r="G63" s="54">
        <f t="shared" si="19"/>
        <v>548</v>
      </c>
      <c r="H63" s="54">
        <f t="shared" si="20"/>
        <v>548</v>
      </c>
      <c r="I63" s="54">
        <v>15</v>
      </c>
      <c r="J63" s="54">
        <v>45</v>
      </c>
      <c r="K63" s="54">
        <f>+K7</f>
        <v>340</v>
      </c>
      <c r="L63" s="54">
        <f t="shared" si="21"/>
        <v>80</v>
      </c>
      <c r="M63" s="54">
        <f t="shared" si="22"/>
        <v>733.22400000000005</v>
      </c>
      <c r="N63" s="54">
        <f>+F63*N6</f>
        <v>65.760000000000005</v>
      </c>
      <c r="O63" s="55">
        <f t="shared" si="23"/>
        <v>8950.9840000000004</v>
      </c>
    </row>
    <row r="64" spans="1:15" x14ac:dyDescent="0.25">
      <c r="A64" s="51" t="s">
        <v>128</v>
      </c>
      <c r="B64" s="97">
        <v>28</v>
      </c>
      <c r="C64" s="98" t="s">
        <v>129</v>
      </c>
      <c r="D64" s="91" t="s">
        <v>154</v>
      </c>
      <c r="E64" s="55">
        <v>548</v>
      </c>
      <c r="F64" s="54">
        <f t="shared" si="18"/>
        <v>6576</v>
      </c>
      <c r="G64" s="54">
        <f t="shared" si="19"/>
        <v>548</v>
      </c>
      <c r="H64" s="54">
        <f t="shared" si="20"/>
        <v>548</v>
      </c>
      <c r="I64" s="54">
        <v>15</v>
      </c>
      <c r="J64" s="54">
        <v>0</v>
      </c>
      <c r="K64" s="54">
        <f>+K7</f>
        <v>340</v>
      </c>
      <c r="L64" s="54">
        <f t="shared" si="21"/>
        <v>80</v>
      </c>
      <c r="M64" s="54">
        <f t="shared" si="22"/>
        <v>733.22400000000005</v>
      </c>
      <c r="N64" s="54">
        <f>+F64*N6</f>
        <v>65.760000000000005</v>
      </c>
      <c r="O64" s="55">
        <f t="shared" si="23"/>
        <v>8905.9840000000004</v>
      </c>
    </row>
    <row r="65" spans="1:15" x14ac:dyDescent="0.25">
      <c r="A65" s="51" t="s">
        <v>130</v>
      </c>
      <c r="B65" s="97">
        <v>29</v>
      </c>
      <c r="C65" s="98" t="s">
        <v>131</v>
      </c>
      <c r="D65" s="91" t="s">
        <v>155</v>
      </c>
      <c r="E65" s="55">
        <v>531</v>
      </c>
      <c r="F65" s="54">
        <f t="shared" si="18"/>
        <v>6372</v>
      </c>
      <c r="G65" s="54">
        <f t="shared" si="19"/>
        <v>531</v>
      </c>
      <c r="H65" s="54">
        <f t="shared" si="20"/>
        <v>531</v>
      </c>
      <c r="I65" s="54">
        <v>15</v>
      </c>
      <c r="J65" s="54">
        <v>89</v>
      </c>
      <c r="K65" s="54">
        <f>+K7</f>
        <v>340</v>
      </c>
      <c r="L65" s="54">
        <f t="shared" si="21"/>
        <v>80</v>
      </c>
      <c r="M65" s="54">
        <f t="shared" si="22"/>
        <v>710.47800000000007</v>
      </c>
      <c r="N65" s="54">
        <f>+F65*N6</f>
        <v>63.72</v>
      </c>
      <c r="O65" s="55">
        <f t="shared" si="23"/>
        <v>8732.1980000000003</v>
      </c>
    </row>
    <row r="66" spans="1:15" x14ac:dyDescent="0.25">
      <c r="A66" s="51" t="s">
        <v>132</v>
      </c>
      <c r="B66" s="97">
        <v>30</v>
      </c>
      <c r="C66" s="98" t="s">
        <v>156</v>
      </c>
      <c r="D66" s="91" t="s">
        <v>152</v>
      </c>
      <c r="E66" s="55">
        <v>531</v>
      </c>
      <c r="F66" s="54">
        <f t="shared" si="18"/>
        <v>6372</v>
      </c>
      <c r="G66" s="54">
        <f t="shared" si="19"/>
        <v>531</v>
      </c>
      <c r="H66" s="54">
        <f t="shared" si="20"/>
        <v>531</v>
      </c>
      <c r="I66" s="54">
        <v>15</v>
      </c>
      <c r="J66" s="54">
        <v>45</v>
      </c>
      <c r="K66" s="54">
        <f>+K7</f>
        <v>340</v>
      </c>
      <c r="L66" s="54">
        <f t="shared" si="21"/>
        <v>80</v>
      </c>
      <c r="M66" s="54">
        <f t="shared" si="22"/>
        <v>710.47800000000007</v>
      </c>
      <c r="N66" s="54">
        <f>+F66*N6</f>
        <v>63.72</v>
      </c>
      <c r="O66" s="55">
        <f t="shared" si="23"/>
        <v>8688.1980000000003</v>
      </c>
    </row>
    <row r="67" spans="1:15" x14ac:dyDescent="0.25">
      <c r="A67" s="74"/>
      <c r="B67" s="75"/>
      <c r="C67" s="76" t="s">
        <v>34</v>
      </c>
      <c r="D67" s="69"/>
      <c r="E67" s="77">
        <f>SUM(E37:E66)</f>
        <v>18011</v>
      </c>
      <c r="F67" s="77">
        <f t="shared" ref="F67:O67" si="24">SUM(F37:F66)</f>
        <v>216132</v>
      </c>
      <c r="G67" s="77">
        <f t="shared" si="24"/>
        <v>18011</v>
      </c>
      <c r="H67" s="77">
        <f t="shared" si="24"/>
        <v>18011</v>
      </c>
      <c r="I67" s="77">
        <f t="shared" si="24"/>
        <v>475</v>
      </c>
      <c r="J67" s="77">
        <f t="shared" si="24"/>
        <v>3016</v>
      </c>
      <c r="K67" s="77">
        <f t="shared" si="24"/>
        <v>10200</v>
      </c>
      <c r="L67" s="77">
        <f t="shared" si="24"/>
        <v>2400</v>
      </c>
      <c r="M67" s="77">
        <f t="shared" si="24"/>
        <v>24098.717999999993</v>
      </c>
      <c r="N67" s="77">
        <f t="shared" si="24"/>
        <v>2161.3200000000002</v>
      </c>
      <c r="O67" s="77">
        <f t="shared" si="24"/>
        <v>294505.03799999994</v>
      </c>
    </row>
    <row r="68" spans="1:15" x14ac:dyDescent="0.25">
      <c r="A68" s="78"/>
      <c r="B68" s="75">
        <f>+B19+B22+B27+B36</f>
        <v>41</v>
      </c>
      <c r="C68" s="59" t="s">
        <v>133</v>
      </c>
      <c r="D68" s="69"/>
      <c r="E68" s="60">
        <f>+E67+E35+E26+E21</f>
        <v>23852</v>
      </c>
      <c r="F68" s="60">
        <f t="shared" ref="F68:O68" si="25">+F67+F35+F26+F21</f>
        <v>286224</v>
      </c>
      <c r="G68" s="60">
        <f t="shared" si="25"/>
        <v>23852</v>
      </c>
      <c r="H68" s="60">
        <f t="shared" si="25"/>
        <v>23852</v>
      </c>
      <c r="I68" s="60">
        <f t="shared" si="25"/>
        <v>636</v>
      </c>
      <c r="J68" s="60">
        <f t="shared" si="25"/>
        <v>3994</v>
      </c>
      <c r="K68" s="60">
        <f t="shared" si="25"/>
        <v>13940</v>
      </c>
      <c r="L68" s="60">
        <f t="shared" si="25"/>
        <v>3280</v>
      </c>
      <c r="M68" s="60">
        <f t="shared" si="25"/>
        <v>31913.975999999995</v>
      </c>
      <c r="N68" s="60">
        <f t="shared" si="25"/>
        <v>2862.24</v>
      </c>
      <c r="O68" s="60">
        <f t="shared" si="25"/>
        <v>390554.2159999999</v>
      </c>
    </row>
    <row r="69" spans="1:15" x14ac:dyDescent="0.25">
      <c r="A69" s="79"/>
      <c r="B69" s="80">
        <f>+B68+B18</f>
        <v>47</v>
      </c>
      <c r="C69" s="81" t="s">
        <v>134</v>
      </c>
      <c r="D69" s="82"/>
      <c r="E69" s="86">
        <f>+E68+E18</f>
        <v>27108</v>
      </c>
      <c r="F69" s="83">
        <f t="shared" ref="F69:O69" si="26">+F68+F18</f>
        <v>325296</v>
      </c>
      <c r="G69" s="83">
        <f t="shared" si="26"/>
        <v>27108</v>
      </c>
      <c r="H69" s="83">
        <f t="shared" si="26"/>
        <v>27108</v>
      </c>
      <c r="I69" s="83">
        <f t="shared" si="26"/>
        <v>733</v>
      </c>
      <c r="J69" s="83">
        <f t="shared" si="26"/>
        <v>4353</v>
      </c>
      <c r="K69" s="83">
        <f t="shared" si="26"/>
        <v>15980</v>
      </c>
      <c r="L69" s="83">
        <f t="shared" si="26"/>
        <v>3760</v>
      </c>
      <c r="M69" s="83">
        <f t="shared" si="26"/>
        <v>36270.503999999994</v>
      </c>
      <c r="N69" s="83">
        <f t="shared" si="26"/>
        <v>3252.96</v>
      </c>
      <c r="O69" s="86">
        <f t="shared" si="26"/>
        <v>443861.46399999992</v>
      </c>
    </row>
    <row r="73" spans="1:15" x14ac:dyDescent="0.25">
      <c r="L73" t="s">
        <v>158</v>
      </c>
      <c r="O73" s="89">
        <f>O69</f>
        <v>443861.46399999992</v>
      </c>
    </row>
    <row r="74" spans="1:15" x14ac:dyDescent="0.25">
      <c r="L74" t="s">
        <v>159</v>
      </c>
      <c r="O74" s="89">
        <f>'SU PERSIVIDO ACTUALMENTE'!N69</f>
        <v>394033.53239999991</v>
      </c>
    </row>
    <row r="75" spans="1:15" x14ac:dyDescent="0.25">
      <c r="L75" t="s">
        <v>162</v>
      </c>
      <c r="O75" s="89">
        <f>O73-O74</f>
        <v>49827.931600000011</v>
      </c>
    </row>
    <row r="76" spans="1:15" x14ac:dyDescent="0.25">
      <c r="D76" t="s">
        <v>160</v>
      </c>
    </row>
    <row r="77" spans="1:15" x14ac:dyDescent="0.25">
      <c r="D77" t="s">
        <v>161</v>
      </c>
    </row>
  </sheetData>
  <mergeCells count="4">
    <mergeCell ref="A1:O1"/>
    <mergeCell ref="A2:O2"/>
    <mergeCell ref="A3:O3"/>
    <mergeCell ref="L5:L7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ignoredErrors>
    <ignoredError sqref="K5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topLeftCell="D49" workbookViewId="0">
      <selection activeCell="G14" sqref="G14"/>
    </sheetView>
  </sheetViews>
  <sheetFormatPr baseColWidth="10" defaultColWidth="9.140625" defaultRowHeight="15" x14ac:dyDescent="0.25"/>
  <cols>
    <col min="1" max="1" width="11.28515625" customWidth="1"/>
    <col min="2" max="2" width="7" customWidth="1"/>
    <col min="3" max="3" width="29.42578125" customWidth="1"/>
    <col min="4" max="4" width="20.5703125" customWidth="1"/>
    <col min="6" max="6" width="11.28515625" customWidth="1"/>
    <col min="14" max="14" width="11.7109375" customWidth="1"/>
  </cols>
  <sheetData>
    <row r="1" spans="1:14" ht="19.5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x14ac:dyDescent="0.25">
      <c r="A2" s="104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4" x14ac:dyDescent="0.25">
      <c r="A3" s="105" t="s">
        <v>164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/>
      <c r="B5" s="3" t="s">
        <v>2</v>
      </c>
      <c r="C5" s="4"/>
      <c r="D5" s="5"/>
      <c r="E5" s="6" t="s">
        <v>3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6</v>
      </c>
      <c r="K5" s="6" t="s">
        <v>5</v>
      </c>
      <c r="L5" s="7" t="s">
        <v>7</v>
      </c>
      <c r="M5" s="7" t="s">
        <v>8</v>
      </c>
      <c r="N5" s="29" t="s">
        <v>9</v>
      </c>
    </row>
    <row r="6" spans="1:14" ht="21" x14ac:dyDescent="0.25">
      <c r="A6" s="8" t="s">
        <v>10</v>
      </c>
      <c r="B6" s="8" t="s">
        <v>11</v>
      </c>
      <c r="C6" s="9"/>
      <c r="D6" s="10" t="s">
        <v>12</v>
      </c>
      <c r="E6" s="11" t="s">
        <v>13</v>
      </c>
      <c r="F6" s="11" t="s">
        <v>14</v>
      </c>
      <c r="G6" s="11" t="s">
        <v>15</v>
      </c>
      <c r="H6" s="11" t="s">
        <v>16</v>
      </c>
      <c r="I6" s="11" t="s">
        <v>17</v>
      </c>
      <c r="J6" s="11" t="s">
        <v>18</v>
      </c>
      <c r="K6" s="11" t="s">
        <v>19</v>
      </c>
      <c r="L6" s="12" t="s">
        <v>20</v>
      </c>
      <c r="M6" s="13">
        <v>0.01</v>
      </c>
      <c r="N6" s="30" t="s">
        <v>14</v>
      </c>
    </row>
    <row r="7" spans="1:14" ht="33" x14ac:dyDescent="0.25">
      <c r="A7" s="14"/>
      <c r="B7" s="15" t="s">
        <v>21</v>
      </c>
      <c r="C7" s="16"/>
      <c r="D7" s="14"/>
      <c r="E7" s="17">
        <v>2015</v>
      </c>
      <c r="F7" s="18">
        <v>2015</v>
      </c>
      <c r="G7" s="19" t="s">
        <v>22</v>
      </c>
      <c r="H7" s="19"/>
      <c r="I7" s="20" t="s">
        <v>23</v>
      </c>
      <c r="J7" s="20" t="s">
        <v>24</v>
      </c>
      <c r="K7" s="21">
        <v>340</v>
      </c>
      <c r="L7" s="22">
        <v>11.15</v>
      </c>
      <c r="M7" s="22"/>
      <c r="N7" s="31">
        <v>2015</v>
      </c>
    </row>
    <row r="8" spans="1:14" x14ac:dyDescent="0.25">
      <c r="A8" s="32">
        <v>111</v>
      </c>
      <c r="B8" s="33">
        <f>+B12</f>
        <v>4</v>
      </c>
      <c r="C8" s="34" t="s">
        <v>25</v>
      </c>
      <c r="D8" s="35" t="s">
        <v>25</v>
      </c>
      <c r="E8" s="36"/>
      <c r="F8" s="34"/>
      <c r="G8" s="34"/>
      <c r="H8" s="34"/>
      <c r="I8" s="34"/>
      <c r="J8" s="34"/>
      <c r="K8" s="34"/>
      <c r="L8" s="34"/>
      <c r="M8" s="34"/>
      <c r="N8" s="23"/>
    </row>
    <row r="9" spans="1:14" x14ac:dyDescent="0.25">
      <c r="A9" s="37" t="s">
        <v>26</v>
      </c>
      <c r="B9" s="92">
        <v>1</v>
      </c>
      <c r="C9" s="91" t="s">
        <v>27</v>
      </c>
      <c r="D9" s="91" t="s">
        <v>135</v>
      </c>
      <c r="E9" s="40">
        <v>531</v>
      </c>
      <c r="F9" s="40">
        <f>+E9*12</f>
        <v>6372</v>
      </c>
      <c r="G9" s="40">
        <f>+F9/12</f>
        <v>531</v>
      </c>
      <c r="H9" s="40">
        <f>+F9/12</f>
        <v>531</v>
      </c>
      <c r="I9" s="40">
        <v>16</v>
      </c>
      <c r="J9" s="40">
        <v>45</v>
      </c>
      <c r="K9" s="40">
        <f>+K7</f>
        <v>340</v>
      </c>
      <c r="L9" s="40">
        <f>+F9*11.15/100</f>
        <v>710.47800000000007</v>
      </c>
      <c r="M9" s="40">
        <f>+F9*M6</f>
        <v>63.72</v>
      </c>
      <c r="N9" s="26">
        <f>+M9+L9+K9+H9+G9+F9+I9+J9</f>
        <v>8609.1980000000003</v>
      </c>
    </row>
    <row r="10" spans="1:14" x14ac:dyDescent="0.25">
      <c r="A10" s="37" t="s">
        <v>28</v>
      </c>
      <c r="B10" s="92">
        <v>2</v>
      </c>
      <c r="C10" s="91" t="s">
        <v>29</v>
      </c>
      <c r="D10" s="91" t="s">
        <v>136</v>
      </c>
      <c r="E10" s="40">
        <v>495</v>
      </c>
      <c r="F10" s="40">
        <f>+E10*12</f>
        <v>5940</v>
      </c>
      <c r="G10" s="40">
        <f>+F10/12</f>
        <v>495</v>
      </c>
      <c r="H10" s="40">
        <f>+F10/12</f>
        <v>495</v>
      </c>
      <c r="I10" s="40">
        <v>15</v>
      </c>
      <c r="J10" s="40">
        <v>90</v>
      </c>
      <c r="K10" s="40">
        <f>+K7</f>
        <v>340</v>
      </c>
      <c r="L10" s="40">
        <f>+F10*11.15/100</f>
        <v>662.31</v>
      </c>
      <c r="M10" s="40">
        <f>+F10*M6</f>
        <v>59.4</v>
      </c>
      <c r="N10" s="26">
        <f>+M10+L10+K10+H10+G10+F10+I10+J10</f>
        <v>8096.71</v>
      </c>
    </row>
    <row r="11" spans="1:14" x14ac:dyDescent="0.25">
      <c r="A11" s="37" t="s">
        <v>30</v>
      </c>
      <c r="B11" s="92">
        <v>3</v>
      </c>
      <c r="C11" s="91" t="s">
        <v>31</v>
      </c>
      <c r="D11" s="91" t="s">
        <v>136</v>
      </c>
      <c r="E11" s="40">
        <v>531</v>
      </c>
      <c r="F11" s="40">
        <f>+E11*12</f>
        <v>6372</v>
      </c>
      <c r="G11" s="40">
        <f>+F11/12</f>
        <v>531</v>
      </c>
      <c r="H11" s="40">
        <f>+F11/12</f>
        <v>531</v>
      </c>
      <c r="I11" s="40">
        <v>16</v>
      </c>
      <c r="J11" s="40">
        <v>45</v>
      </c>
      <c r="K11" s="40">
        <f>+K7</f>
        <v>340</v>
      </c>
      <c r="L11" s="40">
        <f>+F11*11.15/100</f>
        <v>710.47800000000007</v>
      </c>
      <c r="M11" s="40">
        <f>+F11*M6</f>
        <v>63.72</v>
      </c>
      <c r="N11" s="26">
        <f>+M11+L11+K11+H11+G11+F11+I11+J11</f>
        <v>8609.1980000000003</v>
      </c>
    </row>
    <row r="12" spans="1:14" x14ac:dyDescent="0.25">
      <c r="A12" s="37" t="s">
        <v>32</v>
      </c>
      <c r="B12" s="38">
        <v>4</v>
      </c>
      <c r="C12" s="39" t="s">
        <v>33</v>
      </c>
      <c r="D12" s="39" t="s">
        <v>136</v>
      </c>
      <c r="E12" s="40">
        <v>527</v>
      </c>
      <c r="F12" s="40">
        <f>+E12*12</f>
        <v>6324</v>
      </c>
      <c r="G12" s="40">
        <f>+F12/12</f>
        <v>527</v>
      </c>
      <c r="H12" s="40">
        <f>+F12/12</f>
        <v>527</v>
      </c>
      <c r="I12" s="40">
        <v>16</v>
      </c>
      <c r="J12" s="40">
        <v>45</v>
      </c>
      <c r="K12" s="40">
        <f>+K7</f>
        <v>340</v>
      </c>
      <c r="L12" s="40">
        <f>+F12*11.15/100</f>
        <v>705.12600000000009</v>
      </c>
      <c r="M12" s="40">
        <f>+F12*M6</f>
        <v>63.24</v>
      </c>
      <c r="N12" s="26">
        <f>+M12+L12+K12+H12+G12+F12+I12+J12</f>
        <v>8547.366</v>
      </c>
    </row>
    <row r="13" spans="1:14" x14ac:dyDescent="0.25">
      <c r="A13" s="41"/>
      <c r="B13" s="42"/>
      <c r="C13" s="43" t="s">
        <v>34</v>
      </c>
      <c r="D13" s="24"/>
      <c r="E13" s="27">
        <f>SUM(E9:E12)</f>
        <v>2084</v>
      </c>
      <c r="F13" s="27">
        <f t="shared" ref="F13:N13" si="0">SUM(F9:F12)</f>
        <v>25008</v>
      </c>
      <c r="G13" s="27">
        <f t="shared" si="0"/>
        <v>2084</v>
      </c>
      <c r="H13" s="27">
        <f t="shared" si="0"/>
        <v>2084</v>
      </c>
      <c r="I13" s="27">
        <f t="shared" si="0"/>
        <v>63</v>
      </c>
      <c r="J13" s="27">
        <f t="shared" si="0"/>
        <v>225</v>
      </c>
      <c r="K13" s="27">
        <f t="shared" si="0"/>
        <v>1360</v>
      </c>
      <c r="L13" s="27">
        <f t="shared" si="0"/>
        <v>2788.3920000000003</v>
      </c>
      <c r="M13" s="27">
        <f t="shared" si="0"/>
        <v>250.08</v>
      </c>
      <c r="N13" s="27">
        <f t="shared" si="0"/>
        <v>33862.472000000002</v>
      </c>
    </row>
    <row r="14" spans="1:14" x14ac:dyDescent="0.25">
      <c r="A14" s="44">
        <v>131</v>
      </c>
      <c r="B14" s="23">
        <f>+B16</f>
        <v>2</v>
      </c>
      <c r="C14" s="34" t="s">
        <v>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24"/>
    </row>
    <row r="15" spans="1:14" x14ac:dyDescent="0.25">
      <c r="A15" s="45" t="s">
        <v>36</v>
      </c>
      <c r="B15" s="90">
        <v>1</v>
      </c>
      <c r="C15" s="91" t="s">
        <v>37</v>
      </c>
      <c r="D15" s="91" t="s">
        <v>38</v>
      </c>
      <c r="E15" s="40">
        <v>566</v>
      </c>
      <c r="F15" s="40">
        <f>+E15*12</f>
        <v>6792</v>
      </c>
      <c r="G15" s="40">
        <f>+F15/12</f>
        <v>566</v>
      </c>
      <c r="H15" s="40">
        <f>+F15/12</f>
        <v>566</v>
      </c>
      <c r="I15" s="40">
        <v>17</v>
      </c>
      <c r="J15" s="40">
        <v>45</v>
      </c>
      <c r="K15" s="40">
        <f>+K7</f>
        <v>340</v>
      </c>
      <c r="L15" s="40">
        <f>+F15*11.15/100</f>
        <v>757.30799999999999</v>
      </c>
      <c r="M15" s="40">
        <f>+F15*M6</f>
        <v>67.92</v>
      </c>
      <c r="N15" s="26">
        <f>+M15+L15+K15+H15+G15+F15+I15+J15</f>
        <v>9151.2279999999992</v>
      </c>
    </row>
    <row r="16" spans="1:14" x14ac:dyDescent="0.25">
      <c r="A16" s="45" t="s">
        <v>39</v>
      </c>
      <c r="B16" s="90">
        <v>2</v>
      </c>
      <c r="C16" s="91" t="s">
        <v>40</v>
      </c>
      <c r="D16" s="91" t="s">
        <v>38</v>
      </c>
      <c r="E16" s="40">
        <v>566</v>
      </c>
      <c r="F16" s="40">
        <f>+E16*12</f>
        <v>6792</v>
      </c>
      <c r="G16" s="40">
        <f>+F16/12</f>
        <v>566</v>
      </c>
      <c r="H16" s="40">
        <f>+F16/12</f>
        <v>566</v>
      </c>
      <c r="I16" s="40">
        <v>17</v>
      </c>
      <c r="J16" s="40">
        <v>89</v>
      </c>
      <c r="K16" s="40">
        <f>+K7</f>
        <v>340</v>
      </c>
      <c r="L16" s="40">
        <f>+F16*11.15/100</f>
        <v>757.30799999999999</v>
      </c>
      <c r="M16" s="40">
        <f>+F16*M6</f>
        <v>67.92</v>
      </c>
      <c r="N16" s="26">
        <f>+M16+L16+K16+H16+G16+F16+I16+J16</f>
        <v>9195.2279999999992</v>
      </c>
    </row>
    <row r="17" spans="1:14" x14ac:dyDescent="0.25">
      <c r="A17" s="41"/>
      <c r="B17" s="42"/>
      <c r="C17" s="43" t="s">
        <v>34</v>
      </c>
      <c r="D17" s="24"/>
      <c r="E17" s="27">
        <f>SUM(E15:E16)</f>
        <v>1132</v>
      </c>
      <c r="F17" s="28">
        <f t="shared" ref="F17:N17" si="1">SUM(F15:F16)</f>
        <v>13584</v>
      </c>
      <c r="G17" s="28">
        <f t="shared" si="1"/>
        <v>1132</v>
      </c>
      <c r="H17" s="28">
        <f t="shared" si="1"/>
        <v>1132</v>
      </c>
      <c r="I17" s="27">
        <f t="shared" si="1"/>
        <v>34</v>
      </c>
      <c r="J17" s="27">
        <f t="shared" si="1"/>
        <v>134</v>
      </c>
      <c r="K17" s="27">
        <f t="shared" si="1"/>
        <v>680</v>
      </c>
      <c r="L17" s="27">
        <f t="shared" si="1"/>
        <v>1514.616</v>
      </c>
      <c r="M17" s="28">
        <f t="shared" si="1"/>
        <v>135.84</v>
      </c>
      <c r="N17" s="28">
        <f t="shared" si="1"/>
        <v>18346.455999999998</v>
      </c>
    </row>
    <row r="18" spans="1:14" x14ac:dyDescent="0.25">
      <c r="A18" s="36"/>
      <c r="B18" s="33">
        <f>+B14+B8</f>
        <v>6</v>
      </c>
      <c r="C18" s="46" t="s">
        <v>41</v>
      </c>
      <c r="D18" s="34"/>
      <c r="E18" s="84">
        <f>+E17+E13</f>
        <v>3216</v>
      </c>
      <c r="F18" s="25">
        <f t="shared" ref="F18:N18" si="2">+F17+F13</f>
        <v>38592</v>
      </c>
      <c r="G18" s="25">
        <f t="shared" si="2"/>
        <v>3216</v>
      </c>
      <c r="H18" s="25">
        <f t="shared" si="2"/>
        <v>3216</v>
      </c>
      <c r="I18" s="25">
        <f t="shared" si="2"/>
        <v>97</v>
      </c>
      <c r="J18" s="25">
        <f t="shared" si="2"/>
        <v>359</v>
      </c>
      <c r="K18" s="25">
        <f t="shared" si="2"/>
        <v>2040</v>
      </c>
      <c r="L18" s="25">
        <f t="shared" si="2"/>
        <v>4303.0079999999998</v>
      </c>
      <c r="M18" s="25">
        <f t="shared" si="2"/>
        <v>385.92</v>
      </c>
      <c r="N18" s="25">
        <f t="shared" si="2"/>
        <v>52208.928</v>
      </c>
    </row>
    <row r="19" spans="1:14" x14ac:dyDescent="0.25">
      <c r="A19" s="47">
        <v>321</v>
      </c>
      <c r="B19" s="48">
        <v>1</v>
      </c>
      <c r="C19" s="49" t="s">
        <v>42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/>
    </row>
    <row r="20" spans="1:14" x14ac:dyDescent="0.25">
      <c r="A20" s="51" t="s">
        <v>43</v>
      </c>
      <c r="B20" s="52">
        <v>1</v>
      </c>
      <c r="C20" s="53" t="s">
        <v>44</v>
      </c>
      <c r="D20" s="53" t="s">
        <v>137</v>
      </c>
      <c r="E20" s="54">
        <v>424.6</v>
      </c>
      <c r="F20" s="54">
        <f>+E20*12</f>
        <v>5095.2000000000007</v>
      </c>
      <c r="G20" s="54">
        <f>+F20/12</f>
        <v>424.60000000000008</v>
      </c>
      <c r="H20" s="54">
        <f>+F20/12</f>
        <v>424.60000000000008</v>
      </c>
      <c r="I20" s="54">
        <v>13</v>
      </c>
      <c r="J20" s="54">
        <v>45</v>
      </c>
      <c r="K20" s="54">
        <f>+K16</f>
        <v>340</v>
      </c>
      <c r="L20" s="54">
        <f>+F20*11.15/100</f>
        <v>568.11480000000006</v>
      </c>
      <c r="M20" s="54">
        <f>+F20*M6</f>
        <v>50.952000000000005</v>
      </c>
      <c r="N20" s="55">
        <f>+M20+L20+K20+H20+G20+F20+I20+J20</f>
        <v>6961.4668000000011</v>
      </c>
    </row>
    <row r="21" spans="1:14" x14ac:dyDescent="0.25">
      <c r="A21" s="56"/>
      <c r="B21" s="57"/>
      <c r="C21" s="58" t="s">
        <v>34</v>
      </c>
      <c r="D21" s="59"/>
      <c r="E21" s="60">
        <f>SUM(E20)</f>
        <v>424.6</v>
      </c>
      <c r="F21" s="60">
        <f t="shared" ref="F21:N21" si="3">SUM(F20)</f>
        <v>5095.2000000000007</v>
      </c>
      <c r="G21" s="60">
        <f t="shared" si="3"/>
        <v>424.60000000000008</v>
      </c>
      <c r="H21" s="60">
        <f t="shared" si="3"/>
        <v>424.60000000000008</v>
      </c>
      <c r="I21" s="60">
        <f t="shared" si="3"/>
        <v>13</v>
      </c>
      <c r="J21" s="60">
        <f t="shared" si="3"/>
        <v>45</v>
      </c>
      <c r="K21" s="60">
        <f t="shared" si="3"/>
        <v>340</v>
      </c>
      <c r="L21" s="60">
        <f t="shared" si="3"/>
        <v>568.11480000000006</v>
      </c>
      <c r="M21" s="60">
        <f t="shared" si="3"/>
        <v>50.952000000000005</v>
      </c>
      <c r="N21" s="60">
        <f t="shared" si="3"/>
        <v>6961.4668000000011</v>
      </c>
    </row>
    <row r="22" spans="1:14" x14ac:dyDescent="0.25">
      <c r="A22" s="47">
        <v>331</v>
      </c>
      <c r="B22" s="61">
        <f>+B25</f>
        <v>3</v>
      </c>
      <c r="C22" s="49" t="s">
        <v>45</v>
      </c>
      <c r="D22" s="49"/>
      <c r="E22" s="62"/>
      <c r="F22" s="62"/>
      <c r="G22" s="62"/>
      <c r="H22" s="62"/>
      <c r="I22" s="62"/>
      <c r="J22" s="62"/>
      <c r="K22" s="62"/>
      <c r="L22" s="62"/>
      <c r="M22" s="62"/>
      <c r="N22" s="63"/>
    </row>
    <row r="23" spans="1:14" ht="30" customHeight="1" x14ac:dyDescent="0.25">
      <c r="A23" s="51" t="s">
        <v>46</v>
      </c>
      <c r="B23" s="92">
        <v>1</v>
      </c>
      <c r="C23" s="91" t="s">
        <v>47</v>
      </c>
      <c r="D23" s="93" t="s">
        <v>138</v>
      </c>
      <c r="E23" s="54">
        <v>495</v>
      </c>
      <c r="F23" s="54">
        <f>+E23*12</f>
        <v>5940</v>
      </c>
      <c r="G23" s="54">
        <f>+F23/12</f>
        <v>495</v>
      </c>
      <c r="H23" s="54">
        <f>+F23/12</f>
        <v>495</v>
      </c>
      <c r="I23" s="54">
        <v>15</v>
      </c>
      <c r="J23" s="54">
        <v>265</v>
      </c>
      <c r="K23" s="54">
        <f>+K7</f>
        <v>340</v>
      </c>
      <c r="L23" s="54">
        <f>+F23*11.15/100</f>
        <v>662.31</v>
      </c>
      <c r="M23" s="54">
        <f>+F23*M6</f>
        <v>59.4</v>
      </c>
      <c r="N23" s="55">
        <f>+M23+L23+K23+H23+G23+F23+I23+J23</f>
        <v>8271.7099999999991</v>
      </c>
    </row>
    <row r="24" spans="1:14" ht="26.25" customHeight="1" x14ac:dyDescent="0.25">
      <c r="A24" s="51" t="s">
        <v>48</v>
      </c>
      <c r="B24" s="92">
        <v>2</v>
      </c>
      <c r="C24" s="91" t="s">
        <v>49</v>
      </c>
      <c r="D24" s="93" t="s">
        <v>138</v>
      </c>
      <c r="E24" s="54">
        <v>495</v>
      </c>
      <c r="F24" s="54">
        <f>+E24*12</f>
        <v>5940</v>
      </c>
      <c r="G24" s="54">
        <f>+F24/12</f>
        <v>495</v>
      </c>
      <c r="H24" s="54">
        <f>+F24/12</f>
        <v>495</v>
      </c>
      <c r="I24" s="54">
        <v>15</v>
      </c>
      <c r="J24" s="54">
        <v>133</v>
      </c>
      <c r="K24" s="54">
        <f>+K7</f>
        <v>340</v>
      </c>
      <c r="L24" s="54">
        <f>+F24*11.15/100</f>
        <v>662.31</v>
      </c>
      <c r="M24" s="54">
        <f>+F24*M6</f>
        <v>59.4</v>
      </c>
      <c r="N24" s="55">
        <f>+M24+L24+K24+H24+G24+F24+I24+J24</f>
        <v>8139.71</v>
      </c>
    </row>
    <row r="25" spans="1:14" ht="24" customHeight="1" x14ac:dyDescent="0.25">
      <c r="A25" s="51" t="s">
        <v>50</v>
      </c>
      <c r="B25" s="92">
        <v>3</v>
      </c>
      <c r="C25" s="91" t="s">
        <v>51</v>
      </c>
      <c r="D25" s="93" t="s">
        <v>139</v>
      </c>
      <c r="E25" s="54">
        <v>495</v>
      </c>
      <c r="F25" s="54">
        <f>+E25*12</f>
        <v>5940</v>
      </c>
      <c r="G25" s="54">
        <f>+F25/12</f>
        <v>495</v>
      </c>
      <c r="H25" s="54">
        <f>+F25/12</f>
        <v>495</v>
      </c>
      <c r="I25" s="54">
        <v>15</v>
      </c>
      <c r="J25" s="54">
        <v>89</v>
      </c>
      <c r="K25" s="54">
        <f>+K7</f>
        <v>340</v>
      </c>
      <c r="L25" s="54">
        <f>+F25*11.15/100</f>
        <v>662.31</v>
      </c>
      <c r="M25" s="54">
        <f>+F25*M6</f>
        <v>59.4</v>
      </c>
      <c r="N25" s="55">
        <f>+M25+L25+K25+H25+G25+F25+I25+J25</f>
        <v>8095.71</v>
      </c>
    </row>
    <row r="26" spans="1:14" x14ac:dyDescent="0.25">
      <c r="A26" s="56"/>
      <c r="B26" s="65"/>
      <c r="C26" s="58" t="s">
        <v>34</v>
      </c>
      <c r="D26" s="59"/>
      <c r="E26" s="60">
        <f>SUM(E23:E25)</f>
        <v>1485</v>
      </c>
      <c r="F26" s="60">
        <f t="shared" ref="F26:N26" si="4">SUM(F23:F25)</f>
        <v>17820</v>
      </c>
      <c r="G26" s="60">
        <f t="shared" si="4"/>
        <v>1485</v>
      </c>
      <c r="H26" s="60">
        <f t="shared" si="4"/>
        <v>1485</v>
      </c>
      <c r="I26" s="60">
        <f t="shared" si="4"/>
        <v>45</v>
      </c>
      <c r="J26" s="60">
        <f t="shared" si="4"/>
        <v>487</v>
      </c>
      <c r="K26" s="60">
        <f t="shared" si="4"/>
        <v>1020</v>
      </c>
      <c r="L26" s="60">
        <f t="shared" si="4"/>
        <v>1986.9299999999998</v>
      </c>
      <c r="M26" s="60">
        <f t="shared" si="4"/>
        <v>178.2</v>
      </c>
      <c r="N26" s="60">
        <f t="shared" si="4"/>
        <v>24507.129999999997</v>
      </c>
    </row>
    <row r="27" spans="1:14" x14ac:dyDescent="0.25">
      <c r="A27" s="47">
        <v>341</v>
      </c>
      <c r="B27" s="65">
        <f>+B34</f>
        <v>7</v>
      </c>
      <c r="C27" s="66" t="s">
        <v>52</v>
      </c>
      <c r="D27" s="67"/>
      <c r="E27" s="66"/>
      <c r="F27" s="66"/>
      <c r="G27" s="66"/>
      <c r="H27" s="66"/>
      <c r="I27" s="66"/>
      <c r="J27" s="66"/>
      <c r="K27" s="66"/>
      <c r="L27" s="66"/>
      <c r="M27" s="66"/>
      <c r="N27" s="68"/>
    </row>
    <row r="28" spans="1:14" x14ac:dyDescent="0.25">
      <c r="A28" s="51" t="s">
        <v>53</v>
      </c>
      <c r="B28" s="64">
        <v>1</v>
      </c>
      <c r="C28" s="53" t="s">
        <v>54</v>
      </c>
      <c r="D28" s="53" t="s">
        <v>140</v>
      </c>
      <c r="E28" s="54">
        <v>495</v>
      </c>
      <c r="F28" s="54">
        <f t="shared" ref="F28:F34" si="5">+E28*12</f>
        <v>5940</v>
      </c>
      <c r="G28" s="54">
        <f t="shared" ref="G28:G34" si="6">+F28/12</f>
        <v>495</v>
      </c>
      <c r="H28" s="54">
        <f t="shared" ref="H28:H34" si="7">+F28/12</f>
        <v>495</v>
      </c>
      <c r="I28" s="54">
        <v>15</v>
      </c>
      <c r="J28" s="54">
        <v>89</v>
      </c>
      <c r="K28" s="54">
        <f>+K24</f>
        <v>340</v>
      </c>
      <c r="L28" s="54">
        <f t="shared" ref="L28:L34" si="8">+F28*11.15/100</f>
        <v>662.31</v>
      </c>
      <c r="M28" s="54">
        <f>+F28*M6</f>
        <v>59.4</v>
      </c>
      <c r="N28" s="55">
        <f t="shared" ref="N28:N34" si="9">+M28+L28+K28+H28+G28+F28+I28+J28</f>
        <v>8095.71</v>
      </c>
    </row>
    <row r="29" spans="1:14" ht="22.5" customHeight="1" x14ac:dyDescent="0.25">
      <c r="A29" s="51" t="s">
        <v>55</v>
      </c>
      <c r="B29" s="92">
        <v>2</v>
      </c>
      <c r="C29" s="91" t="s">
        <v>56</v>
      </c>
      <c r="D29" s="93" t="s">
        <v>139</v>
      </c>
      <c r="E29" s="54">
        <v>495</v>
      </c>
      <c r="F29" s="54">
        <f t="shared" si="5"/>
        <v>5940</v>
      </c>
      <c r="G29" s="54">
        <f t="shared" si="6"/>
        <v>495</v>
      </c>
      <c r="H29" s="54">
        <f t="shared" si="7"/>
        <v>495</v>
      </c>
      <c r="I29" s="54">
        <v>15</v>
      </c>
      <c r="J29" s="54">
        <v>89</v>
      </c>
      <c r="K29" s="54">
        <f>+K7</f>
        <v>340</v>
      </c>
      <c r="L29" s="54">
        <f t="shared" si="8"/>
        <v>662.31</v>
      </c>
      <c r="M29" s="54">
        <f>+F29*M6</f>
        <v>59.4</v>
      </c>
      <c r="N29" s="55">
        <f t="shared" si="9"/>
        <v>8095.71</v>
      </c>
    </row>
    <row r="30" spans="1:14" x14ac:dyDescent="0.25">
      <c r="A30" s="51" t="s">
        <v>57</v>
      </c>
      <c r="B30" s="92">
        <v>3</v>
      </c>
      <c r="C30" s="91" t="s">
        <v>58</v>
      </c>
      <c r="D30" s="91" t="s">
        <v>141</v>
      </c>
      <c r="E30" s="54">
        <v>495</v>
      </c>
      <c r="F30" s="54">
        <f t="shared" si="5"/>
        <v>5940</v>
      </c>
      <c r="G30" s="54">
        <f t="shared" si="6"/>
        <v>495</v>
      </c>
      <c r="H30" s="54">
        <f t="shared" si="7"/>
        <v>495</v>
      </c>
      <c r="I30" s="54">
        <v>15</v>
      </c>
      <c r="J30" s="54">
        <v>45</v>
      </c>
      <c r="K30" s="54">
        <f>+K7</f>
        <v>340</v>
      </c>
      <c r="L30" s="54">
        <f t="shared" si="8"/>
        <v>662.31</v>
      </c>
      <c r="M30" s="54">
        <f>+F30*M6</f>
        <v>59.4</v>
      </c>
      <c r="N30" s="55">
        <f t="shared" si="9"/>
        <v>8051.71</v>
      </c>
    </row>
    <row r="31" spans="1:14" x14ac:dyDescent="0.25">
      <c r="A31" s="51" t="s">
        <v>59</v>
      </c>
      <c r="B31" s="92">
        <v>4</v>
      </c>
      <c r="C31" s="91" t="s">
        <v>60</v>
      </c>
      <c r="D31" s="91" t="s">
        <v>142</v>
      </c>
      <c r="E31" s="54">
        <v>424.6</v>
      </c>
      <c r="F31" s="54">
        <f t="shared" si="5"/>
        <v>5095.2000000000007</v>
      </c>
      <c r="G31" s="54">
        <f t="shared" si="6"/>
        <v>424.60000000000008</v>
      </c>
      <c r="H31" s="54">
        <f t="shared" si="7"/>
        <v>424.60000000000008</v>
      </c>
      <c r="I31" s="54">
        <v>13</v>
      </c>
      <c r="J31" s="54">
        <v>45</v>
      </c>
      <c r="K31" s="54">
        <f>+K7</f>
        <v>340</v>
      </c>
      <c r="L31" s="54">
        <f t="shared" si="8"/>
        <v>568.11480000000006</v>
      </c>
      <c r="M31" s="54">
        <f>+F31*M6</f>
        <v>50.952000000000005</v>
      </c>
      <c r="N31" s="55">
        <f t="shared" si="9"/>
        <v>6961.4668000000011</v>
      </c>
    </row>
    <row r="32" spans="1:14" x14ac:dyDescent="0.25">
      <c r="A32" s="51" t="s">
        <v>61</v>
      </c>
      <c r="B32" s="92">
        <v>5</v>
      </c>
      <c r="C32" s="91" t="s">
        <v>62</v>
      </c>
      <c r="D32" s="91" t="s">
        <v>136</v>
      </c>
      <c r="E32" s="54">
        <v>495</v>
      </c>
      <c r="F32" s="54">
        <f t="shared" si="5"/>
        <v>5940</v>
      </c>
      <c r="G32" s="54">
        <f t="shared" si="6"/>
        <v>495</v>
      </c>
      <c r="H32" s="54">
        <f t="shared" si="7"/>
        <v>495</v>
      </c>
      <c r="I32" s="54">
        <v>15</v>
      </c>
      <c r="J32" s="54">
        <v>45</v>
      </c>
      <c r="K32" s="54">
        <f>+K7</f>
        <v>340</v>
      </c>
      <c r="L32" s="54">
        <f t="shared" si="8"/>
        <v>662.31</v>
      </c>
      <c r="M32" s="54">
        <f>+F32*M6</f>
        <v>59.4</v>
      </c>
      <c r="N32" s="55">
        <f t="shared" si="9"/>
        <v>8051.71</v>
      </c>
    </row>
    <row r="33" spans="1:14" x14ac:dyDescent="0.25">
      <c r="A33" s="51" t="s">
        <v>63</v>
      </c>
      <c r="B33" s="92">
        <v>6</v>
      </c>
      <c r="C33" s="91" t="s">
        <v>64</v>
      </c>
      <c r="D33" s="91" t="s">
        <v>136</v>
      </c>
      <c r="E33" s="54">
        <v>495</v>
      </c>
      <c r="F33" s="54">
        <f t="shared" si="5"/>
        <v>5940</v>
      </c>
      <c r="G33" s="54">
        <f t="shared" si="6"/>
        <v>495</v>
      </c>
      <c r="H33" s="54">
        <f t="shared" si="7"/>
        <v>495</v>
      </c>
      <c r="I33" s="54">
        <v>15</v>
      </c>
      <c r="J33" s="54">
        <v>0</v>
      </c>
      <c r="K33" s="54">
        <f>+K7</f>
        <v>340</v>
      </c>
      <c r="L33" s="54">
        <f t="shared" si="8"/>
        <v>662.31</v>
      </c>
      <c r="M33" s="54">
        <f>+F33*M6</f>
        <v>59.4</v>
      </c>
      <c r="N33" s="55">
        <f t="shared" si="9"/>
        <v>8006.71</v>
      </c>
    </row>
    <row r="34" spans="1:14" x14ac:dyDescent="0.25">
      <c r="A34" s="51" t="s">
        <v>65</v>
      </c>
      <c r="B34" s="92">
        <v>7</v>
      </c>
      <c r="C34" s="91" t="s">
        <v>66</v>
      </c>
      <c r="D34" s="91" t="s">
        <v>136</v>
      </c>
      <c r="E34" s="54">
        <v>495</v>
      </c>
      <c r="F34" s="54">
        <f t="shared" si="5"/>
        <v>5940</v>
      </c>
      <c r="G34" s="54">
        <f t="shared" si="6"/>
        <v>495</v>
      </c>
      <c r="H34" s="54">
        <f t="shared" si="7"/>
        <v>495</v>
      </c>
      <c r="I34" s="54">
        <v>15</v>
      </c>
      <c r="J34" s="54">
        <v>133</v>
      </c>
      <c r="K34" s="54">
        <f>+K7</f>
        <v>340</v>
      </c>
      <c r="L34" s="54">
        <f t="shared" si="8"/>
        <v>662.31</v>
      </c>
      <c r="M34" s="54">
        <f>+F34*M6</f>
        <v>59.4</v>
      </c>
      <c r="N34" s="55">
        <f t="shared" si="9"/>
        <v>8139.71</v>
      </c>
    </row>
    <row r="35" spans="1:14" x14ac:dyDescent="0.25">
      <c r="A35" s="56"/>
      <c r="B35" s="65"/>
      <c r="C35" s="58" t="s">
        <v>34</v>
      </c>
      <c r="D35" s="69"/>
      <c r="E35" s="60">
        <f>SUM(E28:E34)</f>
        <v>3394.6</v>
      </c>
      <c r="F35" s="60">
        <f t="shared" ref="F35:N35" si="10">SUM(F28:F34)</f>
        <v>40735.199999999997</v>
      </c>
      <c r="G35" s="60">
        <f t="shared" si="10"/>
        <v>3394.6000000000004</v>
      </c>
      <c r="H35" s="60">
        <f t="shared" si="10"/>
        <v>3394.6000000000004</v>
      </c>
      <c r="I35" s="60">
        <f t="shared" si="10"/>
        <v>103</v>
      </c>
      <c r="J35" s="60">
        <f t="shared" si="10"/>
        <v>446</v>
      </c>
      <c r="K35" s="60">
        <f t="shared" si="10"/>
        <v>2380</v>
      </c>
      <c r="L35" s="60">
        <f t="shared" si="10"/>
        <v>4541.9748</v>
      </c>
      <c r="M35" s="60">
        <f t="shared" si="10"/>
        <v>407.35199999999992</v>
      </c>
      <c r="N35" s="60">
        <f t="shared" si="10"/>
        <v>55402.726800000004</v>
      </c>
    </row>
    <row r="36" spans="1:14" x14ac:dyDescent="0.25">
      <c r="A36" s="70">
        <v>351</v>
      </c>
      <c r="B36" s="65">
        <f>+B66</f>
        <v>30</v>
      </c>
      <c r="C36" s="59" t="s">
        <v>67</v>
      </c>
      <c r="D36" s="57"/>
      <c r="E36" s="59"/>
      <c r="F36" s="59"/>
      <c r="G36" s="59"/>
      <c r="H36" s="59"/>
      <c r="I36" s="59"/>
      <c r="J36" s="59"/>
      <c r="K36" s="59"/>
      <c r="L36" s="59"/>
      <c r="M36" s="59"/>
      <c r="N36" s="65"/>
    </row>
    <row r="37" spans="1:14" x14ac:dyDescent="0.25">
      <c r="A37" s="51" t="s">
        <v>68</v>
      </c>
      <c r="B37" s="64">
        <v>1</v>
      </c>
      <c r="C37" s="71" t="s">
        <v>143</v>
      </c>
      <c r="D37" s="72" t="s">
        <v>144</v>
      </c>
      <c r="E37" s="55">
        <v>550</v>
      </c>
      <c r="F37" s="54">
        <f t="shared" ref="F37:F66" si="11">+E37*12</f>
        <v>6600</v>
      </c>
      <c r="G37" s="54">
        <f t="shared" ref="G37:G66" si="12">+F37/12</f>
        <v>550</v>
      </c>
      <c r="H37" s="54">
        <f t="shared" ref="H37:H66" si="13">+F37/12</f>
        <v>550</v>
      </c>
      <c r="I37" s="54">
        <v>17</v>
      </c>
      <c r="J37" s="54">
        <v>0</v>
      </c>
      <c r="K37" s="54">
        <f>+K34</f>
        <v>340</v>
      </c>
      <c r="L37" s="54">
        <f t="shared" ref="L37:L66" si="14">+F37*11.15/100</f>
        <v>735.9</v>
      </c>
      <c r="M37" s="54">
        <f>+F37*M6</f>
        <v>66</v>
      </c>
      <c r="N37" s="55">
        <f t="shared" ref="N37:N66" si="15">+M37+L37+K37+H37+G37+F37+I37+J37</f>
        <v>8858.9</v>
      </c>
    </row>
    <row r="38" spans="1:14" x14ac:dyDescent="0.25">
      <c r="A38" s="51" t="s">
        <v>69</v>
      </c>
      <c r="B38" s="92">
        <v>2</v>
      </c>
      <c r="C38" s="96" t="s">
        <v>70</v>
      </c>
      <c r="D38" s="95" t="s">
        <v>71</v>
      </c>
      <c r="E38" s="55">
        <v>550</v>
      </c>
      <c r="F38" s="54">
        <f t="shared" si="11"/>
        <v>6600</v>
      </c>
      <c r="G38" s="54">
        <f t="shared" si="12"/>
        <v>550</v>
      </c>
      <c r="H38" s="54">
        <f t="shared" si="13"/>
        <v>550</v>
      </c>
      <c r="I38" s="54">
        <v>17</v>
      </c>
      <c r="J38" s="54">
        <v>0</v>
      </c>
      <c r="K38" s="54">
        <f>+K7</f>
        <v>340</v>
      </c>
      <c r="L38" s="54">
        <f t="shared" si="14"/>
        <v>735.9</v>
      </c>
      <c r="M38" s="54">
        <f>+F38*M6</f>
        <v>66</v>
      </c>
      <c r="N38" s="55">
        <f t="shared" si="15"/>
        <v>8858.9</v>
      </c>
    </row>
    <row r="39" spans="1:14" x14ac:dyDescent="0.25">
      <c r="A39" s="51" t="s">
        <v>72</v>
      </c>
      <c r="B39" s="64">
        <v>3</v>
      </c>
      <c r="C39" s="73" t="s">
        <v>145</v>
      </c>
      <c r="D39" s="72" t="s">
        <v>73</v>
      </c>
      <c r="E39" s="55">
        <v>550</v>
      </c>
      <c r="F39" s="54">
        <f t="shared" si="11"/>
        <v>6600</v>
      </c>
      <c r="G39" s="54">
        <f t="shared" si="12"/>
        <v>550</v>
      </c>
      <c r="H39" s="54">
        <f t="shared" si="13"/>
        <v>550</v>
      </c>
      <c r="I39" s="54">
        <v>17</v>
      </c>
      <c r="J39" s="54">
        <v>0</v>
      </c>
      <c r="K39" s="54">
        <f>+K38</f>
        <v>340</v>
      </c>
      <c r="L39" s="54">
        <f t="shared" si="14"/>
        <v>735.9</v>
      </c>
      <c r="M39" s="54">
        <f>+F39*M6</f>
        <v>66</v>
      </c>
      <c r="N39" s="55">
        <f t="shared" si="15"/>
        <v>8858.9</v>
      </c>
    </row>
    <row r="40" spans="1:14" x14ac:dyDescent="0.25">
      <c r="A40" s="51" t="s">
        <v>74</v>
      </c>
      <c r="B40" s="92">
        <v>4</v>
      </c>
      <c r="C40" s="95" t="s">
        <v>75</v>
      </c>
      <c r="D40" s="95" t="s">
        <v>146</v>
      </c>
      <c r="E40" s="55">
        <v>550</v>
      </c>
      <c r="F40" s="54">
        <f t="shared" si="11"/>
        <v>6600</v>
      </c>
      <c r="G40" s="54">
        <f t="shared" si="12"/>
        <v>550</v>
      </c>
      <c r="H40" s="54">
        <f t="shared" si="13"/>
        <v>550</v>
      </c>
      <c r="I40" s="54">
        <v>17</v>
      </c>
      <c r="J40" s="54">
        <v>45</v>
      </c>
      <c r="K40" s="54">
        <f>+K7</f>
        <v>340</v>
      </c>
      <c r="L40" s="54">
        <f t="shared" si="14"/>
        <v>735.9</v>
      </c>
      <c r="M40" s="54">
        <f>+F40*M6</f>
        <v>66</v>
      </c>
      <c r="N40" s="55">
        <f t="shared" si="15"/>
        <v>8903.9</v>
      </c>
    </row>
    <row r="41" spans="1:14" x14ac:dyDescent="0.25">
      <c r="A41" s="51" t="s">
        <v>76</v>
      </c>
      <c r="B41" s="92">
        <v>5</v>
      </c>
      <c r="C41" s="95" t="s">
        <v>77</v>
      </c>
      <c r="D41" s="95" t="s">
        <v>147</v>
      </c>
      <c r="E41" s="55">
        <v>550</v>
      </c>
      <c r="F41" s="54">
        <f t="shared" si="11"/>
        <v>6600</v>
      </c>
      <c r="G41" s="54">
        <f t="shared" si="12"/>
        <v>550</v>
      </c>
      <c r="H41" s="54">
        <f t="shared" si="13"/>
        <v>550</v>
      </c>
      <c r="I41" s="54">
        <v>17</v>
      </c>
      <c r="J41" s="54">
        <v>89</v>
      </c>
      <c r="K41" s="54">
        <f>+K7</f>
        <v>340</v>
      </c>
      <c r="L41" s="54">
        <f t="shared" si="14"/>
        <v>735.9</v>
      </c>
      <c r="M41" s="54">
        <f>+F41*M6</f>
        <v>66</v>
      </c>
      <c r="N41" s="55">
        <f t="shared" si="15"/>
        <v>8947.9</v>
      </c>
    </row>
    <row r="42" spans="1:14" x14ac:dyDescent="0.25">
      <c r="A42" s="51" t="s">
        <v>78</v>
      </c>
      <c r="B42" s="92">
        <v>6</v>
      </c>
      <c r="C42" s="95" t="s">
        <v>79</v>
      </c>
      <c r="D42" s="95" t="s">
        <v>148</v>
      </c>
      <c r="E42" s="55">
        <v>550</v>
      </c>
      <c r="F42" s="54">
        <f t="shared" si="11"/>
        <v>6600</v>
      </c>
      <c r="G42" s="54">
        <f t="shared" si="12"/>
        <v>550</v>
      </c>
      <c r="H42" s="54">
        <f t="shared" si="13"/>
        <v>550</v>
      </c>
      <c r="I42" s="54">
        <v>17</v>
      </c>
      <c r="J42" s="54">
        <v>221</v>
      </c>
      <c r="K42" s="54">
        <f>+K7</f>
        <v>340</v>
      </c>
      <c r="L42" s="54">
        <f t="shared" si="14"/>
        <v>735.9</v>
      </c>
      <c r="M42" s="54">
        <f>+F42*M6</f>
        <v>66</v>
      </c>
      <c r="N42" s="55">
        <f t="shared" si="15"/>
        <v>9079.9</v>
      </c>
    </row>
    <row r="43" spans="1:14" x14ac:dyDescent="0.25">
      <c r="A43" s="51" t="s">
        <v>80</v>
      </c>
      <c r="B43" s="92">
        <v>7</v>
      </c>
      <c r="C43" s="95" t="s">
        <v>81</v>
      </c>
      <c r="D43" s="95" t="s">
        <v>149</v>
      </c>
      <c r="E43" s="55">
        <v>550</v>
      </c>
      <c r="F43" s="54">
        <f t="shared" si="11"/>
        <v>6600</v>
      </c>
      <c r="G43" s="54">
        <f t="shared" si="12"/>
        <v>550</v>
      </c>
      <c r="H43" s="54">
        <f t="shared" si="13"/>
        <v>550</v>
      </c>
      <c r="I43" s="54">
        <v>17</v>
      </c>
      <c r="J43" s="54">
        <v>221</v>
      </c>
      <c r="K43" s="54">
        <f>+K7</f>
        <v>340</v>
      </c>
      <c r="L43" s="54">
        <f t="shared" si="14"/>
        <v>735.9</v>
      </c>
      <c r="M43" s="54">
        <f>+F43*M6</f>
        <v>66</v>
      </c>
      <c r="N43" s="55">
        <f t="shared" si="15"/>
        <v>9079.9</v>
      </c>
    </row>
    <row r="44" spans="1:14" x14ac:dyDescent="0.25">
      <c r="A44" s="51" t="s">
        <v>82</v>
      </c>
      <c r="B44" s="92">
        <v>8</v>
      </c>
      <c r="C44" s="101" t="s">
        <v>83</v>
      </c>
      <c r="D44" s="95" t="s">
        <v>150</v>
      </c>
      <c r="E44" s="55">
        <v>528</v>
      </c>
      <c r="F44" s="54">
        <f t="shared" si="11"/>
        <v>6336</v>
      </c>
      <c r="G44" s="54">
        <f t="shared" si="12"/>
        <v>528</v>
      </c>
      <c r="H44" s="54">
        <f t="shared" si="13"/>
        <v>528</v>
      </c>
      <c r="I44" s="54">
        <v>16</v>
      </c>
      <c r="J44" s="54">
        <v>0</v>
      </c>
      <c r="K44" s="54">
        <f>+K7</f>
        <v>340</v>
      </c>
      <c r="L44" s="54">
        <f t="shared" si="14"/>
        <v>706.46400000000006</v>
      </c>
      <c r="M44" s="54">
        <f>+F44*M6</f>
        <v>63.36</v>
      </c>
      <c r="N44" s="55">
        <f t="shared" si="15"/>
        <v>8517.8240000000005</v>
      </c>
    </row>
    <row r="45" spans="1:14" x14ac:dyDescent="0.25">
      <c r="A45" s="51" t="s">
        <v>84</v>
      </c>
      <c r="B45" s="92">
        <v>9</v>
      </c>
      <c r="C45" s="101" t="s">
        <v>85</v>
      </c>
      <c r="D45" s="95" t="s">
        <v>150</v>
      </c>
      <c r="E45" s="55">
        <v>528</v>
      </c>
      <c r="F45" s="54">
        <f t="shared" si="11"/>
        <v>6336</v>
      </c>
      <c r="G45" s="54">
        <f t="shared" si="12"/>
        <v>528</v>
      </c>
      <c r="H45" s="54">
        <f t="shared" si="13"/>
        <v>528</v>
      </c>
      <c r="I45" s="54">
        <v>16</v>
      </c>
      <c r="J45" s="54">
        <v>89</v>
      </c>
      <c r="K45" s="54">
        <f>+K7</f>
        <v>340</v>
      </c>
      <c r="L45" s="54">
        <f t="shared" si="14"/>
        <v>706.46400000000006</v>
      </c>
      <c r="M45" s="54">
        <f>+F45*M6</f>
        <v>63.36</v>
      </c>
      <c r="N45" s="55">
        <f t="shared" si="15"/>
        <v>8606.8240000000005</v>
      </c>
    </row>
    <row r="46" spans="1:14" x14ac:dyDescent="0.25">
      <c r="A46" s="51" t="s">
        <v>86</v>
      </c>
      <c r="B46" s="92">
        <v>10</v>
      </c>
      <c r="C46" s="101" t="s">
        <v>87</v>
      </c>
      <c r="D46" s="95" t="s">
        <v>150</v>
      </c>
      <c r="E46" s="55">
        <v>528</v>
      </c>
      <c r="F46" s="54">
        <f t="shared" si="11"/>
        <v>6336</v>
      </c>
      <c r="G46" s="54">
        <f t="shared" si="12"/>
        <v>528</v>
      </c>
      <c r="H46" s="54">
        <f t="shared" si="13"/>
        <v>528</v>
      </c>
      <c r="I46" s="54">
        <v>16</v>
      </c>
      <c r="J46" s="54">
        <v>133</v>
      </c>
      <c r="K46" s="54">
        <f>+K7</f>
        <v>340</v>
      </c>
      <c r="L46" s="54">
        <f t="shared" si="14"/>
        <v>706.46400000000006</v>
      </c>
      <c r="M46" s="54">
        <f>+F46*M6</f>
        <v>63.36</v>
      </c>
      <c r="N46" s="55">
        <f t="shared" si="15"/>
        <v>8650.8240000000005</v>
      </c>
    </row>
    <row r="47" spans="1:14" ht="24" customHeight="1" x14ac:dyDescent="0.25">
      <c r="A47" s="51" t="s">
        <v>88</v>
      </c>
      <c r="B47" s="92">
        <v>11</v>
      </c>
      <c r="C47" s="94" t="s">
        <v>89</v>
      </c>
      <c r="D47" s="95" t="s">
        <v>150</v>
      </c>
      <c r="E47" s="55">
        <v>528</v>
      </c>
      <c r="F47" s="54">
        <f t="shared" si="11"/>
        <v>6336</v>
      </c>
      <c r="G47" s="54">
        <f t="shared" si="12"/>
        <v>528</v>
      </c>
      <c r="H47" s="54">
        <f t="shared" si="13"/>
        <v>528</v>
      </c>
      <c r="I47" s="54">
        <v>16</v>
      </c>
      <c r="J47" s="54">
        <v>133</v>
      </c>
      <c r="K47" s="54">
        <f>+K7</f>
        <v>340</v>
      </c>
      <c r="L47" s="54">
        <f t="shared" si="14"/>
        <v>706.46400000000006</v>
      </c>
      <c r="M47" s="54">
        <f>+F47*M6</f>
        <v>63.36</v>
      </c>
      <c r="N47" s="55">
        <f t="shared" si="15"/>
        <v>8650.8240000000005</v>
      </c>
    </row>
    <row r="48" spans="1:14" ht="25.5" customHeight="1" x14ac:dyDescent="0.25">
      <c r="A48" s="51" t="s">
        <v>90</v>
      </c>
      <c r="B48" s="92">
        <v>12</v>
      </c>
      <c r="C48" s="94" t="s">
        <v>91</v>
      </c>
      <c r="D48" s="95" t="s">
        <v>150</v>
      </c>
      <c r="E48" s="55">
        <v>528</v>
      </c>
      <c r="F48" s="54">
        <f t="shared" si="11"/>
        <v>6336</v>
      </c>
      <c r="G48" s="54">
        <f t="shared" si="12"/>
        <v>528</v>
      </c>
      <c r="H48" s="54">
        <f t="shared" si="13"/>
        <v>528</v>
      </c>
      <c r="I48" s="54">
        <v>16</v>
      </c>
      <c r="J48" s="54">
        <v>353</v>
      </c>
      <c r="K48" s="54">
        <f>+K7</f>
        <v>340</v>
      </c>
      <c r="L48" s="54">
        <f t="shared" si="14"/>
        <v>706.46400000000006</v>
      </c>
      <c r="M48" s="54">
        <f>+F48*M6</f>
        <v>63.36</v>
      </c>
      <c r="N48" s="55">
        <f t="shared" si="15"/>
        <v>8870.8240000000005</v>
      </c>
    </row>
    <row r="49" spans="1:14" x14ac:dyDescent="0.25">
      <c r="A49" s="51" t="s">
        <v>92</v>
      </c>
      <c r="B49" s="92">
        <v>13</v>
      </c>
      <c r="C49" s="96" t="s">
        <v>93</v>
      </c>
      <c r="D49" s="95" t="s">
        <v>150</v>
      </c>
      <c r="E49" s="55">
        <v>528</v>
      </c>
      <c r="F49" s="54">
        <f t="shared" si="11"/>
        <v>6336</v>
      </c>
      <c r="G49" s="54">
        <f t="shared" si="12"/>
        <v>528</v>
      </c>
      <c r="H49" s="54">
        <f t="shared" si="13"/>
        <v>528</v>
      </c>
      <c r="I49" s="54">
        <v>16</v>
      </c>
      <c r="J49" s="54">
        <v>89</v>
      </c>
      <c r="K49" s="54">
        <f>+K7</f>
        <v>340</v>
      </c>
      <c r="L49" s="54">
        <f t="shared" si="14"/>
        <v>706.46400000000006</v>
      </c>
      <c r="M49" s="54">
        <f>+F49*M6</f>
        <v>63.36</v>
      </c>
      <c r="N49" s="55">
        <f t="shared" si="15"/>
        <v>8606.8240000000005</v>
      </c>
    </row>
    <row r="50" spans="1:14" x14ac:dyDescent="0.25">
      <c r="A50" s="51" t="s">
        <v>94</v>
      </c>
      <c r="B50" s="92">
        <v>14</v>
      </c>
      <c r="C50" s="96" t="s">
        <v>95</v>
      </c>
      <c r="D50" s="95" t="s">
        <v>150</v>
      </c>
      <c r="E50" s="55">
        <v>528</v>
      </c>
      <c r="F50" s="54">
        <f t="shared" si="11"/>
        <v>6336</v>
      </c>
      <c r="G50" s="54">
        <f t="shared" si="12"/>
        <v>528</v>
      </c>
      <c r="H50" s="54">
        <f t="shared" si="13"/>
        <v>528</v>
      </c>
      <c r="I50" s="54">
        <v>16</v>
      </c>
      <c r="J50" s="54">
        <v>89</v>
      </c>
      <c r="K50" s="54">
        <f>+K7</f>
        <v>340</v>
      </c>
      <c r="L50" s="54">
        <f t="shared" si="14"/>
        <v>706.46400000000006</v>
      </c>
      <c r="M50" s="54">
        <f>+F50*M6</f>
        <v>63.36</v>
      </c>
      <c r="N50" s="55">
        <f t="shared" si="15"/>
        <v>8606.8240000000005</v>
      </c>
    </row>
    <row r="51" spans="1:14" x14ac:dyDescent="0.25">
      <c r="A51" s="51" t="s">
        <v>96</v>
      </c>
      <c r="B51" s="92">
        <v>15</v>
      </c>
      <c r="C51" s="96" t="s">
        <v>97</v>
      </c>
      <c r="D51" s="95" t="s">
        <v>150</v>
      </c>
      <c r="E51" s="55">
        <v>528</v>
      </c>
      <c r="F51" s="54">
        <f t="shared" si="11"/>
        <v>6336</v>
      </c>
      <c r="G51" s="54">
        <f t="shared" si="12"/>
        <v>528</v>
      </c>
      <c r="H51" s="54">
        <f t="shared" si="13"/>
        <v>528</v>
      </c>
      <c r="I51" s="54">
        <v>16</v>
      </c>
      <c r="J51" s="54">
        <v>0</v>
      </c>
      <c r="K51" s="54">
        <f>+K7</f>
        <v>340</v>
      </c>
      <c r="L51" s="54">
        <f t="shared" si="14"/>
        <v>706.46400000000006</v>
      </c>
      <c r="M51" s="54">
        <f>+F51*M6</f>
        <v>63.36</v>
      </c>
      <c r="N51" s="55">
        <f t="shared" si="15"/>
        <v>8517.8240000000005</v>
      </c>
    </row>
    <row r="52" spans="1:14" x14ac:dyDescent="0.25">
      <c r="A52" s="51" t="s">
        <v>98</v>
      </c>
      <c r="B52" s="92">
        <v>16</v>
      </c>
      <c r="C52" s="96" t="s">
        <v>99</v>
      </c>
      <c r="D52" s="95" t="s">
        <v>150</v>
      </c>
      <c r="E52" s="55">
        <v>528</v>
      </c>
      <c r="F52" s="54">
        <f t="shared" si="11"/>
        <v>6336</v>
      </c>
      <c r="G52" s="54">
        <f t="shared" si="12"/>
        <v>528</v>
      </c>
      <c r="H52" s="54">
        <f t="shared" si="13"/>
        <v>528</v>
      </c>
      <c r="I52" s="54">
        <v>16</v>
      </c>
      <c r="J52" s="54">
        <v>89</v>
      </c>
      <c r="K52" s="54">
        <f>+K7</f>
        <v>340</v>
      </c>
      <c r="L52" s="54">
        <f t="shared" si="14"/>
        <v>706.46400000000006</v>
      </c>
      <c r="M52" s="54">
        <f>+F52*M6</f>
        <v>63.36</v>
      </c>
      <c r="N52" s="55">
        <f t="shared" si="15"/>
        <v>8606.8240000000005</v>
      </c>
    </row>
    <row r="53" spans="1:14" x14ac:dyDescent="0.25">
      <c r="A53" s="51" t="s">
        <v>100</v>
      </c>
      <c r="B53" s="64">
        <v>17</v>
      </c>
      <c r="C53" s="71" t="s">
        <v>101</v>
      </c>
      <c r="D53" s="72" t="s">
        <v>150</v>
      </c>
      <c r="E53" s="55">
        <v>528</v>
      </c>
      <c r="F53" s="54">
        <f t="shared" si="11"/>
        <v>6336</v>
      </c>
      <c r="G53" s="54">
        <f t="shared" si="12"/>
        <v>528</v>
      </c>
      <c r="H53" s="54">
        <f t="shared" si="13"/>
        <v>528</v>
      </c>
      <c r="I53" s="54">
        <v>16</v>
      </c>
      <c r="J53" s="54">
        <v>133</v>
      </c>
      <c r="K53" s="54">
        <f>+K52</f>
        <v>340</v>
      </c>
      <c r="L53" s="54">
        <f t="shared" si="14"/>
        <v>706.46400000000006</v>
      </c>
      <c r="M53" s="54">
        <f>+F53*M6</f>
        <v>63.36</v>
      </c>
      <c r="N53" s="55">
        <f t="shared" si="15"/>
        <v>8650.8240000000005</v>
      </c>
    </row>
    <row r="54" spans="1:14" x14ac:dyDescent="0.25">
      <c r="A54" s="51" t="s">
        <v>102</v>
      </c>
      <c r="B54" s="64">
        <v>18</v>
      </c>
      <c r="C54" s="71" t="s">
        <v>103</v>
      </c>
      <c r="D54" s="85" t="s">
        <v>151</v>
      </c>
      <c r="E54" s="87">
        <v>550</v>
      </c>
      <c r="F54" s="54">
        <f t="shared" si="11"/>
        <v>6600</v>
      </c>
      <c r="G54" s="54">
        <f t="shared" si="12"/>
        <v>550</v>
      </c>
      <c r="H54" s="54">
        <f t="shared" si="13"/>
        <v>550</v>
      </c>
      <c r="I54" s="54">
        <v>17</v>
      </c>
      <c r="J54" s="54">
        <v>45</v>
      </c>
      <c r="K54" s="54">
        <f>+K53</f>
        <v>340</v>
      </c>
      <c r="L54" s="54">
        <f t="shared" si="14"/>
        <v>735.9</v>
      </c>
      <c r="M54" s="54">
        <f>+F54*M6</f>
        <v>66</v>
      </c>
      <c r="N54" s="55">
        <f t="shared" si="15"/>
        <v>8903.9</v>
      </c>
    </row>
    <row r="55" spans="1:14" x14ac:dyDescent="0.25">
      <c r="A55" s="51" t="s">
        <v>104</v>
      </c>
      <c r="B55" s="92">
        <v>19</v>
      </c>
      <c r="C55" s="96" t="s">
        <v>105</v>
      </c>
      <c r="D55" s="100" t="s">
        <v>106</v>
      </c>
      <c r="E55" s="87">
        <v>500</v>
      </c>
      <c r="F55" s="54">
        <f t="shared" si="11"/>
        <v>6000</v>
      </c>
      <c r="G55" s="54">
        <f t="shared" si="12"/>
        <v>500</v>
      </c>
      <c r="H55" s="54">
        <f t="shared" si="13"/>
        <v>500</v>
      </c>
      <c r="I55" s="54">
        <v>16</v>
      </c>
      <c r="J55" s="54">
        <v>133</v>
      </c>
      <c r="K55" s="54">
        <f>+K7</f>
        <v>340</v>
      </c>
      <c r="L55" s="54">
        <f t="shared" si="14"/>
        <v>669</v>
      </c>
      <c r="M55" s="54">
        <f>+F55*M6</f>
        <v>60</v>
      </c>
      <c r="N55" s="55">
        <f t="shared" si="15"/>
        <v>8218</v>
      </c>
    </row>
    <row r="56" spans="1:14" x14ac:dyDescent="0.25">
      <c r="A56" s="51" t="s">
        <v>107</v>
      </c>
      <c r="B56" s="92">
        <v>20</v>
      </c>
      <c r="C56" s="102" t="s">
        <v>108</v>
      </c>
      <c r="D56" s="91" t="s">
        <v>109</v>
      </c>
      <c r="E56" s="55">
        <v>548</v>
      </c>
      <c r="F56" s="54">
        <f t="shared" si="11"/>
        <v>6576</v>
      </c>
      <c r="G56" s="54">
        <f t="shared" si="12"/>
        <v>548</v>
      </c>
      <c r="H56" s="54">
        <f t="shared" si="13"/>
        <v>548</v>
      </c>
      <c r="I56" s="54">
        <v>17</v>
      </c>
      <c r="J56" s="54">
        <v>177</v>
      </c>
      <c r="K56" s="54">
        <f>+K7</f>
        <v>340</v>
      </c>
      <c r="L56" s="54">
        <f t="shared" si="14"/>
        <v>733.22400000000005</v>
      </c>
      <c r="M56" s="54">
        <f>+F56*M6</f>
        <v>65.760000000000005</v>
      </c>
      <c r="N56" s="55">
        <f t="shared" si="15"/>
        <v>9004.9840000000004</v>
      </c>
    </row>
    <row r="57" spans="1:14" x14ac:dyDescent="0.25">
      <c r="A57" s="51" t="s">
        <v>110</v>
      </c>
      <c r="B57" s="92">
        <v>21</v>
      </c>
      <c r="C57" s="96" t="s">
        <v>111</v>
      </c>
      <c r="D57" s="91" t="s">
        <v>112</v>
      </c>
      <c r="E57" s="55">
        <v>424.6</v>
      </c>
      <c r="F57" s="54">
        <f t="shared" si="11"/>
        <v>5095.2000000000007</v>
      </c>
      <c r="G57" s="54">
        <f t="shared" si="12"/>
        <v>424.60000000000008</v>
      </c>
      <c r="H57" s="54">
        <f t="shared" si="13"/>
        <v>424.60000000000008</v>
      </c>
      <c r="I57" s="54">
        <v>13</v>
      </c>
      <c r="J57" s="54">
        <v>133</v>
      </c>
      <c r="K57" s="54">
        <f>+K7</f>
        <v>340</v>
      </c>
      <c r="L57" s="54">
        <f t="shared" si="14"/>
        <v>568.11480000000006</v>
      </c>
      <c r="M57" s="54">
        <f>+F57*M6</f>
        <v>50.952000000000005</v>
      </c>
      <c r="N57" s="55">
        <f t="shared" si="15"/>
        <v>7049.4668000000011</v>
      </c>
    </row>
    <row r="58" spans="1:14" x14ac:dyDescent="0.25">
      <c r="A58" s="51" t="s">
        <v>113</v>
      </c>
      <c r="B58" s="64">
        <v>22</v>
      </c>
      <c r="C58" s="71" t="s">
        <v>114</v>
      </c>
      <c r="D58" s="53" t="s">
        <v>115</v>
      </c>
      <c r="E58" s="55">
        <v>495</v>
      </c>
      <c r="F58" s="54">
        <f t="shared" si="11"/>
        <v>5940</v>
      </c>
      <c r="G58" s="54">
        <f t="shared" si="12"/>
        <v>495</v>
      </c>
      <c r="H58" s="54">
        <f t="shared" si="13"/>
        <v>495</v>
      </c>
      <c r="I58" s="54">
        <v>13</v>
      </c>
      <c r="J58" s="54">
        <v>133</v>
      </c>
      <c r="K58" s="54">
        <f>+K57</f>
        <v>340</v>
      </c>
      <c r="L58" s="54">
        <f t="shared" si="14"/>
        <v>662.31</v>
      </c>
      <c r="M58" s="54">
        <f>+F58*M6</f>
        <v>59.4</v>
      </c>
      <c r="N58" s="55">
        <f t="shared" si="15"/>
        <v>8137.71</v>
      </c>
    </row>
    <row r="59" spans="1:14" x14ac:dyDescent="0.25">
      <c r="A59" s="51" t="s">
        <v>116</v>
      </c>
      <c r="B59" s="92">
        <v>23</v>
      </c>
      <c r="C59" s="96" t="s">
        <v>117</v>
      </c>
      <c r="D59" s="91" t="s">
        <v>118</v>
      </c>
      <c r="E59" s="55">
        <v>495</v>
      </c>
      <c r="F59" s="54">
        <f t="shared" si="11"/>
        <v>5940</v>
      </c>
      <c r="G59" s="54">
        <f t="shared" si="12"/>
        <v>495</v>
      </c>
      <c r="H59" s="54">
        <f t="shared" si="13"/>
        <v>495</v>
      </c>
      <c r="I59" s="54">
        <v>15</v>
      </c>
      <c r="J59" s="54">
        <v>133</v>
      </c>
      <c r="K59" s="54">
        <f>+K7</f>
        <v>340</v>
      </c>
      <c r="L59" s="54">
        <f t="shared" si="14"/>
        <v>662.31</v>
      </c>
      <c r="M59" s="54">
        <f>+F59*M6</f>
        <v>59.4</v>
      </c>
      <c r="N59" s="55">
        <f t="shared" si="15"/>
        <v>8139.71</v>
      </c>
    </row>
    <row r="60" spans="1:14" x14ac:dyDescent="0.25">
      <c r="A60" s="51" t="s">
        <v>119</v>
      </c>
      <c r="B60" s="64">
        <v>24</v>
      </c>
      <c r="C60" s="71" t="s">
        <v>120</v>
      </c>
      <c r="D60" s="72" t="s">
        <v>121</v>
      </c>
      <c r="E60" s="55">
        <v>495</v>
      </c>
      <c r="F60" s="54">
        <f t="shared" si="11"/>
        <v>5940</v>
      </c>
      <c r="G60" s="54">
        <f t="shared" si="12"/>
        <v>495</v>
      </c>
      <c r="H60" s="54">
        <f t="shared" si="13"/>
        <v>495</v>
      </c>
      <c r="I60" s="54">
        <v>15</v>
      </c>
      <c r="J60" s="54">
        <v>133</v>
      </c>
      <c r="K60" s="54">
        <f>+K59</f>
        <v>340</v>
      </c>
      <c r="L60" s="54">
        <f t="shared" si="14"/>
        <v>662.31</v>
      </c>
      <c r="M60" s="54">
        <f>+F60*M6</f>
        <v>59.4</v>
      </c>
      <c r="N60" s="55">
        <f t="shared" si="15"/>
        <v>8139.71</v>
      </c>
    </row>
    <row r="61" spans="1:14" x14ac:dyDescent="0.25">
      <c r="A61" s="51" t="s">
        <v>122</v>
      </c>
      <c r="B61" s="92">
        <v>25</v>
      </c>
      <c r="C61" s="96" t="s">
        <v>123</v>
      </c>
      <c r="D61" s="91" t="s">
        <v>124</v>
      </c>
      <c r="E61" s="55">
        <v>495</v>
      </c>
      <c r="F61" s="54">
        <f t="shared" si="11"/>
        <v>5940</v>
      </c>
      <c r="G61" s="54">
        <f t="shared" si="12"/>
        <v>495</v>
      </c>
      <c r="H61" s="54">
        <f t="shared" si="13"/>
        <v>495</v>
      </c>
      <c r="I61" s="54">
        <v>15</v>
      </c>
      <c r="J61" s="54">
        <v>133</v>
      </c>
      <c r="K61" s="54">
        <f>+K7</f>
        <v>340</v>
      </c>
      <c r="L61" s="54">
        <f t="shared" si="14"/>
        <v>662.31</v>
      </c>
      <c r="M61" s="54">
        <f>+F61*M6</f>
        <v>59.4</v>
      </c>
      <c r="N61" s="55">
        <f t="shared" si="15"/>
        <v>8139.71</v>
      </c>
    </row>
    <row r="62" spans="1:14" x14ac:dyDescent="0.25">
      <c r="A62" s="51" t="s">
        <v>125</v>
      </c>
      <c r="B62" s="92">
        <v>26</v>
      </c>
      <c r="C62" s="99" t="s">
        <v>126</v>
      </c>
      <c r="D62" s="91" t="s">
        <v>152</v>
      </c>
      <c r="E62" s="55">
        <v>495</v>
      </c>
      <c r="F62" s="54">
        <f t="shared" si="11"/>
        <v>5940</v>
      </c>
      <c r="G62" s="54">
        <f t="shared" si="12"/>
        <v>495</v>
      </c>
      <c r="H62" s="54">
        <f t="shared" si="13"/>
        <v>495</v>
      </c>
      <c r="I62" s="54">
        <v>15</v>
      </c>
      <c r="J62" s="54">
        <v>133</v>
      </c>
      <c r="K62" s="54">
        <f>+K7</f>
        <v>340</v>
      </c>
      <c r="L62" s="54">
        <f t="shared" si="14"/>
        <v>662.31</v>
      </c>
      <c r="M62" s="54">
        <f>+F62*M6</f>
        <v>59.4</v>
      </c>
      <c r="N62" s="55">
        <f t="shared" si="15"/>
        <v>8139.71</v>
      </c>
    </row>
    <row r="63" spans="1:14" x14ac:dyDescent="0.25">
      <c r="A63" s="51" t="s">
        <v>127</v>
      </c>
      <c r="B63" s="97">
        <v>27</v>
      </c>
      <c r="C63" s="98" t="s">
        <v>153</v>
      </c>
      <c r="D63" s="91" t="s">
        <v>154</v>
      </c>
      <c r="E63" s="55">
        <v>495</v>
      </c>
      <c r="F63" s="54">
        <f t="shared" si="11"/>
        <v>5940</v>
      </c>
      <c r="G63" s="54">
        <f t="shared" si="12"/>
        <v>495</v>
      </c>
      <c r="H63" s="54">
        <f t="shared" si="13"/>
        <v>495</v>
      </c>
      <c r="I63" s="54">
        <v>15</v>
      </c>
      <c r="J63" s="54">
        <v>45</v>
      </c>
      <c r="K63" s="54">
        <f>+K7</f>
        <v>340</v>
      </c>
      <c r="L63" s="54">
        <f t="shared" si="14"/>
        <v>662.31</v>
      </c>
      <c r="M63" s="54">
        <f>+F63*M6</f>
        <v>59.4</v>
      </c>
      <c r="N63" s="55">
        <f t="shared" si="15"/>
        <v>8051.71</v>
      </c>
    </row>
    <row r="64" spans="1:14" x14ac:dyDescent="0.25">
      <c r="A64" s="51" t="s">
        <v>128</v>
      </c>
      <c r="B64" s="97">
        <v>28</v>
      </c>
      <c r="C64" s="98" t="s">
        <v>129</v>
      </c>
      <c r="D64" s="91" t="s">
        <v>154</v>
      </c>
      <c r="E64" s="55">
        <v>495</v>
      </c>
      <c r="F64" s="54">
        <f t="shared" si="11"/>
        <v>5940</v>
      </c>
      <c r="G64" s="54">
        <f t="shared" si="12"/>
        <v>495</v>
      </c>
      <c r="H64" s="54">
        <f t="shared" si="13"/>
        <v>495</v>
      </c>
      <c r="I64" s="54">
        <v>15</v>
      </c>
      <c r="J64" s="54">
        <v>0</v>
      </c>
      <c r="K64" s="54">
        <f>+K7</f>
        <v>340</v>
      </c>
      <c r="L64" s="54">
        <f t="shared" si="14"/>
        <v>662.31</v>
      </c>
      <c r="M64" s="54">
        <f>+F64*M6</f>
        <v>59.4</v>
      </c>
      <c r="N64" s="55">
        <f t="shared" si="15"/>
        <v>8006.71</v>
      </c>
    </row>
    <row r="65" spans="1:14" x14ac:dyDescent="0.25">
      <c r="A65" s="51" t="s">
        <v>130</v>
      </c>
      <c r="B65" s="97">
        <v>29</v>
      </c>
      <c r="C65" s="98" t="s">
        <v>131</v>
      </c>
      <c r="D65" s="91" t="s">
        <v>155</v>
      </c>
      <c r="E65" s="55">
        <v>495</v>
      </c>
      <c r="F65" s="54">
        <f t="shared" si="11"/>
        <v>5940</v>
      </c>
      <c r="G65" s="54">
        <f t="shared" si="12"/>
        <v>495</v>
      </c>
      <c r="H65" s="54">
        <f t="shared" si="13"/>
        <v>495</v>
      </c>
      <c r="I65" s="54">
        <v>15</v>
      </c>
      <c r="J65" s="54">
        <v>89</v>
      </c>
      <c r="K65" s="54">
        <f>+K7</f>
        <v>340</v>
      </c>
      <c r="L65" s="54">
        <f t="shared" si="14"/>
        <v>662.31</v>
      </c>
      <c r="M65" s="54">
        <f>+F65*M6</f>
        <v>59.4</v>
      </c>
      <c r="N65" s="55">
        <f t="shared" si="15"/>
        <v>8095.71</v>
      </c>
    </row>
    <row r="66" spans="1:14" x14ac:dyDescent="0.25">
      <c r="A66" s="51" t="s">
        <v>132</v>
      </c>
      <c r="B66" s="97">
        <v>30</v>
      </c>
      <c r="C66" s="98" t="s">
        <v>156</v>
      </c>
      <c r="D66" s="91" t="s">
        <v>152</v>
      </c>
      <c r="E66" s="55">
        <v>495</v>
      </c>
      <c r="F66" s="54">
        <f t="shared" si="11"/>
        <v>5940</v>
      </c>
      <c r="G66" s="54">
        <f t="shared" si="12"/>
        <v>495</v>
      </c>
      <c r="H66" s="54">
        <f t="shared" si="13"/>
        <v>495</v>
      </c>
      <c r="I66" s="54">
        <v>15</v>
      </c>
      <c r="J66" s="54">
        <v>45</v>
      </c>
      <c r="K66" s="54">
        <f>+K7</f>
        <v>340</v>
      </c>
      <c r="L66" s="54">
        <f t="shared" si="14"/>
        <v>662.31</v>
      </c>
      <c r="M66" s="54">
        <f>+F66*M6</f>
        <v>59.4</v>
      </c>
      <c r="N66" s="55">
        <f t="shared" si="15"/>
        <v>8051.71</v>
      </c>
    </row>
    <row r="67" spans="1:14" x14ac:dyDescent="0.25">
      <c r="A67" s="74"/>
      <c r="B67" s="75"/>
      <c r="C67" s="76" t="s">
        <v>34</v>
      </c>
      <c r="D67" s="69"/>
      <c r="E67" s="77">
        <f>SUM(E37:E66)</f>
        <v>15607.6</v>
      </c>
      <c r="F67" s="77">
        <f t="shared" ref="F67:N67" si="16">SUM(F37:F66)</f>
        <v>187291.2</v>
      </c>
      <c r="G67" s="77">
        <f t="shared" si="16"/>
        <v>15607.6</v>
      </c>
      <c r="H67" s="77">
        <f t="shared" si="16"/>
        <v>15607.6</v>
      </c>
      <c r="I67" s="77">
        <f t="shared" si="16"/>
        <v>475</v>
      </c>
      <c r="J67" s="77">
        <f t="shared" si="16"/>
        <v>3016</v>
      </c>
      <c r="K67" s="77">
        <f t="shared" si="16"/>
        <v>10200</v>
      </c>
      <c r="L67" s="77">
        <f t="shared" si="16"/>
        <v>20882.968800000006</v>
      </c>
      <c r="M67" s="77">
        <f t="shared" si="16"/>
        <v>1872.9120000000007</v>
      </c>
      <c r="N67" s="77">
        <f t="shared" si="16"/>
        <v>254953.28079999986</v>
      </c>
    </row>
    <row r="68" spans="1:14" x14ac:dyDescent="0.25">
      <c r="A68" s="78"/>
      <c r="B68" s="75">
        <f>+B19+B22+B27+B36</f>
        <v>41</v>
      </c>
      <c r="C68" s="59" t="s">
        <v>133</v>
      </c>
      <c r="D68" s="69"/>
      <c r="E68" s="60">
        <f>+E67+E35+E26+E21</f>
        <v>20911.8</v>
      </c>
      <c r="F68" s="60">
        <f t="shared" ref="F68:N68" si="17">+F67+F35+F26+F21</f>
        <v>250941.60000000003</v>
      </c>
      <c r="G68" s="60">
        <f t="shared" si="17"/>
        <v>20911.8</v>
      </c>
      <c r="H68" s="60">
        <f t="shared" si="17"/>
        <v>20911.8</v>
      </c>
      <c r="I68" s="60">
        <f t="shared" si="17"/>
        <v>636</v>
      </c>
      <c r="J68" s="60">
        <f t="shared" si="17"/>
        <v>3994</v>
      </c>
      <c r="K68" s="60">
        <f t="shared" si="17"/>
        <v>13940</v>
      </c>
      <c r="L68" s="60">
        <f t="shared" si="17"/>
        <v>27979.988400000006</v>
      </c>
      <c r="M68" s="60">
        <f t="shared" si="17"/>
        <v>2509.4160000000006</v>
      </c>
      <c r="N68" s="60">
        <f t="shared" si="17"/>
        <v>341824.60439999989</v>
      </c>
    </row>
    <row r="69" spans="1:14" x14ac:dyDescent="0.25">
      <c r="A69" s="79"/>
      <c r="B69" s="80">
        <f>+B68+B18</f>
        <v>47</v>
      </c>
      <c r="C69" s="81" t="s">
        <v>134</v>
      </c>
      <c r="D69" s="82"/>
      <c r="E69" s="86">
        <f>+E68+E18</f>
        <v>24127.8</v>
      </c>
      <c r="F69" s="83">
        <f t="shared" ref="F69:N69" si="18">+F68+F18</f>
        <v>289533.60000000003</v>
      </c>
      <c r="G69" s="83">
        <f t="shared" si="18"/>
        <v>24127.8</v>
      </c>
      <c r="H69" s="83">
        <f t="shared" si="18"/>
        <v>24127.8</v>
      </c>
      <c r="I69" s="83">
        <f t="shared" si="18"/>
        <v>733</v>
      </c>
      <c r="J69" s="83">
        <f t="shared" si="18"/>
        <v>4353</v>
      </c>
      <c r="K69" s="83">
        <f t="shared" si="18"/>
        <v>15980</v>
      </c>
      <c r="L69" s="83">
        <f t="shared" si="18"/>
        <v>32282.996400000004</v>
      </c>
      <c r="M69" s="83">
        <f t="shared" si="18"/>
        <v>2895.3360000000007</v>
      </c>
      <c r="N69" s="86">
        <f t="shared" si="18"/>
        <v>394033.53239999991</v>
      </c>
    </row>
    <row r="70" spans="1:14" x14ac:dyDescent="0.25">
      <c r="L70" s="88"/>
      <c r="M70" s="88"/>
      <c r="N70" s="88"/>
    </row>
    <row r="74" spans="1:14" x14ac:dyDescent="0.25">
      <c r="A74" t="s">
        <v>160</v>
      </c>
    </row>
    <row r="75" spans="1:14" x14ac:dyDescent="0.25">
      <c r="A75" t="s">
        <v>161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C COLECTIVO</vt:lpstr>
      <vt:lpstr>SU PERSIVIDO ACTUALMENTE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2015-04-24T09:53:38Z</dcterms:modified>
</cp:coreProperties>
</file>