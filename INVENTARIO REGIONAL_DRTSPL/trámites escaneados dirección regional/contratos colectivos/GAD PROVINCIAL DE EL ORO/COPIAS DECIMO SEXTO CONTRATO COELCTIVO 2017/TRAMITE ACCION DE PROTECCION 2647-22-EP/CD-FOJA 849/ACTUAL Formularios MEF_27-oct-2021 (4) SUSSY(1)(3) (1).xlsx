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omero\Desktop\"/>
    </mc:Choice>
  </mc:AlternateContent>
  <bookViews>
    <workbookView xWindow="0" yWindow="0" windowWidth="23040" windowHeight="9876" tabRatio="685"/>
  </bookViews>
  <sheets>
    <sheet name="FORMULARIO 1" sheetId="21" r:id="rId1"/>
    <sheet name="FORMULARIO 2" sheetId="20" r:id="rId2"/>
    <sheet name="FORMULARIO 3" sheetId="27" r:id="rId3"/>
    <sheet name="FORMULARIO 4" sheetId="24" r:id="rId4"/>
  </sheets>
  <definedNames>
    <definedName name="_xlnm._FilterDatabase" localSheetId="2" hidden="1">'FORMULARIO 3'!$A$11:$N$380</definedName>
    <definedName name="_xlnm.Print_Area" localSheetId="0">'FORMULARIO 1'!$A$4:$H$98</definedName>
  </definedNames>
  <calcPr calcId="162913"/>
</workbook>
</file>

<file path=xl/calcChain.xml><?xml version="1.0" encoding="utf-8"?>
<calcChain xmlns="http://schemas.openxmlformats.org/spreadsheetml/2006/main">
  <c r="G380" i="27" l="1"/>
  <c r="F380" i="27"/>
  <c r="C13" i="27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C309" i="27" s="1"/>
  <c r="C310" i="27" s="1"/>
  <c r="C311" i="27" s="1"/>
  <c r="C312" i="27" s="1"/>
  <c r="C313" i="27" s="1"/>
  <c r="C314" i="27" s="1"/>
  <c r="C315" i="27" s="1"/>
  <c r="C316" i="27" s="1"/>
  <c r="C317" i="27" s="1"/>
  <c r="C318" i="27" s="1"/>
  <c r="C319" i="27" s="1"/>
  <c r="C320" i="27" s="1"/>
  <c r="C321" i="27" s="1"/>
  <c r="C322" i="27" s="1"/>
  <c r="C323" i="27" s="1"/>
  <c r="C324" i="27" s="1"/>
  <c r="C325" i="27" s="1"/>
  <c r="C326" i="27" s="1"/>
  <c r="C327" i="27" s="1"/>
  <c r="C328" i="27" s="1"/>
  <c r="C329" i="27" s="1"/>
  <c r="C330" i="27" s="1"/>
  <c r="C331" i="27" s="1"/>
  <c r="C332" i="27" s="1"/>
  <c r="C333" i="27" s="1"/>
  <c r="C334" i="27" s="1"/>
  <c r="C335" i="27" s="1"/>
  <c r="C336" i="27" s="1"/>
  <c r="C337" i="27" s="1"/>
  <c r="C338" i="27" s="1"/>
  <c r="C339" i="27" s="1"/>
  <c r="C340" i="27" s="1"/>
  <c r="C341" i="27" s="1"/>
  <c r="C342" i="27" s="1"/>
  <c r="C343" i="27" s="1"/>
  <c r="C344" i="27" s="1"/>
  <c r="C345" i="27" s="1"/>
  <c r="C346" i="27" s="1"/>
  <c r="C347" i="27" s="1"/>
  <c r="C348" i="27" s="1"/>
  <c r="C349" i="27" s="1"/>
  <c r="C350" i="27" s="1"/>
  <c r="C351" i="27" s="1"/>
  <c r="C352" i="27" s="1"/>
  <c r="C353" i="27" s="1"/>
  <c r="C354" i="27" s="1"/>
  <c r="C355" i="27" s="1"/>
  <c r="C356" i="27" s="1"/>
  <c r="C357" i="27" s="1"/>
  <c r="C358" i="27" s="1"/>
  <c r="C359" i="27" s="1"/>
  <c r="C360" i="27" s="1"/>
  <c r="C361" i="27" s="1"/>
  <c r="C362" i="27" s="1"/>
  <c r="C363" i="27" s="1"/>
  <c r="C364" i="27" s="1"/>
  <c r="C365" i="27" s="1"/>
  <c r="C366" i="27" s="1"/>
  <c r="C367" i="27" s="1"/>
  <c r="C368" i="27" s="1"/>
  <c r="C369" i="27" s="1"/>
  <c r="C370" i="27" s="1"/>
  <c r="C371" i="27" s="1"/>
  <c r="C372" i="27" s="1"/>
  <c r="C373" i="27" s="1"/>
  <c r="C374" i="27" s="1"/>
  <c r="C375" i="27" s="1"/>
  <c r="C376" i="27" s="1"/>
  <c r="C377" i="27" s="1"/>
  <c r="C378" i="27" s="1"/>
  <c r="C379" i="27" s="1"/>
  <c r="E70" i="20" l="1"/>
  <c r="E50" i="20"/>
  <c r="E33" i="20"/>
  <c r="E25" i="20"/>
  <c r="E21" i="20"/>
  <c r="E17" i="20"/>
  <c r="E14" i="20"/>
  <c r="D54" i="20" l="1"/>
  <c r="C31" i="21"/>
  <c r="D25" i="20"/>
  <c r="E42" i="20" l="1"/>
  <c r="E71" i="20" s="1"/>
  <c r="D67" i="20" l="1"/>
  <c r="D38" i="20" l="1"/>
  <c r="H30" i="24" l="1"/>
  <c r="H29" i="24" s="1"/>
  <c r="C38" i="21"/>
  <c r="E76" i="24"/>
  <c r="H53" i="24" l="1"/>
  <c r="F53" i="24"/>
  <c r="E53" i="24"/>
  <c r="H63" i="24"/>
  <c r="F63" i="24"/>
  <c r="E63" i="24"/>
  <c r="E49" i="24" l="1"/>
  <c r="H49" i="24"/>
  <c r="F49" i="24"/>
  <c r="F30" i="24"/>
  <c r="F29" i="24" s="1"/>
  <c r="E30" i="24"/>
  <c r="E11" i="24"/>
  <c r="F11" i="24"/>
  <c r="H11" i="24"/>
  <c r="H44" i="24" s="1"/>
  <c r="F44" i="24" l="1"/>
  <c r="C30" i="21"/>
  <c r="D62" i="20"/>
  <c r="D50" i="20"/>
  <c r="D46" i="20"/>
  <c r="D30" i="20"/>
  <c r="D17" i="20"/>
  <c r="D70" i="20" l="1"/>
  <c r="F80" i="24"/>
  <c r="F76" i="24"/>
  <c r="H45" i="24"/>
  <c r="H74" i="24" s="1"/>
  <c r="H75" i="24" s="1"/>
  <c r="F45" i="24"/>
  <c r="F74" i="24" s="1"/>
  <c r="F75" i="24" s="1"/>
  <c r="D33" i="20"/>
  <c r="D14" i="20"/>
  <c r="D21" i="20"/>
  <c r="D42" i="20" s="1"/>
  <c r="D71" i="20" l="1"/>
  <c r="G49" i="24"/>
  <c r="I49" i="24"/>
  <c r="J49" i="24"/>
  <c r="C49" i="24"/>
  <c r="D49" i="24"/>
  <c r="G45" i="24"/>
  <c r="G74" i="24" s="1"/>
  <c r="I45" i="24"/>
  <c r="J45" i="24"/>
  <c r="C45" i="24"/>
  <c r="D45" i="24"/>
  <c r="E45" i="24"/>
  <c r="I29" i="24"/>
  <c r="J29" i="24"/>
  <c r="J11" i="24"/>
  <c r="J44" i="24" s="1"/>
  <c r="H80" i="24"/>
  <c r="I80" i="24"/>
  <c r="J80" i="24"/>
  <c r="C80" i="24"/>
  <c r="D80" i="24"/>
  <c r="E80" i="24"/>
  <c r="H76" i="24"/>
  <c r="I76" i="24"/>
  <c r="J76" i="24"/>
  <c r="C76" i="24"/>
  <c r="D76" i="24"/>
  <c r="C74" i="24" l="1"/>
  <c r="E74" i="24"/>
  <c r="J85" i="24"/>
  <c r="D74" i="24"/>
  <c r="I74" i="24"/>
  <c r="J74" i="24"/>
  <c r="J75" i="24" s="1"/>
  <c r="J86" i="24"/>
  <c r="E38" i="21"/>
  <c r="F38" i="21"/>
  <c r="D38" i="21"/>
  <c r="G80" i="24" l="1"/>
  <c r="G76" i="24"/>
  <c r="F85" i="24"/>
  <c r="G29" i="24"/>
  <c r="G11" i="24"/>
  <c r="G85" i="24" l="1"/>
  <c r="G44" i="24"/>
  <c r="G75" i="24" s="1"/>
  <c r="F86" i="24"/>
  <c r="G86" i="24"/>
  <c r="I85" i="24" l="1"/>
  <c r="I11" i="24"/>
  <c r="I44" i="24" s="1"/>
  <c r="H85" i="24"/>
  <c r="E85" i="24"/>
  <c r="D85" i="24"/>
  <c r="C85" i="24"/>
  <c r="E29" i="24"/>
  <c r="D29" i="24"/>
  <c r="C29" i="24"/>
  <c r="D11" i="24"/>
  <c r="C11" i="24"/>
  <c r="D86" i="24" l="1"/>
  <c r="E86" i="24"/>
  <c r="H86" i="24"/>
  <c r="C86" i="24"/>
  <c r="I75" i="24"/>
  <c r="I86" i="24"/>
  <c r="C44" i="24"/>
  <c r="C75" i="24" s="1"/>
  <c r="E44" i="24"/>
  <c r="E75" i="24" s="1"/>
  <c r="D44" i="24"/>
  <c r="D75" i="24" s="1"/>
</calcChain>
</file>

<file path=xl/comments1.xml><?xml version="1.0" encoding="utf-8"?>
<comments xmlns="http://schemas.openxmlformats.org/spreadsheetml/2006/main">
  <authors>
    <author>avillareal</author>
  </authors>
  <commentList>
    <comment ref="C12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12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D12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12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11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11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11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11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11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<sst xmlns="http://schemas.openxmlformats.org/spreadsheetml/2006/main" count="1714" uniqueCount="965">
  <si>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</si>
  <si>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</si>
  <si>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</si>
  <si>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</si>
  <si>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</si>
  <si>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</si>
  <si>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</si>
  <si>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INCREMENTO PORCENTUAL %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</si>
  <si>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</si>
  <si>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</si>
  <si>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</si>
  <si>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</si>
  <si>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</si>
  <si>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</si>
  <si>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</si>
  <si>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GASTO DEL PERSONAL</t>
  </si>
  <si>
    <t>SUBSIDIOS</t>
  </si>
  <si>
    <t>SUMAN</t>
  </si>
  <si>
    <t>CLASIFICADOR PRESUPUESTARIO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</si>
  <si>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</si>
  <si>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</si>
  <si>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</si>
  <si>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</si>
  <si>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</si>
  <si>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</si>
  <si>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</si>
  <si>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</si>
  <si>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</si>
  <si>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</si>
  <si>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</si>
  <si>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510509</t>
  </si>
  <si>
    <t>510601</t>
  </si>
  <si>
    <t>510602</t>
  </si>
  <si>
    <t>FINANCIAMIENTO ESTIMADO DEL   CONTRATO COLECTIVO PROPUESTO USD $</t>
  </si>
  <si>
    <t>COSTO REAL DEL CONTRATO COLECTIVO VIGENTE USD</t>
  </si>
  <si>
    <t>COSTO ESTIMADO DEL CONTRATO COLECTIVO PROPUESTO USD</t>
  </si>
  <si>
    <t>DENOMINACIÓN DEL PUESTO O CARGO DE OCUPACIÓN</t>
  </si>
  <si>
    <t>REMUNERACIÓN UNIFICADA CONTRATO COLECTIVO VIGENTE USD $</t>
  </si>
  <si>
    <t>REMUNERACIÓN UNIFICADA CONTRATO COLECTIVO PROPUESTO USD $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</si>
  <si>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</si>
  <si>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</si>
  <si>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</si>
  <si>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</si>
  <si>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</si>
  <si>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</si>
  <si>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</si>
  <si>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</si>
  <si>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</si>
  <si>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</si>
  <si>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</si>
  <si>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</si>
  <si>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</si>
  <si>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</si>
  <si>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</si>
  <si>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</si>
  <si>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</si>
  <si>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</si>
  <si>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</si>
  <si>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</si>
  <si>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</si>
  <si>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</si>
  <si>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</si>
  <si>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</si>
  <si>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</si>
  <si>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</si>
  <si>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</si>
  <si>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</si>
  <si>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</si>
  <si>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</si>
  <si>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</si>
  <si>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</si>
  <si>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</si>
  <si>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</si>
  <si>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</si>
  <si>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</si>
  <si>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</si>
  <si>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</si>
  <si>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</si>
  <si>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</si>
  <si>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</si>
  <si>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</si>
  <si>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</si>
  <si>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</si>
  <si>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</si>
  <si>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</si>
  <si>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</si>
  <si>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</si>
  <si>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</si>
  <si>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</si>
  <si>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</si>
  <si>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</si>
  <si>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</si>
  <si>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</si>
  <si>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</si>
  <si>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</si>
  <si>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</si>
  <si>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</si>
  <si>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</si>
  <si>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</si>
  <si>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</si>
  <si>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</si>
  <si>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</si>
  <si>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</si>
  <si>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</si>
  <si>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</si>
  <si>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</si>
  <si>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</si>
  <si>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</si>
  <si>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</si>
  <si>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</si>
  <si>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</si>
  <si>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</si>
  <si>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>*La información histórica presentada en este anexo deberá corresponder a la que el GAD cargó a través del Módulo de Consolidación del E-sigef del Ministerio de Finanzas.</t>
  </si>
  <si>
    <t>FIRMA MÁXIMA AUTORIDAD DEL GAD</t>
  </si>
  <si>
    <t>FIRMA DIRECTOR (A) FINANCIERO (A) DEL GAD</t>
  </si>
  <si>
    <t>Nombre:</t>
  </si>
  <si>
    <t>FORMULARIO 1: "FUENTES DE FINANCIAMIENTO DEL PROYECTO DE CONTRATO COLECTIVO"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</si>
  <si>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</si>
  <si>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</si>
  <si>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FINANCIAMIENTO REAL DEL CONTRATO COLECTIVO VIGENTE USD</t>
  </si>
  <si>
    <t>* En caso de que en el contrato colectivo se negocie algún beneficio adicional a los expuestos favor incluir el item correspondiente.</t>
  </si>
  <si>
    <t>Lugar y Fecha: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</si>
  <si>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</si>
  <si>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</si>
  <si>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</si>
  <si>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</si>
  <si>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</si>
  <si>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</si>
  <si>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</si>
  <si>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</si>
  <si>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>* De ser el caso,  se deberá incluir filas adicionales para detallar a todos los trabajadores del contrato colectivo.</t>
  </si>
  <si>
    <t>OBSERVACIONES</t>
  </si>
  <si>
    <t>* La información deberá estar acorde a los techos presupuestarios establecidos por el MRL correspondiente a cada periodo.</t>
  </si>
  <si>
    <t>Recuperación de Inversiones</t>
  </si>
  <si>
    <t xml:space="preserve">Nº PROYECTO CONTRATO COLECTIVO: </t>
  </si>
  <si>
    <t xml:space="preserve"> Nº ACTA TRANSACCIONAL </t>
  </si>
  <si>
    <t xml:space="preserve">Nº ACTA TRANSACCIONAL: </t>
  </si>
  <si>
    <t>RESULTADO PRESUPUESTARIO</t>
  </si>
  <si>
    <t xml:space="preserve"> CÁLCULO DE LÍMITES DE ENDEUDAMIENTO:</t>
  </si>
  <si>
    <t>* Se requiere incluir el cálculo de los límites de endeudamiento establecidos en el Artículo no numerado dos del CAPITULO II 
DE LAS REGLAS FISCALES, SECCIÓN II DE LA REGLA DE DEUDA Y OTRAS OBLIGACIONES del Código Orgánico de Planificación y Finanzas Públicas.</t>
  </si>
  <si>
    <t>MINISTERIO DE ECONOMÍA Y FINANZAS</t>
  </si>
  <si>
    <t xml:space="preserve">CUMPLIMIENTO ART. 5 INCISO 3 DEL A.M. No. MDT-2015-0054 </t>
  </si>
  <si>
    <t>710509</t>
  </si>
  <si>
    <t>710601</t>
  </si>
  <si>
    <t>710602</t>
  </si>
  <si>
    <t>D24</t>
  </si>
  <si>
    <t>TOTAL CORRIENTE + INVERSION</t>
  </si>
  <si>
    <t>GOBIERNO AUTÓNOMO DESCENTRALIZADO: GOBIERNO AUTONOMO DESCENTRALIZADO PROVINCIAL DE EL ORO</t>
  </si>
  <si>
    <t>ING. SAMANTA ROMERO SOTO</t>
  </si>
  <si>
    <t>NOTA: Se ha obtenido del presupuesto 2022, en base a los datos proporcionado del distributivo enviado por la Direccion de Talento Humano.</t>
  </si>
  <si>
    <t>Nombre: SAMANTA ROMERO SOTO</t>
  </si>
  <si>
    <t>510603</t>
  </si>
  <si>
    <t>FONDO DE JUBILACION PATRONAL</t>
  </si>
  <si>
    <t>INDEMNIZACIONES</t>
  </si>
  <si>
    <t>COMPENSACION POR DESAHUCIO</t>
  </si>
  <si>
    <t>POR JUBILACION</t>
  </si>
  <si>
    <t>710603</t>
  </si>
  <si>
    <t>MINISTERIO DE FINANZAS</t>
  </si>
  <si>
    <t>MINISTERIO DE  FINANZAS</t>
  </si>
  <si>
    <t>FORMULARIO 4</t>
  </si>
  <si>
    <t>FLUJO PRESUPUESTARIO DE INGRESOS Y GASTOS</t>
  </si>
  <si>
    <t>Nombre: RITA KARINA TORRES TORRES</t>
  </si>
  <si>
    <t>ALIMENTACION</t>
  </si>
  <si>
    <t xml:space="preserve">POR ANTIGUEDAD </t>
  </si>
  <si>
    <t>BENEFICIOS SOCIALES</t>
  </si>
  <si>
    <t>POR ANTIGÜEDAD</t>
  </si>
  <si>
    <t>Del  Presupuesto  General  del  Estado  a  Gobiernos  Autónomos  Descentralizados  Provinciales  por  el  Ejercicio  de  la Competencia de Riego y Drenaje</t>
  </si>
  <si>
    <t>De Compensaciones a Gobiernos Autónomos Descentralizados Provinciales por Leyes y Decretos</t>
  </si>
  <si>
    <t>MACHALA, 26 DE ABRIL DEL 2022</t>
  </si>
  <si>
    <t>Lugar y Fecha: MACHALA, 26 DE ABRIL DEL 2022.</t>
  </si>
  <si>
    <t>0704446715</t>
  </si>
  <si>
    <t>AGILA VASQUEZ LUIS ALBERTO</t>
  </si>
  <si>
    <t>NIVEL 1</t>
  </si>
  <si>
    <t>AYUDANTE DE EQUIPO DE ASFALTO</t>
  </si>
  <si>
    <t>AGUILAR AGUILAR JAIME JIRALDO</t>
  </si>
  <si>
    <t>NIVEL 5</t>
  </si>
  <si>
    <t>OPERADOR DE MAQUINARIA</t>
  </si>
  <si>
    <t>0705176857</t>
  </si>
  <si>
    <t>AGUILAR CARPIO EDINSON ANIBAL</t>
  </si>
  <si>
    <t>0702752833</t>
  </si>
  <si>
    <t>AGUILAR ESPINOZA OSCAR MAURICIO</t>
  </si>
  <si>
    <t>NIVEL 3</t>
  </si>
  <si>
    <t>CHOFER DE VEHICULO LIVIANO</t>
  </si>
  <si>
    <t>0702423427</t>
  </si>
  <si>
    <t>AGUILAR NIETO RAUL</t>
  </si>
  <si>
    <t>NIVEL 4</t>
  </si>
  <si>
    <t>CHOFER DE VEHICULO PESADO</t>
  </si>
  <si>
    <t>0703706473</t>
  </si>
  <si>
    <t>AJILA RODAS MARCO ANIBAL</t>
  </si>
  <si>
    <t>1001152253</t>
  </si>
  <si>
    <t>ANANGONO VILLALBA ARNULFO ARTURO</t>
  </si>
  <si>
    <t>GUARDIAN</t>
  </si>
  <si>
    <t>1303337990</t>
  </si>
  <si>
    <t>ANCHUNDIA GUTIERREZ VICENTE AUGUSTO</t>
  </si>
  <si>
    <t>CADENERO</t>
  </si>
  <si>
    <t>0801452475</t>
  </si>
  <si>
    <t>ANGULO ROMERO JOSE TORIVIO</t>
  </si>
  <si>
    <t>AYUDANTE</t>
  </si>
  <si>
    <t>0702829425</t>
  </si>
  <si>
    <t>ARCE RODRIGUEZ LUIS ABRAHAN</t>
  </si>
  <si>
    <t>0701464513</t>
  </si>
  <si>
    <t>AREVALO CASTRO EDUARDO RODOLFO</t>
  </si>
  <si>
    <t>0702402116</t>
  </si>
  <si>
    <t>AREVALO SOTOMAYOR CARLOS FERNANDO</t>
  </si>
  <si>
    <t>0702500893</t>
  </si>
  <si>
    <t>AREVALO TALLEDO NEIL VICENTE</t>
  </si>
  <si>
    <t>0704235530</t>
  </si>
  <si>
    <t>ARIADEL COBO RONALD ALBERTO</t>
  </si>
  <si>
    <t>0703465567</t>
  </si>
  <si>
    <t>ARMIJOS AGUILAR GERARDO WELLINTON</t>
  </si>
  <si>
    <t>OPERADOR</t>
  </si>
  <si>
    <t>0702240664</t>
  </si>
  <si>
    <t>ARMIJOS ARMIJOS JUAN CARLOS</t>
  </si>
  <si>
    <t>0702103078</t>
  </si>
  <si>
    <t>ARMIJOS GUAMAN VICTOR OLLAGUE</t>
  </si>
  <si>
    <t>0701865826</t>
  </si>
  <si>
    <t>ARMIJOS MACAS JIMMY TRANQUILINO</t>
  </si>
  <si>
    <t>0704552470</t>
  </si>
  <si>
    <t>ARMIJOS PINEDA ASDRUBAL ALEJANDRO</t>
  </si>
  <si>
    <t>JORNALERO</t>
  </si>
  <si>
    <t>0703520254</t>
  </si>
  <si>
    <t>ARMIJOS ROMERO IVO ISRAEL</t>
  </si>
  <si>
    <t>0701815565</t>
  </si>
  <si>
    <t>ARMIJOS TORO GUIDO ALVARO</t>
  </si>
  <si>
    <t>0800652497</t>
  </si>
  <si>
    <t>ARROYO QUIÑONEZ JORGE LUIS</t>
  </si>
  <si>
    <t>0705465631</t>
  </si>
  <si>
    <t>ASANZA PACHECO DANNY ALEXANDER</t>
  </si>
  <si>
    <t>0706439445</t>
  </si>
  <si>
    <t>AUZ GUANUCHE EDISON FABIAN</t>
  </si>
  <si>
    <t>1707675615</t>
  </si>
  <si>
    <t>AVEIGA AVILA ODON OLMEDO</t>
  </si>
  <si>
    <t>0801582255</t>
  </si>
  <si>
    <t>AYOVI CABEZAS FIDEL HEBERTO</t>
  </si>
  <si>
    <t>0706357068</t>
  </si>
  <si>
    <t>BALLADARES BRAVO CRISTHIAN MIGUEL</t>
  </si>
  <si>
    <t>0701081754</t>
  </si>
  <si>
    <t>BALLADARES FRANCO VICTOR MANUEL</t>
  </si>
  <si>
    <t>0702166422</t>
  </si>
  <si>
    <t>BALSECA AGILA CARLOS ALBERTO</t>
  </si>
  <si>
    <t>AYUDANTE DE PLANTA TRITURACION</t>
  </si>
  <si>
    <t>0702906025</t>
  </si>
  <si>
    <t>BARROS MORENO CARLOS ALBERTO</t>
  </si>
  <si>
    <t>AYUDANTE DE MECANICA AUTOMOTRIZ</t>
  </si>
  <si>
    <t>0701924276</t>
  </si>
  <si>
    <t>BENITEZ CEDILLO GERARDO PATRICIO</t>
  </si>
  <si>
    <t>1202021588</t>
  </si>
  <si>
    <t>BERMUDEZ VELOZ AGUSTIN RAMON</t>
  </si>
  <si>
    <t>0702583352</t>
  </si>
  <si>
    <t>BERNABE RAMIREZ RAUL EULOGIO</t>
  </si>
  <si>
    <t>AUXILIAR DE SERVICIOS</t>
  </si>
  <si>
    <t>0702206798</t>
  </si>
  <si>
    <t>BLACIO LOAIZA JORGE FERNANDO</t>
  </si>
  <si>
    <t>0705212249</t>
  </si>
  <si>
    <t>BLACIO ROMERO DEYVI MIGUEL</t>
  </si>
  <si>
    <t>NIVEL 2</t>
  </si>
  <si>
    <t>MECANICO AUTOMOTRIZ</t>
  </si>
  <si>
    <t>0704986165</t>
  </si>
  <si>
    <t>BORBOR ARMIJOS LUIS ALFREDO</t>
  </si>
  <si>
    <t>0702746397</t>
  </si>
  <si>
    <t>BRAVO ROBLES ALCIDES FABIAN</t>
  </si>
  <si>
    <t>0702749854</t>
  </si>
  <si>
    <t>BRIONES IBARRA FRANCISCO DANIEL</t>
  </si>
  <si>
    <t>OPERADOR DE EXCAVADORA</t>
  </si>
  <si>
    <t>0701953515</t>
  </si>
  <si>
    <t>BRITO AVILA HECTOR OSWALDO</t>
  </si>
  <si>
    <t>0702638933</t>
  </si>
  <si>
    <t>BUESTAN GOMEZ JULIO CLAUDIO</t>
  </si>
  <si>
    <t>NIVEL 6</t>
  </si>
  <si>
    <t>INSPECTOR DE RECURSOS HIDRICOS</t>
  </si>
  <si>
    <t>0601922693</t>
  </si>
  <si>
    <t>BUÑAY BUÑAY MARCO EFREN</t>
  </si>
  <si>
    <t>0704539790</t>
  </si>
  <si>
    <t>BURBANO CRISTHIAN DAVID</t>
  </si>
  <si>
    <t>0704945120</t>
  </si>
  <si>
    <t>BURGOS ARMIJOS RUBEN DARIO</t>
  </si>
  <si>
    <t>AYUDANTE DE SERVICIOS ADMINISTRATIVOS</t>
  </si>
  <si>
    <t>0701511701</t>
  </si>
  <si>
    <t>BUSTAMANTE MACHUCA ANGEL ROCIO</t>
  </si>
  <si>
    <t>0704326214</t>
  </si>
  <si>
    <t>BUSTOS MIRANDA ANGEL MAURICIO</t>
  </si>
  <si>
    <t>0803515352</t>
  </si>
  <si>
    <t>CABEZA QUIÑONEZ VICTOR ALFONSO</t>
  </si>
  <si>
    <t>0101994598</t>
  </si>
  <si>
    <t>CABRERA MARIO HERNAN</t>
  </si>
  <si>
    <t>0703373860</t>
  </si>
  <si>
    <t>CABRERA TANDAZO DARWIN ROGELIO</t>
  </si>
  <si>
    <t>0704347574</t>
  </si>
  <si>
    <t>CACAO HERRERA JULIO ALBERTO</t>
  </si>
  <si>
    <t>0802492504</t>
  </si>
  <si>
    <t>CAICEDO VALDEZ EFREN PATRICIO</t>
  </si>
  <si>
    <t>1102685888</t>
  </si>
  <si>
    <t>CAJAS CONDOY CARLOS MARCELINO</t>
  </si>
  <si>
    <t>0704883180</t>
  </si>
  <si>
    <t>CALVAS BURGOS CRISTHIAN JEFFERSON</t>
  </si>
  <si>
    <t>0703470047</t>
  </si>
  <si>
    <t>CAMPOVERDE RUBIO WALTER ARNOLDO</t>
  </si>
  <si>
    <t>0704608561</t>
  </si>
  <si>
    <t>CAMPOVERDE TAPIA JOHN FERNANDO</t>
  </si>
  <si>
    <t>TECNICO SUPERVISOR</t>
  </si>
  <si>
    <t>1703668259</t>
  </si>
  <si>
    <t>CANDO JUMBO MIGUEL BOLIVAR</t>
  </si>
  <si>
    <t>0701484867</t>
  </si>
  <si>
    <t>CAÑAR JOSE SERVILIO</t>
  </si>
  <si>
    <t>0704287184</t>
  </si>
  <si>
    <t>CARAGUAY FEIJOO GEOVANNY NICOLAS</t>
  </si>
  <si>
    <t>0703204925</t>
  </si>
  <si>
    <t>CARCHI CUENCA MARIO ALEJANDRO</t>
  </si>
  <si>
    <t>AUXILIAR DE INGENIERIA</t>
  </si>
  <si>
    <t>0705199016</t>
  </si>
  <si>
    <t>CARDENAS CARCHIPULLA JOHNNATAN RENE</t>
  </si>
  <si>
    <t>AYUDANTE DE OPERADOR</t>
  </si>
  <si>
    <t>0703643049</t>
  </si>
  <si>
    <t>CARRASCO OLAYA OSWALDO</t>
  </si>
  <si>
    <t>0703198242</t>
  </si>
  <si>
    <t>CARRILLO VELEZ MANUEL VINICIO</t>
  </si>
  <si>
    <t>0704272582</t>
  </si>
  <si>
    <t>CARRION CARPIO FRANKLIN IVAN</t>
  </si>
  <si>
    <t>0702143405</t>
  </si>
  <si>
    <t>CARRION COYAGO EDINSON FERNANDO</t>
  </si>
  <si>
    <t>0705283141</t>
  </si>
  <si>
    <t>CARRION ORTEGA CRISTHIAN ALEXANDER</t>
  </si>
  <si>
    <t>0705411080</t>
  </si>
  <si>
    <t>CARVAJAL ZAMBRANO MARIO CESAR</t>
  </si>
  <si>
    <t>0701954802</t>
  </si>
  <si>
    <t>CASQUETE ALARCON FRANCISCO GONZALO</t>
  </si>
  <si>
    <t>0703230425</t>
  </si>
  <si>
    <t>CASTILLO CASTILLO LENIN ATAHUALPA</t>
  </si>
  <si>
    <t>AYUDANTE VARIOS</t>
  </si>
  <si>
    <t>0703887620</t>
  </si>
  <si>
    <t>CASTILLO ENCALADA LEONARDO ANTONIO</t>
  </si>
  <si>
    <t>AYUDANTE DE EXCAVADORA</t>
  </si>
  <si>
    <t>0702218033</t>
  </si>
  <si>
    <t>CASTILLO ESPINOZA AMELIA MARIA</t>
  </si>
  <si>
    <t>NIVEL 7</t>
  </si>
  <si>
    <t>AUXILIAR DE ENFERMERIA</t>
  </si>
  <si>
    <t>0705843498</t>
  </si>
  <si>
    <t>CASTILLO LAINES RAMIRO VALENTIN</t>
  </si>
  <si>
    <t>1705534210</t>
  </si>
  <si>
    <t>CASTILLO LOMBEIDA ESTUARDO ALEJANDRINO</t>
  </si>
  <si>
    <t>1305810432</t>
  </si>
  <si>
    <t>CEDEÑO GARCIA JACINTO RENE</t>
  </si>
  <si>
    <t>0702505090</t>
  </si>
  <si>
    <t>CEVALLOS ARISTEGA JHONNY ERNESTO</t>
  </si>
  <si>
    <t>0703843961</t>
  </si>
  <si>
    <t>CHALACO APONTE MARLON WILFRIDO</t>
  </si>
  <si>
    <t>0704781707</t>
  </si>
  <si>
    <t>CHANTERA GARCIA JONATHAN JOEL</t>
  </si>
  <si>
    <t>0703201962</t>
  </si>
  <si>
    <t>CHAVEZ ALAÑA DIEGO XAVIER</t>
  </si>
  <si>
    <t>INSPECTOR OPERATIVO DE TALLER VEHICULAR</t>
  </si>
  <si>
    <t>0704707751</t>
  </si>
  <si>
    <t>CHAVEZ MACAS EDUARDO ALBERTO</t>
  </si>
  <si>
    <t>0701452500</t>
  </si>
  <si>
    <t>CHERREZ PAREDES JOSE ANTONIO</t>
  </si>
  <si>
    <t>0702454554</t>
  </si>
  <si>
    <t>CHICA CARDENAS LUIS ARMANDO</t>
  </si>
  <si>
    <t>1500489255</t>
  </si>
  <si>
    <t>CHUMO MERA ESTUARDO UBERTO</t>
  </si>
  <si>
    <t>0702108507</t>
  </si>
  <si>
    <t>COELLO SAMANIEGO ROMMEL OLIMPO</t>
  </si>
  <si>
    <t>SOLDADOR</t>
  </si>
  <si>
    <t>0704454719</t>
  </si>
  <si>
    <t>CONDOY HURTADO ANGEL ALBERTANO</t>
  </si>
  <si>
    <t>0706164845</t>
  </si>
  <si>
    <t>CORDOVA ALDAS CARLOS ANDRES</t>
  </si>
  <si>
    <t>1204608465</t>
  </si>
  <si>
    <t>CORNEJO HIGUERA WILLIAM DAVID</t>
  </si>
  <si>
    <t>OPERADOR DE PERFORADORA</t>
  </si>
  <si>
    <t>0704327436</t>
  </si>
  <si>
    <t>CORONEL LALVAY PATRICIO ORLANDO</t>
  </si>
  <si>
    <t>0705360923</t>
  </si>
  <si>
    <t>CORONEL LANDIN MARLON RONAN</t>
  </si>
  <si>
    <t>0701393969</t>
  </si>
  <si>
    <t>CORONEL LEON MARCEL RENE</t>
  </si>
  <si>
    <t>0704644657</t>
  </si>
  <si>
    <t>CORONEL LOPEZ IVAN MARCELO</t>
  </si>
  <si>
    <t>0703708396</t>
  </si>
  <si>
    <t>CORONEL SANCHEZ ALEX HUMBERTO</t>
  </si>
  <si>
    <t>0706647526</t>
  </si>
  <si>
    <t>CORONEL SANCHEZ JUAN PABLO</t>
  </si>
  <si>
    <t>0701980443</t>
  </si>
  <si>
    <t>CORONEL SANCHEZ MANUEL ISRAEL</t>
  </si>
  <si>
    <t>INSPECTOR DE SEGURIDAD</t>
  </si>
  <si>
    <t>0701013344</t>
  </si>
  <si>
    <t>CORONEL VASQUEZ MIGUEL ALBERTO</t>
  </si>
  <si>
    <t>0701103525</t>
  </si>
  <si>
    <t>CORREA VERA CARLOS SILVINO</t>
  </si>
  <si>
    <t>0702566571</t>
  </si>
  <si>
    <t>CORREA VERA LUPE LIDIA</t>
  </si>
  <si>
    <t>0703581231</t>
  </si>
  <si>
    <t>CRUZ ARIAS LUIS ENRIQUE</t>
  </si>
  <si>
    <t>0703949487</t>
  </si>
  <si>
    <t>CRUZ BARRIGA DOUGLAS JONATHAN</t>
  </si>
  <si>
    <t>OPERADOR DE RETROEXCAVADORA</t>
  </si>
  <si>
    <t>0704456839</t>
  </si>
  <si>
    <t>CRUZ CAICEDO ALEX VICTORIANO</t>
  </si>
  <si>
    <t>0701736654</t>
  </si>
  <si>
    <t>CRUZ TORRES JOSE MERCEDES</t>
  </si>
  <si>
    <t>AUXILIAR DE SERVICIOS DE GENERALES</t>
  </si>
  <si>
    <t>1713948717</t>
  </si>
  <si>
    <t>CUENCA FREIRE FLORENCIO PATRICIO</t>
  </si>
  <si>
    <t>0702424029</t>
  </si>
  <si>
    <t>CUENCA ULLAGUARI MANUEL DE JESÚS</t>
  </si>
  <si>
    <t>0800857229</t>
  </si>
  <si>
    <t>CUERO CHICHANDE SEGUNDO NARCILO</t>
  </si>
  <si>
    <t>0704724541</t>
  </si>
  <si>
    <t>CUEVA ARELLANO REINALDO DAVID</t>
  </si>
  <si>
    <t>0702115965</t>
  </si>
  <si>
    <t>CUEVA BUSTAMANTE OSCAR KENEDY</t>
  </si>
  <si>
    <t>GUARDIAN OPERADOR</t>
  </si>
  <si>
    <t>0703130864</t>
  </si>
  <si>
    <t>CUEVA DE LA PAZ MARIO AUGUSTO</t>
  </si>
  <si>
    <t>0702951880</t>
  </si>
  <si>
    <t>CUMBICOS CUMBICOS HUGO BOLIVAR</t>
  </si>
  <si>
    <t>0705817278</t>
  </si>
  <si>
    <t>CURAY SANTIAGO OSCAR ALBERTO</t>
  </si>
  <si>
    <t>0923976005</t>
  </si>
  <si>
    <t>DELGADO MURILLO LUIS MIGUEL</t>
  </si>
  <si>
    <t>0702239773</t>
  </si>
  <si>
    <t>DIAGO CHOEZ ALIRIO TEOFILO</t>
  </si>
  <si>
    <t>1101652764</t>
  </si>
  <si>
    <t>DIAZ DIAZ EUSEBIO</t>
  </si>
  <si>
    <t>0703704130</t>
  </si>
  <si>
    <t>DIAZ DIAZ MANUEL FERNANDO</t>
  </si>
  <si>
    <t>0702425281</t>
  </si>
  <si>
    <t>DIAZ JARAMILLO GIL ARTURO</t>
  </si>
  <si>
    <t>0703044891</t>
  </si>
  <si>
    <t>DIAZ JIMENEZ HENRY EUGIDIO</t>
  </si>
  <si>
    <t>0705206852</t>
  </si>
  <si>
    <t>ECHEVERRIA SERRANO ARTURO HIPOLITO</t>
  </si>
  <si>
    <t>1704077377</t>
  </si>
  <si>
    <t>ERAZO GARCIA SEGUNDO JOSE</t>
  </si>
  <si>
    <t>0919016238</t>
  </si>
  <si>
    <t>ESPINAR CHICA DARWIN ANTONIO</t>
  </si>
  <si>
    <t>0701899031</t>
  </si>
  <si>
    <t>ESPINOZA BERSOSA HUGO FERNANDO</t>
  </si>
  <si>
    <t>0702296898</t>
  </si>
  <si>
    <t>ESPINOZA ENCARNACION ELICIO ENRIQUE</t>
  </si>
  <si>
    <t>0703195636</t>
  </si>
  <si>
    <t>ESPINOZA GUERRERO WILSON JOHN</t>
  </si>
  <si>
    <t>0703568535</t>
  </si>
  <si>
    <t>ESPINOZA MAZA MAURICIO JAVIER</t>
  </si>
  <si>
    <t>0702586660</t>
  </si>
  <si>
    <t>ESPINOZA RIOFRIO MARLON ESTEFAN</t>
  </si>
  <si>
    <t>0705549756</t>
  </si>
  <si>
    <t>ESPINOZA VACA JORDY MAURICIO</t>
  </si>
  <si>
    <t>0800624801</t>
  </si>
  <si>
    <t>ESTACIO ANGULO MANUEL JESUS</t>
  </si>
  <si>
    <t>0705040947</t>
  </si>
  <si>
    <t>FARIAS ARMIJOS CHRISTOPHER FERNANDO</t>
  </si>
  <si>
    <t>0703072645</t>
  </si>
  <si>
    <t>FEIJOO ESPINOZA SEGUNDO AJENOR</t>
  </si>
  <si>
    <t>0703501007</t>
  </si>
  <si>
    <t>FEIJOO GONZALEZ EDISON BOLIVAR</t>
  </si>
  <si>
    <t>0706226818</t>
  </si>
  <si>
    <t>FEIJOO LOAYZA WILSON EDUARDO</t>
  </si>
  <si>
    <t>0701515157</t>
  </si>
  <si>
    <t>FLORES BENALCAZAR JORGE AQUILES</t>
  </si>
  <si>
    <t>0702578881</t>
  </si>
  <si>
    <t>GALARZA ESPINOZA OSCAR EFREN</t>
  </si>
  <si>
    <t>AYUDANTE DE EQUIPO</t>
  </si>
  <si>
    <t>0703136960</t>
  </si>
  <si>
    <t>GARCES LOAYZA LUIS FERNANDO</t>
  </si>
  <si>
    <t>0801959347</t>
  </si>
  <si>
    <t>GARCES NAZARENO CARLOS BANDERLY</t>
  </si>
  <si>
    <t>0702317512</t>
  </si>
  <si>
    <t>GARCIA PAREDES GABRIEL FRANCISCO</t>
  </si>
  <si>
    <t>0703723205</t>
  </si>
  <si>
    <t>GARCIA PONTON GUSTAVO JAVIER</t>
  </si>
  <si>
    <t>0703967158</t>
  </si>
  <si>
    <t>GARZON APOLO HENRY JAVIER</t>
  </si>
  <si>
    <t>0702020652</t>
  </si>
  <si>
    <t>GASTIABUR CEDILLO RODRIGO BENITO</t>
  </si>
  <si>
    <t>ASISTENTE TECNICO</t>
  </si>
  <si>
    <t>0704586536</t>
  </si>
  <si>
    <t>GOMEZ QUILAMBAQUI JOSE SALOMON</t>
  </si>
  <si>
    <t>0705068864</t>
  </si>
  <si>
    <t>GOMEZ QUILAMBAQUI SAMUEL DAVID</t>
  </si>
  <si>
    <t>0701480188</t>
  </si>
  <si>
    <t>GONSAGA CORDOVA EMILIO FLORESMILO</t>
  </si>
  <si>
    <t>0703721266</t>
  </si>
  <si>
    <t>GONZALEZ ARAGON ALBERTO XAVIER</t>
  </si>
  <si>
    <t>1101909693</t>
  </si>
  <si>
    <t>GONZALEZ AVILA JOSE MAXIMINO</t>
  </si>
  <si>
    <t>DESPACHADOR - RECIBIDOR</t>
  </si>
  <si>
    <t>0703712869</t>
  </si>
  <si>
    <t>GONZALEZ CARRION GEORGE JINSOP</t>
  </si>
  <si>
    <t>0702351990</t>
  </si>
  <si>
    <t>GONZALEZ CRESPO JUAN HUMBERTO</t>
  </si>
  <si>
    <t>0703896282</t>
  </si>
  <si>
    <t>GONZALEZ VALVERDE CARLOS ALBERTO</t>
  </si>
  <si>
    <t>1900420819</t>
  </si>
  <si>
    <t>GRANDA RIOFRIO DIGNO CLAUDIO</t>
  </si>
  <si>
    <t>0702987868</t>
  </si>
  <si>
    <t>GUAILLAS ROMERO JESUS JERONIMO</t>
  </si>
  <si>
    <t>0704441526</t>
  </si>
  <si>
    <t>GUAILLAS ROMERO JUAN CARLOS</t>
  </si>
  <si>
    <t>0703199745</t>
  </si>
  <si>
    <t>GUAILLAS ROMERO LEANDRO ABELINO</t>
  </si>
  <si>
    <t>0704597152</t>
  </si>
  <si>
    <t>GUAMAN ORDOÑEZ MARLON ALBERTO</t>
  </si>
  <si>
    <t>0702682618</t>
  </si>
  <si>
    <t>GUAMAN OROZCO MANUEL DE JESUS</t>
  </si>
  <si>
    <t>0706696390</t>
  </si>
  <si>
    <t>GUAMANTICA VINUEZA FREDDY JAVIER</t>
  </si>
  <si>
    <t>0705860310</t>
  </si>
  <si>
    <t>GUARNIZO JARAMILLO MICHEL EDUARDO</t>
  </si>
  <si>
    <t>AYUDANTE DE PERFORADORA</t>
  </si>
  <si>
    <t>0702054453</t>
  </si>
  <si>
    <t>GUARNIZO LIMA CARLOS WILSON</t>
  </si>
  <si>
    <t>0703973107</t>
  </si>
  <si>
    <t>GUERRERO CHAVEZ CARLOS CRISTOBAL</t>
  </si>
  <si>
    <t>0702685074</t>
  </si>
  <si>
    <t>GUERRERO MIERES JAVIER PATRICIO</t>
  </si>
  <si>
    <t>0705613255</t>
  </si>
  <si>
    <t>HERNANDEZ GOMEZ RICARDO JAVIER</t>
  </si>
  <si>
    <t>0701171761</t>
  </si>
  <si>
    <t>HERRERA CASTILLO MANUEL DE LA CRUZ</t>
  </si>
  <si>
    <t>0704931187</t>
  </si>
  <si>
    <t>HONORES PINTADO DULIS DANNY</t>
  </si>
  <si>
    <t>0703175620</t>
  </si>
  <si>
    <t>IMAICELA HERRERA FRANKLIN URBANO</t>
  </si>
  <si>
    <t>AYUDANTE DE PLANTA DE ASFALTO</t>
  </si>
  <si>
    <t>0704648054</t>
  </si>
  <si>
    <t>IÑIGUEZ CHERREZ JOSE LUIS</t>
  </si>
  <si>
    <t>0704513357</t>
  </si>
  <si>
    <t>ITURRALDE OCHOA LUIS ALBERTO</t>
  </si>
  <si>
    <t>0702252412</t>
  </si>
  <si>
    <t>JARAMILLO ARAUJO RODOLFO AQUILES</t>
  </si>
  <si>
    <t>0701567067</t>
  </si>
  <si>
    <t>JARAMILLO ESCALANTE RODOLFO OLMEDO</t>
  </si>
  <si>
    <t>0706827821</t>
  </si>
  <si>
    <t>JARAMILLO GUANOQUIZA ERICK FERNANDO</t>
  </si>
  <si>
    <t>0704013952</t>
  </si>
  <si>
    <t>JARAMILLO HERRERA ANGEL SANTIAGO</t>
  </si>
  <si>
    <t>NIVEL 9</t>
  </si>
  <si>
    <t>SUPERVISOR DE EQUIPO PESADO</t>
  </si>
  <si>
    <t>0702887282</t>
  </si>
  <si>
    <t>JIMENEZ ALVAREZ KLEVER VICENTE</t>
  </si>
  <si>
    <t>0704515030</t>
  </si>
  <si>
    <t>JIMENEZ HIDALGO JHONNY ALBERTO</t>
  </si>
  <si>
    <t>0702688771</t>
  </si>
  <si>
    <t>JIMENEZ MOLINA AMADO ISAURO</t>
  </si>
  <si>
    <t>0704023472</t>
  </si>
  <si>
    <t>JIMENEZ MOLINA EDGAR AMADOR</t>
  </si>
  <si>
    <t>0702326638</t>
  </si>
  <si>
    <t>JIMENEZ MOLINA JOSE FERNANDO</t>
  </si>
  <si>
    <t>0750684995</t>
  </si>
  <si>
    <t>JIMENEZ SOLIS FERNANDO JEAMPIERRE</t>
  </si>
  <si>
    <t>0702555848</t>
  </si>
  <si>
    <t>JIMENEZ TORRES FABIAN MARK</t>
  </si>
  <si>
    <t>0702777749</t>
  </si>
  <si>
    <t>JORDAN SUAREZ MERCY EDYTH</t>
  </si>
  <si>
    <t>0705149532</t>
  </si>
  <si>
    <t>JUCA GALLEGOS CARLOS WILLIAM</t>
  </si>
  <si>
    <t>0705073260</t>
  </si>
  <si>
    <t>JUCA GALLEGOS JOHNNY ALEXANDER</t>
  </si>
  <si>
    <t>0702039157</t>
  </si>
  <si>
    <t>LALANGUI JIMENEZ VICTOR GONZALO</t>
  </si>
  <si>
    <t>0703143388</t>
  </si>
  <si>
    <t>LAPO ALBARRACIN JOSE GEOVANNI</t>
  </si>
  <si>
    <t>GUARDABOSQUE</t>
  </si>
  <si>
    <t>0703288753</t>
  </si>
  <si>
    <t>LAPO BONILLA MANUEL RICHARD</t>
  </si>
  <si>
    <t>0704232313</t>
  </si>
  <si>
    <t>LEON CAÑAR HERMAN LENIN</t>
  </si>
  <si>
    <t>0702596479</t>
  </si>
  <si>
    <t>LEON ORELLANA EDWIN ALEJANDRO</t>
  </si>
  <si>
    <t>0702896879</t>
  </si>
  <si>
    <t>LEON RODRIGUEZ DARWING JAVIER</t>
  </si>
  <si>
    <t>0704742279</t>
  </si>
  <si>
    <t>LEON ULLAGUARI EDISON JASMANI</t>
  </si>
  <si>
    <t>0702091067</t>
  </si>
  <si>
    <t>LOAIZA CALERO WASHINGTON ENRIQUE</t>
  </si>
  <si>
    <t>0702403957</t>
  </si>
  <si>
    <t>LOAYZA LOAYZA ELEND DANIEL</t>
  </si>
  <si>
    <t>0704072180</t>
  </si>
  <si>
    <t>LOAYZA RODAS MILTON FABRICIO</t>
  </si>
  <si>
    <t>0703413294</t>
  </si>
  <si>
    <t>LOAYZA SANCHEZ CRISTHIAN MAURICIO</t>
  </si>
  <si>
    <t>0705149854</t>
  </si>
  <si>
    <t>LOJA LLAGUARIMA LUIS ALCIVIADES</t>
  </si>
  <si>
    <t>0704684570</t>
  </si>
  <si>
    <t>LOPEZ FEIJOO PABLO ANDRES</t>
  </si>
  <si>
    <t>0702318247</t>
  </si>
  <si>
    <t>LOZANO BODERO LEONARDO ADALBERTO</t>
  </si>
  <si>
    <t>0701872129</t>
  </si>
  <si>
    <t>LUNA AGUILAR AUDY ROBERTO</t>
  </si>
  <si>
    <t>0706358850</t>
  </si>
  <si>
    <t>LUNA ORELLANA HECTOR XAVIER</t>
  </si>
  <si>
    <t>0702844895</t>
  </si>
  <si>
    <t>LUZURIAGA RECALDE MIGUEL ARTURO</t>
  </si>
  <si>
    <t>0702523911</t>
  </si>
  <si>
    <t>LUZURIAGA VARGAS JOSE FELIPE</t>
  </si>
  <si>
    <t>0703641654</t>
  </si>
  <si>
    <t>MACANCHI CHAMBA DARWIN ALBERTO</t>
  </si>
  <si>
    <t>0703588228</t>
  </si>
  <si>
    <t>MACAS AZANZA ERROL FRANSI</t>
  </si>
  <si>
    <t>0704726611</t>
  </si>
  <si>
    <t>MACAS NAGUA JOSE RUBEN</t>
  </si>
  <si>
    <t>0705713535</t>
  </si>
  <si>
    <t>MACAS NAGUA MAURICIO FABIAN</t>
  </si>
  <si>
    <t>0702916479</t>
  </si>
  <si>
    <t>MACIAS ROBLES EDGAR GEOVANNY</t>
  </si>
  <si>
    <t>AYUDANTE DE VULCANIZADOR</t>
  </si>
  <si>
    <t>0911820488</t>
  </si>
  <si>
    <t>MALDONADO CHUCHUCA LUIS ARMANDO</t>
  </si>
  <si>
    <t>1722469812</t>
  </si>
  <si>
    <t>MALDONADO MARTINEZ JULIO CESAR</t>
  </si>
  <si>
    <t>0702463761</t>
  </si>
  <si>
    <t>MALDONADO VALAREZO VICENTE ROBERTO</t>
  </si>
  <si>
    <t>OPERADOR DE BASCULA</t>
  </si>
  <si>
    <t>0701634040</t>
  </si>
  <si>
    <t>MARTINEZ ARIAS CARLOS LUIS</t>
  </si>
  <si>
    <t>1310107881</t>
  </si>
  <si>
    <t>MARTINEZ GONZALEZ DANNY ALFREDO</t>
  </si>
  <si>
    <t>0701642183</t>
  </si>
  <si>
    <t>MARURI AREVALO JOSELITO NARDO</t>
  </si>
  <si>
    <t>0705985299</t>
  </si>
  <si>
    <t>MATAMOROS ORDOÑEZ MILTON DANIEL</t>
  </si>
  <si>
    <t>0702334590</t>
  </si>
  <si>
    <t>MEDINA CAÑOLA GABRIEL NARCISO</t>
  </si>
  <si>
    <t>0704636877</t>
  </si>
  <si>
    <t>MEDINA LEON JORGE LUIS</t>
  </si>
  <si>
    <t>0705617983</t>
  </si>
  <si>
    <t>MEDINA LEON ROLANDO JAVIER</t>
  </si>
  <si>
    <t>0701528598</t>
  </si>
  <si>
    <t>MEJIA VASQUEZ ANGEL JARRISSON</t>
  </si>
  <si>
    <t>0702786385</t>
  </si>
  <si>
    <t>MENDOZA CABRERA KLEBER ROLANDO</t>
  </si>
  <si>
    <t>0702746736</t>
  </si>
  <si>
    <t>MENDOZA VARGAS KETTY ALEXANDRA</t>
  </si>
  <si>
    <t>AUXILIAR DE LABORATORIO</t>
  </si>
  <si>
    <t>0702544289</t>
  </si>
  <si>
    <t>MERCHAN VASQUEZ ENRY LEONARDO</t>
  </si>
  <si>
    <t>0706367570</t>
  </si>
  <si>
    <t>MERIZALDE BALCAZAR JHORDY ANDRES</t>
  </si>
  <si>
    <t>0705882173</t>
  </si>
  <si>
    <t>MERIZALDE DUARTE EDUARDO SALOMON</t>
  </si>
  <si>
    <t>0707013694</t>
  </si>
  <si>
    <t>MINA REASCOS FRANCISCO SEGUNDO</t>
  </si>
  <si>
    <t>AYUDANTE DE TANQUERO DE COMBUSTIBLE</t>
  </si>
  <si>
    <t>1102194154</t>
  </si>
  <si>
    <t>MOCHA FULVIO EDILBERTO</t>
  </si>
  <si>
    <t>0704528975</t>
  </si>
  <si>
    <t>MONTALVAN ROMERO JOSE ALEXANDER</t>
  </si>
  <si>
    <t>1707211577</t>
  </si>
  <si>
    <t>MONTESDEOCA NARVAEZ SEGUNDO PATRICIO</t>
  </si>
  <si>
    <t>0704533785</t>
  </si>
  <si>
    <t>MORALES JAUREGUI JAIME FERNANDO</t>
  </si>
  <si>
    <t>0929078012</t>
  </si>
  <si>
    <t>MORALES PIZARRO JAIME FRANCISCO</t>
  </si>
  <si>
    <t>1201005525</t>
  </si>
  <si>
    <t>MORAN QUINTO YTREL MANUEL</t>
  </si>
  <si>
    <t>0702423203</t>
  </si>
  <si>
    <t>MORAN VASQUEZ DEMETRIO ANTONIO</t>
  </si>
  <si>
    <t>0705300291</t>
  </si>
  <si>
    <t>MORAN VILLASAGUA JOAO ALEJANDRO</t>
  </si>
  <si>
    <t>AYUDANTE DE LABORATORIO</t>
  </si>
  <si>
    <t>0702571167</t>
  </si>
  <si>
    <t>MOROCHO ULLOA HECTOR RAFAEL</t>
  </si>
  <si>
    <t>0701740326</t>
  </si>
  <si>
    <t>MOSCOSO BURGOS ALCIBIADES WESTER</t>
  </si>
  <si>
    <t>1705628301</t>
  </si>
  <si>
    <t>MOSQUERA JIMENEZ OLMEDO JOSE</t>
  </si>
  <si>
    <t>1103542500</t>
  </si>
  <si>
    <t>MURQUINCHO CUENCA AUGUSTO MICHAEL</t>
  </si>
  <si>
    <t>0706240108</t>
  </si>
  <si>
    <t>NARVAEZ REINOSO SERGIO JAVIER</t>
  </si>
  <si>
    <t>0704978683</t>
  </si>
  <si>
    <t>NAZARENO CANGA PEDRO ALEXANDER</t>
  </si>
  <si>
    <t>1721628590</t>
  </si>
  <si>
    <t>NAZARENO QUINTERO HENRY JORGE</t>
  </si>
  <si>
    <t>0703929067</t>
  </si>
  <si>
    <t>NOBLECILLA PACCHA EDWIN FABIAN</t>
  </si>
  <si>
    <t>0702228008</t>
  </si>
  <si>
    <t>NOBOA FLORES FRANKLIN BON</t>
  </si>
  <si>
    <t>0702756107</t>
  </si>
  <si>
    <t>NUÑEZ VASQUEZ XAVIER ANTONIO</t>
  </si>
  <si>
    <t>0703167510</t>
  </si>
  <si>
    <t>OCAMPO CARRION JORGE OSWALDO</t>
  </si>
  <si>
    <t>0704693860</t>
  </si>
  <si>
    <t>OCHOA BUSTAMANTE MARCO ANTONIO</t>
  </si>
  <si>
    <t>0704638832</t>
  </si>
  <si>
    <t>ORDOÑEZ ANGULO FAUSTO JEFFERSON</t>
  </si>
  <si>
    <t>0704093160</t>
  </si>
  <si>
    <t>ORDOÑEZ ARMIJOS FREDDY BENIGNO</t>
  </si>
  <si>
    <t>0704893619</t>
  </si>
  <si>
    <t>ORDOÑEZ BUSTAMANTE JUAN OSWALDO</t>
  </si>
  <si>
    <t>0704059682</t>
  </si>
  <si>
    <t>ORDOÑEZ ESPINOZA DANNY XAVIER</t>
  </si>
  <si>
    <t>0704026483</t>
  </si>
  <si>
    <t>ORDOÑEZ RAMIREZ BYRON ARTURO</t>
  </si>
  <si>
    <t>0703646026</t>
  </si>
  <si>
    <t>ORDOÑEZ VALERO BADY GABRIEL</t>
  </si>
  <si>
    <t>AUXILIAR DE FARMACIA</t>
  </si>
  <si>
    <t>0701377699</t>
  </si>
  <si>
    <t>ORELLANA SARI BRAULIO ERNESTO</t>
  </si>
  <si>
    <t>0702385881</t>
  </si>
  <si>
    <t>ORTEGA CORDOVA JOSE JACINTO</t>
  </si>
  <si>
    <t>0701260606</t>
  </si>
  <si>
    <t>PACCHA CHUQUIMARCA VICTOR CARLOS MARCELINO</t>
  </si>
  <si>
    <t>0800645061</t>
  </si>
  <si>
    <t>PALACIO CHICHANDE ERNESTO</t>
  </si>
  <si>
    <t>0702452210</t>
  </si>
  <si>
    <t>PALACIOS HERRERA EULER STALIN</t>
  </si>
  <si>
    <t>0704176809</t>
  </si>
  <si>
    <t>PALADINES ASTUDILLO HERMEN RODOLFO</t>
  </si>
  <si>
    <t>0705342376</t>
  </si>
  <si>
    <t>PALADINES ASTUDILLO ROLANDO JAVIER</t>
  </si>
  <si>
    <t>1103905996</t>
  </si>
  <si>
    <t>PALADINES RAMIREZ NESTOR ENRIQUE</t>
  </si>
  <si>
    <t>0704626563</t>
  </si>
  <si>
    <t>PALMA ROMERO PAOLO VICTOR</t>
  </si>
  <si>
    <t>0702426784</t>
  </si>
  <si>
    <t>PALMA VARGAS ALCIDES GONZALO</t>
  </si>
  <si>
    <t>1104777170</t>
  </si>
  <si>
    <t>PALTA ABRIGO FREDDY GEOVANNY</t>
  </si>
  <si>
    <t>0703040378</t>
  </si>
  <si>
    <t>PARRALES CARREÑO CARLOS GUSTAVO</t>
  </si>
  <si>
    <t>0602906273</t>
  </si>
  <si>
    <t>PAZMIÑO ARMIJOS MIGUEL ANGEL</t>
  </si>
  <si>
    <t>0703499244</t>
  </si>
  <si>
    <t>PEÑA TINOCO OSWAR JIOVANNI</t>
  </si>
  <si>
    <t>0703959155</t>
  </si>
  <si>
    <t>PEREZ MORAN PATRICIO RENAN</t>
  </si>
  <si>
    <t>0702460064</t>
  </si>
  <si>
    <t>PEREZ RUIZ PABLO XAVIER</t>
  </si>
  <si>
    <t>0701653966</t>
  </si>
  <si>
    <t>POLO ARMIJOS JUAN GUILLERMO</t>
  </si>
  <si>
    <t>0703059790</t>
  </si>
  <si>
    <t>PROCEL RAMIREZ JAIME ARTURO</t>
  </si>
  <si>
    <t>ASISTENTE DE OPERACIONES</t>
  </si>
  <si>
    <t>0702442096</t>
  </si>
  <si>
    <t>PULLAGUARI QUEZADA GERMAN ASUNCION</t>
  </si>
  <si>
    <t>0703577916</t>
  </si>
  <si>
    <t>QUEVEDO PRIETO LEWIS DOUGLAS</t>
  </si>
  <si>
    <t>0704185594</t>
  </si>
  <si>
    <t>QUEZADA ALVAREZ PETER ANDY</t>
  </si>
  <si>
    <t>0701716490</t>
  </si>
  <si>
    <t>QUEZADA ARIAS FAUSTO WILMER</t>
  </si>
  <si>
    <t>0750369126</t>
  </si>
  <si>
    <t>QUEZADA MARIN ANDRES JESUS</t>
  </si>
  <si>
    <t>0703108944</t>
  </si>
  <si>
    <t>QUEZADA ORTIZ LUIS FERNANDO</t>
  </si>
  <si>
    <t>0705133205</t>
  </si>
  <si>
    <t>QUEZADA ZATAMA FABIAN ALEJANDRO</t>
  </si>
  <si>
    <t>0702590852</t>
  </si>
  <si>
    <t>QUIMBA TITUANA PABLO RAUL</t>
  </si>
  <si>
    <t>0703324178</t>
  </si>
  <si>
    <t>QUINDE ZAMBRANO JOSE ALFREDO</t>
  </si>
  <si>
    <t>0704712470</t>
  </si>
  <si>
    <t>QUIÑONEZ POROZO ALICIA KARINA</t>
  </si>
  <si>
    <t>0705915825</t>
  </si>
  <si>
    <t>RAMIREZ ESPINOZA MARIO FABIAN</t>
  </si>
  <si>
    <t>0704888197</t>
  </si>
  <si>
    <t>RAMIREZ OYOLA MARCELO JAIR</t>
  </si>
  <si>
    <t>0705191369</t>
  </si>
  <si>
    <t>RAMIREZ TORREZ CESAR HERIBERTO</t>
  </si>
  <si>
    <t>OPERADOR DE PLANTA TRITURACION</t>
  </si>
  <si>
    <t>0703164756</t>
  </si>
  <si>
    <t>RAMON ESPINOZA ANGEL JACINTO</t>
  </si>
  <si>
    <t>0701103897</t>
  </si>
  <si>
    <t>RAMOS MARTINEZ JOHN JOFFRE</t>
  </si>
  <si>
    <t>0703614636</t>
  </si>
  <si>
    <t>RENTERIA HERRERA GLORIA ELIZABETH</t>
  </si>
  <si>
    <t>0701116386</t>
  </si>
  <si>
    <t>REYES QUIÑONEZ OSWALDO ANDRES</t>
  </si>
  <si>
    <t>0706752979</t>
  </si>
  <si>
    <t>RIOFRIO CAMPOVERDE DARIO JAVIER</t>
  </si>
  <si>
    <t>1722011226</t>
  </si>
  <si>
    <t>RIOS RIOFRIO NILO MOISES</t>
  </si>
  <si>
    <t>0703257337</t>
  </si>
  <si>
    <t>RIVAS PEÑA RAFAEL ROBERTO</t>
  </si>
  <si>
    <t>0704307909</t>
  </si>
  <si>
    <t>RIVAS RIVAS JIMMY PATRICIO</t>
  </si>
  <si>
    <t>0703057398</t>
  </si>
  <si>
    <t>RIVERA HUANCA RODRIGO FERNANDO</t>
  </si>
  <si>
    <t>0706016912</t>
  </si>
  <si>
    <t>RIVERA PIZARRO ROGER FERNANDO</t>
  </si>
  <si>
    <t>0705741122</t>
  </si>
  <si>
    <t>RODAS JARAMILLO JOHN PIERRE</t>
  </si>
  <si>
    <t>0704454693</t>
  </si>
  <si>
    <t>RODRIGUEZ ZHIGUE EDUARDO OSWALDO</t>
  </si>
  <si>
    <t>0704743350</t>
  </si>
  <si>
    <t>RODRIGUEZ ZHIGUE FULBIO NELSO</t>
  </si>
  <si>
    <t>0702413758</t>
  </si>
  <si>
    <t>ROJAS SALVATIERRA HENRY LUIS</t>
  </si>
  <si>
    <t>0702736844</t>
  </si>
  <si>
    <t>ROMAN FEIJOO RICHARD CARLOS</t>
  </si>
  <si>
    <t>0705925220</t>
  </si>
  <si>
    <t>ROMERO AGUILAR PEDRO FABRICIO</t>
  </si>
  <si>
    <t>SUPERVISOR DE VIVERO Y AREAS FORESTALES</t>
  </si>
  <si>
    <t>0701966897</t>
  </si>
  <si>
    <t>ROMERO APOLO BRAYAN HERNAN</t>
  </si>
  <si>
    <t>0704702265</t>
  </si>
  <si>
    <t>ROMERO BORBOR DIONISIO JOSE</t>
  </si>
  <si>
    <t>0702678608</t>
  </si>
  <si>
    <t>ROMERO FRANCISCO HERNAN</t>
  </si>
  <si>
    <t>0705434645</t>
  </si>
  <si>
    <t>ROMERO LUPU EDGAR FERNANDO</t>
  </si>
  <si>
    <t>0702747387</t>
  </si>
  <si>
    <t>ROMERO MARIN VICTOR ALFREDO</t>
  </si>
  <si>
    <t>0702885682</t>
  </si>
  <si>
    <t>ROMERO MONCADA JIMER DE JESUS</t>
  </si>
  <si>
    <t>0702222902</t>
  </si>
  <si>
    <t>ROMERO ORDOÑEZ HERMAN ALFREDO</t>
  </si>
  <si>
    <t>1104465412</t>
  </si>
  <si>
    <t>ROMERO ROBLES CHRISTIAN YASMANI</t>
  </si>
  <si>
    <t>0704423888</t>
  </si>
  <si>
    <t>RUIZ LOZANO ERICK FERNANDO</t>
  </si>
  <si>
    <t>0702552969</t>
  </si>
  <si>
    <t>SAENZ ALVARADO JAXSON RAYMUNDI</t>
  </si>
  <si>
    <t>0704495092</t>
  </si>
  <si>
    <t>SALAZAR BARROS LUIS MEDARDO</t>
  </si>
  <si>
    <t>0705152502</t>
  </si>
  <si>
    <t>SALINAS ERREYES JUAN JOHNNY</t>
  </si>
  <si>
    <t>0702835117</t>
  </si>
  <si>
    <t>SALINAS MACAS MANUEL JORGE</t>
  </si>
  <si>
    <t>0703779520</t>
  </si>
  <si>
    <t>SAMANIEGO APOLO JOSE LUIS</t>
  </si>
  <si>
    <t>0704528181</t>
  </si>
  <si>
    <t>SANCHEZ AGUILAR MANUEL RUBEN</t>
  </si>
  <si>
    <t>0704826676</t>
  </si>
  <si>
    <t>SANCHEZ APOLO MARIO RENE</t>
  </si>
  <si>
    <t>0701327108</t>
  </si>
  <si>
    <t>SANCHEZ AREVALO ZOILO MANUEL</t>
  </si>
  <si>
    <t>0703465559</t>
  </si>
  <si>
    <t>SANCHEZ DIAZ ANDRES MARCELO</t>
  </si>
  <si>
    <t>0701023285</t>
  </si>
  <si>
    <t>SANCHEZ DIAZ MANUEL RUBEN</t>
  </si>
  <si>
    <t>0701300238</t>
  </si>
  <si>
    <t>SANCHEZ ELIZALDE FELIPE ALFREDO</t>
  </si>
  <si>
    <t>0706441995</t>
  </si>
  <si>
    <t>SANCHEZ PALADINES ANDRES MARCELO</t>
  </si>
  <si>
    <t>0703184325</t>
  </si>
  <si>
    <t>SANCHEZ RIOFRIO FREDDY JOSE</t>
  </si>
  <si>
    <t>0702990292</t>
  </si>
  <si>
    <t>SANDOVAL CARRERA KLEN ELVIS</t>
  </si>
  <si>
    <t>0704777788</t>
  </si>
  <si>
    <t>SANDOVAL GALARZA CESAR ALEJANDRO</t>
  </si>
  <si>
    <t>0705461135</t>
  </si>
  <si>
    <t>SANMARTIN FIGUEROA CARLOS VICENTE</t>
  </si>
  <si>
    <t>0701774507</t>
  </si>
  <si>
    <t>SANMARTIN QUEZADA DANIEL ORLANDO</t>
  </si>
  <si>
    <t>0704031020</t>
  </si>
  <si>
    <t>SANMARTIN RAMON ANGEL FERNANDO</t>
  </si>
  <si>
    <t>0705137883</t>
  </si>
  <si>
    <t>SANTANA BUELE JUAN CARLOS</t>
  </si>
  <si>
    <t>AYUDANTE  DE EQUIPO DE ASFALTO</t>
  </si>
  <si>
    <t>0704804590</t>
  </si>
  <si>
    <t>SANTOS BRAVO ISRAEL ANTONIO</t>
  </si>
  <si>
    <t>0704707991</t>
  </si>
  <si>
    <t>SANTOS BRAVO LUIS JOSE</t>
  </si>
  <si>
    <t>0702482001</t>
  </si>
  <si>
    <t>SANTOS PUCHA EDGAR ROLANDO</t>
  </si>
  <si>
    <t>0705819514</t>
  </si>
  <si>
    <t>SARANGO CARRILLO EDISON PAUL</t>
  </si>
  <si>
    <t>0704466838</t>
  </si>
  <si>
    <t>SEGARRA QUIÑONEZ JUAN PATRICIO</t>
  </si>
  <si>
    <t>0702859547</t>
  </si>
  <si>
    <t>SERAQUIVES HONORES FRANKLIN LEOPOLDO</t>
  </si>
  <si>
    <t>0701280190</t>
  </si>
  <si>
    <t>SIGCHO ESTUPIÑAN RODOLFO GILBERTO</t>
  </si>
  <si>
    <t>0703035410</t>
  </si>
  <si>
    <t>SIGUENZA VEGA EDISON JAVIER</t>
  </si>
  <si>
    <t>0704085521</t>
  </si>
  <si>
    <t>SOL PUTAN PAUL GEOVANNY</t>
  </si>
  <si>
    <t>AYUDANTE DE TANQUERO IMPRIMADOR</t>
  </si>
  <si>
    <t>0702720954</t>
  </si>
  <si>
    <t>SOLORZANO BOHORQUEZ WILSON RONALD</t>
  </si>
  <si>
    <t>0703907634</t>
  </si>
  <si>
    <t>SOLORZANO CUCALON JOSE ALBERTO</t>
  </si>
  <si>
    <t>0703298885</t>
  </si>
  <si>
    <t>SOTO BALLADARES STEVEN MANOLO</t>
  </si>
  <si>
    <t>0704458793</t>
  </si>
  <si>
    <t>SUAREZ RODAS WILLIAM GERARDO</t>
  </si>
  <si>
    <t>0705283778</t>
  </si>
  <si>
    <t>SUQUILANDA MACAS DIEGO MANUEL</t>
  </si>
  <si>
    <t>0704582386</t>
  </si>
  <si>
    <t>SUQUILANDA MACAS LUIS OSCAR</t>
  </si>
  <si>
    <t>0602795940</t>
  </si>
  <si>
    <t>TENE AULLA HUMBERTO</t>
  </si>
  <si>
    <t>0703159871</t>
  </si>
  <si>
    <t>TINITANA SANDOVAL VICTOR MANUEL</t>
  </si>
  <si>
    <t>1704369568</t>
  </si>
  <si>
    <t>TINOCO LOPEZ ANGEL RODRIGO</t>
  </si>
  <si>
    <t>1706585666</t>
  </si>
  <si>
    <t>TINOCO TENESACA JOSE ANTONIO</t>
  </si>
  <si>
    <t>0701950248</t>
  </si>
  <si>
    <t>TIZON MALDONADO JAIME VICENTE</t>
  </si>
  <si>
    <t>0704766609</t>
  </si>
  <si>
    <t>TOLEDO ROMAN JORGE LUIS</t>
  </si>
  <si>
    <t>0704278720</t>
  </si>
  <si>
    <t>TORO AGUILAR JOSE LUIS</t>
  </si>
  <si>
    <t>0704613850</t>
  </si>
  <si>
    <t>TORO CARAGUAY RICHARD STEEVEN</t>
  </si>
  <si>
    <t>0702401951</t>
  </si>
  <si>
    <t>TORO VARGAS RICHARD FERNANDO</t>
  </si>
  <si>
    <t>0704637446</t>
  </si>
  <si>
    <t>TORRES BARAHONA HECTOR ABEL</t>
  </si>
  <si>
    <t>0703474064</t>
  </si>
  <si>
    <t>TORRES WALTER BOLIVAR</t>
  </si>
  <si>
    <t>0703421230</t>
  </si>
  <si>
    <t>ULLAURI ASTUDILLO BOLIVAR ALFREDO</t>
  </si>
  <si>
    <t>0702293325</t>
  </si>
  <si>
    <t>ULLOA HIDALGO CARLOS ALBERTO</t>
  </si>
  <si>
    <t>0703246645</t>
  </si>
  <si>
    <t>VACA TANDAZO EDWIN JHONNY</t>
  </si>
  <si>
    <t>0702331919</t>
  </si>
  <si>
    <t>VALAREZO PARDO JOSE ALBERTO</t>
  </si>
  <si>
    <t>1709626228</t>
  </si>
  <si>
    <t>VALDEZ MARIO GERARDO</t>
  </si>
  <si>
    <t>0701643199</t>
  </si>
  <si>
    <t>VALLADOLID GONZALO IVAN</t>
  </si>
  <si>
    <t>0705405082</t>
  </si>
  <si>
    <t>VALLADOLID TAPIA RONALD ALFREDO</t>
  </si>
  <si>
    <t>0703634139</t>
  </si>
  <si>
    <t>VALLE CHIRIBOGA DANNY FABRICIO</t>
  </si>
  <si>
    <t>0701670515</t>
  </si>
  <si>
    <t>VALVERDE TOCTO FREDI HONORATO</t>
  </si>
  <si>
    <t>0702317843</t>
  </si>
  <si>
    <t>VARGAS GODOY RENE ROBERTINO</t>
  </si>
  <si>
    <t>0701801631</t>
  </si>
  <si>
    <t>VASQUEZ RAMON HUMBERTO RENE</t>
  </si>
  <si>
    <t>NIVEL 8</t>
  </si>
  <si>
    <t>0702597097</t>
  </si>
  <si>
    <t>VEGA SALCEDO ANGEL MAURICIO</t>
  </si>
  <si>
    <t>0702134115</t>
  </si>
  <si>
    <t>VERA BRAVO VICTOR FREDDY</t>
  </si>
  <si>
    <t>0801287467</t>
  </si>
  <si>
    <t>VERA GUAMAN VICTOR MANUEL</t>
  </si>
  <si>
    <t>0101785582</t>
  </si>
  <si>
    <t>VERIÑAZ CERATTO PEDRO ARTURO</t>
  </si>
  <si>
    <t>0701865412</t>
  </si>
  <si>
    <t>VICENT MATAMOROS WILLIAM GEOVANNY</t>
  </si>
  <si>
    <t>0704191030</t>
  </si>
  <si>
    <t>VIVANCO HERRERA EDGAR JOSE</t>
  </si>
  <si>
    <t>0704552132</t>
  </si>
  <si>
    <t>YANEZ ESPINOZA JHON ARNOLD</t>
  </si>
  <si>
    <t>0702569435</t>
  </si>
  <si>
    <t>YANEZ ORDOÑEZ JUAN ALBERTO</t>
  </si>
  <si>
    <t>0703664037</t>
  </si>
  <si>
    <t>ZAMBRANO BALSECA CARLOS MIGUEL</t>
  </si>
  <si>
    <t>AYUDANTE DE PLANTA TRITURADORA</t>
  </si>
  <si>
    <t>0701780603</t>
  </si>
  <si>
    <t>ZAMBRANO CAMPOVERDE LIBENTON RODOLFO</t>
  </si>
  <si>
    <t>0701535833</t>
  </si>
  <si>
    <t>ZAMBRANO CRESPIN SIXTO MANUEL</t>
  </si>
  <si>
    <t>0702822271</t>
  </si>
  <si>
    <t>ZAMBRANO LUCAS FRANCISCO YIMER</t>
  </si>
  <si>
    <t>0705254860</t>
  </si>
  <si>
    <t>ZAMBRANO ZAMBRANO JORDY PAUL</t>
  </si>
  <si>
    <t>0702801945</t>
  </si>
  <si>
    <t>ZAPATA OLIVERO FRANKLIN EDUARDO</t>
  </si>
  <si>
    <t>0702622127</t>
  </si>
  <si>
    <t>ZAPATA OLIVERO RICAUTER FULTON</t>
  </si>
  <si>
    <t>0707085882</t>
  </si>
  <si>
    <t>ZEA FARIAS RICARDO JAVIER</t>
  </si>
  <si>
    <t>0702967498</t>
  </si>
  <si>
    <t>ZUMBA CALDERON GALO OSWALDO</t>
  </si>
  <si>
    <t>GOBIERNO AUTÓNOMO DESCENTRALIZADO PROVINCIAL DE EL ORO</t>
  </si>
  <si>
    <t>Nombre: SAMANTA ROEMRO SOTO</t>
  </si>
  <si>
    <t>Lugar y Fecha: MACHALA, 26 DE ABRIL DEL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</si>
</sst>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000000000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b/>
      <u/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7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13" fillId="0" borderId="0"/>
    <xf numFmtId="0" fontId="5" fillId="0" borderId="0"/>
    <xf numFmtId="166" fontId="33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284">
    <xf numFmtId="0" fontId="0" fillId="0" borderId="0" xfId="0"/>
    <xf numFmtId="0" fontId="8" fillId="0" borderId="0" xfId="0" applyFont="1"/>
    <xf numFmtId="0" fontId="8" fillId="0" borderId="0" xfId="0" applyFont="1" applyBorder="1"/>
    <xf numFmtId="0" fontId="6" fillId="0" borderId="0" xfId="0" applyFont="1" applyFill="1" applyBorder="1" applyAlignment="1"/>
    <xf numFmtId="0" fontId="16" fillId="0" borderId="0" xfId="0" applyFont="1" applyBorder="1"/>
    <xf numFmtId="0" fontId="13" fillId="0" borderId="0" xfId="6"/>
    <xf numFmtId="0" fontId="18" fillId="2" borderId="1" xfId="6" applyFont="1" applyFill="1" applyBorder="1" applyAlignment="1">
      <alignment horizontal="center" vertical="center" wrapText="1"/>
    </xf>
    <xf numFmtId="0" fontId="19" fillId="2" borderId="2" xfId="6" applyFont="1" applyFill="1" applyBorder="1" applyAlignment="1">
      <alignment horizontal="center" vertical="center"/>
    </xf>
    <xf numFmtId="0" fontId="19" fillId="2" borderId="3" xfId="6" applyFont="1" applyFill="1" applyBorder="1" applyAlignment="1">
      <alignment horizontal="center" vertical="center"/>
    </xf>
    <xf numFmtId="0" fontId="19" fillId="2" borderId="4" xfId="6" applyFont="1" applyFill="1" applyBorder="1" applyAlignment="1">
      <alignment horizontal="center" vertical="center"/>
    </xf>
    <xf numFmtId="0" fontId="20" fillId="3" borderId="7" xfId="6" applyFont="1" applyFill="1" applyBorder="1"/>
    <xf numFmtId="0" fontId="21" fillId="0" borderId="8" xfId="6" applyFont="1" applyBorder="1" applyAlignment="1">
      <alignment horizontal="left"/>
    </xf>
    <xf numFmtId="0" fontId="21" fillId="0" borderId="9" xfId="6" applyFont="1" applyBorder="1"/>
    <xf numFmtId="0" fontId="20" fillId="0" borderId="10" xfId="6" applyFont="1" applyBorder="1"/>
    <xf numFmtId="0" fontId="20" fillId="0" borderId="8" xfId="6" applyFont="1" applyBorder="1" applyAlignment="1">
      <alignment horizontal="center"/>
    </xf>
    <xf numFmtId="0" fontId="20" fillId="0" borderId="10" xfId="6" applyFont="1" applyBorder="1" applyAlignment="1">
      <alignment horizontal="left" indent="2"/>
    </xf>
    <xf numFmtId="0" fontId="13" fillId="0" borderId="11" xfId="6" applyBorder="1"/>
    <xf numFmtId="0" fontId="21" fillId="0" borderId="10" xfId="6" applyFont="1" applyBorder="1"/>
    <xf numFmtId="0" fontId="21" fillId="0" borderId="12" xfId="6" applyFont="1" applyBorder="1" applyAlignment="1">
      <alignment horizontal="left"/>
    </xf>
    <xf numFmtId="0" fontId="21" fillId="0" borderId="15" xfId="6" applyFont="1" applyBorder="1"/>
    <xf numFmtId="0" fontId="21" fillId="0" borderId="10" xfId="6" applyFont="1" applyBorder="1" applyAlignment="1">
      <alignment horizontal="left"/>
    </xf>
    <xf numFmtId="0" fontId="20" fillId="0" borderId="16" xfId="6" applyFont="1" applyBorder="1"/>
    <xf numFmtId="0" fontId="21" fillId="0" borderId="17" xfId="6" applyFont="1" applyBorder="1" applyAlignment="1">
      <alignment horizontal="left"/>
    </xf>
    <xf numFmtId="0" fontId="21" fillId="0" borderId="18" xfId="6" applyFont="1" applyBorder="1"/>
    <xf numFmtId="0" fontId="21" fillId="0" borderId="19" xfId="6" applyFont="1" applyBorder="1" applyAlignment="1">
      <alignment horizontal="left"/>
    </xf>
    <xf numFmtId="0" fontId="21" fillId="0" borderId="20" xfId="6" applyFont="1" applyBorder="1"/>
    <xf numFmtId="0" fontId="24" fillId="2" borderId="14" xfId="6" applyFont="1" applyFill="1" applyBorder="1"/>
    <xf numFmtId="0" fontId="24" fillId="0" borderId="0" xfId="6" applyFont="1" applyFill="1" applyBorder="1" applyAlignment="1">
      <alignment horizontal="center"/>
    </xf>
    <xf numFmtId="0" fontId="24" fillId="0" borderId="0" xfId="6" applyFont="1" applyFill="1" applyBorder="1"/>
    <xf numFmtId="0" fontId="13" fillId="0" borderId="0" xfId="6" applyFill="1"/>
    <xf numFmtId="0" fontId="20" fillId="0" borderId="0" xfId="6" applyFont="1" applyFill="1" applyBorder="1"/>
    <xf numFmtId="0" fontId="15" fillId="0" borderId="0" xfId="6" applyFont="1"/>
    <xf numFmtId="0" fontId="25" fillId="0" borderId="0" xfId="0" applyFont="1" applyFill="1" applyBorder="1" applyAlignment="1"/>
    <xf numFmtId="0" fontId="25" fillId="0" borderId="0" xfId="0" applyFont="1" applyFill="1" applyBorder="1" applyAlignment="1">
      <alignment horizontal="center"/>
    </xf>
    <xf numFmtId="0" fontId="25" fillId="0" borderId="0" xfId="0" applyFont="1" applyBorder="1" applyAlignment="1"/>
    <xf numFmtId="0" fontId="26" fillId="0" borderId="0" xfId="0" applyFont="1" applyBorder="1"/>
    <xf numFmtId="0" fontId="27" fillId="0" borderId="0" xfId="0" applyFont="1" applyBorder="1" applyAlignment="1">
      <alignment horizontal="center"/>
    </xf>
    <xf numFmtId="4" fontId="26" fillId="0" borderId="0" xfId="0" applyNumberFormat="1" applyFont="1" applyBorder="1"/>
    <xf numFmtId="0" fontId="26" fillId="0" borderId="27" xfId="0" applyFont="1" applyBorder="1"/>
    <xf numFmtId="0" fontId="26" fillId="0" borderId="0" xfId="0" applyFont="1"/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/>
    <xf numFmtId="0" fontId="25" fillId="0" borderId="0" xfId="0" applyFont="1" applyFill="1" applyBorder="1" applyAlignment="1">
      <alignment horizontal="left"/>
    </xf>
    <xf numFmtId="0" fontId="29" fillId="0" borderId="0" xfId="0" applyFont="1" applyFill="1" applyBorder="1" applyAlignment="1"/>
    <xf numFmtId="0" fontId="26" fillId="0" borderId="0" xfId="0" applyFont="1" applyBorder="1" applyAlignment="1">
      <alignment horizontal="center"/>
    </xf>
    <xf numFmtId="0" fontId="26" fillId="0" borderId="0" xfId="0" applyFont="1" applyBorder="1" applyAlignment="1"/>
    <xf numFmtId="0" fontId="27" fillId="0" borderId="0" xfId="0" applyFont="1" applyBorder="1" applyAlignment="1"/>
    <xf numFmtId="0" fontId="26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/>
    </xf>
    <xf numFmtId="4" fontId="25" fillId="0" borderId="0" xfId="0" applyNumberFormat="1" applyFont="1" applyFill="1" applyBorder="1" applyAlignment="1">
      <alignment horizontal="right" vertical="center" wrapText="1"/>
    </xf>
    <xf numFmtId="0" fontId="30" fillId="0" borderId="0" xfId="0" applyFont="1" applyBorder="1"/>
    <xf numFmtId="49" fontId="19" fillId="2" borderId="22" xfId="0" applyNumberFormat="1" applyFont="1" applyFill="1" applyBorder="1" applyAlignment="1">
      <alignment horizontal="center" vertical="center" wrapText="1"/>
    </xf>
    <xf numFmtId="49" fontId="19" fillId="2" borderId="29" xfId="0" applyNumberFormat="1" applyFont="1" applyFill="1" applyBorder="1" applyAlignment="1">
      <alignment horizontal="center" vertical="center" wrapText="1"/>
    </xf>
    <xf numFmtId="4" fontId="29" fillId="0" borderId="31" xfId="0" applyNumberFormat="1" applyFont="1" applyFill="1" applyBorder="1" applyAlignment="1">
      <alignment horizontal="center"/>
    </xf>
    <xf numFmtId="4" fontId="29" fillId="0" borderId="32" xfId="0" applyNumberFormat="1" applyFont="1" applyFill="1" applyBorder="1" applyAlignment="1">
      <alignment horizontal="center"/>
    </xf>
    <xf numFmtId="4" fontId="25" fillId="0" borderId="32" xfId="0" applyNumberFormat="1" applyFont="1" applyFill="1" applyBorder="1" applyAlignment="1">
      <alignment horizontal="center"/>
    </xf>
    <xf numFmtId="4" fontId="31" fillId="0" borderId="32" xfId="2" applyNumberFormat="1" applyFont="1" applyBorder="1" applyAlignment="1">
      <alignment horizontal="center"/>
    </xf>
    <xf numFmtId="0" fontId="26" fillId="0" borderId="32" xfId="0" applyFont="1" applyBorder="1"/>
    <xf numFmtId="4" fontId="26" fillId="0" borderId="32" xfId="0" applyNumberFormat="1" applyFont="1" applyBorder="1"/>
    <xf numFmtId="4" fontId="25" fillId="0" borderId="9" xfId="0" applyNumberFormat="1" applyFont="1" applyFill="1" applyBorder="1" applyAlignment="1">
      <alignment horizontal="center"/>
    </xf>
    <xf numFmtId="4" fontId="29" fillId="0" borderId="10" xfId="0" applyNumberFormat="1" applyFont="1" applyFill="1" applyBorder="1" applyAlignment="1">
      <alignment horizontal="center"/>
    </xf>
    <xf numFmtId="4" fontId="25" fillId="0" borderId="10" xfId="0" applyNumberFormat="1" applyFont="1" applyFill="1" applyBorder="1" applyAlignment="1">
      <alignment horizontal="center"/>
    </xf>
    <xf numFmtId="4" fontId="31" fillId="0" borderId="10" xfId="2" applyNumberFormat="1" applyFont="1" applyBorder="1" applyAlignment="1">
      <alignment horizontal="center"/>
    </xf>
    <xf numFmtId="0" fontId="26" fillId="0" borderId="10" xfId="0" applyFont="1" applyBorder="1"/>
    <xf numFmtId="4" fontId="26" fillId="0" borderId="10" xfId="0" applyNumberFormat="1" applyFont="1" applyBorder="1"/>
    <xf numFmtId="0" fontId="26" fillId="0" borderId="14" xfId="0" applyFont="1" applyBorder="1"/>
    <xf numFmtId="0" fontId="25" fillId="0" borderId="33" xfId="0" applyFont="1" applyBorder="1" applyAlignment="1">
      <alignment horizontal="left"/>
    </xf>
    <xf numFmtId="0" fontId="20" fillId="0" borderId="34" xfId="6" applyFont="1" applyBorder="1" applyAlignment="1">
      <alignment horizontal="left" indent="2"/>
    </xf>
    <xf numFmtId="0" fontId="29" fillId="0" borderId="34" xfId="0" applyFont="1" applyBorder="1" applyAlignment="1">
      <alignment horizontal="left"/>
    </xf>
    <xf numFmtId="0" fontId="25" fillId="0" borderId="34" xfId="0" applyFont="1" applyBorder="1" applyAlignment="1">
      <alignment horizontal="left"/>
    </xf>
    <xf numFmtId="0" fontId="25" fillId="0" borderId="9" xfId="0" applyFont="1" applyBorder="1" applyAlignment="1">
      <alignment horizontal="center"/>
    </xf>
    <xf numFmtId="0" fontId="20" fillId="0" borderId="10" xfId="6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49" fontId="29" fillId="0" borderId="10" xfId="0" applyNumberFormat="1" applyFont="1" applyBorder="1" applyAlignment="1">
      <alignment horizontal="center"/>
    </xf>
    <xf numFmtId="0" fontId="29" fillId="0" borderId="9" xfId="0" applyFont="1" applyBorder="1"/>
    <xf numFmtId="0" fontId="31" fillId="0" borderId="22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6" fillId="0" borderId="3" xfId="0" applyFont="1" applyBorder="1"/>
    <xf numFmtId="0" fontId="26" fillId="0" borderId="37" xfId="0" applyFont="1" applyBorder="1"/>
    <xf numFmtId="0" fontId="15" fillId="0" borderId="0" xfId="6" applyFont="1" applyBorder="1" applyAlignment="1">
      <alignment horizontal="center"/>
    </xf>
    <xf numFmtId="4" fontId="29" fillId="0" borderId="10" xfId="2" applyNumberFormat="1" applyFont="1" applyFill="1" applyBorder="1" applyAlignment="1">
      <alignment horizontal="center"/>
    </xf>
    <xf numFmtId="2" fontId="25" fillId="0" borderId="7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"/>
    </xf>
    <xf numFmtId="0" fontId="35" fillId="0" borderId="13" xfId="0" applyFont="1" applyBorder="1" applyAlignment="1">
      <alignment horizontal="center"/>
    </xf>
    <xf numFmtId="4" fontId="35" fillId="0" borderId="13" xfId="0" applyNumberFormat="1" applyFont="1" applyFill="1" applyBorder="1" applyAlignment="1">
      <alignment horizontal="right" vertical="center" wrapText="1"/>
    </xf>
    <xf numFmtId="166" fontId="0" fillId="0" borderId="0" xfId="8" applyFont="1"/>
    <xf numFmtId="2" fontId="25" fillId="0" borderId="9" xfId="0" applyNumberFormat="1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4" fontId="26" fillId="0" borderId="10" xfId="0" applyNumberFormat="1" applyFont="1" applyBorder="1" applyAlignment="1">
      <alignment horizontal="center"/>
    </xf>
    <xf numFmtId="0" fontId="20" fillId="0" borderId="38" xfId="6" applyFont="1" applyBorder="1" applyAlignment="1">
      <alignment horizontal="center"/>
    </xf>
    <xf numFmtId="0" fontId="20" fillId="0" borderId="0" xfId="6" applyFont="1" applyBorder="1" applyAlignment="1">
      <alignment horizontal="left" indent="2"/>
    </xf>
    <xf numFmtId="0" fontId="26" fillId="0" borderId="38" xfId="0" applyFont="1" applyBorder="1"/>
    <xf numFmtId="0" fontId="26" fillId="0" borderId="43" xfId="0" applyFont="1" applyBorder="1" applyAlignment="1">
      <alignment horizontal="center"/>
    </xf>
    <xf numFmtId="4" fontId="0" fillId="0" borderId="0" xfId="0" applyNumberFormat="1"/>
    <xf numFmtId="0" fontId="8" fillId="0" borderId="0" xfId="0" applyNumberFormat="1" applyFont="1"/>
    <xf numFmtId="2" fontId="29" fillId="0" borderId="10" xfId="2" applyNumberFormat="1" applyFont="1" applyFill="1" applyBorder="1" applyAlignment="1">
      <alignment horizontal="center"/>
    </xf>
    <xf numFmtId="2" fontId="27" fillId="0" borderId="10" xfId="0" applyNumberFormat="1" applyFont="1" applyBorder="1" applyAlignment="1">
      <alignment horizontal="center"/>
    </xf>
    <xf numFmtId="2" fontId="36" fillId="0" borderId="36" xfId="0" applyNumberFormat="1" applyFont="1" applyBorder="1" applyAlignment="1">
      <alignment horizontal="center"/>
    </xf>
    <xf numFmtId="0" fontId="38" fillId="0" borderId="10" xfId="6" applyFont="1" applyBorder="1" applyAlignment="1">
      <alignment horizontal="right"/>
    </xf>
    <xf numFmtId="4" fontId="37" fillId="0" borderId="0" xfId="0" applyNumberFormat="1" applyFont="1"/>
    <xf numFmtId="1" fontId="8" fillId="0" borderId="0" xfId="9" applyNumberFormat="1" applyFont="1"/>
    <xf numFmtId="0" fontId="4" fillId="0" borderId="0" xfId="6" applyFont="1"/>
    <xf numFmtId="0" fontId="28" fillId="0" borderId="0" xfId="0" applyFont="1" applyFill="1" applyBorder="1" applyAlignment="1">
      <alignment horizontal="center"/>
    </xf>
    <xf numFmtId="0" fontId="17" fillId="0" borderId="0" xfId="6" applyFont="1" applyAlignment="1">
      <alignment horizontal="center"/>
    </xf>
    <xf numFmtId="4" fontId="25" fillId="0" borderId="31" xfId="0" applyNumberFormat="1" applyFont="1" applyFill="1" applyBorder="1" applyAlignment="1">
      <alignment horizontal="center"/>
    </xf>
    <xf numFmtId="2" fontId="29" fillId="0" borderId="32" xfId="2" applyNumberFormat="1" applyFont="1" applyFill="1" applyBorder="1" applyAlignment="1">
      <alignment horizontal="center"/>
    </xf>
    <xf numFmtId="0" fontId="27" fillId="0" borderId="32" xfId="0" applyFont="1" applyBorder="1" applyAlignment="1">
      <alignment horizontal="center"/>
    </xf>
    <xf numFmtId="2" fontId="27" fillId="0" borderId="32" xfId="0" applyNumberFormat="1" applyFont="1" applyBorder="1" applyAlignment="1">
      <alignment horizontal="center"/>
    </xf>
    <xf numFmtId="4" fontId="26" fillId="0" borderId="32" xfId="0" applyNumberFormat="1" applyFont="1" applyBorder="1" applyAlignment="1">
      <alignment horizontal="center"/>
    </xf>
    <xf numFmtId="0" fontId="26" fillId="0" borderId="43" xfId="0" applyFont="1" applyBorder="1"/>
    <xf numFmtId="0" fontId="20" fillId="0" borderId="44" xfId="6" applyFont="1" applyBorder="1" applyAlignment="1">
      <alignment horizontal="center"/>
    </xf>
    <xf numFmtId="0" fontId="20" fillId="0" borderId="16" xfId="6" applyFont="1" applyBorder="1" applyAlignment="1">
      <alignment horizontal="left" indent="2"/>
    </xf>
    <xf numFmtId="0" fontId="13" fillId="0" borderId="45" xfId="6" applyBorder="1"/>
    <xf numFmtId="0" fontId="21" fillId="0" borderId="46" xfId="6" applyFont="1" applyBorder="1" applyAlignment="1">
      <alignment horizontal="left"/>
    </xf>
    <xf numFmtId="0" fontId="21" fillId="0" borderId="7" xfId="6" applyFont="1" applyBorder="1"/>
    <xf numFmtId="0" fontId="20" fillId="0" borderId="7" xfId="6" applyFont="1" applyBorder="1"/>
    <xf numFmtId="0" fontId="13" fillId="0" borderId="47" xfId="6" applyBorder="1"/>
    <xf numFmtId="0" fontId="20" fillId="3" borderId="3" xfId="6" applyFont="1" applyFill="1" applyBorder="1"/>
    <xf numFmtId="0" fontId="20" fillId="0" borderId="8" xfId="6" applyFont="1" applyBorder="1"/>
    <xf numFmtId="0" fontId="20" fillId="0" borderId="34" xfId="6" applyFont="1" applyBorder="1"/>
    <xf numFmtId="0" fontId="20" fillId="0" borderId="30" xfId="6" applyFont="1" applyBorder="1"/>
    <xf numFmtId="0" fontId="20" fillId="3" borderId="6" xfId="6" applyFont="1" applyFill="1" applyBorder="1"/>
    <xf numFmtId="0" fontId="20" fillId="0" borderId="27" xfId="6" applyFont="1" applyBorder="1"/>
    <xf numFmtId="0" fontId="24" fillId="2" borderId="48" xfId="6" applyFont="1" applyFill="1" applyBorder="1"/>
    <xf numFmtId="0" fontId="20" fillId="3" borderId="46" xfId="6" applyFont="1" applyFill="1" applyBorder="1"/>
    <xf numFmtId="0" fontId="20" fillId="3" borderId="49" xfId="6" applyFont="1" applyFill="1" applyBorder="1"/>
    <xf numFmtId="0" fontId="20" fillId="0" borderId="32" xfId="6" applyFont="1" applyBorder="1"/>
    <xf numFmtId="0" fontId="13" fillId="0" borderId="32" xfId="6" applyBorder="1"/>
    <xf numFmtId="0" fontId="13" fillId="0" borderId="35" xfId="6" applyBorder="1"/>
    <xf numFmtId="0" fontId="13" fillId="0" borderId="49" xfId="6" applyBorder="1"/>
    <xf numFmtId="0" fontId="24" fillId="2" borderId="50" xfId="6" applyFont="1" applyFill="1" applyBorder="1"/>
    <xf numFmtId="0" fontId="13" fillId="0" borderId="10" xfId="6" applyBorder="1"/>
    <xf numFmtId="2" fontId="38" fillId="0" borderId="10" xfId="6" applyNumberFormat="1" applyFont="1" applyBorder="1" applyAlignment="1">
      <alignment horizontal="right"/>
    </xf>
    <xf numFmtId="0" fontId="38" fillId="0" borderId="10" xfId="6" applyFont="1" applyBorder="1"/>
    <xf numFmtId="0" fontId="21" fillId="0" borderId="44" xfId="6" applyFont="1" applyBorder="1" applyAlignment="1">
      <alignment horizontal="left"/>
    </xf>
    <xf numFmtId="0" fontId="21" fillId="0" borderId="16" xfId="6" applyFont="1" applyBorder="1"/>
    <xf numFmtId="0" fontId="13" fillId="0" borderId="16" xfId="6" applyBorder="1"/>
    <xf numFmtId="0" fontId="13" fillId="0" borderId="7" xfId="6" applyBorder="1"/>
    <xf numFmtId="0" fontId="22" fillId="4" borderId="3" xfId="6" applyFont="1" applyFill="1" applyBorder="1"/>
    <xf numFmtId="0" fontId="39" fillId="3" borderId="3" xfId="6" applyFont="1" applyFill="1" applyBorder="1" applyAlignment="1">
      <alignment horizontal="right"/>
    </xf>
    <xf numFmtId="0" fontId="13" fillId="3" borderId="3" xfId="6" applyFill="1" applyBorder="1"/>
    <xf numFmtId="0" fontId="26" fillId="4" borderId="3" xfId="6" applyFont="1" applyFill="1" applyBorder="1" applyAlignment="1">
      <alignment horizontal="right"/>
    </xf>
    <xf numFmtId="0" fontId="23" fillId="4" borderId="3" xfId="6" applyFont="1" applyFill="1" applyBorder="1"/>
    <xf numFmtId="0" fontId="24" fillId="2" borderId="3" xfId="6" applyFont="1" applyFill="1" applyBorder="1"/>
    <xf numFmtId="0" fontId="24" fillId="2" borderId="16" xfId="6" applyFont="1" applyFill="1" applyBorder="1"/>
    <xf numFmtId="0" fontId="24" fillId="2" borderId="44" xfId="6" applyFont="1" applyFill="1" applyBorder="1"/>
    <xf numFmtId="0" fontId="24" fillId="2" borderId="35" xfId="6" applyFont="1" applyFill="1" applyBorder="1"/>
    <xf numFmtId="0" fontId="14" fillId="2" borderId="3" xfId="6" applyFont="1" applyFill="1" applyBorder="1" applyAlignment="1"/>
    <xf numFmtId="0" fontId="0" fillId="5" borderId="0" xfId="0" applyFill="1"/>
    <xf numFmtId="0" fontId="28" fillId="0" borderId="0" xfId="0" applyFont="1" applyFill="1" applyBorder="1" applyAlignment="1">
      <alignment horizontal="center"/>
    </xf>
    <xf numFmtId="4" fontId="25" fillId="0" borderId="10" xfId="2" applyNumberFormat="1" applyFont="1" applyFill="1" applyBorder="1" applyAlignment="1">
      <alignment horizontal="center"/>
    </xf>
    <xf numFmtId="4" fontId="27" fillId="0" borderId="10" xfId="0" applyNumberFormat="1" applyFont="1" applyBorder="1"/>
    <xf numFmtId="2" fontId="20" fillId="0" borderId="10" xfId="6" applyNumberFormat="1" applyFont="1" applyBorder="1"/>
    <xf numFmtId="2" fontId="41" fillId="0" borderId="10" xfId="6" applyNumberFormat="1" applyFont="1" applyBorder="1"/>
    <xf numFmtId="4" fontId="41" fillId="0" borderId="10" xfId="6" applyNumberFormat="1" applyFont="1" applyBorder="1"/>
    <xf numFmtId="4" fontId="20" fillId="0" borderId="10" xfId="6" applyNumberFormat="1" applyFont="1" applyBorder="1"/>
    <xf numFmtId="0" fontId="42" fillId="0" borderId="0" xfId="0" applyFont="1" applyFill="1"/>
    <xf numFmtId="0" fontId="26" fillId="0" borderId="0" xfId="0" applyFont="1" applyFill="1" applyBorder="1"/>
    <xf numFmtId="4" fontId="26" fillId="0" borderId="0" xfId="0" applyNumberFormat="1" applyFont="1" applyFill="1" applyBorder="1"/>
    <xf numFmtId="0" fontId="15" fillId="0" borderId="0" xfId="6" applyFont="1" applyFill="1" applyBorder="1" applyAlignment="1">
      <alignment horizontal="center"/>
    </xf>
    <xf numFmtId="0" fontId="0" fillId="0" borderId="0" xfId="0" applyFill="1"/>
    <xf numFmtId="0" fontId="3" fillId="0" borderId="0" xfId="6" applyFont="1"/>
    <xf numFmtId="2" fontId="20" fillId="0" borderId="7" xfId="6" applyNumberFormat="1" applyFont="1" applyBorder="1"/>
    <xf numFmtId="0" fontId="43" fillId="0" borderId="0" xfId="0" applyFont="1" applyBorder="1"/>
    <xf numFmtId="0" fontId="20" fillId="0" borderId="10" xfId="6" applyFont="1" applyFill="1" applyBorder="1" applyAlignment="1">
      <alignment horizontal="left" indent="2"/>
    </xf>
    <xf numFmtId="4" fontId="39" fillId="3" borderId="3" xfId="6" applyNumberFormat="1" applyFont="1" applyFill="1" applyBorder="1" applyAlignment="1">
      <alignment horizontal="right"/>
    </xf>
    <xf numFmtId="164" fontId="39" fillId="3" borderId="9" xfId="6" applyNumberFormat="1" applyFont="1" applyFill="1" applyBorder="1" applyAlignment="1">
      <alignment horizontal="right"/>
    </xf>
    <xf numFmtId="165" fontId="20" fillId="3" borderId="9" xfId="6" applyNumberFormat="1" applyFont="1" applyFill="1" applyBorder="1"/>
    <xf numFmtId="165" fontId="41" fillId="0" borderId="10" xfId="6" applyNumberFormat="1" applyFont="1" applyBorder="1"/>
    <xf numFmtId="165" fontId="20" fillId="0" borderId="10" xfId="6" applyNumberFormat="1" applyFont="1" applyBorder="1"/>
    <xf numFmtId="165" fontId="20" fillId="3" borderId="6" xfId="6" applyNumberFormat="1" applyFont="1" applyFill="1" applyBorder="1"/>
    <xf numFmtId="165" fontId="20" fillId="0" borderId="7" xfId="6" applyNumberFormat="1" applyFont="1" applyBorder="1"/>
    <xf numFmtId="165" fontId="22" fillId="4" borderId="3" xfId="6" applyNumberFormat="1" applyFont="1" applyFill="1" applyBorder="1"/>
    <xf numFmtId="165" fontId="39" fillId="3" borderId="3" xfId="6" applyNumberFormat="1" applyFont="1" applyFill="1" applyBorder="1" applyAlignment="1">
      <alignment horizontal="right"/>
    </xf>
    <xf numFmtId="165" fontId="26" fillId="4" borderId="3" xfId="6" applyNumberFormat="1" applyFont="1" applyFill="1" applyBorder="1" applyAlignment="1">
      <alignment horizontal="right"/>
    </xf>
    <xf numFmtId="165" fontId="24" fillId="2" borderId="3" xfId="6" applyNumberFormat="1" applyFont="1" applyFill="1" applyBorder="1"/>
    <xf numFmtId="165" fontId="24" fillId="2" borderId="10" xfId="6" applyNumberFormat="1" applyFont="1" applyFill="1" applyBorder="1"/>
    <xf numFmtId="165" fontId="24" fillId="2" borderId="16" xfId="6" applyNumberFormat="1" applyFont="1" applyFill="1" applyBorder="1"/>
    <xf numFmtId="165" fontId="39" fillId="3" borderId="9" xfId="6" applyNumberFormat="1" applyFont="1" applyFill="1" applyBorder="1" applyAlignment="1">
      <alignment horizontal="right"/>
    </xf>
    <xf numFmtId="165" fontId="41" fillId="3" borderId="3" xfId="6" applyNumberFormat="1" applyFont="1" applyFill="1" applyBorder="1" applyAlignment="1">
      <alignment horizontal="right"/>
    </xf>
    <xf numFmtId="165" fontId="13" fillId="3" borderId="3" xfId="6" applyNumberFormat="1" applyFill="1" applyBorder="1"/>
    <xf numFmtId="165" fontId="20" fillId="3" borderId="3" xfId="6" applyNumberFormat="1" applyFont="1" applyFill="1" applyBorder="1"/>
    <xf numFmtId="4" fontId="25" fillId="0" borderId="16" xfId="0" applyNumberFormat="1" applyFont="1" applyFill="1" applyBorder="1" applyAlignment="1">
      <alignment horizontal="center"/>
    </xf>
    <xf numFmtId="49" fontId="19" fillId="2" borderId="41" xfId="0" applyNumberFormat="1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/>
    </xf>
    <xf numFmtId="0" fontId="25" fillId="0" borderId="27" xfId="0" applyFont="1" applyFill="1" applyBorder="1" applyAlignment="1">
      <alignment horizontal="left"/>
    </xf>
    <xf numFmtId="0" fontId="29" fillId="0" borderId="7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left"/>
    </xf>
    <xf numFmtId="49" fontId="29" fillId="0" borderId="7" xfId="0" applyNumberFormat="1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left"/>
    </xf>
    <xf numFmtId="4" fontId="29" fillId="0" borderId="39" xfId="0" applyNumberFormat="1" applyFont="1" applyFill="1" applyBorder="1" applyAlignment="1">
      <alignment horizontal="center"/>
    </xf>
    <xf numFmtId="4" fontId="29" fillId="0" borderId="38" xfId="0" applyNumberFormat="1" applyFont="1" applyFill="1" applyBorder="1" applyAlignment="1">
      <alignment horizontal="center"/>
    </xf>
    <xf numFmtId="0" fontId="29" fillId="0" borderId="3" xfId="0" applyFont="1" applyFill="1" applyBorder="1"/>
    <xf numFmtId="0" fontId="31" fillId="0" borderId="42" xfId="0" applyFont="1" applyFill="1" applyBorder="1" applyAlignment="1">
      <alignment horizontal="center"/>
    </xf>
    <xf numFmtId="4" fontId="31" fillId="0" borderId="3" xfId="2" applyNumberFormat="1" applyFont="1" applyFill="1" applyBorder="1" applyAlignment="1">
      <alignment horizontal="center"/>
    </xf>
    <xf numFmtId="4" fontId="31" fillId="0" borderId="10" xfId="2" applyNumberFormat="1" applyFont="1" applyFill="1" applyBorder="1" applyAlignment="1">
      <alignment horizontal="center"/>
    </xf>
    <xf numFmtId="4" fontId="31" fillId="0" borderId="9" xfId="2" applyNumberFormat="1" applyFont="1" applyFill="1" applyBorder="1" applyAlignment="1">
      <alignment horizontal="center"/>
    </xf>
    <xf numFmtId="4" fontId="35" fillId="0" borderId="10" xfId="2" applyNumberFormat="1" applyFont="1" applyFill="1" applyBorder="1" applyAlignment="1">
      <alignment horizontal="center"/>
    </xf>
    <xf numFmtId="0" fontId="29" fillId="0" borderId="10" xfId="0" applyFont="1" applyFill="1" applyBorder="1" applyAlignment="1">
      <alignment horizontal="left"/>
    </xf>
    <xf numFmtId="4" fontId="35" fillId="0" borderId="16" xfId="2" applyNumberFormat="1" applyFont="1" applyFill="1" applyBorder="1" applyAlignment="1">
      <alignment horizontal="center"/>
    </xf>
    <xf numFmtId="4" fontId="31" fillId="0" borderId="16" xfId="2" applyNumberFormat="1" applyFont="1" applyFill="1" applyBorder="1" applyAlignment="1">
      <alignment horizontal="center"/>
    </xf>
    <xf numFmtId="0" fontId="29" fillId="0" borderId="39" xfId="0" applyFont="1" applyFill="1" applyBorder="1"/>
    <xf numFmtId="0" fontId="31" fillId="0" borderId="25" xfId="0" applyFont="1" applyFill="1" applyBorder="1" applyAlignment="1">
      <alignment horizontal="center"/>
    </xf>
    <xf numFmtId="4" fontId="31" fillId="0" borderId="39" xfId="2" applyNumberFormat="1" applyFont="1" applyFill="1" applyBorder="1" applyAlignment="1">
      <alignment horizontal="center"/>
    </xf>
    <xf numFmtId="0" fontId="26" fillId="0" borderId="39" xfId="0" applyFont="1" applyFill="1" applyBorder="1"/>
    <xf numFmtId="0" fontId="27" fillId="0" borderId="25" xfId="0" applyFont="1" applyFill="1" applyBorder="1" applyAlignment="1">
      <alignment horizontal="center"/>
    </xf>
    <xf numFmtId="0" fontId="26" fillId="0" borderId="3" xfId="0" applyFont="1" applyFill="1" applyBorder="1"/>
    <xf numFmtId="0" fontId="29" fillId="0" borderId="16" xfId="0" applyFont="1" applyFill="1" applyBorder="1" applyAlignment="1">
      <alignment horizontal="left"/>
    </xf>
    <xf numFmtId="0" fontId="31" fillId="0" borderId="3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29" fillId="0" borderId="14" xfId="0" applyFont="1" applyFill="1" applyBorder="1" applyAlignment="1">
      <alignment horizontal="center"/>
    </xf>
    <xf numFmtId="0" fontId="13" fillId="0" borderId="0" xfId="6" applyBorder="1"/>
    <xf numFmtId="49" fontId="19" fillId="2" borderId="40" xfId="0" applyNumberFormat="1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4" fontId="26" fillId="0" borderId="3" xfId="0" applyNumberFormat="1" applyFont="1" applyFill="1" applyBorder="1"/>
    <xf numFmtId="0" fontId="2" fillId="0" borderId="0" xfId="6" applyFont="1"/>
    <xf numFmtId="0" fontId="20" fillId="0" borderId="34" xfId="6" applyFont="1" applyBorder="1" applyAlignment="1">
      <alignment vertical="center" wrapText="1"/>
    </xf>
    <xf numFmtId="0" fontId="29" fillId="0" borderId="10" xfId="0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0" fontId="20" fillId="0" borderId="34" xfId="6" applyFont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68" fontId="20" fillId="0" borderId="13" xfId="0" quotePrefix="1" applyNumberFormat="1" applyFont="1" applyBorder="1" applyAlignment="1">
      <alignment horizontal="center"/>
    </xf>
    <xf numFmtId="0" fontId="20" fillId="0" borderId="13" xfId="0" applyFont="1" applyBorder="1"/>
    <xf numFmtId="0" fontId="20" fillId="0" borderId="13" xfId="0" applyFont="1" applyBorder="1" applyAlignment="1">
      <alignment horizontal="center"/>
    </xf>
    <xf numFmtId="165" fontId="20" fillId="0" borderId="13" xfId="3" applyFont="1" applyBorder="1"/>
    <xf numFmtId="0" fontId="20" fillId="0" borderId="0" xfId="0" applyFont="1"/>
    <xf numFmtId="0" fontId="30" fillId="0" borderId="51" xfId="0" applyFont="1" applyFill="1" applyBorder="1" applyAlignment="1">
      <alignment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0" xfId="0" applyFont="1" applyFill="1"/>
    <xf numFmtId="165" fontId="20" fillId="0" borderId="13" xfId="10" applyFont="1" applyBorder="1"/>
    <xf numFmtId="4" fontId="31" fillId="0" borderId="13" xfId="0" applyNumberFormat="1" applyFont="1" applyFill="1" applyBorder="1" applyAlignment="1">
      <alignment horizontal="right" vertical="center" wrapText="1"/>
    </xf>
    <xf numFmtId="165" fontId="26" fillId="0" borderId="0" xfId="3" applyFont="1" applyBorder="1"/>
    <xf numFmtId="0" fontId="15" fillId="0" borderId="0" xfId="11" applyFont="1" applyBorder="1" applyAlignment="1">
      <alignment horizontal="center"/>
    </xf>
    <xf numFmtId="0" fontId="15" fillId="0" borderId="0" xfId="11" applyFont="1"/>
    <xf numFmtId="0" fontId="1" fillId="0" borderId="0" xfId="11"/>
    <xf numFmtId="0" fontId="15" fillId="0" borderId="30" xfId="6" applyFont="1" applyBorder="1" applyAlignment="1">
      <alignment horizontal="center"/>
    </xf>
    <xf numFmtId="49" fontId="19" fillId="2" borderId="21" xfId="0" applyNumberFormat="1" applyFont="1" applyFill="1" applyBorder="1" applyAlignment="1">
      <alignment horizontal="center" vertical="center" wrapText="1"/>
    </xf>
    <xf numFmtId="49" fontId="19" fillId="2" borderId="41" xfId="0" applyNumberFormat="1" applyFont="1" applyFill="1" applyBorder="1" applyAlignment="1">
      <alignment horizontal="center" vertical="center" wrapText="1"/>
    </xf>
    <xf numFmtId="0" fontId="31" fillId="3" borderId="24" xfId="0" applyFont="1" applyFill="1" applyBorder="1" applyAlignment="1">
      <alignment horizontal="center"/>
    </xf>
    <xf numFmtId="0" fontId="31" fillId="3" borderId="25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37" xfId="0" applyFont="1" applyFill="1" applyBorder="1" applyAlignment="1">
      <alignment horizontal="center"/>
    </xf>
    <xf numFmtId="0" fontId="21" fillId="3" borderId="6" xfId="6" applyFont="1" applyFill="1" applyBorder="1" applyAlignment="1">
      <alignment horizontal="left"/>
    </xf>
    <xf numFmtId="0" fontId="21" fillId="3" borderId="37" xfId="6" applyFont="1" applyFill="1" applyBorder="1" applyAlignment="1">
      <alignment horizontal="left"/>
    </xf>
    <xf numFmtId="0" fontId="24" fillId="2" borderId="6" xfId="6" applyFont="1" applyFill="1" applyBorder="1" applyAlignment="1">
      <alignment horizontal="center"/>
    </xf>
    <xf numFmtId="0" fontId="24" fillId="2" borderId="37" xfId="6" applyFont="1" applyFill="1" applyBorder="1" applyAlignment="1">
      <alignment horizontal="center"/>
    </xf>
    <xf numFmtId="0" fontId="15" fillId="0" borderId="0" xfId="6" applyFont="1" applyBorder="1" applyAlignment="1">
      <alignment horizontal="center"/>
    </xf>
    <xf numFmtId="0" fontId="21" fillId="4" borderId="6" xfId="6" applyFont="1" applyFill="1" applyBorder="1" applyAlignment="1">
      <alignment horizontal="center"/>
    </xf>
    <xf numFmtId="0" fontId="21" fillId="4" borderId="37" xfId="6" applyFont="1" applyFill="1" applyBorder="1" applyAlignment="1">
      <alignment horizontal="center"/>
    </xf>
    <xf numFmtId="0" fontId="21" fillId="3" borderId="21" xfId="6" applyFont="1" applyFill="1" applyBorder="1" applyAlignment="1">
      <alignment horizontal="left"/>
    </xf>
    <xf numFmtId="0" fontId="21" fillId="3" borderId="23" xfId="6" applyFont="1" applyFill="1" applyBorder="1" applyAlignment="1">
      <alignment horizontal="left"/>
    </xf>
    <xf numFmtId="0" fontId="17" fillId="0" borderId="0" xfId="6" applyFont="1" applyAlignment="1">
      <alignment horizontal="center"/>
    </xf>
    <xf numFmtId="0" fontId="14" fillId="2" borderId="36" xfId="6" applyFont="1" applyFill="1" applyBorder="1" applyAlignment="1">
      <alignment horizontal="center" vertical="center" wrapText="1"/>
    </xf>
    <xf numFmtId="0" fontId="14" fillId="2" borderId="38" xfId="6" applyFont="1" applyFill="1" applyBorder="1" applyAlignment="1">
      <alignment horizontal="center" vertical="center" wrapText="1"/>
    </xf>
    <xf numFmtId="0" fontId="14" fillId="2" borderId="39" xfId="6" applyFont="1" applyFill="1" applyBorder="1" applyAlignment="1">
      <alignment horizontal="center" vertical="center" wrapText="1"/>
    </xf>
    <xf numFmtId="0" fontId="15" fillId="0" borderId="25" xfId="6" applyFont="1" applyBorder="1" applyAlignment="1">
      <alignment horizontal="center"/>
    </xf>
    <xf numFmtId="0" fontId="14" fillId="2" borderId="21" xfId="6" applyFont="1" applyFill="1" applyBorder="1" applyAlignment="1">
      <alignment horizontal="center" vertical="center" wrapText="1"/>
    </xf>
    <xf numFmtId="0" fontId="14" fillId="2" borderId="23" xfId="6" applyFont="1" applyFill="1" applyBorder="1" applyAlignment="1">
      <alignment horizontal="center" vertical="center" wrapText="1"/>
    </xf>
    <xf numFmtId="0" fontId="14" fillId="2" borderId="24" xfId="6" applyFont="1" applyFill="1" applyBorder="1" applyAlignment="1">
      <alignment horizontal="center" vertical="center" wrapText="1"/>
    </xf>
    <xf numFmtId="0" fontId="14" fillId="2" borderId="26" xfId="6" applyFont="1" applyFill="1" applyBorder="1" applyAlignment="1">
      <alignment horizontal="center" vertical="center" wrapText="1"/>
    </xf>
    <xf numFmtId="0" fontId="19" fillId="2" borderId="21" xfId="6" applyFont="1" applyFill="1" applyBorder="1" applyAlignment="1">
      <alignment horizontal="center" vertical="center"/>
    </xf>
    <xf numFmtId="0" fontId="19" fillId="2" borderId="22" xfId="6" applyFont="1" applyFill="1" applyBorder="1" applyAlignment="1">
      <alignment horizontal="center" vertical="center"/>
    </xf>
    <xf numFmtId="0" fontId="19" fillId="2" borderId="23" xfId="6" applyFont="1" applyFill="1" applyBorder="1" applyAlignment="1">
      <alignment horizontal="center" vertical="center"/>
    </xf>
    <xf numFmtId="0" fontId="19" fillId="2" borderId="24" xfId="6" applyFont="1" applyFill="1" applyBorder="1" applyAlignment="1">
      <alignment horizontal="center" vertical="center"/>
    </xf>
    <xf numFmtId="0" fontId="19" fillId="2" borderId="25" xfId="6" applyFont="1" applyFill="1" applyBorder="1" applyAlignment="1">
      <alignment horizontal="center" vertical="center"/>
    </xf>
    <xf numFmtId="0" fontId="19" fillId="2" borderId="26" xfId="6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15" fillId="0" borderId="30" xfId="11" applyFont="1" applyBorder="1" applyAlignment="1">
      <alignment horizontal="center"/>
    </xf>
  </cellXfs>
  <cellStyles count="12">
    <cellStyle name="Euro" xfId="1"/>
    <cellStyle name="Millares" xfId="2" builtinId="3"/>
    <cellStyle name="Millares 12" xfId="10"/>
    <cellStyle name="Millares 2" xfId="3"/>
    <cellStyle name="Moneda" xfId="8" builtinId="4"/>
    <cellStyle name="Normal" xfId="0" builtinId="0"/>
    <cellStyle name="Normal 14" xfId="4"/>
    <cellStyle name="Normal 15" xfId="5"/>
    <cellStyle name="Normal 2" xfId="6"/>
    <cellStyle name="Normal 2 2" xfId="11"/>
    <cellStyle name="Normal 7" xfId="7"/>
    <cellStyle name="Porcentaje" xfId="9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96</xdr:row>
      <xdr:rowOff>19050</xdr:rowOff>
    </xdr:from>
    <xdr:to>
      <xdr:col>8</xdr:col>
      <xdr:colOff>276225</xdr:colOff>
      <xdr:row>96</xdr:row>
      <xdr:rowOff>19051</xdr:rowOff>
    </xdr:to>
    <xdr:cxnSp macro="">
      <xdr:nvCxnSpPr>
        <xdr:cNvPr id="3" name="2 Conector recto"/>
        <xdr:cNvCxnSpPr/>
      </xdr:nvCxnSpPr>
      <xdr:spPr>
        <a:xfrm flipV="1">
          <a:off x="4533900" y="18859500"/>
          <a:ext cx="30861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96</xdr:row>
      <xdr:rowOff>9525</xdr:rowOff>
    </xdr:from>
    <xdr:to>
      <xdr:col>1</xdr:col>
      <xdr:colOff>2905125</xdr:colOff>
      <xdr:row>96</xdr:row>
      <xdr:rowOff>9526</xdr:rowOff>
    </xdr:to>
    <xdr:cxnSp macro="">
      <xdr:nvCxnSpPr>
        <xdr:cNvPr id="6" name="5 Conector recto"/>
        <xdr:cNvCxnSpPr/>
      </xdr:nvCxnSpPr>
      <xdr:spPr>
        <a:xfrm flipV="1">
          <a:off x="533400" y="18849975"/>
          <a:ext cx="30861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I137"/>
  <sheetViews>
    <sheetView tabSelected="1" zoomScaleNormal="100" workbookViewId="0">
      <selection activeCell="B57" sqref="B57"/>
    </sheetView>
  </sheetViews>
  <sheetFormatPr baseColWidth="10" defaultColWidth="11.44140625" defaultRowHeight="20.100000000000001" customHeight="1" x14ac:dyDescent="0.3"/>
  <cols>
    <col min="1" max="1" width="13.109375" style="39" customWidth="1"/>
    <col min="2" max="2" width="35.44140625" style="39" customWidth="1"/>
    <col min="3" max="3" width="19.44140625" style="39" customWidth="1"/>
    <col min="4" max="4" width="29.6640625" style="39" bestFit="1" customWidth="1"/>
    <col min="5" max="5" width="29.6640625" style="39" customWidth="1"/>
    <col min="6" max="6" width="20.5546875" style="1" customWidth="1"/>
    <col min="7" max="16384" width="11.44140625" style="1"/>
  </cols>
  <sheetData>
    <row r="4" spans="1:9" ht="20.100000000000001" customHeight="1" x14ac:dyDescent="0.35">
      <c r="A4" s="253" t="s">
        <v>157</v>
      </c>
      <c r="B4" s="253"/>
      <c r="C4" s="253"/>
      <c r="D4" s="253"/>
      <c r="E4" s="253"/>
      <c r="F4" s="253"/>
    </row>
    <row r="5" spans="1:9" ht="20.100000000000001" customHeight="1" x14ac:dyDescent="0.3">
      <c r="A5" s="254" t="s">
        <v>116</v>
      </c>
      <c r="B5" s="254"/>
      <c r="C5" s="254"/>
      <c r="D5" s="254"/>
      <c r="E5" s="254"/>
      <c r="F5" s="254"/>
    </row>
    <row r="6" spans="1:9" ht="20.100000000000001" customHeight="1" x14ac:dyDescent="0.3">
      <c r="A6" s="254" t="s">
        <v>29</v>
      </c>
      <c r="B6" s="254"/>
      <c r="C6" s="254"/>
      <c r="D6" s="254"/>
      <c r="E6" s="254"/>
      <c r="F6" s="254"/>
    </row>
    <row r="7" spans="1:9" ht="20.100000000000001" customHeight="1" x14ac:dyDescent="0.3">
      <c r="A7" s="41"/>
      <c r="B7" s="41"/>
      <c r="C7" s="41"/>
      <c r="D7" s="41"/>
      <c r="E7" s="106"/>
    </row>
    <row r="8" spans="1:9" ht="20.100000000000001" customHeight="1" x14ac:dyDescent="0.3">
      <c r="A8" s="40" t="s">
        <v>147</v>
      </c>
      <c r="B8" s="41"/>
      <c r="C8" s="1"/>
      <c r="D8" s="40"/>
      <c r="E8" s="40"/>
    </row>
    <row r="9" spans="1:9" ht="20.100000000000001" customHeight="1" x14ac:dyDescent="0.3">
      <c r="A9" s="40" t="s">
        <v>134</v>
      </c>
      <c r="B9" s="41"/>
      <c r="C9" s="1"/>
      <c r="D9" s="40"/>
      <c r="E9" s="40"/>
    </row>
    <row r="10" spans="1:9" ht="20.100000000000001" customHeight="1" x14ac:dyDescent="0.3">
      <c r="A10" s="42" t="s">
        <v>135</v>
      </c>
      <c r="B10" s="42"/>
      <c r="C10" s="1"/>
      <c r="D10" s="42"/>
      <c r="E10" s="42"/>
    </row>
    <row r="11" spans="1:9" ht="20.100000000000001" customHeight="1" thickBot="1" x14ac:dyDescent="0.35">
      <c r="A11" s="42"/>
      <c r="B11" s="42"/>
      <c r="C11" s="1"/>
      <c r="D11" s="42"/>
      <c r="E11" s="42"/>
    </row>
    <row r="12" spans="1:9" ht="62.25" customHeight="1" x14ac:dyDescent="0.25">
      <c r="A12" s="249" t="s">
        <v>1</v>
      </c>
      <c r="B12" s="250"/>
      <c r="C12" s="52" t="s">
        <v>119</v>
      </c>
      <c r="D12" s="53" t="s">
        <v>33</v>
      </c>
      <c r="E12" s="53" t="s">
        <v>33</v>
      </c>
      <c r="F12" s="53" t="s">
        <v>131</v>
      </c>
    </row>
    <row r="13" spans="1:9" ht="20.100000000000001" customHeight="1" thickBot="1" x14ac:dyDescent="0.35">
      <c r="A13" s="251" t="s">
        <v>127</v>
      </c>
      <c r="B13" s="252"/>
      <c r="C13" s="252"/>
      <c r="D13" s="252"/>
      <c r="E13" s="252"/>
      <c r="F13" s="252"/>
    </row>
    <row r="14" spans="1:9" ht="20.100000000000001" customHeight="1" x14ac:dyDescent="0.3">
      <c r="A14" s="71">
        <v>11</v>
      </c>
      <c r="B14" s="67" t="s">
        <v>2</v>
      </c>
      <c r="C14" s="60"/>
      <c r="D14" s="60"/>
      <c r="E14" s="108"/>
      <c r="F14" s="54"/>
    </row>
    <row r="15" spans="1:9" ht="20.100000000000001" customHeight="1" x14ac:dyDescent="0.3">
      <c r="A15" s="72">
        <v>1101</v>
      </c>
      <c r="B15" s="68" t="s">
        <v>46</v>
      </c>
      <c r="C15" s="99"/>
      <c r="D15" s="99"/>
      <c r="E15" s="109"/>
      <c r="F15" s="55"/>
      <c r="I15" s="98"/>
    </row>
    <row r="16" spans="1:9" ht="20.100000000000001" customHeight="1" x14ac:dyDescent="0.3">
      <c r="A16" s="72">
        <v>1102</v>
      </c>
      <c r="B16" s="68" t="s">
        <v>47</v>
      </c>
      <c r="C16" s="99"/>
      <c r="D16" s="99"/>
      <c r="E16" s="109"/>
      <c r="F16" s="55"/>
    </row>
    <row r="17" spans="1:6" ht="20.100000000000001" customHeight="1" x14ac:dyDescent="0.3">
      <c r="A17" s="72">
        <v>1103</v>
      </c>
      <c r="B17" s="68" t="s">
        <v>48</v>
      </c>
      <c r="C17" s="99"/>
      <c r="D17" s="99"/>
      <c r="E17" s="109"/>
      <c r="F17" s="55"/>
    </row>
    <row r="18" spans="1:6" ht="20.100000000000001" customHeight="1" x14ac:dyDescent="0.3">
      <c r="A18" s="72">
        <v>1107</v>
      </c>
      <c r="B18" s="68" t="s">
        <v>49</v>
      </c>
      <c r="C18" s="99"/>
      <c r="D18" s="99"/>
      <c r="E18" s="109"/>
      <c r="F18" s="55"/>
    </row>
    <row r="19" spans="1:6" ht="20.100000000000001" customHeight="1" x14ac:dyDescent="0.3">
      <c r="A19" s="73"/>
      <c r="B19" s="69"/>
      <c r="C19" s="62"/>
      <c r="D19" s="62"/>
      <c r="E19" s="56"/>
      <c r="F19" s="56"/>
    </row>
    <row r="20" spans="1:6" ht="20.100000000000001" customHeight="1" x14ac:dyDescent="0.3">
      <c r="A20" s="74">
        <v>13</v>
      </c>
      <c r="B20" s="70" t="s">
        <v>3</v>
      </c>
      <c r="C20" s="62"/>
      <c r="D20" s="62"/>
      <c r="E20" s="56"/>
      <c r="F20" s="55"/>
    </row>
    <row r="21" spans="1:6" ht="20.100000000000001" customHeight="1" x14ac:dyDescent="0.3">
      <c r="A21" s="72">
        <v>1301</v>
      </c>
      <c r="B21" s="68" t="s">
        <v>51</v>
      </c>
      <c r="C21" s="61"/>
      <c r="D21" s="61"/>
      <c r="E21" s="55"/>
      <c r="F21" s="55"/>
    </row>
    <row r="22" spans="1:6" ht="20.100000000000001" customHeight="1" x14ac:dyDescent="0.3">
      <c r="A22" s="72">
        <v>1302</v>
      </c>
      <c r="B22" s="68" t="s">
        <v>52</v>
      </c>
      <c r="C22" s="61"/>
      <c r="D22" s="61"/>
      <c r="E22" s="55"/>
      <c r="F22" s="55"/>
    </row>
    <row r="23" spans="1:6" ht="20.100000000000001" customHeight="1" x14ac:dyDescent="0.3">
      <c r="A23" s="72">
        <v>1303</v>
      </c>
      <c r="B23" s="68" t="s">
        <v>53</v>
      </c>
      <c r="C23" s="61"/>
      <c r="D23" s="61"/>
      <c r="E23" s="55"/>
      <c r="F23" s="56"/>
    </row>
    <row r="24" spans="1:6" ht="20.100000000000001" customHeight="1" x14ac:dyDescent="0.3">
      <c r="A24" s="72">
        <v>1304</v>
      </c>
      <c r="B24" s="68" t="s">
        <v>54</v>
      </c>
      <c r="C24" s="61"/>
      <c r="D24" s="61"/>
      <c r="E24" s="55"/>
      <c r="F24" s="56"/>
    </row>
    <row r="25" spans="1:6" ht="20.100000000000001" customHeight="1" x14ac:dyDescent="0.3">
      <c r="A25" s="73"/>
      <c r="B25" s="69"/>
      <c r="C25" s="62"/>
      <c r="D25" s="62"/>
      <c r="E25" s="56"/>
      <c r="F25" s="55"/>
    </row>
    <row r="26" spans="1:6" ht="20.100000000000001" customHeight="1" x14ac:dyDescent="0.3">
      <c r="A26" s="74">
        <v>14</v>
      </c>
      <c r="B26" s="70" t="s">
        <v>4</v>
      </c>
      <c r="C26" s="63"/>
      <c r="D26" s="63"/>
      <c r="E26" s="57"/>
      <c r="F26" s="57"/>
    </row>
    <row r="27" spans="1:6" ht="20.100000000000001" customHeight="1" x14ac:dyDescent="0.3">
      <c r="A27" s="75"/>
      <c r="B27" s="69"/>
      <c r="C27" s="64"/>
      <c r="D27" s="64"/>
      <c r="E27" s="58"/>
      <c r="F27" s="58"/>
    </row>
    <row r="28" spans="1:6" ht="20.100000000000001" customHeight="1" x14ac:dyDescent="0.3">
      <c r="A28" s="74">
        <v>17</v>
      </c>
      <c r="B28" s="70" t="s">
        <v>5</v>
      </c>
      <c r="C28" s="91"/>
      <c r="D28" s="91"/>
      <c r="E28" s="110"/>
      <c r="F28" s="58"/>
    </row>
    <row r="29" spans="1:6" ht="20.100000000000001" customHeight="1" x14ac:dyDescent="0.3">
      <c r="A29" s="73"/>
      <c r="B29" s="69"/>
      <c r="C29" s="65"/>
      <c r="D29" s="65"/>
      <c r="E29" s="59"/>
      <c r="F29" s="59"/>
    </row>
    <row r="30" spans="1:6" ht="20.100000000000001" customHeight="1" x14ac:dyDescent="0.3">
      <c r="A30" s="74">
        <v>18</v>
      </c>
      <c r="B30" s="70" t="s">
        <v>28</v>
      </c>
      <c r="C30" s="155">
        <f>C31+C32</f>
        <v>8243158.5099999998</v>
      </c>
      <c r="D30" s="100"/>
      <c r="E30" s="111"/>
      <c r="F30" s="59"/>
    </row>
    <row r="31" spans="1:6" ht="36" customHeight="1" x14ac:dyDescent="0.3">
      <c r="A31" s="225">
        <v>1</v>
      </c>
      <c r="B31" s="226" t="s">
        <v>167</v>
      </c>
      <c r="C31" s="65">
        <f>7022810.47-523629.09-138931.37+557457.55+218960.83</f>
        <v>7136668.3899999997</v>
      </c>
      <c r="D31" s="65"/>
      <c r="E31" s="59"/>
      <c r="F31" s="59"/>
    </row>
    <row r="32" spans="1:6" ht="43.5" customHeight="1" x14ac:dyDescent="0.3">
      <c r="A32" s="224" t="s">
        <v>145</v>
      </c>
      <c r="B32" s="223" t="s">
        <v>166</v>
      </c>
      <c r="C32" s="65">
        <v>1106490.1200000001</v>
      </c>
      <c r="D32" s="65"/>
      <c r="E32" s="59"/>
      <c r="F32" s="59"/>
    </row>
    <row r="33" spans="1:7" ht="20.100000000000001" customHeight="1" x14ac:dyDescent="0.3">
      <c r="A33" s="74">
        <v>19</v>
      </c>
      <c r="B33" s="70" t="s">
        <v>128</v>
      </c>
      <c r="C33" s="92"/>
      <c r="D33" s="92"/>
      <c r="E33" s="112"/>
      <c r="F33" s="59"/>
    </row>
    <row r="34" spans="1:7" ht="20.100000000000001" customHeight="1" x14ac:dyDescent="0.3">
      <c r="A34" s="72">
        <v>1901</v>
      </c>
      <c r="B34" s="68" t="s">
        <v>59</v>
      </c>
      <c r="C34" s="65"/>
      <c r="D34" s="65"/>
      <c r="E34" s="59"/>
      <c r="F34" s="59"/>
    </row>
    <row r="35" spans="1:7" ht="20.100000000000001" customHeight="1" x14ac:dyDescent="0.3">
      <c r="A35" s="72">
        <v>1902</v>
      </c>
      <c r="B35" s="68" t="s">
        <v>60</v>
      </c>
      <c r="C35" s="64"/>
      <c r="D35" s="64"/>
      <c r="E35" s="58"/>
      <c r="F35" s="58"/>
    </row>
    <row r="36" spans="1:7" ht="20.100000000000001" customHeight="1" x14ac:dyDescent="0.3">
      <c r="A36" s="72">
        <v>1904</v>
      </c>
      <c r="B36" s="68" t="s">
        <v>61</v>
      </c>
      <c r="C36" s="64"/>
      <c r="D36" s="64"/>
      <c r="E36" s="58"/>
      <c r="F36" s="58"/>
    </row>
    <row r="37" spans="1:7" ht="20.100000000000001" customHeight="1" thickBot="1" x14ac:dyDescent="0.35">
      <c r="A37" s="93"/>
      <c r="B37" s="94"/>
      <c r="C37" s="95"/>
      <c r="D37" s="95"/>
      <c r="E37" s="113"/>
      <c r="F37" s="96"/>
    </row>
    <row r="38" spans="1:7" ht="20.100000000000001" customHeight="1" thickBot="1" x14ac:dyDescent="0.35">
      <c r="A38" s="76"/>
      <c r="B38" s="77" t="s">
        <v>6</v>
      </c>
      <c r="C38" s="155">
        <f>C31+C32</f>
        <v>8243158.5099999998</v>
      </c>
      <c r="D38" s="101">
        <f>+D30+D28+D20+D14</f>
        <v>0</v>
      </c>
      <c r="E38" s="101">
        <f t="shared" ref="E38:F38" si="0">+E30+E28+E20+E14</f>
        <v>0</v>
      </c>
      <c r="F38" s="101">
        <f t="shared" si="0"/>
        <v>0</v>
      </c>
      <c r="G38" s="104"/>
    </row>
    <row r="39" spans="1:7" ht="20.100000000000001" customHeight="1" thickBot="1" x14ac:dyDescent="0.35">
      <c r="A39" s="66"/>
      <c r="B39" s="78" t="s">
        <v>7</v>
      </c>
      <c r="C39" s="79"/>
      <c r="D39" s="79"/>
      <c r="E39" s="79"/>
      <c r="F39" s="80"/>
    </row>
    <row r="40" spans="1:7" ht="20.100000000000001" customHeight="1" x14ac:dyDescent="0.3">
      <c r="A40" s="35"/>
      <c r="B40" s="36"/>
      <c r="C40" s="35"/>
      <c r="D40" s="37"/>
      <c r="E40" s="35"/>
    </row>
    <row r="41" spans="1:7" ht="20.100000000000001" customHeight="1" x14ac:dyDescent="0.3">
      <c r="A41" s="51" t="s">
        <v>123</v>
      </c>
      <c r="B41" s="36"/>
      <c r="C41" s="35"/>
      <c r="D41" s="35"/>
      <c r="E41" s="35"/>
    </row>
    <row r="42" spans="1:7" ht="20.100000000000001" customHeight="1" x14ac:dyDescent="0.3">
      <c r="A42" s="51" t="s">
        <v>120</v>
      </c>
      <c r="B42" s="36"/>
      <c r="C42" s="35"/>
      <c r="D42" s="35"/>
      <c r="E42" s="35"/>
    </row>
    <row r="43" spans="1:7" ht="20.100000000000001" customHeight="1" x14ac:dyDescent="0.3">
      <c r="A43" s="51" t="s">
        <v>124</v>
      </c>
      <c r="B43" s="35"/>
      <c r="C43" s="35"/>
      <c r="D43" s="35"/>
      <c r="E43" s="35"/>
    </row>
    <row r="44" spans="1:7" ht="20.100000000000001" customHeight="1" x14ac:dyDescent="0.3">
      <c r="A44" s="167" t="s">
        <v>149</v>
      </c>
      <c r="B44" s="36"/>
      <c r="C44" s="35"/>
      <c r="D44" s="35"/>
      <c r="E44" s="35"/>
    </row>
    <row r="45" spans="1:7" ht="20.100000000000001" customHeight="1" x14ac:dyDescent="0.3">
      <c r="A45" s="167"/>
      <c r="B45" s="36"/>
      <c r="C45" s="35"/>
      <c r="D45" s="35"/>
      <c r="E45" s="35"/>
    </row>
    <row r="46" spans="1:7" ht="20.100000000000001" customHeight="1" x14ac:dyDescent="0.3">
      <c r="A46" s="167"/>
      <c r="B46" s="36"/>
      <c r="C46" s="35"/>
      <c r="D46" s="35"/>
      <c r="E46" s="35"/>
    </row>
    <row r="47" spans="1:7" ht="20.100000000000001" customHeight="1" x14ac:dyDescent="0.3">
      <c r="A47" s="35"/>
      <c r="B47" s="35"/>
      <c r="C47" s="35"/>
      <c r="D47" s="35"/>
      <c r="E47" s="35"/>
    </row>
    <row r="48" spans="1:7" ht="20.100000000000001" customHeight="1" x14ac:dyDescent="0.3">
      <c r="A48" s="38"/>
      <c r="B48" s="35"/>
      <c r="C48" s="35"/>
      <c r="D48" s="35"/>
      <c r="E48" s="1"/>
    </row>
    <row r="49" spans="1:5" ht="20.100000000000001" customHeight="1" x14ac:dyDescent="0.3">
      <c r="A49" s="248" t="s">
        <v>114</v>
      </c>
      <c r="B49" s="248"/>
      <c r="C49" s="35"/>
      <c r="D49" s="35"/>
      <c r="E49" s="1"/>
    </row>
    <row r="50" spans="1:5" ht="20.100000000000001" customHeight="1" x14ac:dyDescent="0.3">
      <c r="A50" s="81"/>
      <c r="B50" s="81"/>
      <c r="C50" s="35"/>
      <c r="D50" s="35"/>
      <c r="E50" s="1"/>
    </row>
    <row r="51" spans="1:5" ht="20.100000000000001" customHeight="1" x14ac:dyDescent="0.3">
      <c r="A51" s="31" t="s">
        <v>115</v>
      </c>
      <c r="B51" s="165" t="s">
        <v>148</v>
      </c>
      <c r="C51" s="35"/>
      <c r="D51" s="35"/>
      <c r="E51" s="1"/>
    </row>
    <row r="52" spans="1:5" ht="20.100000000000001" customHeight="1" x14ac:dyDescent="0.3">
      <c r="A52" s="31" t="s">
        <v>121</v>
      </c>
      <c r="B52" s="35" t="s">
        <v>168</v>
      </c>
      <c r="C52" s="35"/>
      <c r="D52" s="35"/>
      <c r="E52" s="1"/>
    </row>
    <row r="53" spans="1:5" ht="20.100000000000001" customHeight="1" x14ac:dyDescent="0.3">
      <c r="A53" s="31" t="s">
        <v>122</v>
      </c>
      <c r="B53" s="35"/>
      <c r="C53" s="35"/>
      <c r="D53" s="35"/>
      <c r="E53" s="1"/>
    </row>
    <row r="54" spans="1:5" ht="20.100000000000001" customHeight="1" x14ac:dyDescent="0.3">
      <c r="A54" s="31"/>
      <c r="B54" s="35"/>
      <c r="C54" s="35"/>
      <c r="D54" s="35"/>
      <c r="E54" s="1"/>
    </row>
    <row r="55" spans="1:5" ht="20.100000000000001" customHeight="1" x14ac:dyDescent="0.3">
      <c r="A55" s="35"/>
      <c r="B55" s="35"/>
    </row>
    <row r="56" spans="1:5" ht="20.100000000000001" customHeight="1" x14ac:dyDescent="0.3">
      <c r="A56" s="35"/>
      <c r="B56" s="35"/>
    </row>
    <row r="57" spans="1:5" ht="20.100000000000001" customHeight="1" x14ac:dyDescent="0.3">
      <c r="A57" s="35"/>
      <c r="B57" s="35"/>
    </row>
    <row r="58" spans="1:5" ht="20.100000000000001" customHeight="1" x14ac:dyDescent="0.3">
      <c r="A58" s="35"/>
      <c r="B58" s="35"/>
    </row>
    <row r="59" spans="1:5" ht="20.100000000000001" customHeight="1" x14ac:dyDescent="0.3">
      <c r="A59" s="35"/>
      <c r="B59" s="35"/>
    </row>
    <row r="60" spans="1:5" ht="45.75" customHeight="1" x14ac:dyDescent="0.3">
      <c r="A60" s="35"/>
      <c r="B60" s="35"/>
    </row>
    <row r="61" spans="1:5" ht="20.100000000000001" customHeight="1" x14ac:dyDescent="0.3">
      <c r="A61" s="35"/>
      <c r="B61" s="35"/>
    </row>
    <row r="62" spans="1:5" ht="20.100000000000001" customHeight="1" x14ac:dyDescent="0.3">
      <c r="A62" s="35"/>
      <c r="B62" s="35"/>
    </row>
    <row r="63" spans="1:5" ht="20.100000000000001" customHeight="1" x14ac:dyDescent="0.3">
      <c r="A63" s="35"/>
      <c r="B63" s="35"/>
    </row>
    <row r="64" spans="1:5" ht="20.100000000000001" customHeight="1" x14ac:dyDescent="0.3">
      <c r="A64" s="35"/>
      <c r="B64" s="35"/>
    </row>
    <row r="65" spans="1:2" ht="20.100000000000001" customHeight="1" x14ac:dyDescent="0.3">
      <c r="A65" s="35"/>
      <c r="B65" s="35"/>
    </row>
    <row r="66" spans="1:2" ht="20.100000000000001" customHeight="1" x14ac:dyDescent="0.3">
      <c r="A66" s="35"/>
      <c r="B66" s="35"/>
    </row>
    <row r="137" ht="27.75" customHeight="1" x14ac:dyDescent="0.3"/>
  </sheetData>
  <mergeCells count="6">
    <mergeCell ref="A49:B49"/>
    <mergeCell ref="A12:B12"/>
    <mergeCell ref="A13:F13"/>
    <mergeCell ref="A4:F4"/>
    <mergeCell ref="A5:F5"/>
    <mergeCell ref="A6:F6"/>
  </mergeCells>
  <phoneticPr fontId="0" type="noConversion"/>
  <printOptions horizontalCentered="1"/>
  <pageMargins left="0.39370078740157483" right="0" top="0" bottom="0" header="0" footer="0"/>
  <pageSetup paperSize="9" scale="65" orientation="portrait" r:id="rId1"/>
  <colBreaks count="1" manualBreakCount="1">
    <brk id="6" min="3" max="9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J268"/>
  <sheetViews>
    <sheetView topLeftCell="A80" zoomScaleNormal="100" workbookViewId="0">
      <selection activeCell="E71" sqref="E71"/>
    </sheetView>
  </sheetViews>
  <sheetFormatPr baseColWidth="10" defaultColWidth="11.44140625" defaultRowHeight="20.100000000000001" customHeight="1" x14ac:dyDescent="0.25"/>
  <cols>
    <col min="1" max="1" width="1.44140625" customWidth="1"/>
    <col min="2" max="2" width="18" customWidth="1"/>
    <col min="3" max="3" width="39.44140625" customWidth="1"/>
    <col min="4" max="4" width="23" customWidth="1"/>
    <col min="5" max="5" width="23" style="152" customWidth="1"/>
    <col min="6" max="6" width="23" customWidth="1"/>
    <col min="7" max="7" width="20.88671875" customWidth="1"/>
    <col min="9" max="9" width="15.5546875" customWidth="1"/>
    <col min="10" max="10" width="11.6640625" bestFit="1" customWidth="1"/>
  </cols>
  <sheetData>
    <row r="1" spans="2:7" ht="20.100000000000001" customHeight="1" x14ac:dyDescent="0.25">
      <c r="E1" s="164"/>
    </row>
    <row r="2" spans="2:7" ht="20.100000000000001" customHeight="1" x14ac:dyDescent="0.25">
      <c r="E2" s="164"/>
    </row>
    <row r="3" spans="2:7" ht="20.100000000000001" customHeight="1" x14ac:dyDescent="0.25">
      <c r="E3" s="164"/>
    </row>
    <row r="4" spans="2:7" ht="20.100000000000001" customHeight="1" x14ac:dyDescent="0.35">
      <c r="B4" s="253" t="s">
        <v>158</v>
      </c>
      <c r="C4" s="253"/>
      <c r="D4" s="253"/>
      <c r="E4" s="253"/>
      <c r="F4" s="253"/>
      <c r="G4" s="253"/>
    </row>
    <row r="5" spans="2:7" ht="20.100000000000001" customHeight="1" x14ac:dyDescent="0.3">
      <c r="B5" s="254" t="s">
        <v>117</v>
      </c>
      <c r="C5" s="254"/>
      <c r="D5" s="254"/>
      <c r="E5" s="254"/>
      <c r="F5" s="254"/>
      <c r="G5" s="254"/>
    </row>
    <row r="6" spans="2:7" ht="20.100000000000001" customHeight="1" x14ac:dyDescent="0.3">
      <c r="B6" s="254"/>
      <c r="C6" s="254"/>
      <c r="D6" s="254"/>
      <c r="E6" s="254"/>
      <c r="F6" s="254"/>
      <c r="G6" s="254"/>
    </row>
    <row r="7" spans="2:7" ht="20.100000000000001" customHeight="1" x14ac:dyDescent="0.3">
      <c r="B7" s="84"/>
      <c r="C7" s="84"/>
      <c r="D7" s="84"/>
      <c r="E7" s="153"/>
      <c r="F7" s="106"/>
      <c r="G7" s="3"/>
    </row>
    <row r="8" spans="2:7" ht="20.100000000000001" customHeight="1" x14ac:dyDescent="0.3">
      <c r="B8" s="40" t="s">
        <v>147</v>
      </c>
      <c r="C8" s="85"/>
      <c r="D8" s="85"/>
      <c r="E8" s="85"/>
      <c r="F8" s="85"/>
      <c r="G8" s="84"/>
    </row>
    <row r="9" spans="2:7" ht="20.100000000000001" customHeight="1" x14ac:dyDescent="0.3">
      <c r="B9" s="40" t="s">
        <v>134</v>
      </c>
      <c r="C9" s="43"/>
      <c r="D9" s="44"/>
      <c r="E9" s="44"/>
      <c r="F9" s="44"/>
      <c r="G9" s="32"/>
    </row>
    <row r="10" spans="2:7" ht="20.100000000000001" customHeight="1" x14ac:dyDescent="0.3">
      <c r="B10" s="42" t="s">
        <v>136</v>
      </c>
      <c r="C10" s="34"/>
      <c r="D10" s="34"/>
      <c r="E10" s="32"/>
      <c r="F10" s="34"/>
      <c r="G10" s="34"/>
    </row>
    <row r="11" spans="2:7" ht="20.100000000000001" customHeight="1" thickBot="1" x14ac:dyDescent="0.35">
      <c r="B11" s="42"/>
      <c r="C11" s="34"/>
      <c r="D11" s="34"/>
      <c r="E11" s="32"/>
      <c r="F11" s="34"/>
      <c r="G11" s="34"/>
    </row>
    <row r="12" spans="2:7" ht="31.5" customHeight="1" thickBot="1" x14ac:dyDescent="0.3">
      <c r="B12" s="217" t="s">
        <v>18</v>
      </c>
      <c r="C12" s="187" t="s">
        <v>15</v>
      </c>
      <c r="D12" s="218" t="s">
        <v>34</v>
      </c>
      <c r="E12" s="220" t="s">
        <v>35</v>
      </c>
      <c r="F12" s="219" t="s">
        <v>35</v>
      </c>
      <c r="G12" s="219" t="s">
        <v>131</v>
      </c>
    </row>
    <row r="13" spans="2:7" ht="20.100000000000001" customHeight="1" thickBot="1" x14ac:dyDescent="0.35">
      <c r="B13" s="255" t="s">
        <v>126</v>
      </c>
      <c r="C13" s="256"/>
      <c r="D13" s="256"/>
      <c r="E13" s="256"/>
      <c r="F13" s="256"/>
      <c r="G13" s="257"/>
    </row>
    <row r="14" spans="2:7" ht="20.100000000000001" customHeight="1" x14ac:dyDescent="0.3">
      <c r="B14" s="188">
        <v>5101</v>
      </c>
      <c r="C14" s="189" t="s">
        <v>8</v>
      </c>
      <c r="D14" s="90">
        <f>D15</f>
        <v>451369.16</v>
      </c>
      <c r="E14" s="83">
        <f>E15</f>
        <v>281455.11</v>
      </c>
      <c r="F14" s="90"/>
      <c r="G14" s="83"/>
    </row>
    <row r="15" spans="2:7" ht="20.100000000000001" customHeight="1" x14ac:dyDescent="0.3">
      <c r="B15" s="190">
        <v>510106</v>
      </c>
      <c r="C15" s="191" t="s">
        <v>23</v>
      </c>
      <c r="D15" s="82">
        <v>451369.16</v>
      </c>
      <c r="E15" s="61">
        <v>281455.11</v>
      </c>
      <c r="F15" s="82"/>
      <c r="G15" s="82"/>
    </row>
    <row r="16" spans="2:7" ht="20.100000000000001" customHeight="1" x14ac:dyDescent="0.3">
      <c r="B16" s="190"/>
      <c r="C16" s="191"/>
      <c r="D16" s="61"/>
      <c r="E16" s="61"/>
      <c r="F16" s="61"/>
      <c r="G16" s="61"/>
    </row>
    <row r="17" spans="2:9" ht="20.100000000000001" customHeight="1" x14ac:dyDescent="0.3">
      <c r="B17" s="188">
        <v>5102</v>
      </c>
      <c r="C17" s="189" t="s">
        <v>9</v>
      </c>
      <c r="D17" s="62">
        <f>D18+D19</f>
        <v>345263.20999999996</v>
      </c>
      <c r="E17" s="62">
        <f>E18</f>
        <v>23454.59</v>
      </c>
      <c r="F17" s="62"/>
      <c r="G17" s="62"/>
    </row>
    <row r="18" spans="2:9" ht="20.100000000000001" customHeight="1" x14ac:dyDescent="0.3">
      <c r="B18" s="190">
        <v>510203</v>
      </c>
      <c r="C18" s="191" t="s">
        <v>24</v>
      </c>
      <c r="D18" s="82">
        <v>251863.21</v>
      </c>
      <c r="E18" s="61">
        <v>23454.59</v>
      </c>
      <c r="F18" s="82"/>
      <c r="G18" s="82"/>
    </row>
    <row r="19" spans="2:9" ht="20.100000000000001" customHeight="1" x14ac:dyDescent="0.3">
      <c r="B19" s="190">
        <v>510204</v>
      </c>
      <c r="C19" s="191" t="s">
        <v>25</v>
      </c>
      <c r="D19" s="82">
        <v>93400</v>
      </c>
      <c r="E19" s="61"/>
      <c r="F19" s="82"/>
      <c r="G19" s="82"/>
    </row>
    <row r="20" spans="2:9" ht="20.100000000000001" customHeight="1" x14ac:dyDescent="0.3">
      <c r="B20" s="190"/>
      <c r="C20" s="191"/>
      <c r="D20" s="82"/>
      <c r="E20" s="61"/>
      <c r="F20" s="82"/>
      <c r="G20" s="82"/>
    </row>
    <row r="21" spans="2:9" ht="20.100000000000001" customHeight="1" x14ac:dyDescent="0.3">
      <c r="B21" s="188">
        <v>5103</v>
      </c>
      <c r="C21" s="189" t="s">
        <v>26</v>
      </c>
      <c r="D21" s="154">
        <f>D23+D22</f>
        <v>77220</v>
      </c>
      <c r="E21" s="62">
        <f>E22+E23</f>
        <v>145224</v>
      </c>
      <c r="F21" s="154"/>
      <c r="G21" s="154"/>
    </row>
    <row r="22" spans="2:9" ht="20.100000000000001" customHeight="1" x14ac:dyDescent="0.3">
      <c r="B22" s="190">
        <v>510304</v>
      </c>
      <c r="C22" s="191" t="s">
        <v>27</v>
      </c>
      <c r="D22" s="82">
        <v>8580</v>
      </c>
      <c r="E22" s="61">
        <v>16136</v>
      </c>
      <c r="F22" s="82"/>
      <c r="G22" s="82"/>
      <c r="I22" s="89"/>
    </row>
    <row r="23" spans="2:9" ht="20.100000000000001" customHeight="1" x14ac:dyDescent="0.3">
      <c r="B23" s="190">
        <v>510306</v>
      </c>
      <c r="C23" s="191" t="s">
        <v>162</v>
      </c>
      <c r="D23" s="82">
        <v>68640</v>
      </c>
      <c r="E23" s="61">
        <v>129088</v>
      </c>
      <c r="F23" s="82"/>
      <c r="G23" s="82"/>
    </row>
    <row r="24" spans="2:9" ht="20.100000000000001" customHeight="1" x14ac:dyDescent="0.3">
      <c r="B24" s="190"/>
      <c r="C24" s="191"/>
      <c r="D24" s="82"/>
      <c r="E24" s="61"/>
      <c r="F24" s="82"/>
      <c r="G24" s="82"/>
    </row>
    <row r="25" spans="2:9" ht="20.100000000000001" customHeight="1" x14ac:dyDescent="0.3">
      <c r="B25" s="188">
        <v>5104</v>
      </c>
      <c r="C25" s="189" t="s">
        <v>16</v>
      </c>
      <c r="D25" s="154">
        <f>D26+D28+D27</f>
        <v>611010.34</v>
      </c>
      <c r="E25" s="62">
        <f>E27</f>
        <v>3762.99</v>
      </c>
      <c r="F25" s="154"/>
      <c r="G25" s="154"/>
    </row>
    <row r="26" spans="2:9" ht="20.100000000000001" customHeight="1" x14ac:dyDescent="0.3">
      <c r="B26" s="190">
        <v>510401</v>
      </c>
      <c r="C26" s="191" t="s">
        <v>129</v>
      </c>
      <c r="D26" s="82">
        <v>1377</v>
      </c>
      <c r="E26" s="61"/>
      <c r="F26" s="82"/>
      <c r="G26" s="82"/>
    </row>
    <row r="27" spans="2:9" ht="20.100000000000001" customHeight="1" x14ac:dyDescent="0.3">
      <c r="B27" s="190">
        <v>510408</v>
      </c>
      <c r="C27" s="191" t="s">
        <v>163</v>
      </c>
      <c r="D27" s="82">
        <v>9633.34</v>
      </c>
      <c r="E27" s="61">
        <v>3762.99</v>
      </c>
      <c r="F27" s="82"/>
      <c r="G27" s="82"/>
    </row>
    <row r="28" spans="2:9" ht="20.100000000000001" customHeight="1" x14ac:dyDescent="0.3">
      <c r="B28" s="190">
        <v>510409</v>
      </c>
      <c r="C28" s="191" t="s">
        <v>164</v>
      </c>
      <c r="D28" s="82">
        <v>600000</v>
      </c>
      <c r="E28" s="61"/>
      <c r="F28" s="82"/>
      <c r="G28" s="82"/>
    </row>
    <row r="29" spans="2:9" ht="20.100000000000001" customHeight="1" x14ac:dyDescent="0.3">
      <c r="B29" s="190"/>
      <c r="C29" s="189"/>
      <c r="D29" s="82"/>
      <c r="E29" s="61"/>
      <c r="F29" s="82"/>
      <c r="G29" s="82"/>
    </row>
    <row r="30" spans="2:9" ht="20.100000000000001" customHeight="1" x14ac:dyDescent="0.3">
      <c r="B30" s="188">
        <v>5105</v>
      </c>
      <c r="C30" s="189" t="s">
        <v>10</v>
      </c>
      <c r="D30" s="62">
        <f>D31</f>
        <v>267793.07</v>
      </c>
      <c r="E30" s="61"/>
      <c r="F30" s="62"/>
      <c r="G30" s="62"/>
    </row>
    <row r="31" spans="2:9" ht="20.100000000000001" customHeight="1" x14ac:dyDescent="0.3">
      <c r="B31" s="192" t="s">
        <v>30</v>
      </c>
      <c r="C31" s="191" t="s">
        <v>11</v>
      </c>
      <c r="D31" s="61">
        <v>267793.07</v>
      </c>
      <c r="E31" s="61"/>
      <c r="F31" s="61"/>
      <c r="G31" s="61"/>
    </row>
    <row r="32" spans="2:9" ht="20.100000000000001" customHeight="1" x14ac:dyDescent="0.3">
      <c r="B32" s="192"/>
      <c r="C32" s="191"/>
      <c r="D32" s="61"/>
      <c r="E32" s="61"/>
      <c r="F32" s="61"/>
      <c r="G32" s="61"/>
    </row>
    <row r="33" spans="2:9" ht="20.100000000000001" customHeight="1" x14ac:dyDescent="0.3">
      <c r="B33" s="188">
        <v>5106</v>
      </c>
      <c r="C33" s="189" t="s">
        <v>12</v>
      </c>
      <c r="D33" s="62">
        <f>D34+D35</f>
        <v>621989.17999999993</v>
      </c>
      <c r="E33" s="62">
        <f>E35</f>
        <v>23445.21</v>
      </c>
      <c r="F33" s="62"/>
      <c r="G33" s="62"/>
    </row>
    <row r="34" spans="2:9" ht="20.100000000000001" customHeight="1" x14ac:dyDescent="0.3">
      <c r="B34" s="192" t="s">
        <v>31</v>
      </c>
      <c r="C34" s="191" t="s">
        <v>13</v>
      </c>
      <c r="D34" s="82">
        <v>365521.1</v>
      </c>
      <c r="E34" s="61"/>
      <c r="F34" s="82"/>
      <c r="G34" s="82"/>
    </row>
    <row r="35" spans="2:9" ht="20.100000000000001" customHeight="1" x14ac:dyDescent="0.3">
      <c r="B35" s="192" t="s">
        <v>32</v>
      </c>
      <c r="C35" s="191" t="s">
        <v>14</v>
      </c>
      <c r="D35" s="82">
        <v>256468.08</v>
      </c>
      <c r="E35" s="61">
        <v>23445.21</v>
      </c>
      <c r="F35" s="82"/>
      <c r="G35" s="82"/>
    </row>
    <row r="36" spans="2:9" ht="20.100000000000001" customHeight="1" x14ac:dyDescent="0.3">
      <c r="B36" s="192" t="s">
        <v>151</v>
      </c>
      <c r="C36" s="191" t="s">
        <v>152</v>
      </c>
      <c r="D36" s="82">
        <v>0</v>
      </c>
      <c r="E36" s="61"/>
      <c r="F36" s="82"/>
      <c r="G36" s="82"/>
    </row>
    <row r="37" spans="2:9" ht="20.100000000000001" customHeight="1" x14ac:dyDescent="0.3">
      <c r="B37" s="190"/>
      <c r="C37" s="191"/>
      <c r="D37" s="61"/>
      <c r="E37" s="61"/>
      <c r="F37" s="61"/>
      <c r="G37" s="61"/>
    </row>
    <row r="38" spans="2:9" ht="20.100000000000001" customHeight="1" x14ac:dyDescent="0.3">
      <c r="B38" s="188">
        <v>5107</v>
      </c>
      <c r="C38" s="189" t="s">
        <v>153</v>
      </c>
      <c r="D38" s="62">
        <f>D40+D39</f>
        <v>218960.83</v>
      </c>
      <c r="E38" s="61"/>
      <c r="F38" s="62"/>
      <c r="G38" s="61"/>
    </row>
    <row r="39" spans="2:9" ht="20.100000000000001" customHeight="1" x14ac:dyDescent="0.3">
      <c r="B39" s="190">
        <v>510704</v>
      </c>
      <c r="C39" s="191" t="s">
        <v>154</v>
      </c>
      <c r="D39" s="82">
        <v>15000</v>
      </c>
      <c r="E39" s="61"/>
      <c r="F39" s="62"/>
      <c r="G39" s="61"/>
    </row>
    <row r="40" spans="2:9" ht="20.100000000000001" customHeight="1" x14ac:dyDescent="0.3">
      <c r="B40" s="190">
        <v>510705</v>
      </c>
      <c r="C40" s="191" t="s">
        <v>155</v>
      </c>
      <c r="D40" s="82">
        <v>203960.83</v>
      </c>
      <c r="E40" s="61"/>
      <c r="F40" s="61"/>
      <c r="G40" s="61"/>
    </row>
    <row r="41" spans="2:9" ht="20.100000000000001" customHeight="1" thickBot="1" x14ac:dyDescent="0.35">
      <c r="B41" s="193"/>
      <c r="C41" s="194"/>
      <c r="D41" s="195"/>
      <c r="E41" s="196"/>
      <c r="F41" s="195"/>
      <c r="G41" s="196"/>
    </row>
    <row r="42" spans="2:9" ht="20.100000000000001" customHeight="1" thickBot="1" x14ac:dyDescent="0.35">
      <c r="B42" s="197"/>
      <c r="C42" s="198" t="s">
        <v>6</v>
      </c>
      <c r="D42" s="199">
        <f>D14+D17+D21+D25+D30+D33+D38</f>
        <v>2593605.79</v>
      </c>
      <c r="E42" s="199">
        <f>E14+E17+E21+E25+E30+E33+E38</f>
        <v>477341.9</v>
      </c>
      <c r="F42" s="199"/>
      <c r="G42" s="199"/>
      <c r="I42" s="97"/>
    </row>
    <row r="43" spans="2:9" ht="20.100000000000001" customHeight="1" x14ac:dyDescent="0.3">
      <c r="B43" s="188">
        <v>7101</v>
      </c>
      <c r="C43" s="189" t="s">
        <v>8</v>
      </c>
      <c r="D43" s="200">
        <v>1958226.97</v>
      </c>
      <c r="E43" s="200">
        <v>2285568.41</v>
      </c>
      <c r="F43" s="90"/>
      <c r="G43" s="201"/>
      <c r="I43" s="97"/>
    </row>
    <row r="44" spans="2:9" ht="20.100000000000001" customHeight="1" x14ac:dyDescent="0.3">
      <c r="B44" s="190">
        <v>710106</v>
      </c>
      <c r="C44" s="191" t="s">
        <v>23</v>
      </c>
      <c r="D44" s="202">
        <v>1958226.97</v>
      </c>
      <c r="E44" s="202">
        <v>2285568.41</v>
      </c>
      <c r="F44" s="82"/>
      <c r="G44" s="202"/>
      <c r="I44" s="97"/>
    </row>
    <row r="45" spans="2:9" ht="20.100000000000001" customHeight="1" x14ac:dyDescent="0.3">
      <c r="B45" s="190"/>
      <c r="C45" s="191"/>
      <c r="D45" s="200"/>
      <c r="E45" s="200"/>
      <c r="F45" s="61"/>
      <c r="G45" s="200"/>
      <c r="I45" s="97"/>
    </row>
    <row r="46" spans="2:9" ht="20.100000000000001" customHeight="1" x14ac:dyDescent="0.3">
      <c r="B46" s="188">
        <v>7102</v>
      </c>
      <c r="C46" s="189" t="s">
        <v>9</v>
      </c>
      <c r="D46" s="200">
        <f>D47+D48</f>
        <v>724196.12</v>
      </c>
      <c r="E46" s="200">
        <v>190464.03</v>
      </c>
      <c r="F46" s="62"/>
      <c r="G46" s="200"/>
      <c r="I46" s="97"/>
    </row>
    <row r="47" spans="2:9" ht="20.100000000000001" customHeight="1" x14ac:dyDescent="0.3">
      <c r="B47" s="190">
        <v>710203</v>
      </c>
      <c r="C47" s="191" t="s">
        <v>24</v>
      </c>
      <c r="D47" s="202">
        <v>471495.7</v>
      </c>
      <c r="E47" s="202">
        <v>190464.03</v>
      </c>
      <c r="F47" s="82"/>
      <c r="G47" s="202"/>
      <c r="I47" s="97"/>
    </row>
    <row r="48" spans="2:9" ht="20.100000000000001" customHeight="1" x14ac:dyDescent="0.3">
      <c r="B48" s="190">
        <v>710204</v>
      </c>
      <c r="C48" s="191" t="s">
        <v>25</v>
      </c>
      <c r="D48" s="202">
        <v>252700.42</v>
      </c>
      <c r="E48" s="200"/>
      <c r="F48" s="82"/>
      <c r="G48" s="202"/>
      <c r="I48" s="97"/>
    </row>
    <row r="49" spans="2:9" ht="20.100000000000001" customHeight="1" x14ac:dyDescent="0.3">
      <c r="B49" s="190"/>
      <c r="C49" s="191"/>
      <c r="D49" s="200"/>
      <c r="E49" s="200"/>
      <c r="F49" s="82"/>
      <c r="G49" s="200"/>
      <c r="I49" s="97"/>
    </row>
    <row r="50" spans="2:9" ht="20.100000000000001" customHeight="1" x14ac:dyDescent="0.3">
      <c r="B50" s="188">
        <v>7103</v>
      </c>
      <c r="C50" s="189" t="s">
        <v>26</v>
      </c>
      <c r="D50" s="200">
        <f>D51+D52</f>
        <v>368280</v>
      </c>
      <c r="E50" s="200">
        <f>E51+E52</f>
        <v>804987</v>
      </c>
      <c r="F50" s="154"/>
      <c r="G50" s="200"/>
      <c r="I50" s="97"/>
    </row>
    <row r="51" spans="2:9" ht="20.100000000000001" customHeight="1" x14ac:dyDescent="0.3">
      <c r="B51" s="190">
        <v>710304</v>
      </c>
      <c r="C51" s="191" t="s">
        <v>27</v>
      </c>
      <c r="D51" s="202">
        <v>40920</v>
      </c>
      <c r="E51" s="202">
        <v>89443</v>
      </c>
      <c r="F51" s="82"/>
      <c r="G51" s="202"/>
      <c r="I51" s="97"/>
    </row>
    <row r="52" spans="2:9" ht="20.100000000000001" customHeight="1" x14ac:dyDescent="0.3">
      <c r="B52" s="190">
        <v>710306</v>
      </c>
      <c r="C52" s="191" t="s">
        <v>162</v>
      </c>
      <c r="D52" s="82">
        <v>327360</v>
      </c>
      <c r="E52" s="202">
        <v>715544</v>
      </c>
      <c r="F52" s="82"/>
      <c r="G52" s="202"/>
      <c r="I52" s="97"/>
    </row>
    <row r="53" spans="2:9" ht="20.100000000000001" customHeight="1" x14ac:dyDescent="0.3">
      <c r="B53" s="190"/>
      <c r="C53" s="191"/>
      <c r="D53" s="202"/>
      <c r="E53" s="200"/>
      <c r="F53" s="82"/>
      <c r="G53" s="200"/>
      <c r="I53" s="97"/>
    </row>
    <row r="54" spans="2:9" ht="20.100000000000001" customHeight="1" x14ac:dyDescent="0.3">
      <c r="B54" s="188">
        <v>7104</v>
      </c>
      <c r="C54" s="189" t="s">
        <v>16</v>
      </c>
      <c r="D54" s="200">
        <f>D55+D56</f>
        <v>86216.4</v>
      </c>
      <c r="E54" s="200">
        <v>32272.33</v>
      </c>
      <c r="F54" s="154"/>
      <c r="G54" s="200"/>
      <c r="I54" s="97"/>
    </row>
    <row r="55" spans="2:9" ht="20.100000000000001" customHeight="1" x14ac:dyDescent="0.3">
      <c r="B55" s="190">
        <v>710401</v>
      </c>
      <c r="C55" s="191" t="s">
        <v>129</v>
      </c>
      <c r="D55" s="202">
        <v>29937.01</v>
      </c>
      <c r="E55" s="200"/>
      <c r="F55" s="82"/>
      <c r="G55" s="202"/>
      <c r="I55" s="97"/>
    </row>
    <row r="56" spans="2:9" ht="20.100000000000001" customHeight="1" x14ac:dyDescent="0.3">
      <c r="B56" s="190">
        <v>710408</v>
      </c>
      <c r="C56" s="191" t="s">
        <v>165</v>
      </c>
      <c r="D56" s="202">
        <v>56279.39</v>
      </c>
      <c r="E56" s="202">
        <v>32272.33</v>
      </c>
      <c r="F56" s="82"/>
      <c r="G56" s="202"/>
      <c r="I56" s="97"/>
    </row>
    <row r="57" spans="2:9" ht="20.100000000000001" customHeight="1" x14ac:dyDescent="0.3">
      <c r="B57" s="190"/>
      <c r="C57" s="189"/>
      <c r="D57" s="202"/>
      <c r="E57" s="200"/>
      <c r="F57" s="82"/>
      <c r="G57" s="200"/>
      <c r="I57" s="97"/>
    </row>
    <row r="58" spans="2:9" ht="20.100000000000001" customHeight="1" x14ac:dyDescent="0.3">
      <c r="B58" s="188">
        <v>7105</v>
      </c>
      <c r="C58" s="189" t="s">
        <v>10</v>
      </c>
      <c r="D58" s="200">
        <v>806484.82</v>
      </c>
      <c r="E58" s="200"/>
      <c r="F58" s="62"/>
      <c r="G58" s="200"/>
      <c r="I58" s="97"/>
    </row>
    <row r="59" spans="2:9" ht="20.100000000000001" customHeight="1" x14ac:dyDescent="0.3">
      <c r="B59" s="192" t="s">
        <v>142</v>
      </c>
      <c r="C59" s="191" t="s">
        <v>11</v>
      </c>
      <c r="D59" s="202">
        <v>806484.82</v>
      </c>
      <c r="E59" s="200"/>
      <c r="F59" s="61"/>
      <c r="G59" s="202"/>
      <c r="I59" s="97"/>
    </row>
    <row r="60" spans="2:9" ht="20.100000000000001" customHeight="1" x14ac:dyDescent="0.3">
      <c r="B60" s="192"/>
      <c r="C60" s="191"/>
      <c r="D60" s="202"/>
      <c r="E60" s="200"/>
      <c r="F60" s="61"/>
      <c r="G60" s="202"/>
      <c r="I60" s="97"/>
    </row>
    <row r="61" spans="2:9" ht="20.100000000000001" customHeight="1" x14ac:dyDescent="0.3">
      <c r="B61" s="190"/>
      <c r="C61" s="191"/>
      <c r="D61" s="202"/>
      <c r="E61" s="200"/>
      <c r="F61" s="61"/>
      <c r="G61" s="200"/>
      <c r="I61" s="97"/>
    </row>
    <row r="62" spans="2:9" ht="20.100000000000001" customHeight="1" x14ac:dyDescent="0.3">
      <c r="B62" s="188">
        <v>7106</v>
      </c>
      <c r="C62" s="189" t="s">
        <v>12</v>
      </c>
      <c r="D62" s="200">
        <f>D63+D64</f>
        <v>1148690.8599999999</v>
      </c>
      <c r="E62" s="200">
        <v>190387.85</v>
      </c>
      <c r="F62" s="62"/>
      <c r="G62" s="200"/>
      <c r="I62" s="97"/>
    </row>
    <row r="63" spans="2:9" ht="20.100000000000001" customHeight="1" x14ac:dyDescent="0.3">
      <c r="B63" s="192" t="s">
        <v>143</v>
      </c>
      <c r="C63" s="191" t="s">
        <v>13</v>
      </c>
      <c r="D63" s="202">
        <v>671404.37</v>
      </c>
      <c r="E63" s="200"/>
      <c r="F63" s="82"/>
      <c r="G63" s="202"/>
      <c r="I63" s="97"/>
    </row>
    <row r="64" spans="2:9" ht="20.100000000000001" customHeight="1" x14ac:dyDescent="0.3">
      <c r="B64" s="192" t="s">
        <v>144</v>
      </c>
      <c r="C64" s="191" t="s">
        <v>14</v>
      </c>
      <c r="D64" s="202">
        <v>477286.49</v>
      </c>
      <c r="E64" s="202">
        <v>190387.85</v>
      </c>
      <c r="F64" s="82"/>
      <c r="G64" s="202"/>
      <c r="I64" s="97"/>
    </row>
    <row r="65" spans="2:10" ht="20.100000000000001" customHeight="1" x14ac:dyDescent="0.3">
      <c r="B65" s="192" t="s">
        <v>156</v>
      </c>
      <c r="C65" s="191" t="s">
        <v>152</v>
      </c>
      <c r="D65" s="202"/>
      <c r="E65" s="200"/>
      <c r="F65" s="82"/>
      <c r="G65" s="202"/>
      <c r="I65" s="97"/>
    </row>
    <row r="66" spans="2:10" ht="20.100000000000001" customHeight="1" x14ac:dyDescent="0.3">
      <c r="B66" s="192"/>
      <c r="C66" s="191"/>
      <c r="D66" s="202"/>
      <c r="E66" s="200"/>
      <c r="F66" s="82"/>
      <c r="G66" s="200"/>
      <c r="I66" s="97"/>
    </row>
    <row r="67" spans="2:10" ht="20.100000000000001" customHeight="1" x14ac:dyDescent="0.3">
      <c r="B67" s="188">
        <v>7107</v>
      </c>
      <c r="C67" s="189" t="s">
        <v>153</v>
      </c>
      <c r="D67" s="200">
        <f>D68+D69</f>
        <v>557457.55000000005</v>
      </c>
      <c r="E67" s="200"/>
      <c r="F67" s="62"/>
      <c r="G67" s="200"/>
      <c r="I67" s="97"/>
    </row>
    <row r="68" spans="2:10" ht="20.100000000000001" customHeight="1" x14ac:dyDescent="0.3">
      <c r="B68" s="214">
        <v>710704</v>
      </c>
      <c r="C68" s="203" t="s">
        <v>154</v>
      </c>
      <c r="D68" s="204">
        <v>20414.240000000002</v>
      </c>
      <c r="E68" s="205"/>
      <c r="F68" s="186"/>
      <c r="G68" s="205"/>
      <c r="I68" s="97"/>
    </row>
    <row r="69" spans="2:10" ht="20.100000000000001" customHeight="1" thickBot="1" x14ac:dyDescent="0.35">
      <c r="B69" s="215">
        <v>710705</v>
      </c>
      <c r="C69" s="212" t="s">
        <v>155</v>
      </c>
      <c r="D69" s="204">
        <v>537043.31000000006</v>
      </c>
      <c r="E69" s="205"/>
      <c r="F69" s="205"/>
      <c r="G69" s="205"/>
      <c r="I69" s="97"/>
    </row>
    <row r="70" spans="2:10" ht="20.100000000000001" customHeight="1" thickBot="1" x14ac:dyDescent="0.35">
      <c r="B70" s="197"/>
      <c r="C70" s="213" t="s">
        <v>6</v>
      </c>
      <c r="D70" s="199">
        <f>D43+D46+D50+D54+D58+D62+D67</f>
        <v>5649552.7199999997</v>
      </c>
      <c r="E70" s="199">
        <f>E43+E46+E50+E54+E58+E62+E67</f>
        <v>3503679.62</v>
      </c>
      <c r="F70" s="199"/>
      <c r="G70" s="199"/>
      <c r="I70" s="97"/>
    </row>
    <row r="71" spans="2:10" ht="20.100000000000001" customHeight="1" thickBot="1" x14ac:dyDescent="0.35">
      <c r="B71" s="206"/>
      <c r="C71" s="207" t="s">
        <v>146</v>
      </c>
      <c r="D71" s="208">
        <f>D42+D70</f>
        <v>8243158.5099999998</v>
      </c>
      <c r="E71" s="208">
        <f>E42+E70</f>
        <v>3981021.52</v>
      </c>
      <c r="F71" s="208"/>
      <c r="G71" s="208"/>
      <c r="I71" s="97"/>
    </row>
    <row r="72" spans="2:10" ht="20.100000000000001" customHeight="1" thickBot="1" x14ac:dyDescent="0.35">
      <c r="B72" s="209"/>
      <c r="C72" s="210" t="s">
        <v>7</v>
      </c>
      <c r="D72" s="221"/>
      <c r="E72" s="211"/>
      <c r="F72" s="211"/>
      <c r="G72" s="209"/>
      <c r="I72" s="97"/>
    </row>
    <row r="73" spans="2:10" ht="20.100000000000001" customHeight="1" x14ac:dyDescent="0.3">
      <c r="B73" s="35"/>
      <c r="C73" s="36"/>
      <c r="D73" s="35"/>
      <c r="E73" s="161"/>
      <c r="F73" s="35"/>
      <c r="G73" s="1"/>
      <c r="I73" s="103"/>
      <c r="J73" s="103"/>
    </row>
    <row r="74" spans="2:10" ht="20.100000000000001" customHeight="1" x14ac:dyDescent="0.3">
      <c r="B74" s="51" t="s">
        <v>123</v>
      </c>
      <c r="C74" s="36"/>
      <c r="D74" s="37"/>
      <c r="E74" s="161"/>
      <c r="F74" s="35"/>
      <c r="G74" s="2"/>
    </row>
    <row r="75" spans="2:10" ht="20.100000000000001" customHeight="1" x14ac:dyDescent="0.3">
      <c r="B75" s="51" t="s">
        <v>120</v>
      </c>
      <c r="C75" s="35"/>
      <c r="D75" s="35"/>
      <c r="E75" s="162"/>
      <c r="F75" s="37"/>
      <c r="G75" s="2"/>
    </row>
    <row r="76" spans="2:10" ht="20.100000000000001" customHeight="1" x14ac:dyDescent="0.3">
      <c r="B76" s="51" t="s">
        <v>124</v>
      </c>
      <c r="C76" s="35"/>
      <c r="D76" s="35"/>
      <c r="E76" s="162"/>
      <c r="F76" s="37"/>
      <c r="G76" s="2"/>
    </row>
    <row r="77" spans="2:10" ht="20.100000000000001" customHeight="1" x14ac:dyDescent="0.3">
      <c r="B77" s="51"/>
      <c r="C77" s="35"/>
      <c r="D77" s="35"/>
      <c r="E77" s="162"/>
      <c r="F77" s="37"/>
      <c r="G77" s="2"/>
    </row>
    <row r="78" spans="2:10" ht="20.100000000000001" customHeight="1" x14ac:dyDescent="0.3">
      <c r="B78" s="167" t="s">
        <v>149</v>
      </c>
      <c r="C78" s="35"/>
      <c r="D78" s="35"/>
      <c r="E78" s="162"/>
      <c r="F78" s="37"/>
      <c r="G78" s="2"/>
    </row>
    <row r="79" spans="2:10" ht="20.100000000000001" customHeight="1" x14ac:dyDescent="0.3">
      <c r="B79" s="51"/>
      <c r="C79" s="35"/>
      <c r="D79" s="35"/>
      <c r="E79" s="162"/>
      <c r="F79" s="37"/>
      <c r="G79" s="2"/>
    </row>
    <row r="80" spans="2:10" ht="20.100000000000001" customHeight="1" x14ac:dyDescent="0.3">
      <c r="B80" s="35"/>
      <c r="C80" s="35"/>
      <c r="D80" s="35"/>
      <c r="E80" s="162"/>
      <c r="F80" s="37"/>
      <c r="G80" s="2"/>
    </row>
    <row r="81" spans="2:7" ht="20.100000000000001" customHeight="1" x14ac:dyDescent="0.3">
      <c r="B81" s="35"/>
      <c r="C81" s="35"/>
      <c r="D81" s="35"/>
      <c r="E81" s="162"/>
      <c r="F81" s="37"/>
      <c r="G81" s="2"/>
    </row>
    <row r="82" spans="2:7" ht="20.100000000000001" customHeight="1" x14ac:dyDescent="0.3">
      <c r="B82" s="35"/>
      <c r="C82" s="35"/>
      <c r="D82" s="35"/>
      <c r="E82" s="161"/>
      <c r="F82" s="2"/>
    </row>
    <row r="83" spans="2:7" ht="20.100000000000001" customHeight="1" x14ac:dyDescent="0.3">
      <c r="B83" s="248" t="s">
        <v>114</v>
      </c>
      <c r="C83" s="248"/>
      <c r="D83" s="81"/>
      <c r="E83" s="163"/>
      <c r="F83" s="2"/>
    </row>
    <row r="84" spans="2:7" ht="20.100000000000001" customHeight="1" x14ac:dyDescent="0.3">
      <c r="B84" s="81"/>
      <c r="C84" s="81"/>
      <c r="D84" s="81"/>
      <c r="E84" s="163"/>
      <c r="F84" s="2"/>
    </row>
    <row r="85" spans="2:7" ht="20.100000000000001" customHeight="1" x14ac:dyDescent="0.3">
      <c r="B85" s="31" t="s">
        <v>115</v>
      </c>
      <c r="C85" s="165" t="s">
        <v>148</v>
      </c>
      <c r="D85" s="5"/>
      <c r="E85" s="29"/>
      <c r="F85" s="2"/>
    </row>
    <row r="86" spans="2:7" ht="20.100000000000001" customHeight="1" x14ac:dyDescent="0.3">
      <c r="B86" s="31" t="s">
        <v>121</v>
      </c>
      <c r="C86" s="35" t="s">
        <v>168</v>
      </c>
      <c r="D86" s="35"/>
      <c r="E86" s="161"/>
      <c r="F86" s="1"/>
    </row>
    <row r="87" spans="2:7" ht="20.100000000000001" customHeight="1" x14ac:dyDescent="0.3">
      <c r="B87" s="31" t="s">
        <v>122</v>
      </c>
      <c r="C87" s="35"/>
      <c r="D87" s="35"/>
      <c r="E87" s="161"/>
      <c r="F87" s="1"/>
    </row>
    <row r="88" spans="2:7" ht="20.100000000000001" customHeight="1" x14ac:dyDescent="0.25">
      <c r="E88" s="160"/>
    </row>
    <row r="89" spans="2:7" ht="20.100000000000001" customHeight="1" x14ac:dyDescent="0.25">
      <c r="E89" s="160"/>
    </row>
    <row r="90" spans="2:7" ht="20.100000000000001" customHeight="1" x14ac:dyDescent="0.25">
      <c r="E90" s="160"/>
    </row>
    <row r="91" spans="2:7" ht="20.100000000000001" customHeight="1" x14ac:dyDescent="0.25">
      <c r="E91" s="160"/>
    </row>
    <row r="92" spans="2:7" ht="20.100000000000001" customHeight="1" x14ac:dyDescent="0.25">
      <c r="E92" s="160"/>
    </row>
    <row r="93" spans="2:7" ht="20.100000000000001" customHeight="1" x14ac:dyDescent="0.25">
      <c r="E93" s="160"/>
    </row>
    <row r="94" spans="2:7" ht="20.100000000000001" customHeight="1" x14ac:dyDescent="0.25">
      <c r="E94" s="160"/>
    </row>
    <row r="95" spans="2:7" ht="20.100000000000001" customHeight="1" x14ac:dyDescent="0.25">
      <c r="E95" s="160"/>
    </row>
    <row r="96" spans="2:7" ht="20.100000000000001" customHeight="1" x14ac:dyDescent="0.25">
      <c r="E96" s="160"/>
    </row>
    <row r="97" spans="5:5" ht="20.100000000000001" customHeight="1" x14ac:dyDescent="0.25">
      <c r="E97" s="160"/>
    </row>
    <row r="98" spans="5:5" ht="20.100000000000001" customHeight="1" x14ac:dyDescent="0.25">
      <c r="E98" s="160"/>
    </row>
    <row r="99" spans="5:5" ht="20.100000000000001" customHeight="1" x14ac:dyDescent="0.25">
      <c r="E99" s="160"/>
    </row>
    <row r="100" spans="5:5" ht="20.100000000000001" customHeight="1" x14ac:dyDescent="0.25">
      <c r="E100" s="160"/>
    </row>
    <row r="101" spans="5:5" ht="20.100000000000001" customHeight="1" x14ac:dyDescent="0.25">
      <c r="E101" s="160"/>
    </row>
    <row r="102" spans="5:5" ht="20.100000000000001" customHeight="1" x14ac:dyDescent="0.25">
      <c r="E102" s="160"/>
    </row>
    <row r="103" spans="5:5" ht="20.100000000000001" customHeight="1" x14ac:dyDescent="0.25">
      <c r="E103" s="160"/>
    </row>
    <row r="104" spans="5:5" ht="20.100000000000001" customHeight="1" x14ac:dyDescent="0.25">
      <c r="E104" s="160"/>
    </row>
    <row r="105" spans="5:5" ht="20.100000000000001" customHeight="1" x14ac:dyDescent="0.25">
      <c r="E105" s="160"/>
    </row>
    <row r="106" spans="5:5" ht="20.100000000000001" customHeight="1" x14ac:dyDescent="0.25">
      <c r="E106" s="160"/>
    </row>
    <row r="107" spans="5:5" ht="20.100000000000001" customHeight="1" x14ac:dyDescent="0.25">
      <c r="E107" s="160"/>
    </row>
    <row r="108" spans="5:5" ht="20.100000000000001" customHeight="1" x14ac:dyDescent="0.25">
      <c r="E108" s="160"/>
    </row>
    <row r="109" spans="5:5" ht="20.100000000000001" customHeight="1" x14ac:dyDescent="0.25">
      <c r="E109" s="160"/>
    </row>
    <row r="110" spans="5:5" ht="20.100000000000001" customHeight="1" x14ac:dyDescent="0.25">
      <c r="E110" s="160"/>
    </row>
    <row r="111" spans="5:5" ht="20.100000000000001" customHeight="1" x14ac:dyDescent="0.25">
      <c r="E111" s="160"/>
    </row>
    <row r="112" spans="5:5" ht="20.100000000000001" customHeight="1" x14ac:dyDescent="0.25">
      <c r="E112" s="160"/>
    </row>
    <row r="113" spans="5:5" ht="20.100000000000001" customHeight="1" x14ac:dyDescent="0.25">
      <c r="E113" s="160"/>
    </row>
    <row r="114" spans="5:5" ht="20.100000000000001" customHeight="1" x14ac:dyDescent="0.25">
      <c r="E114" s="160"/>
    </row>
    <row r="115" spans="5:5" ht="20.100000000000001" customHeight="1" x14ac:dyDescent="0.25">
      <c r="E115" s="164"/>
    </row>
    <row r="116" spans="5:5" ht="20.100000000000001" customHeight="1" x14ac:dyDescent="0.25">
      <c r="E116" s="164"/>
    </row>
    <row r="117" spans="5:5" ht="20.100000000000001" customHeight="1" x14ac:dyDescent="0.25">
      <c r="E117" s="164"/>
    </row>
    <row r="118" spans="5:5" ht="20.100000000000001" customHeight="1" x14ac:dyDescent="0.25">
      <c r="E118" s="164"/>
    </row>
    <row r="119" spans="5:5" ht="20.100000000000001" customHeight="1" x14ac:dyDescent="0.25">
      <c r="E119" s="164"/>
    </row>
    <row r="120" spans="5:5" ht="20.100000000000001" customHeight="1" x14ac:dyDescent="0.25">
      <c r="E120" s="164"/>
    </row>
    <row r="121" spans="5:5" ht="20.100000000000001" customHeight="1" x14ac:dyDescent="0.25">
      <c r="E121" s="164"/>
    </row>
    <row r="122" spans="5:5" ht="20.100000000000001" customHeight="1" x14ac:dyDescent="0.25">
      <c r="E122" s="164"/>
    </row>
    <row r="123" spans="5:5" ht="20.100000000000001" customHeight="1" x14ac:dyDescent="0.25">
      <c r="E123" s="164"/>
    </row>
    <row r="124" spans="5:5" ht="20.100000000000001" customHeight="1" x14ac:dyDescent="0.25">
      <c r="E124" s="164"/>
    </row>
    <row r="125" spans="5:5" ht="20.100000000000001" customHeight="1" x14ac:dyDescent="0.25">
      <c r="E125" s="164"/>
    </row>
    <row r="126" spans="5:5" ht="20.100000000000001" customHeight="1" x14ac:dyDescent="0.25">
      <c r="E126" s="164"/>
    </row>
    <row r="127" spans="5:5" ht="20.100000000000001" customHeight="1" x14ac:dyDescent="0.25">
      <c r="E127" s="164"/>
    </row>
    <row r="128" spans="5:5" ht="20.100000000000001" customHeight="1" x14ac:dyDescent="0.25">
      <c r="E128" s="164"/>
    </row>
    <row r="129" spans="5:5" ht="20.100000000000001" customHeight="1" x14ac:dyDescent="0.25">
      <c r="E129" s="164"/>
    </row>
    <row r="130" spans="5:5" ht="20.100000000000001" customHeight="1" x14ac:dyDescent="0.25">
      <c r="E130" s="164"/>
    </row>
    <row r="131" spans="5:5" ht="20.100000000000001" customHeight="1" x14ac:dyDescent="0.25">
      <c r="E131" s="164"/>
    </row>
    <row r="132" spans="5:5" ht="20.100000000000001" customHeight="1" x14ac:dyDescent="0.25">
      <c r="E132" s="164"/>
    </row>
    <row r="133" spans="5:5" ht="20.100000000000001" customHeight="1" x14ac:dyDescent="0.25">
      <c r="E133" s="164"/>
    </row>
    <row r="134" spans="5:5" ht="20.100000000000001" customHeight="1" x14ac:dyDescent="0.25">
      <c r="E134" s="164"/>
    </row>
    <row r="135" spans="5:5" ht="20.100000000000001" customHeight="1" x14ac:dyDescent="0.25">
      <c r="E135" s="164"/>
    </row>
    <row r="136" spans="5:5" ht="20.100000000000001" customHeight="1" x14ac:dyDescent="0.25">
      <c r="E136" s="164"/>
    </row>
    <row r="137" spans="5:5" ht="20.100000000000001" customHeight="1" x14ac:dyDescent="0.25">
      <c r="E137" s="164"/>
    </row>
    <row r="138" spans="5:5" ht="20.100000000000001" customHeight="1" x14ac:dyDescent="0.25">
      <c r="E138" s="164"/>
    </row>
    <row r="139" spans="5:5" ht="20.100000000000001" customHeight="1" x14ac:dyDescent="0.25">
      <c r="E139" s="164"/>
    </row>
    <row r="140" spans="5:5" ht="20.100000000000001" customHeight="1" x14ac:dyDescent="0.25">
      <c r="E140" s="164"/>
    </row>
    <row r="141" spans="5:5" ht="20.100000000000001" customHeight="1" x14ac:dyDescent="0.25">
      <c r="E141" s="164"/>
    </row>
    <row r="142" spans="5:5" ht="20.100000000000001" customHeight="1" x14ac:dyDescent="0.25">
      <c r="E142" s="164"/>
    </row>
    <row r="143" spans="5:5" ht="20.100000000000001" customHeight="1" x14ac:dyDescent="0.25">
      <c r="E143" s="164"/>
    </row>
    <row r="144" spans="5:5" ht="20.100000000000001" customHeight="1" x14ac:dyDescent="0.25">
      <c r="E144" s="164"/>
    </row>
    <row r="145" spans="5:5" ht="20.100000000000001" customHeight="1" x14ac:dyDescent="0.25">
      <c r="E145" s="164"/>
    </row>
    <row r="146" spans="5:5" ht="20.100000000000001" customHeight="1" x14ac:dyDescent="0.25">
      <c r="E146" s="164"/>
    </row>
    <row r="147" spans="5:5" ht="20.100000000000001" customHeight="1" x14ac:dyDescent="0.25">
      <c r="E147" s="164"/>
    </row>
    <row r="148" spans="5:5" ht="20.100000000000001" customHeight="1" x14ac:dyDescent="0.25">
      <c r="E148" s="164"/>
    </row>
    <row r="149" spans="5:5" ht="20.100000000000001" customHeight="1" x14ac:dyDescent="0.25">
      <c r="E149" s="164"/>
    </row>
    <row r="150" spans="5:5" ht="20.100000000000001" customHeight="1" x14ac:dyDescent="0.25">
      <c r="E150" s="164"/>
    </row>
    <row r="151" spans="5:5" ht="20.100000000000001" customHeight="1" x14ac:dyDescent="0.25">
      <c r="E151" s="164"/>
    </row>
    <row r="152" spans="5:5" ht="20.100000000000001" customHeight="1" x14ac:dyDescent="0.25">
      <c r="E152" s="164"/>
    </row>
    <row r="153" spans="5:5" ht="20.100000000000001" customHeight="1" x14ac:dyDescent="0.25">
      <c r="E153" s="164"/>
    </row>
    <row r="154" spans="5:5" ht="20.100000000000001" customHeight="1" x14ac:dyDescent="0.25">
      <c r="E154" s="164"/>
    </row>
    <row r="155" spans="5:5" ht="20.100000000000001" customHeight="1" x14ac:dyDescent="0.25">
      <c r="E155" s="164"/>
    </row>
    <row r="156" spans="5:5" ht="20.100000000000001" customHeight="1" x14ac:dyDescent="0.25">
      <c r="E156" s="164"/>
    </row>
    <row r="157" spans="5:5" ht="20.100000000000001" customHeight="1" x14ac:dyDescent="0.25">
      <c r="E157" s="164"/>
    </row>
    <row r="158" spans="5:5" ht="20.100000000000001" customHeight="1" x14ac:dyDescent="0.25">
      <c r="E158" s="164"/>
    </row>
    <row r="159" spans="5:5" ht="20.100000000000001" customHeight="1" x14ac:dyDescent="0.25">
      <c r="E159" s="164"/>
    </row>
    <row r="160" spans="5:5" ht="20.100000000000001" customHeight="1" x14ac:dyDescent="0.25">
      <c r="E160" s="164"/>
    </row>
    <row r="161" spans="5:5" ht="20.100000000000001" customHeight="1" x14ac:dyDescent="0.25">
      <c r="E161" s="164"/>
    </row>
    <row r="162" spans="5:5" ht="20.100000000000001" customHeight="1" x14ac:dyDescent="0.25">
      <c r="E162" s="164"/>
    </row>
    <row r="163" spans="5:5" ht="20.100000000000001" customHeight="1" x14ac:dyDescent="0.25">
      <c r="E163" s="164"/>
    </row>
    <row r="164" spans="5:5" ht="20.100000000000001" customHeight="1" x14ac:dyDescent="0.25">
      <c r="E164" s="164"/>
    </row>
    <row r="165" spans="5:5" ht="20.100000000000001" customHeight="1" x14ac:dyDescent="0.25">
      <c r="E165" s="164"/>
    </row>
    <row r="166" spans="5:5" ht="20.100000000000001" customHeight="1" x14ac:dyDescent="0.25">
      <c r="E166" s="164"/>
    </row>
    <row r="167" spans="5:5" ht="20.100000000000001" customHeight="1" x14ac:dyDescent="0.25">
      <c r="E167" s="164"/>
    </row>
    <row r="168" spans="5:5" ht="20.100000000000001" customHeight="1" x14ac:dyDescent="0.25">
      <c r="E168" s="164"/>
    </row>
    <row r="169" spans="5:5" ht="20.100000000000001" customHeight="1" x14ac:dyDescent="0.25">
      <c r="E169" s="164"/>
    </row>
    <row r="170" spans="5:5" ht="20.100000000000001" customHeight="1" x14ac:dyDescent="0.25">
      <c r="E170" s="164"/>
    </row>
    <row r="171" spans="5:5" ht="20.100000000000001" customHeight="1" x14ac:dyDescent="0.25">
      <c r="E171" s="164"/>
    </row>
    <row r="172" spans="5:5" ht="20.100000000000001" customHeight="1" x14ac:dyDescent="0.25">
      <c r="E172" s="164"/>
    </row>
    <row r="173" spans="5:5" ht="20.100000000000001" customHeight="1" x14ac:dyDescent="0.25">
      <c r="E173" s="164"/>
    </row>
    <row r="174" spans="5:5" ht="20.100000000000001" customHeight="1" x14ac:dyDescent="0.25">
      <c r="E174" s="164"/>
    </row>
    <row r="175" spans="5:5" ht="20.100000000000001" customHeight="1" x14ac:dyDescent="0.25">
      <c r="E175" s="164"/>
    </row>
    <row r="176" spans="5:5" ht="20.100000000000001" customHeight="1" x14ac:dyDescent="0.25">
      <c r="E176" s="164"/>
    </row>
    <row r="177" spans="5:5" ht="20.100000000000001" customHeight="1" x14ac:dyDescent="0.25">
      <c r="E177" s="164"/>
    </row>
    <row r="178" spans="5:5" ht="20.100000000000001" customHeight="1" x14ac:dyDescent="0.25">
      <c r="E178" s="164"/>
    </row>
    <row r="179" spans="5:5" ht="20.100000000000001" customHeight="1" x14ac:dyDescent="0.25">
      <c r="E179" s="164"/>
    </row>
    <row r="180" spans="5:5" ht="20.100000000000001" customHeight="1" x14ac:dyDescent="0.25">
      <c r="E180" s="164"/>
    </row>
    <row r="181" spans="5:5" ht="20.100000000000001" customHeight="1" x14ac:dyDescent="0.25">
      <c r="E181" s="164"/>
    </row>
    <row r="182" spans="5:5" ht="20.100000000000001" customHeight="1" x14ac:dyDescent="0.25">
      <c r="E182" s="164"/>
    </row>
    <row r="183" spans="5:5" ht="20.100000000000001" customHeight="1" x14ac:dyDescent="0.25">
      <c r="E183" s="164"/>
    </row>
    <row r="184" spans="5:5" ht="20.100000000000001" customHeight="1" x14ac:dyDescent="0.25">
      <c r="E184" s="164"/>
    </row>
    <row r="185" spans="5:5" ht="20.100000000000001" customHeight="1" x14ac:dyDescent="0.25">
      <c r="E185" s="164"/>
    </row>
    <row r="186" spans="5:5" ht="20.100000000000001" customHeight="1" x14ac:dyDescent="0.25">
      <c r="E186" s="164"/>
    </row>
    <row r="187" spans="5:5" ht="20.100000000000001" customHeight="1" x14ac:dyDescent="0.25">
      <c r="E187" s="164"/>
    </row>
    <row r="188" spans="5:5" ht="20.100000000000001" customHeight="1" x14ac:dyDescent="0.25">
      <c r="E188" s="164"/>
    </row>
    <row r="189" spans="5:5" ht="20.100000000000001" customHeight="1" x14ac:dyDescent="0.25">
      <c r="E189" s="164"/>
    </row>
    <row r="190" spans="5:5" ht="20.100000000000001" customHeight="1" x14ac:dyDescent="0.25">
      <c r="E190" s="164"/>
    </row>
    <row r="191" spans="5:5" ht="20.100000000000001" customHeight="1" x14ac:dyDescent="0.25">
      <c r="E191" s="164"/>
    </row>
    <row r="192" spans="5:5" ht="20.100000000000001" customHeight="1" x14ac:dyDescent="0.25">
      <c r="E192" s="164"/>
    </row>
    <row r="193" spans="5:5" ht="20.100000000000001" customHeight="1" x14ac:dyDescent="0.25">
      <c r="E193" s="164"/>
    </row>
    <row r="194" spans="5:5" ht="20.100000000000001" customHeight="1" x14ac:dyDescent="0.25">
      <c r="E194" s="164"/>
    </row>
    <row r="195" spans="5:5" ht="20.100000000000001" customHeight="1" x14ac:dyDescent="0.25">
      <c r="E195" s="164"/>
    </row>
    <row r="196" spans="5:5" ht="20.100000000000001" customHeight="1" x14ac:dyDescent="0.25">
      <c r="E196" s="164"/>
    </row>
    <row r="197" spans="5:5" ht="20.100000000000001" customHeight="1" x14ac:dyDescent="0.25">
      <c r="E197" s="164"/>
    </row>
    <row r="198" spans="5:5" ht="20.100000000000001" customHeight="1" x14ac:dyDescent="0.25">
      <c r="E198" s="164"/>
    </row>
    <row r="199" spans="5:5" ht="20.100000000000001" customHeight="1" x14ac:dyDescent="0.25">
      <c r="E199" s="164"/>
    </row>
    <row r="200" spans="5:5" ht="20.100000000000001" customHeight="1" x14ac:dyDescent="0.25">
      <c r="E200" s="164"/>
    </row>
    <row r="201" spans="5:5" ht="20.100000000000001" customHeight="1" x14ac:dyDescent="0.25">
      <c r="E201" s="164"/>
    </row>
    <row r="202" spans="5:5" ht="20.100000000000001" customHeight="1" x14ac:dyDescent="0.25">
      <c r="E202" s="164"/>
    </row>
    <row r="203" spans="5:5" ht="20.100000000000001" customHeight="1" x14ac:dyDescent="0.25">
      <c r="E203" s="164"/>
    </row>
    <row r="204" spans="5:5" ht="20.100000000000001" customHeight="1" x14ac:dyDescent="0.25">
      <c r="E204" s="164"/>
    </row>
    <row r="205" spans="5:5" ht="20.100000000000001" customHeight="1" x14ac:dyDescent="0.25">
      <c r="E205" s="164"/>
    </row>
    <row r="206" spans="5:5" ht="20.100000000000001" customHeight="1" x14ac:dyDescent="0.25">
      <c r="E206" s="164"/>
    </row>
    <row r="207" spans="5:5" ht="20.100000000000001" customHeight="1" x14ac:dyDescent="0.25">
      <c r="E207" s="164"/>
    </row>
    <row r="208" spans="5:5" ht="20.100000000000001" customHeight="1" x14ac:dyDescent="0.25">
      <c r="E208" s="164"/>
    </row>
    <row r="209" spans="5:5" ht="20.100000000000001" customHeight="1" x14ac:dyDescent="0.25">
      <c r="E209" s="164"/>
    </row>
    <row r="210" spans="5:5" ht="20.100000000000001" customHeight="1" x14ac:dyDescent="0.25">
      <c r="E210" s="164"/>
    </row>
    <row r="211" spans="5:5" ht="20.100000000000001" customHeight="1" x14ac:dyDescent="0.25">
      <c r="E211" s="164"/>
    </row>
    <row r="212" spans="5:5" ht="20.100000000000001" customHeight="1" x14ac:dyDescent="0.25">
      <c r="E212" s="164"/>
    </row>
    <row r="213" spans="5:5" ht="20.100000000000001" customHeight="1" x14ac:dyDescent="0.25">
      <c r="E213" s="164"/>
    </row>
    <row r="214" spans="5:5" ht="20.100000000000001" customHeight="1" x14ac:dyDescent="0.25">
      <c r="E214" s="164"/>
    </row>
    <row r="215" spans="5:5" ht="20.100000000000001" customHeight="1" x14ac:dyDescent="0.25">
      <c r="E215" s="164"/>
    </row>
    <row r="216" spans="5:5" ht="20.100000000000001" customHeight="1" x14ac:dyDescent="0.25">
      <c r="E216" s="164"/>
    </row>
    <row r="217" spans="5:5" ht="20.100000000000001" customHeight="1" x14ac:dyDescent="0.25">
      <c r="E217" s="164"/>
    </row>
    <row r="218" spans="5:5" ht="20.100000000000001" customHeight="1" x14ac:dyDescent="0.25">
      <c r="E218" s="164"/>
    </row>
    <row r="219" spans="5:5" ht="20.100000000000001" customHeight="1" x14ac:dyDescent="0.25">
      <c r="E219" s="164"/>
    </row>
    <row r="220" spans="5:5" ht="20.100000000000001" customHeight="1" x14ac:dyDescent="0.25">
      <c r="E220" s="164"/>
    </row>
    <row r="221" spans="5:5" ht="20.100000000000001" customHeight="1" x14ac:dyDescent="0.25">
      <c r="E221" s="164"/>
    </row>
    <row r="222" spans="5:5" ht="20.100000000000001" customHeight="1" x14ac:dyDescent="0.25">
      <c r="E222" s="164"/>
    </row>
    <row r="223" spans="5:5" ht="20.100000000000001" customHeight="1" x14ac:dyDescent="0.25">
      <c r="E223" s="164"/>
    </row>
    <row r="224" spans="5:5" ht="20.100000000000001" customHeight="1" x14ac:dyDescent="0.25">
      <c r="E224" s="164"/>
    </row>
    <row r="225" spans="5:5" ht="20.100000000000001" customHeight="1" x14ac:dyDescent="0.25">
      <c r="E225" s="164"/>
    </row>
    <row r="226" spans="5:5" ht="20.100000000000001" customHeight="1" x14ac:dyDescent="0.25">
      <c r="E226" s="164"/>
    </row>
    <row r="227" spans="5:5" ht="20.100000000000001" customHeight="1" x14ac:dyDescent="0.25">
      <c r="E227" s="164"/>
    </row>
    <row r="228" spans="5:5" ht="20.100000000000001" customHeight="1" x14ac:dyDescent="0.25">
      <c r="E228" s="164"/>
    </row>
    <row r="229" spans="5:5" ht="20.100000000000001" customHeight="1" x14ac:dyDescent="0.25">
      <c r="E229" s="164"/>
    </row>
    <row r="230" spans="5:5" ht="20.100000000000001" customHeight="1" x14ac:dyDescent="0.25">
      <c r="E230" s="164"/>
    </row>
    <row r="231" spans="5:5" ht="20.100000000000001" customHeight="1" x14ac:dyDescent="0.25">
      <c r="E231" s="164"/>
    </row>
    <row r="232" spans="5:5" ht="20.100000000000001" customHeight="1" x14ac:dyDescent="0.25">
      <c r="E232" s="164"/>
    </row>
    <row r="233" spans="5:5" ht="20.100000000000001" customHeight="1" x14ac:dyDescent="0.25">
      <c r="E233" s="164"/>
    </row>
    <row r="234" spans="5:5" ht="20.100000000000001" customHeight="1" x14ac:dyDescent="0.25">
      <c r="E234" s="164"/>
    </row>
    <row r="235" spans="5:5" ht="20.100000000000001" customHeight="1" x14ac:dyDescent="0.25">
      <c r="E235" s="164"/>
    </row>
    <row r="236" spans="5:5" ht="20.100000000000001" customHeight="1" x14ac:dyDescent="0.25">
      <c r="E236" s="164"/>
    </row>
    <row r="237" spans="5:5" ht="20.100000000000001" customHeight="1" x14ac:dyDescent="0.25">
      <c r="E237" s="164"/>
    </row>
    <row r="238" spans="5:5" ht="20.100000000000001" customHeight="1" x14ac:dyDescent="0.25">
      <c r="E238" s="164"/>
    </row>
    <row r="239" spans="5:5" ht="20.100000000000001" customHeight="1" x14ac:dyDescent="0.25">
      <c r="E239" s="164"/>
    </row>
    <row r="240" spans="5:5" ht="20.100000000000001" customHeight="1" x14ac:dyDescent="0.25">
      <c r="E240" s="164"/>
    </row>
    <row r="241" spans="5:5" ht="20.100000000000001" customHeight="1" x14ac:dyDescent="0.25">
      <c r="E241" s="164"/>
    </row>
    <row r="242" spans="5:5" ht="20.100000000000001" customHeight="1" x14ac:dyDescent="0.25">
      <c r="E242" s="164"/>
    </row>
    <row r="243" spans="5:5" ht="20.100000000000001" customHeight="1" x14ac:dyDescent="0.25">
      <c r="E243" s="164"/>
    </row>
    <row r="244" spans="5:5" ht="20.100000000000001" customHeight="1" x14ac:dyDescent="0.25">
      <c r="E244" s="164"/>
    </row>
    <row r="245" spans="5:5" ht="20.100000000000001" customHeight="1" x14ac:dyDescent="0.25">
      <c r="E245" s="164"/>
    </row>
    <row r="246" spans="5:5" ht="20.100000000000001" customHeight="1" x14ac:dyDescent="0.25">
      <c r="E246" s="164"/>
    </row>
    <row r="247" spans="5:5" ht="20.100000000000001" customHeight="1" x14ac:dyDescent="0.25">
      <c r="E247" s="164"/>
    </row>
    <row r="248" spans="5:5" ht="20.100000000000001" customHeight="1" x14ac:dyDescent="0.25">
      <c r="E248" s="164"/>
    </row>
    <row r="249" spans="5:5" ht="20.100000000000001" customHeight="1" x14ac:dyDescent="0.25">
      <c r="E249" s="164"/>
    </row>
    <row r="250" spans="5:5" ht="20.100000000000001" customHeight="1" x14ac:dyDescent="0.25">
      <c r="E250" s="164"/>
    </row>
    <row r="251" spans="5:5" ht="20.100000000000001" customHeight="1" x14ac:dyDescent="0.25">
      <c r="E251" s="164"/>
    </row>
    <row r="252" spans="5:5" ht="20.100000000000001" customHeight="1" x14ac:dyDescent="0.25">
      <c r="E252" s="164"/>
    </row>
    <row r="253" spans="5:5" ht="20.100000000000001" customHeight="1" x14ac:dyDescent="0.25">
      <c r="E253" s="164"/>
    </row>
    <row r="254" spans="5:5" ht="20.100000000000001" customHeight="1" x14ac:dyDescent="0.25">
      <c r="E254" s="164"/>
    </row>
    <row r="255" spans="5:5" ht="20.100000000000001" customHeight="1" x14ac:dyDescent="0.25">
      <c r="E255" s="164"/>
    </row>
    <row r="256" spans="5:5" ht="20.100000000000001" customHeight="1" x14ac:dyDescent="0.25">
      <c r="E256" s="164"/>
    </row>
    <row r="257" spans="5:5" ht="20.100000000000001" customHeight="1" x14ac:dyDescent="0.25">
      <c r="E257" s="164"/>
    </row>
    <row r="258" spans="5:5" ht="20.100000000000001" customHeight="1" x14ac:dyDescent="0.25">
      <c r="E258" s="164"/>
    </row>
    <row r="259" spans="5:5" ht="20.100000000000001" customHeight="1" x14ac:dyDescent="0.25">
      <c r="E259" s="164"/>
    </row>
    <row r="260" spans="5:5" ht="20.100000000000001" customHeight="1" x14ac:dyDescent="0.25">
      <c r="E260" s="164"/>
    </row>
    <row r="261" spans="5:5" ht="20.100000000000001" customHeight="1" x14ac:dyDescent="0.25">
      <c r="E261" s="164"/>
    </row>
    <row r="262" spans="5:5" ht="20.100000000000001" customHeight="1" x14ac:dyDescent="0.25">
      <c r="E262" s="164"/>
    </row>
    <row r="263" spans="5:5" ht="20.100000000000001" customHeight="1" x14ac:dyDescent="0.25">
      <c r="E263" s="164"/>
    </row>
    <row r="264" spans="5:5" ht="20.100000000000001" customHeight="1" x14ac:dyDescent="0.25">
      <c r="E264" s="164"/>
    </row>
    <row r="265" spans="5:5" ht="20.100000000000001" customHeight="1" x14ac:dyDescent="0.25">
      <c r="E265" s="164"/>
    </row>
    <row r="266" spans="5:5" ht="20.100000000000001" customHeight="1" x14ac:dyDescent="0.25">
      <c r="E266" s="164"/>
    </row>
    <row r="267" spans="5:5" ht="20.100000000000001" customHeight="1" x14ac:dyDescent="0.25">
      <c r="E267" s="164"/>
    </row>
    <row r="268" spans="5:5" ht="20.100000000000001" customHeight="1" x14ac:dyDescent="0.25">
      <c r="E268" s="164"/>
    </row>
  </sheetData>
  <mergeCells count="5">
    <mergeCell ref="B83:C83"/>
    <mergeCell ref="B13:G13"/>
    <mergeCell ref="B4:G4"/>
    <mergeCell ref="B5:G5"/>
    <mergeCell ref="B6:G6"/>
  </mergeCells>
  <phoneticPr fontId="0" type="noConversion"/>
  <printOptions horizontalCentered="1"/>
  <pageMargins left="0" right="0" top="0" bottom="0" header="0" footer="0"/>
  <pageSetup paperSize="9" scale="47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J393"/>
  <sheetViews>
    <sheetView zoomScaleNormal="100" workbookViewId="0">
      <pane xSplit="1" ySplit="11" topLeftCell="B307" activePane="bottomRight" state="frozen"/>
      <selection pane="topRight" activeCell="B1" sqref="B1"/>
      <selection pane="bottomLeft" activeCell="A12" sqref="A12"/>
      <selection pane="bottomRight" activeCell="B391" sqref="B391"/>
    </sheetView>
  </sheetViews>
  <sheetFormatPr baseColWidth="10" defaultColWidth="11.44140625" defaultRowHeight="20.100000000000001" customHeight="1" x14ac:dyDescent="0.3"/>
  <cols>
    <col min="1" max="1" width="13.88671875" style="39" customWidth="1"/>
    <col min="2" max="2" width="47.109375" style="39" bestFit="1" customWidth="1"/>
    <col min="3" max="3" width="9.5546875" style="39" customWidth="1"/>
    <col min="4" max="4" width="7.6640625" style="39" customWidth="1"/>
    <col min="5" max="5" width="48.33203125" style="39" customWidth="1"/>
    <col min="6" max="6" width="16.44140625" style="39" customWidth="1"/>
    <col min="7" max="7" width="15" style="39" customWidth="1"/>
    <col min="8" max="9" width="18.6640625" style="39" customWidth="1"/>
    <col min="10" max="10" width="26.88671875" style="1" customWidth="1"/>
    <col min="11" max="16384" width="11.44140625" style="1"/>
  </cols>
  <sheetData>
    <row r="3" spans="1:10" ht="19.5" customHeight="1" x14ac:dyDescent="0.25">
      <c r="A3" s="282" t="s">
        <v>140</v>
      </c>
      <c r="B3" s="282"/>
      <c r="C3" s="282"/>
      <c r="D3" s="282"/>
      <c r="E3" s="282"/>
      <c r="F3" s="282"/>
      <c r="G3" s="282"/>
      <c r="H3" s="282"/>
      <c r="I3" s="282"/>
      <c r="J3" s="282"/>
    </row>
    <row r="4" spans="1:10" ht="23.25" customHeight="1" x14ac:dyDescent="0.25">
      <c r="A4" s="282" t="s">
        <v>118</v>
      </c>
      <c r="B4" s="282"/>
      <c r="C4" s="282"/>
      <c r="D4" s="282"/>
      <c r="E4" s="282"/>
      <c r="F4" s="282"/>
      <c r="G4" s="282"/>
      <c r="H4" s="282"/>
      <c r="I4" s="282"/>
      <c r="J4" s="282"/>
    </row>
    <row r="5" spans="1:10" ht="15.9" customHeight="1" x14ac:dyDescent="0.25">
      <c r="A5" s="282" t="s">
        <v>19</v>
      </c>
      <c r="B5" s="282"/>
      <c r="C5" s="282"/>
      <c r="D5" s="282"/>
      <c r="E5" s="282"/>
      <c r="F5" s="282"/>
      <c r="G5" s="282"/>
      <c r="H5" s="282"/>
      <c r="I5" s="282"/>
      <c r="J5" s="282"/>
    </row>
    <row r="6" spans="1:10" ht="15.9" customHeight="1" x14ac:dyDescent="0.3">
      <c r="A6" s="227"/>
      <c r="B6" s="227"/>
      <c r="C6" s="227"/>
      <c r="D6" s="227"/>
      <c r="E6" s="227"/>
      <c r="F6" s="227"/>
      <c r="G6" s="227"/>
      <c r="H6" s="227"/>
      <c r="I6" s="227"/>
    </row>
    <row r="7" spans="1:10" ht="15.9" customHeight="1" x14ac:dyDescent="0.3">
      <c r="A7" s="40" t="s">
        <v>962</v>
      </c>
      <c r="B7" s="227"/>
      <c r="C7" s="227"/>
      <c r="D7" s="227"/>
      <c r="E7" s="227"/>
      <c r="F7" s="227"/>
      <c r="G7" s="227"/>
      <c r="H7" s="227"/>
      <c r="I7" s="227"/>
    </row>
    <row r="8" spans="1:10" ht="15.9" customHeight="1" x14ac:dyDescent="0.3">
      <c r="A8" s="40" t="s">
        <v>134</v>
      </c>
      <c r="B8" s="43"/>
      <c r="C8" s="44"/>
      <c r="D8" s="44"/>
      <c r="E8" s="32"/>
      <c r="F8" s="32"/>
      <c r="G8" s="32"/>
      <c r="H8" s="32"/>
      <c r="I8" s="32"/>
    </row>
    <row r="9" spans="1:10" ht="15.9" customHeight="1" x14ac:dyDescent="0.3">
      <c r="A9" s="42" t="s">
        <v>136</v>
      </c>
      <c r="B9" s="34"/>
      <c r="C9" s="34"/>
      <c r="D9" s="34"/>
      <c r="E9" s="34"/>
      <c r="F9" s="34"/>
      <c r="G9" s="34"/>
      <c r="H9" s="34"/>
      <c r="I9" s="34"/>
    </row>
    <row r="10" spans="1:10" ht="15.9" customHeight="1" thickBot="1" x14ac:dyDescent="0.35">
      <c r="A10" s="42"/>
      <c r="B10" s="34"/>
      <c r="C10" s="34"/>
      <c r="D10" s="34"/>
      <c r="E10" s="34"/>
      <c r="F10" s="34"/>
      <c r="G10" s="34"/>
      <c r="H10" s="34"/>
      <c r="I10" s="34"/>
    </row>
    <row r="11" spans="1:10" ht="79.5" customHeight="1" thickBot="1" x14ac:dyDescent="0.3">
      <c r="A11" s="228" t="s">
        <v>20</v>
      </c>
      <c r="B11" s="229" t="s">
        <v>0</v>
      </c>
      <c r="C11" s="229" t="s">
        <v>21</v>
      </c>
      <c r="D11" s="229" t="s">
        <v>22</v>
      </c>
      <c r="E11" s="229" t="s">
        <v>36</v>
      </c>
      <c r="F11" s="229" t="s">
        <v>37</v>
      </c>
      <c r="G11" s="230" t="s">
        <v>38</v>
      </c>
      <c r="H11" s="230" t="s">
        <v>38</v>
      </c>
      <c r="I11" s="230" t="s">
        <v>141</v>
      </c>
      <c r="J11" s="230" t="s">
        <v>131</v>
      </c>
    </row>
    <row r="12" spans="1:10" s="235" customFormat="1" ht="10.199999999999999" x14ac:dyDescent="0.2">
      <c r="A12" s="231" t="s">
        <v>170</v>
      </c>
      <c r="B12" s="232" t="s">
        <v>171</v>
      </c>
      <c r="C12" s="233">
        <v>1</v>
      </c>
      <c r="D12" s="232" t="s">
        <v>172</v>
      </c>
      <c r="E12" s="232" t="s">
        <v>173</v>
      </c>
      <c r="F12" s="234">
        <v>425</v>
      </c>
      <c r="G12" s="234">
        <v>561</v>
      </c>
      <c r="H12" s="232"/>
      <c r="I12" s="232"/>
      <c r="J12" s="232"/>
    </row>
    <row r="13" spans="1:10" s="241" customFormat="1" ht="10.199999999999999" x14ac:dyDescent="0.2">
      <c r="A13" s="231">
        <v>703543728</v>
      </c>
      <c r="B13" s="236" t="s">
        <v>174</v>
      </c>
      <c r="C13" s="237">
        <f t="shared" ref="C13:C76" si="0">C12+1</f>
        <v>2</v>
      </c>
      <c r="D13" s="238" t="s">
        <v>175</v>
      </c>
      <c r="E13" s="236" t="s">
        <v>176</v>
      </c>
      <c r="F13" s="234">
        <v>817</v>
      </c>
      <c r="G13" s="234">
        <v>738</v>
      </c>
      <c r="H13" s="239"/>
      <c r="I13" s="239"/>
      <c r="J13" s="240"/>
    </row>
    <row r="14" spans="1:10" s="235" customFormat="1" ht="10.199999999999999" x14ac:dyDescent="0.2">
      <c r="A14" s="231" t="s">
        <v>177</v>
      </c>
      <c r="B14" s="232" t="s">
        <v>178</v>
      </c>
      <c r="C14" s="237">
        <f t="shared" si="0"/>
        <v>3</v>
      </c>
      <c r="D14" s="238" t="s">
        <v>175</v>
      </c>
      <c r="E14" s="232" t="s">
        <v>176</v>
      </c>
      <c r="F14" s="234">
        <v>559</v>
      </c>
      <c r="G14" s="234">
        <v>738</v>
      </c>
      <c r="H14" s="232"/>
      <c r="I14" s="232"/>
      <c r="J14" s="232"/>
    </row>
    <row r="15" spans="1:10" s="235" customFormat="1" ht="10.199999999999999" x14ac:dyDescent="0.2">
      <c r="A15" s="231" t="s">
        <v>179</v>
      </c>
      <c r="B15" s="232" t="s">
        <v>180</v>
      </c>
      <c r="C15" s="237">
        <f t="shared" si="0"/>
        <v>4</v>
      </c>
      <c r="D15" s="232" t="s">
        <v>181</v>
      </c>
      <c r="E15" s="232" t="s">
        <v>182</v>
      </c>
      <c r="F15" s="242">
        <v>512</v>
      </c>
      <c r="G15" s="234">
        <v>596</v>
      </c>
      <c r="H15" s="232"/>
      <c r="I15" s="232"/>
      <c r="J15" s="232"/>
    </row>
    <row r="16" spans="1:10" s="235" customFormat="1" ht="10.199999999999999" x14ac:dyDescent="0.2">
      <c r="A16" s="231" t="s">
        <v>183</v>
      </c>
      <c r="B16" s="232" t="s">
        <v>184</v>
      </c>
      <c r="C16" s="237">
        <f t="shared" si="0"/>
        <v>5</v>
      </c>
      <c r="D16" s="232" t="s">
        <v>185</v>
      </c>
      <c r="E16" s="232" t="s">
        <v>186</v>
      </c>
      <c r="F16" s="234">
        <v>571.02</v>
      </c>
      <c r="G16" s="234">
        <v>614</v>
      </c>
      <c r="H16" s="232"/>
      <c r="I16" s="232"/>
      <c r="J16" s="232"/>
    </row>
    <row r="17" spans="1:10" s="235" customFormat="1" ht="10.199999999999999" x14ac:dyDescent="0.2">
      <c r="A17" s="231" t="s">
        <v>187</v>
      </c>
      <c r="B17" s="232" t="s">
        <v>188</v>
      </c>
      <c r="C17" s="237">
        <f t="shared" si="0"/>
        <v>6</v>
      </c>
      <c r="D17" s="232" t="s">
        <v>185</v>
      </c>
      <c r="E17" s="232" t="s">
        <v>186</v>
      </c>
      <c r="F17" s="234">
        <v>512</v>
      </c>
      <c r="G17" s="234">
        <v>614</v>
      </c>
      <c r="H17" s="232"/>
      <c r="I17" s="232"/>
      <c r="J17" s="232"/>
    </row>
    <row r="18" spans="1:10" s="235" customFormat="1" ht="10.199999999999999" x14ac:dyDescent="0.2">
      <c r="A18" s="231" t="s">
        <v>189</v>
      </c>
      <c r="B18" s="232" t="s">
        <v>190</v>
      </c>
      <c r="C18" s="233">
        <f t="shared" si="0"/>
        <v>7</v>
      </c>
      <c r="D18" s="232" t="s">
        <v>172</v>
      </c>
      <c r="E18" s="232" t="s">
        <v>191</v>
      </c>
      <c r="F18" s="242">
        <v>512.37</v>
      </c>
      <c r="G18" s="234">
        <v>561</v>
      </c>
      <c r="H18" s="232"/>
      <c r="I18" s="232"/>
      <c r="J18" s="232"/>
    </row>
    <row r="19" spans="1:10" s="235" customFormat="1" ht="10.199999999999999" x14ac:dyDescent="0.2">
      <c r="A19" s="231" t="s">
        <v>192</v>
      </c>
      <c r="B19" s="232" t="s">
        <v>193</v>
      </c>
      <c r="C19" s="233">
        <f t="shared" si="0"/>
        <v>8</v>
      </c>
      <c r="D19" s="232" t="s">
        <v>172</v>
      </c>
      <c r="E19" s="232" t="s">
        <v>194</v>
      </c>
      <c r="F19" s="234">
        <v>568.80999999999995</v>
      </c>
      <c r="G19" s="234">
        <v>561</v>
      </c>
      <c r="H19" s="232"/>
      <c r="I19" s="232"/>
      <c r="J19" s="232"/>
    </row>
    <row r="20" spans="1:10" s="235" customFormat="1" ht="10.199999999999999" x14ac:dyDescent="0.2">
      <c r="A20" s="231" t="s">
        <v>195</v>
      </c>
      <c r="B20" s="232" t="s">
        <v>196</v>
      </c>
      <c r="C20" s="233">
        <f t="shared" si="0"/>
        <v>9</v>
      </c>
      <c r="D20" s="232" t="s">
        <v>172</v>
      </c>
      <c r="E20" s="232" t="s">
        <v>197</v>
      </c>
      <c r="F20" s="234">
        <v>425</v>
      </c>
      <c r="G20" s="234">
        <v>561</v>
      </c>
      <c r="H20" s="232"/>
      <c r="I20" s="232"/>
      <c r="J20" s="232"/>
    </row>
    <row r="21" spans="1:10" s="235" customFormat="1" ht="10.199999999999999" x14ac:dyDescent="0.2">
      <c r="A21" s="231" t="s">
        <v>198</v>
      </c>
      <c r="B21" s="232" t="s">
        <v>199</v>
      </c>
      <c r="C21" s="233">
        <f t="shared" si="0"/>
        <v>10</v>
      </c>
      <c r="D21" s="232" t="s">
        <v>181</v>
      </c>
      <c r="E21" s="232" t="s">
        <v>182</v>
      </c>
      <c r="F21" s="234">
        <v>512</v>
      </c>
      <c r="G21" s="234">
        <v>596</v>
      </c>
      <c r="H21" s="232"/>
      <c r="I21" s="232"/>
      <c r="J21" s="232"/>
    </row>
    <row r="22" spans="1:10" s="235" customFormat="1" ht="10.199999999999999" x14ac:dyDescent="0.2">
      <c r="A22" s="231" t="s">
        <v>200</v>
      </c>
      <c r="B22" s="232" t="s">
        <v>201</v>
      </c>
      <c r="C22" s="233">
        <f t="shared" si="0"/>
        <v>11</v>
      </c>
      <c r="D22" s="232" t="s">
        <v>172</v>
      </c>
      <c r="E22" s="232" t="s">
        <v>194</v>
      </c>
      <c r="F22" s="234">
        <v>561.05999999999995</v>
      </c>
      <c r="G22" s="234">
        <v>561</v>
      </c>
      <c r="H22" s="232"/>
      <c r="I22" s="232"/>
      <c r="J22" s="232"/>
    </row>
    <row r="23" spans="1:10" s="235" customFormat="1" ht="10.199999999999999" x14ac:dyDescent="0.2">
      <c r="A23" s="231" t="s">
        <v>202</v>
      </c>
      <c r="B23" s="232" t="s">
        <v>203</v>
      </c>
      <c r="C23" s="233">
        <f t="shared" si="0"/>
        <v>12</v>
      </c>
      <c r="D23" s="232" t="s">
        <v>185</v>
      </c>
      <c r="E23" s="232" t="s">
        <v>186</v>
      </c>
      <c r="F23" s="234">
        <v>512</v>
      </c>
      <c r="G23" s="234">
        <v>614</v>
      </c>
      <c r="H23" s="232"/>
      <c r="I23" s="232"/>
      <c r="J23" s="232"/>
    </row>
    <row r="24" spans="1:10" s="235" customFormat="1" ht="10.199999999999999" x14ac:dyDescent="0.2">
      <c r="A24" s="231" t="s">
        <v>204</v>
      </c>
      <c r="B24" s="232" t="s">
        <v>205</v>
      </c>
      <c r="C24" s="233">
        <f t="shared" si="0"/>
        <v>13</v>
      </c>
      <c r="D24" s="238" t="s">
        <v>175</v>
      </c>
      <c r="E24" s="232" t="s">
        <v>176</v>
      </c>
      <c r="F24" s="234">
        <v>559</v>
      </c>
      <c r="G24" s="234">
        <v>738</v>
      </c>
      <c r="H24" s="232"/>
      <c r="I24" s="232"/>
      <c r="J24" s="232"/>
    </row>
    <row r="25" spans="1:10" s="235" customFormat="1" ht="10.199999999999999" x14ac:dyDescent="0.2">
      <c r="A25" s="231" t="s">
        <v>206</v>
      </c>
      <c r="B25" s="232" t="s">
        <v>207</v>
      </c>
      <c r="C25" s="233">
        <f t="shared" si="0"/>
        <v>14</v>
      </c>
      <c r="D25" s="232" t="s">
        <v>172</v>
      </c>
      <c r="E25" s="232" t="s">
        <v>194</v>
      </c>
      <c r="F25" s="242">
        <v>488</v>
      </c>
      <c r="G25" s="234">
        <v>561</v>
      </c>
      <c r="H25" s="232"/>
      <c r="I25" s="232"/>
      <c r="J25" s="232"/>
    </row>
    <row r="26" spans="1:10" s="235" customFormat="1" ht="10.199999999999999" x14ac:dyDescent="0.2">
      <c r="A26" s="231" t="s">
        <v>208</v>
      </c>
      <c r="B26" s="232" t="s">
        <v>209</v>
      </c>
      <c r="C26" s="233">
        <f t="shared" si="0"/>
        <v>15</v>
      </c>
      <c r="D26" s="238" t="s">
        <v>175</v>
      </c>
      <c r="E26" s="232" t="s">
        <v>210</v>
      </c>
      <c r="F26" s="234">
        <v>559</v>
      </c>
      <c r="G26" s="234">
        <v>738</v>
      </c>
      <c r="H26" s="232"/>
      <c r="I26" s="232"/>
      <c r="J26" s="232"/>
    </row>
    <row r="27" spans="1:10" s="235" customFormat="1" ht="10.199999999999999" x14ac:dyDescent="0.2">
      <c r="A27" s="231" t="s">
        <v>211</v>
      </c>
      <c r="B27" s="232" t="s">
        <v>212</v>
      </c>
      <c r="C27" s="233">
        <f t="shared" si="0"/>
        <v>16</v>
      </c>
      <c r="D27" s="238" t="s">
        <v>175</v>
      </c>
      <c r="E27" s="232" t="s">
        <v>210</v>
      </c>
      <c r="F27" s="234">
        <v>559</v>
      </c>
      <c r="G27" s="234">
        <v>738</v>
      </c>
      <c r="H27" s="232"/>
      <c r="I27" s="232"/>
      <c r="J27" s="232"/>
    </row>
    <row r="28" spans="1:10" s="235" customFormat="1" ht="10.199999999999999" x14ac:dyDescent="0.2">
      <c r="A28" s="231" t="s">
        <v>213</v>
      </c>
      <c r="B28" s="232" t="s">
        <v>214</v>
      </c>
      <c r="C28" s="233">
        <f t="shared" si="0"/>
        <v>17</v>
      </c>
      <c r="D28" s="238" t="s">
        <v>175</v>
      </c>
      <c r="E28" s="232" t="s">
        <v>210</v>
      </c>
      <c r="F28" s="234">
        <v>559</v>
      </c>
      <c r="G28" s="234">
        <v>738</v>
      </c>
      <c r="H28" s="232"/>
      <c r="I28" s="232"/>
      <c r="J28" s="232"/>
    </row>
    <row r="29" spans="1:10" s="235" customFormat="1" ht="10.199999999999999" x14ac:dyDescent="0.2">
      <c r="A29" s="231" t="s">
        <v>215</v>
      </c>
      <c r="B29" s="232" t="s">
        <v>216</v>
      </c>
      <c r="C29" s="233">
        <f t="shared" si="0"/>
        <v>18</v>
      </c>
      <c r="D29" s="232" t="s">
        <v>172</v>
      </c>
      <c r="E29" s="232" t="s">
        <v>194</v>
      </c>
      <c r="F29" s="234">
        <v>538.92999999999995</v>
      </c>
      <c r="G29" s="234">
        <v>561</v>
      </c>
      <c r="H29" s="232"/>
      <c r="I29" s="232"/>
      <c r="J29" s="232"/>
    </row>
    <row r="30" spans="1:10" s="235" customFormat="1" ht="10.199999999999999" x14ac:dyDescent="0.2">
      <c r="A30" s="231" t="s">
        <v>217</v>
      </c>
      <c r="B30" s="232" t="s">
        <v>218</v>
      </c>
      <c r="C30" s="233">
        <f t="shared" si="0"/>
        <v>19</v>
      </c>
      <c r="D30" s="232" t="s">
        <v>172</v>
      </c>
      <c r="E30" s="232" t="s">
        <v>219</v>
      </c>
      <c r="F30" s="234">
        <v>489</v>
      </c>
      <c r="G30" s="234">
        <v>561</v>
      </c>
      <c r="H30" s="232"/>
      <c r="I30" s="232"/>
      <c r="J30" s="232"/>
    </row>
    <row r="31" spans="1:10" s="235" customFormat="1" ht="10.199999999999999" x14ac:dyDescent="0.2">
      <c r="A31" s="231" t="s">
        <v>220</v>
      </c>
      <c r="B31" s="232" t="s">
        <v>221</v>
      </c>
      <c r="C31" s="233">
        <f t="shared" si="0"/>
        <v>20</v>
      </c>
      <c r="D31" s="232" t="s">
        <v>181</v>
      </c>
      <c r="E31" s="232" t="s">
        <v>182</v>
      </c>
      <c r="F31" s="242">
        <v>512</v>
      </c>
      <c r="G31" s="234">
        <v>596</v>
      </c>
      <c r="H31" s="232"/>
      <c r="I31" s="232"/>
      <c r="J31" s="232"/>
    </row>
    <row r="32" spans="1:10" s="235" customFormat="1" ht="10.199999999999999" x14ac:dyDescent="0.2">
      <c r="A32" s="231" t="s">
        <v>222</v>
      </c>
      <c r="B32" s="232" t="s">
        <v>223</v>
      </c>
      <c r="C32" s="233">
        <f t="shared" si="0"/>
        <v>21</v>
      </c>
      <c r="D32" s="232" t="s">
        <v>172</v>
      </c>
      <c r="E32" s="232" t="s">
        <v>173</v>
      </c>
      <c r="F32" s="234">
        <v>425</v>
      </c>
      <c r="G32" s="234">
        <v>561</v>
      </c>
      <c r="H32" s="232"/>
      <c r="I32" s="232"/>
      <c r="J32" s="232"/>
    </row>
    <row r="33" spans="1:10" s="235" customFormat="1" ht="10.199999999999999" x14ac:dyDescent="0.2">
      <c r="A33" s="231" t="s">
        <v>224</v>
      </c>
      <c r="B33" s="232" t="s">
        <v>225</v>
      </c>
      <c r="C33" s="233">
        <f t="shared" si="0"/>
        <v>22</v>
      </c>
      <c r="D33" s="232" t="s">
        <v>172</v>
      </c>
      <c r="E33" s="232" t="s">
        <v>191</v>
      </c>
      <c r="F33" s="242">
        <v>488</v>
      </c>
      <c r="G33" s="234">
        <v>561</v>
      </c>
      <c r="H33" s="232"/>
      <c r="I33" s="232"/>
      <c r="J33" s="232"/>
    </row>
    <row r="34" spans="1:10" s="235" customFormat="1" ht="10.199999999999999" x14ac:dyDescent="0.2">
      <c r="A34" s="231" t="s">
        <v>226</v>
      </c>
      <c r="B34" s="232" t="s">
        <v>227</v>
      </c>
      <c r="C34" s="233">
        <f t="shared" si="0"/>
        <v>23</v>
      </c>
      <c r="D34" s="238" t="s">
        <v>175</v>
      </c>
      <c r="E34" s="232" t="s">
        <v>210</v>
      </c>
      <c r="F34" s="234">
        <v>559</v>
      </c>
      <c r="G34" s="234">
        <v>738</v>
      </c>
      <c r="H34" s="232"/>
      <c r="I34" s="232"/>
      <c r="J34" s="232"/>
    </row>
    <row r="35" spans="1:10" s="235" customFormat="1" ht="10.199999999999999" x14ac:dyDescent="0.2">
      <c r="A35" s="231" t="s">
        <v>228</v>
      </c>
      <c r="B35" s="232" t="s">
        <v>229</v>
      </c>
      <c r="C35" s="233">
        <f t="shared" si="0"/>
        <v>24</v>
      </c>
      <c r="D35" s="232" t="s">
        <v>181</v>
      </c>
      <c r="E35" s="232" t="s">
        <v>182</v>
      </c>
      <c r="F35" s="234">
        <v>512</v>
      </c>
      <c r="G35" s="234">
        <v>596</v>
      </c>
      <c r="H35" s="232"/>
      <c r="I35" s="232"/>
      <c r="J35" s="232"/>
    </row>
    <row r="36" spans="1:10" s="235" customFormat="1" ht="10.199999999999999" x14ac:dyDescent="0.2">
      <c r="A36" s="231" t="s">
        <v>230</v>
      </c>
      <c r="B36" s="232" t="s">
        <v>231</v>
      </c>
      <c r="C36" s="233">
        <f t="shared" si="0"/>
        <v>25</v>
      </c>
      <c r="D36" s="238" t="s">
        <v>175</v>
      </c>
      <c r="E36" s="232" t="s">
        <v>210</v>
      </c>
      <c r="F36" s="234">
        <v>559</v>
      </c>
      <c r="G36" s="234">
        <v>738</v>
      </c>
      <c r="H36" s="232"/>
      <c r="I36" s="232"/>
      <c r="J36" s="232"/>
    </row>
    <row r="37" spans="1:10" s="235" customFormat="1" ht="10.199999999999999" x14ac:dyDescent="0.2">
      <c r="A37" s="231" t="s">
        <v>232</v>
      </c>
      <c r="B37" s="232" t="s">
        <v>233</v>
      </c>
      <c r="C37" s="233">
        <f t="shared" si="0"/>
        <v>26</v>
      </c>
      <c r="D37" s="232" t="s">
        <v>181</v>
      </c>
      <c r="E37" s="232" t="s">
        <v>182</v>
      </c>
      <c r="F37" s="234">
        <v>512</v>
      </c>
      <c r="G37" s="234">
        <v>596</v>
      </c>
      <c r="H37" s="232"/>
      <c r="I37" s="232"/>
      <c r="J37" s="232"/>
    </row>
    <row r="38" spans="1:10" s="235" customFormat="1" ht="10.199999999999999" x14ac:dyDescent="0.2">
      <c r="A38" s="231" t="s">
        <v>234</v>
      </c>
      <c r="B38" s="232" t="s">
        <v>235</v>
      </c>
      <c r="C38" s="233">
        <f t="shared" si="0"/>
        <v>27</v>
      </c>
      <c r="D38" s="232" t="s">
        <v>172</v>
      </c>
      <c r="E38" s="232" t="s">
        <v>194</v>
      </c>
      <c r="F38" s="242">
        <v>425</v>
      </c>
      <c r="G38" s="234">
        <v>561</v>
      </c>
      <c r="H38" s="232"/>
      <c r="I38" s="232"/>
      <c r="J38" s="232"/>
    </row>
    <row r="39" spans="1:10" s="235" customFormat="1" ht="10.199999999999999" x14ac:dyDescent="0.2">
      <c r="A39" s="231" t="s">
        <v>236</v>
      </c>
      <c r="B39" s="232" t="s">
        <v>237</v>
      </c>
      <c r="C39" s="233">
        <f t="shared" si="0"/>
        <v>28</v>
      </c>
      <c r="D39" s="232" t="s">
        <v>181</v>
      </c>
      <c r="E39" s="232" t="s">
        <v>182</v>
      </c>
      <c r="F39" s="242">
        <v>588.73</v>
      </c>
      <c r="G39" s="234">
        <v>596</v>
      </c>
      <c r="H39" s="232"/>
      <c r="I39" s="232"/>
      <c r="J39" s="232"/>
    </row>
    <row r="40" spans="1:10" s="235" customFormat="1" ht="10.199999999999999" x14ac:dyDescent="0.2">
      <c r="A40" s="231" t="s">
        <v>238</v>
      </c>
      <c r="B40" s="232" t="s">
        <v>239</v>
      </c>
      <c r="C40" s="233">
        <f t="shared" si="0"/>
        <v>29</v>
      </c>
      <c r="D40" s="232" t="s">
        <v>172</v>
      </c>
      <c r="E40" s="232" t="s">
        <v>240</v>
      </c>
      <c r="F40" s="234">
        <v>526.75</v>
      </c>
      <c r="G40" s="234">
        <v>561</v>
      </c>
      <c r="H40" s="232"/>
      <c r="I40" s="232"/>
      <c r="J40" s="232"/>
    </row>
    <row r="41" spans="1:10" s="235" customFormat="1" ht="10.199999999999999" x14ac:dyDescent="0.2">
      <c r="A41" s="231" t="s">
        <v>241</v>
      </c>
      <c r="B41" s="232" t="s">
        <v>242</v>
      </c>
      <c r="C41" s="233">
        <f t="shared" si="0"/>
        <v>30</v>
      </c>
      <c r="D41" s="232" t="s">
        <v>172</v>
      </c>
      <c r="E41" s="232" t="s">
        <v>243</v>
      </c>
      <c r="F41" s="234">
        <v>425</v>
      </c>
      <c r="G41" s="234">
        <v>561</v>
      </c>
      <c r="H41" s="232"/>
      <c r="I41" s="232"/>
      <c r="J41" s="232"/>
    </row>
    <row r="42" spans="1:10" s="235" customFormat="1" ht="10.199999999999999" x14ac:dyDescent="0.2">
      <c r="A42" s="231" t="s">
        <v>244</v>
      </c>
      <c r="B42" s="232" t="s">
        <v>245</v>
      </c>
      <c r="C42" s="233">
        <f t="shared" si="0"/>
        <v>31</v>
      </c>
      <c r="D42" s="232" t="s">
        <v>181</v>
      </c>
      <c r="E42" s="232" t="s">
        <v>182</v>
      </c>
      <c r="F42" s="242">
        <v>512</v>
      </c>
      <c r="G42" s="234">
        <v>596</v>
      </c>
      <c r="H42" s="232"/>
      <c r="I42" s="232"/>
      <c r="J42" s="232"/>
    </row>
    <row r="43" spans="1:10" s="235" customFormat="1" ht="10.199999999999999" x14ac:dyDescent="0.2">
      <c r="A43" s="231" t="s">
        <v>246</v>
      </c>
      <c r="B43" s="232" t="s">
        <v>247</v>
      </c>
      <c r="C43" s="233">
        <f t="shared" si="0"/>
        <v>32</v>
      </c>
      <c r="D43" s="232" t="s">
        <v>172</v>
      </c>
      <c r="E43" s="232" t="s">
        <v>191</v>
      </c>
      <c r="F43" s="242">
        <v>488</v>
      </c>
      <c r="G43" s="234">
        <v>561</v>
      </c>
      <c r="H43" s="232"/>
      <c r="I43" s="232"/>
      <c r="J43" s="232"/>
    </row>
    <row r="44" spans="1:10" s="235" customFormat="1" ht="10.199999999999999" x14ac:dyDescent="0.2">
      <c r="A44" s="231" t="s">
        <v>248</v>
      </c>
      <c r="B44" s="232" t="s">
        <v>249</v>
      </c>
      <c r="C44" s="233">
        <f t="shared" si="0"/>
        <v>33</v>
      </c>
      <c r="D44" s="232" t="s">
        <v>172</v>
      </c>
      <c r="E44" s="232" t="s">
        <v>250</v>
      </c>
      <c r="F44" s="234">
        <v>488</v>
      </c>
      <c r="G44" s="234">
        <v>561</v>
      </c>
      <c r="H44" s="232"/>
      <c r="I44" s="232"/>
      <c r="J44" s="232"/>
    </row>
    <row r="45" spans="1:10" s="235" customFormat="1" ht="10.199999999999999" x14ac:dyDescent="0.2">
      <c r="A45" s="231" t="s">
        <v>251</v>
      </c>
      <c r="B45" s="232" t="s">
        <v>252</v>
      </c>
      <c r="C45" s="233">
        <f t="shared" si="0"/>
        <v>34</v>
      </c>
      <c r="D45" s="232" t="s">
        <v>185</v>
      </c>
      <c r="E45" s="232" t="s">
        <v>186</v>
      </c>
      <c r="F45" s="234">
        <v>512</v>
      </c>
      <c r="G45" s="234">
        <v>614</v>
      </c>
      <c r="H45" s="232"/>
      <c r="I45" s="232"/>
      <c r="J45" s="232"/>
    </row>
    <row r="46" spans="1:10" s="235" customFormat="1" ht="10.199999999999999" x14ac:dyDescent="0.2">
      <c r="A46" s="231" t="s">
        <v>253</v>
      </c>
      <c r="B46" s="232" t="s">
        <v>254</v>
      </c>
      <c r="C46" s="233">
        <f t="shared" si="0"/>
        <v>35</v>
      </c>
      <c r="D46" s="232" t="s">
        <v>255</v>
      </c>
      <c r="E46" s="232" t="s">
        <v>256</v>
      </c>
      <c r="F46" s="234">
        <v>520</v>
      </c>
      <c r="G46" s="234">
        <v>578</v>
      </c>
      <c r="H46" s="232"/>
      <c r="I46" s="232"/>
      <c r="J46" s="232"/>
    </row>
    <row r="47" spans="1:10" s="235" customFormat="1" ht="10.199999999999999" x14ac:dyDescent="0.2">
      <c r="A47" s="231" t="s">
        <v>257</v>
      </c>
      <c r="B47" s="232" t="s">
        <v>258</v>
      </c>
      <c r="C47" s="233">
        <f t="shared" si="0"/>
        <v>36</v>
      </c>
      <c r="D47" s="238" t="s">
        <v>175</v>
      </c>
      <c r="E47" s="232" t="s">
        <v>210</v>
      </c>
      <c r="F47" s="234">
        <v>559</v>
      </c>
      <c r="G47" s="234">
        <v>738</v>
      </c>
      <c r="H47" s="232"/>
      <c r="I47" s="232"/>
      <c r="J47" s="232"/>
    </row>
    <row r="48" spans="1:10" s="235" customFormat="1" ht="10.199999999999999" x14ac:dyDescent="0.2">
      <c r="A48" s="231" t="s">
        <v>259</v>
      </c>
      <c r="B48" s="232" t="s">
        <v>260</v>
      </c>
      <c r="C48" s="233">
        <f t="shared" si="0"/>
        <v>37</v>
      </c>
      <c r="D48" s="238" t="s">
        <v>175</v>
      </c>
      <c r="E48" s="232" t="s">
        <v>210</v>
      </c>
      <c r="F48" s="234">
        <v>559</v>
      </c>
      <c r="G48" s="234">
        <v>738</v>
      </c>
      <c r="H48" s="232"/>
      <c r="I48" s="232"/>
      <c r="J48" s="232"/>
    </row>
    <row r="49" spans="1:10" s="235" customFormat="1" ht="10.199999999999999" x14ac:dyDescent="0.2">
      <c r="A49" s="231" t="s">
        <v>261</v>
      </c>
      <c r="B49" s="232" t="s">
        <v>262</v>
      </c>
      <c r="C49" s="233">
        <f t="shared" si="0"/>
        <v>38</v>
      </c>
      <c r="D49" s="238" t="s">
        <v>175</v>
      </c>
      <c r="E49" s="232" t="s">
        <v>263</v>
      </c>
      <c r="F49" s="234">
        <v>559</v>
      </c>
      <c r="G49" s="234">
        <v>738</v>
      </c>
      <c r="H49" s="232"/>
      <c r="I49" s="232"/>
      <c r="J49" s="232"/>
    </row>
    <row r="50" spans="1:10" s="235" customFormat="1" ht="10.199999999999999" x14ac:dyDescent="0.2">
      <c r="A50" s="231" t="s">
        <v>264</v>
      </c>
      <c r="B50" s="232" t="s">
        <v>265</v>
      </c>
      <c r="C50" s="233">
        <f t="shared" si="0"/>
        <v>39</v>
      </c>
      <c r="D50" s="232" t="s">
        <v>185</v>
      </c>
      <c r="E50" s="232" t="s">
        <v>186</v>
      </c>
      <c r="F50" s="234">
        <v>512</v>
      </c>
      <c r="G50" s="234">
        <v>614</v>
      </c>
      <c r="H50" s="232"/>
      <c r="I50" s="232"/>
      <c r="J50" s="232"/>
    </row>
    <row r="51" spans="1:10" s="235" customFormat="1" ht="10.199999999999999" x14ac:dyDescent="0.2">
      <c r="A51" s="231" t="s">
        <v>266</v>
      </c>
      <c r="B51" s="232" t="s">
        <v>267</v>
      </c>
      <c r="C51" s="233">
        <f t="shared" si="0"/>
        <v>40</v>
      </c>
      <c r="D51" s="232" t="s">
        <v>268</v>
      </c>
      <c r="E51" s="232" t="s">
        <v>269</v>
      </c>
      <c r="F51" s="234">
        <v>556.63</v>
      </c>
      <c r="G51" s="234">
        <v>773</v>
      </c>
      <c r="H51" s="232"/>
      <c r="I51" s="232"/>
      <c r="J51" s="232"/>
    </row>
    <row r="52" spans="1:10" s="235" customFormat="1" ht="10.199999999999999" x14ac:dyDescent="0.2">
      <c r="A52" s="231" t="s">
        <v>270</v>
      </c>
      <c r="B52" s="232" t="s">
        <v>271</v>
      </c>
      <c r="C52" s="233">
        <f t="shared" si="0"/>
        <v>41</v>
      </c>
      <c r="D52" s="232" t="s">
        <v>185</v>
      </c>
      <c r="E52" s="232" t="s">
        <v>186</v>
      </c>
      <c r="F52" s="234">
        <v>512</v>
      </c>
      <c r="G52" s="234">
        <v>614</v>
      </c>
      <c r="H52" s="232"/>
      <c r="I52" s="232"/>
      <c r="J52" s="232"/>
    </row>
    <row r="53" spans="1:10" s="235" customFormat="1" ht="10.199999999999999" x14ac:dyDescent="0.2">
      <c r="A53" s="231" t="s">
        <v>272</v>
      </c>
      <c r="B53" s="232" t="s">
        <v>273</v>
      </c>
      <c r="C53" s="233">
        <f t="shared" si="0"/>
        <v>42</v>
      </c>
      <c r="D53" s="232" t="s">
        <v>172</v>
      </c>
      <c r="E53" s="232" t="s">
        <v>173</v>
      </c>
      <c r="F53" s="234">
        <v>425</v>
      </c>
      <c r="G53" s="234">
        <v>561</v>
      </c>
      <c r="H53" s="232"/>
      <c r="I53" s="232"/>
      <c r="J53" s="232"/>
    </row>
    <row r="54" spans="1:10" s="235" customFormat="1" ht="10.199999999999999" x14ac:dyDescent="0.2">
      <c r="A54" s="231" t="s">
        <v>274</v>
      </c>
      <c r="B54" s="232" t="s">
        <v>275</v>
      </c>
      <c r="C54" s="233">
        <f t="shared" si="0"/>
        <v>43</v>
      </c>
      <c r="D54" s="232" t="s">
        <v>172</v>
      </c>
      <c r="E54" s="232" t="s">
        <v>276</v>
      </c>
      <c r="F54" s="234">
        <v>425</v>
      </c>
      <c r="G54" s="234">
        <v>561</v>
      </c>
      <c r="H54" s="232"/>
      <c r="I54" s="232"/>
      <c r="J54" s="232"/>
    </row>
    <row r="55" spans="1:10" s="235" customFormat="1" ht="10.199999999999999" x14ac:dyDescent="0.2">
      <c r="A55" s="231" t="s">
        <v>277</v>
      </c>
      <c r="B55" s="232" t="s">
        <v>278</v>
      </c>
      <c r="C55" s="233">
        <f t="shared" si="0"/>
        <v>44</v>
      </c>
      <c r="D55" s="232" t="s">
        <v>172</v>
      </c>
      <c r="E55" s="232" t="s">
        <v>191</v>
      </c>
      <c r="F55" s="242">
        <v>488</v>
      </c>
      <c r="G55" s="234">
        <v>561</v>
      </c>
      <c r="H55" s="232"/>
      <c r="I55" s="232"/>
      <c r="J55" s="232"/>
    </row>
    <row r="56" spans="1:10" s="235" customFormat="1" ht="10.199999999999999" x14ac:dyDescent="0.2">
      <c r="A56" s="231" t="s">
        <v>279</v>
      </c>
      <c r="B56" s="232" t="s">
        <v>280</v>
      </c>
      <c r="C56" s="233">
        <f t="shared" si="0"/>
        <v>45</v>
      </c>
      <c r="D56" s="232" t="s">
        <v>181</v>
      </c>
      <c r="E56" s="232" t="s">
        <v>182</v>
      </c>
      <c r="F56" s="242">
        <v>512</v>
      </c>
      <c r="G56" s="234">
        <v>596</v>
      </c>
      <c r="H56" s="232"/>
      <c r="I56" s="232"/>
      <c r="J56" s="232"/>
    </row>
    <row r="57" spans="1:10" s="235" customFormat="1" ht="10.199999999999999" x14ac:dyDescent="0.2">
      <c r="A57" s="231" t="s">
        <v>281</v>
      </c>
      <c r="B57" s="232" t="s">
        <v>282</v>
      </c>
      <c r="C57" s="233">
        <f t="shared" si="0"/>
        <v>46</v>
      </c>
      <c r="D57" s="232" t="s">
        <v>172</v>
      </c>
      <c r="E57" s="232" t="s">
        <v>191</v>
      </c>
      <c r="F57" s="242">
        <v>488</v>
      </c>
      <c r="G57" s="234">
        <v>561</v>
      </c>
      <c r="H57" s="232"/>
      <c r="I57" s="232"/>
      <c r="J57" s="232"/>
    </row>
    <row r="58" spans="1:10" s="235" customFormat="1" ht="10.199999999999999" x14ac:dyDescent="0.2">
      <c r="A58" s="231" t="s">
        <v>283</v>
      </c>
      <c r="B58" s="232" t="s">
        <v>284</v>
      </c>
      <c r="C58" s="233">
        <f t="shared" si="0"/>
        <v>47</v>
      </c>
      <c r="D58" s="232" t="s">
        <v>172</v>
      </c>
      <c r="E58" s="232" t="s">
        <v>191</v>
      </c>
      <c r="F58" s="242">
        <v>488</v>
      </c>
      <c r="G58" s="234">
        <v>561</v>
      </c>
      <c r="H58" s="232"/>
      <c r="I58" s="232"/>
      <c r="J58" s="232"/>
    </row>
    <row r="59" spans="1:10" s="235" customFormat="1" ht="10.199999999999999" x14ac:dyDescent="0.2">
      <c r="A59" s="231" t="s">
        <v>285</v>
      </c>
      <c r="B59" s="232" t="s">
        <v>286</v>
      </c>
      <c r="C59" s="233">
        <f t="shared" si="0"/>
        <v>48</v>
      </c>
      <c r="D59" s="232" t="s">
        <v>172</v>
      </c>
      <c r="E59" s="232" t="s">
        <v>173</v>
      </c>
      <c r="F59" s="234">
        <v>425</v>
      </c>
      <c r="G59" s="234">
        <v>561</v>
      </c>
      <c r="H59" s="232"/>
      <c r="I59" s="232"/>
      <c r="J59" s="232"/>
    </row>
    <row r="60" spans="1:10" s="235" customFormat="1" ht="10.199999999999999" x14ac:dyDescent="0.2">
      <c r="A60" s="231" t="s">
        <v>287</v>
      </c>
      <c r="B60" s="232" t="s">
        <v>288</v>
      </c>
      <c r="C60" s="233">
        <f t="shared" si="0"/>
        <v>49</v>
      </c>
      <c r="D60" s="238" t="s">
        <v>175</v>
      </c>
      <c r="E60" s="232" t="s">
        <v>210</v>
      </c>
      <c r="F60" s="234">
        <v>559</v>
      </c>
      <c r="G60" s="234">
        <v>738</v>
      </c>
      <c r="H60" s="232"/>
      <c r="I60" s="232"/>
      <c r="J60" s="232"/>
    </row>
    <row r="61" spans="1:10" s="235" customFormat="1" ht="10.199999999999999" x14ac:dyDescent="0.2">
      <c r="A61" s="231" t="s">
        <v>289</v>
      </c>
      <c r="B61" s="232" t="s">
        <v>290</v>
      </c>
      <c r="C61" s="233">
        <f t="shared" si="0"/>
        <v>50</v>
      </c>
      <c r="D61" s="238" t="s">
        <v>175</v>
      </c>
      <c r="E61" s="232" t="s">
        <v>210</v>
      </c>
      <c r="F61" s="234">
        <v>559</v>
      </c>
      <c r="G61" s="234">
        <v>738</v>
      </c>
      <c r="H61" s="232"/>
      <c r="I61" s="232"/>
      <c r="J61" s="232"/>
    </row>
    <row r="62" spans="1:10" s="235" customFormat="1" ht="10.199999999999999" x14ac:dyDescent="0.2">
      <c r="A62" s="231" t="s">
        <v>291</v>
      </c>
      <c r="B62" s="232" t="s">
        <v>292</v>
      </c>
      <c r="C62" s="233">
        <f t="shared" si="0"/>
        <v>51</v>
      </c>
      <c r="D62" s="238" t="s">
        <v>175</v>
      </c>
      <c r="E62" s="232" t="s">
        <v>210</v>
      </c>
      <c r="F62" s="234">
        <v>559</v>
      </c>
      <c r="G62" s="234">
        <v>738</v>
      </c>
      <c r="H62" s="232"/>
      <c r="I62" s="232"/>
      <c r="J62" s="232"/>
    </row>
    <row r="63" spans="1:10" s="235" customFormat="1" ht="10.199999999999999" x14ac:dyDescent="0.2">
      <c r="A63" s="231" t="s">
        <v>293</v>
      </c>
      <c r="B63" s="232" t="s">
        <v>294</v>
      </c>
      <c r="C63" s="233">
        <f t="shared" si="0"/>
        <v>52</v>
      </c>
      <c r="D63" s="232" t="s">
        <v>268</v>
      </c>
      <c r="E63" s="232" t="s">
        <v>269</v>
      </c>
      <c r="F63" s="234">
        <v>556</v>
      </c>
      <c r="G63" s="234">
        <v>773</v>
      </c>
      <c r="H63" s="232"/>
      <c r="I63" s="232"/>
      <c r="J63" s="232"/>
    </row>
    <row r="64" spans="1:10" s="235" customFormat="1" ht="10.199999999999999" x14ac:dyDescent="0.2">
      <c r="A64" s="231" t="s">
        <v>295</v>
      </c>
      <c r="B64" s="232" t="s">
        <v>296</v>
      </c>
      <c r="C64" s="233">
        <f t="shared" si="0"/>
        <v>53</v>
      </c>
      <c r="D64" s="238" t="s">
        <v>175</v>
      </c>
      <c r="E64" s="232" t="s">
        <v>210</v>
      </c>
      <c r="F64" s="234">
        <v>559</v>
      </c>
      <c r="G64" s="234">
        <v>738</v>
      </c>
      <c r="H64" s="232"/>
      <c r="I64" s="232"/>
      <c r="J64" s="232"/>
    </row>
    <row r="65" spans="1:10" s="235" customFormat="1" ht="10.199999999999999" x14ac:dyDescent="0.2">
      <c r="A65" s="231" t="s">
        <v>297</v>
      </c>
      <c r="B65" s="232" t="s">
        <v>298</v>
      </c>
      <c r="C65" s="233">
        <f t="shared" si="0"/>
        <v>54</v>
      </c>
      <c r="D65" s="232" t="s">
        <v>268</v>
      </c>
      <c r="E65" s="232" t="s">
        <v>299</v>
      </c>
      <c r="F65" s="234">
        <v>600</v>
      </c>
      <c r="G65" s="234">
        <v>773</v>
      </c>
      <c r="H65" s="232"/>
      <c r="I65" s="232"/>
      <c r="J65" s="232"/>
    </row>
    <row r="66" spans="1:10" s="235" customFormat="1" ht="10.199999999999999" x14ac:dyDescent="0.2">
      <c r="A66" s="231" t="s">
        <v>300</v>
      </c>
      <c r="B66" s="232" t="s">
        <v>301</v>
      </c>
      <c r="C66" s="233">
        <f t="shared" si="0"/>
        <v>55</v>
      </c>
      <c r="D66" s="232" t="s">
        <v>181</v>
      </c>
      <c r="E66" s="232" t="s">
        <v>182</v>
      </c>
      <c r="F66" s="234">
        <v>512</v>
      </c>
      <c r="G66" s="234">
        <v>596</v>
      </c>
      <c r="H66" s="232"/>
      <c r="I66" s="232"/>
      <c r="J66" s="232"/>
    </row>
    <row r="67" spans="1:10" s="235" customFormat="1" ht="10.199999999999999" x14ac:dyDescent="0.2">
      <c r="A67" s="231" t="s">
        <v>302</v>
      </c>
      <c r="B67" s="232" t="s">
        <v>303</v>
      </c>
      <c r="C67" s="233">
        <f t="shared" si="0"/>
        <v>56</v>
      </c>
      <c r="D67" s="232" t="s">
        <v>185</v>
      </c>
      <c r="E67" s="232" t="s">
        <v>186</v>
      </c>
      <c r="F67" s="234">
        <v>512</v>
      </c>
      <c r="G67" s="234">
        <v>614</v>
      </c>
      <c r="H67" s="232"/>
      <c r="I67" s="232"/>
      <c r="J67" s="232"/>
    </row>
    <row r="68" spans="1:10" s="235" customFormat="1" ht="10.199999999999999" x14ac:dyDescent="0.2">
      <c r="A68" s="231" t="s">
        <v>304</v>
      </c>
      <c r="B68" s="232" t="s">
        <v>305</v>
      </c>
      <c r="C68" s="233">
        <f t="shared" si="0"/>
        <v>57</v>
      </c>
      <c r="D68" s="238" t="s">
        <v>175</v>
      </c>
      <c r="E68" s="232" t="s">
        <v>210</v>
      </c>
      <c r="F68" s="234">
        <v>559</v>
      </c>
      <c r="G68" s="234">
        <v>738</v>
      </c>
      <c r="H68" s="232"/>
      <c r="I68" s="232"/>
      <c r="J68" s="232"/>
    </row>
    <row r="69" spans="1:10" s="235" customFormat="1" ht="10.199999999999999" x14ac:dyDescent="0.2">
      <c r="A69" s="231" t="s">
        <v>306</v>
      </c>
      <c r="B69" s="232" t="s">
        <v>307</v>
      </c>
      <c r="C69" s="233">
        <f t="shared" si="0"/>
        <v>58</v>
      </c>
      <c r="D69" s="232" t="s">
        <v>268</v>
      </c>
      <c r="E69" s="232" t="s">
        <v>308</v>
      </c>
      <c r="F69" s="242">
        <v>773</v>
      </c>
      <c r="G69" s="234">
        <v>773</v>
      </c>
      <c r="H69" s="232"/>
      <c r="I69" s="232"/>
      <c r="J69" s="232"/>
    </row>
    <row r="70" spans="1:10" s="235" customFormat="1" ht="10.199999999999999" x14ac:dyDescent="0.2">
      <c r="A70" s="231" t="s">
        <v>309</v>
      </c>
      <c r="B70" s="232" t="s">
        <v>310</v>
      </c>
      <c r="C70" s="233">
        <f t="shared" si="0"/>
        <v>59</v>
      </c>
      <c r="D70" s="232" t="s">
        <v>172</v>
      </c>
      <c r="E70" s="232" t="s">
        <v>311</v>
      </c>
      <c r="F70" s="234">
        <v>425</v>
      </c>
      <c r="G70" s="234">
        <v>561</v>
      </c>
      <c r="H70" s="232"/>
      <c r="I70" s="232"/>
      <c r="J70" s="232"/>
    </row>
    <row r="71" spans="1:10" s="235" customFormat="1" ht="10.199999999999999" x14ac:dyDescent="0.2">
      <c r="A71" s="231" t="s">
        <v>312</v>
      </c>
      <c r="B71" s="232" t="s">
        <v>313</v>
      </c>
      <c r="C71" s="233">
        <f t="shared" si="0"/>
        <v>60</v>
      </c>
      <c r="D71" s="238" t="s">
        <v>175</v>
      </c>
      <c r="E71" s="232" t="s">
        <v>210</v>
      </c>
      <c r="F71" s="234">
        <v>559</v>
      </c>
      <c r="G71" s="234">
        <v>738</v>
      </c>
      <c r="H71" s="232"/>
      <c r="I71" s="232"/>
      <c r="J71" s="232"/>
    </row>
    <row r="72" spans="1:10" s="235" customFormat="1" ht="10.199999999999999" x14ac:dyDescent="0.2">
      <c r="A72" s="231" t="s">
        <v>314</v>
      </c>
      <c r="B72" s="232" t="s">
        <v>315</v>
      </c>
      <c r="C72" s="233">
        <f t="shared" si="0"/>
        <v>61</v>
      </c>
      <c r="D72" s="232" t="s">
        <v>172</v>
      </c>
      <c r="E72" s="232" t="s">
        <v>194</v>
      </c>
      <c r="F72" s="242">
        <v>425</v>
      </c>
      <c r="G72" s="234">
        <v>561</v>
      </c>
      <c r="H72" s="232"/>
      <c r="I72" s="232"/>
      <c r="J72" s="232"/>
    </row>
    <row r="73" spans="1:10" s="235" customFormat="1" ht="10.199999999999999" x14ac:dyDescent="0.2">
      <c r="A73" s="231" t="s">
        <v>316</v>
      </c>
      <c r="B73" s="232" t="s">
        <v>317</v>
      </c>
      <c r="C73" s="233">
        <f t="shared" si="0"/>
        <v>62</v>
      </c>
      <c r="D73" s="232" t="s">
        <v>181</v>
      </c>
      <c r="E73" s="232" t="s">
        <v>182</v>
      </c>
      <c r="F73" s="234">
        <v>512</v>
      </c>
      <c r="G73" s="234">
        <v>596</v>
      </c>
      <c r="H73" s="232"/>
      <c r="I73" s="232"/>
      <c r="J73" s="232"/>
    </row>
    <row r="74" spans="1:10" s="235" customFormat="1" ht="10.199999999999999" x14ac:dyDescent="0.2">
      <c r="A74" s="231" t="s">
        <v>318</v>
      </c>
      <c r="B74" s="232" t="s">
        <v>319</v>
      </c>
      <c r="C74" s="233">
        <f t="shared" si="0"/>
        <v>63</v>
      </c>
      <c r="D74" s="232" t="s">
        <v>185</v>
      </c>
      <c r="E74" s="232" t="s">
        <v>186</v>
      </c>
      <c r="F74" s="234">
        <v>512</v>
      </c>
      <c r="G74" s="234">
        <v>614</v>
      </c>
      <c r="H74" s="232"/>
      <c r="I74" s="232"/>
      <c r="J74" s="232"/>
    </row>
    <row r="75" spans="1:10" s="235" customFormat="1" ht="10.199999999999999" x14ac:dyDescent="0.2">
      <c r="A75" s="231" t="s">
        <v>320</v>
      </c>
      <c r="B75" s="232" t="s">
        <v>321</v>
      </c>
      <c r="C75" s="233">
        <f t="shared" si="0"/>
        <v>64</v>
      </c>
      <c r="D75" s="232" t="s">
        <v>181</v>
      </c>
      <c r="E75" s="232" t="s">
        <v>182</v>
      </c>
      <c r="F75" s="234">
        <v>512</v>
      </c>
      <c r="G75" s="234">
        <v>596</v>
      </c>
      <c r="H75" s="232"/>
      <c r="I75" s="232"/>
      <c r="J75" s="232"/>
    </row>
    <row r="76" spans="1:10" s="235" customFormat="1" ht="10.199999999999999" x14ac:dyDescent="0.2">
      <c r="A76" s="231" t="s">
        <v>322</v>
      </c>
      <c r="B76" s="232" t="s">
        <v>323</v>
      </c>
      <c r="C76" s="233">
        <f t="shared" si="0"/>
        <v>65</v>
      </c>
      <c r="D76" s="232" t="s">
        <v>172</v>
      </c>
      <c r="E76" s="232" t="s">
        <v>191</v>
      </c>
      <c r="F76" s="242">
        <v>488</v>
      </c>
      <c r="G76" s="234">
        <v>561</v>
      </c>
      <c r="H76" s="232"/>
      <c r="I76" s="232"/>
      <c r="J76" s="232"/>
    </row>
    <row r="77" spans="1:10" s="235" customFormat="1" ht="10.199999999999999" x14ac:dyDescent="0.2">
      <c r="A77" s="231" t="s">
        <v>324</v>
      </c>
      <c r="B77" s="232" t="s">
        <v>325</v>
      </c>
      <c r="C77" s="233">
        <f t="shared" ref="C77:C140" si="1">C76+1</f>
        <v>66</v>
      </c>
      <c r="D77" s="232" t="s">
        <v>185</v>
      </c>
      <c r="E77" s="232" t="s">
        <v>186</v>
      </c>
      <c r="F77" s="234">
        <v>512</v>
      </c>
      <c r="G77" s="234">
        <v>614</v>
      </c>
      <c r="H77" s="232"/>
      <c r="I77" s="232"/>
      <c r="J77" s="232"/>
    </row>
    <row r="78" spans="1:10" s="235" customFormat="1" ht="10.199999999999999" x14ac:dyDescent="0.2">
      <c r="A78" s="231" t="s">
        <v>326</v>
      </c>
      <c r="B78" s="232" t="s">
        <v>327</v>
      </c>
      <c r="C78" s="233">
        <f t="shared" si="1"/>
        <v>67</v>
      </c>
      <c r="D78" s="232" t="s">
        <v>172</v>
      </c>
      <c r="E78" s="232" t="s">
        <v>328</v>
      </c>
      <c r="F78" s="234">
        <v>425</v>
      </c>
      <c r="G78" s="234">
        <v>561</v>
      </c>
      <c r="H78" s="232"/>
      <c r="I78" s="232"/>
      <c r="J78" s="232"/>
    </row>
    <row r="79" spans="1:10" s="235" customFormat="1" ht="10.199999999999999" x14ac:dyDescent="0.2">
      <c r="A79" s="231" t="s">
        <v>329</v>
      </c>
      <c r="B79" s="232" t="s">
        <v>330</v>
      </c>
      <c r="C79" s="233">
        <f t="shared" si="1"/>
        <v>68</v>
      </c>
      <c r="D79" s="232" t="s">
        <v>172</v>
      </c>
      <c r="E79" s="232" t="s">
        <v>331</v>
      </c>
      <c r="F79" s="234">
        <v>425</v>
      </c>
      <c r="G79" s="234">
        <v>561</v>
      </c>
      <c r="H79" s="232"/>
      <c r="I79" s="232"/>
      <c r="J79" s="232"/>
    </row>
    <row r="80" spans="1:10" s="235" customFormat="1" ht="10.199999999999999" x14ac:dyDescent="0.2">
      <c r="A80" s="231" t="s">
        <v>332</v>
      </c>
      <c r="B80" s="232" t="s">
        <v>333</v>
      </c>
      <c r="C80" s="233">
        <f t="shared" si="1"/>
        <v>69</v>
      </c>
      <c r="D80" s="232" t="s">
        <v>334</v>
      </c>
      <c r="E80" s="232" t="s">
        <v>335</v>
      </c>
      <c r="F80" s="234">
        <v>775</v>
      </c>
      <c r="G80" s="234">
        <v>805</v>
      </c>
      <c r="H80" s="232"/>
      <c r="I80" s="232"/>
      <c r="J80" s="232"/>
    </row>
    <row r="81" spans="1:10" s="235" customFormat="1" ht="10.199999999999999" x14ac:dyDescent="0.2">
      <c r="A81" s="231" t="s">
        <v>336</v>
      </c>
      <c r="B81" s="232" t="s">
        <v>337</v>
      </c>
      <c r="C81" s="233">
        <f t="shared" si="1"/>
        <v>70</v>
      </c>
      <c r="D81" s="232" t="s">
        <v>268</v>
      </c>
      <c r="E81" s="232" t="s">
        <v>269</v>
      </c>
      <c r="F81" s="234">
        <v>563.28</v>
      </c>
      <c r="G81" s="234">
        <v>773</v>
      </c>
      <c r="H81" s="232"/>
      <c r="I81" s="232"/>
      <c r="J81" s="232"/>
    </row>
    <row r="82" spans="1:10" s="235" customFormat="1" ht="10.199999999999999" x14ac:dyDescent="0.2">
      <c r="A82" s="231" t="s">
        <v>338</v>
      </c>
      <c r="B82" s="232" t="s">
        <v>339</v>
      </c>
      <c r="C82" s="233">
        <f t="shared" si="1"/>
        <v>71</v>
      </c>
      <c r="D82" s="232" t="s">
        <v>185</v>
      </c>
      <c r="E82" s="232" t="s">
        <v>186</v>
      </c>
      <c r="F82" s="234">
        <v>512</v>
      </c>
      <c r="G82" s="234">
        <v>614</v>
      </c>
      <c r="H82" s="232"/>
      <c r="I82" s="232"/>
      <c r="J82" s="232"/>
    </row>
    <row r="83" spans="1:10" s="235" customFormat="1" ht="10.199999999999999" x14ac:dyDescent="0.2">
      <c r="A83" s="231" t="s">
        <v>340</v>
      </c>
      <c r="B83" s="232" t="s">
        <v>341</v>
      </c>
      <c r="C83" s="233">
        <f t="shared" si="1"/>
        <v>72</v>
      </c>
      <c r="D83" s="238" t="s">
        <v>175</v>
      </c>
      <c r="E83" s="232" t="s">
        <v>263</v>
      </c>
      <c r="F83" s="234">
        <v>559</v>
      </c>
      <c r="G83" s="234">
        <v>738</v>
      </c>
      <c r="H83" s="232"/>
      <c r="I83" s="232"/>
      <c r="J83" s="232"/>
    </row>
    <row r="84" spans="1:10" s="235" customFormat="1" ht="10.199999999999999" x14ac:dyDescent="0.2">
      <c r="A84" s="231" t="s">
        <v>342</v>
      </c>
      <c r="B84" s="232" t="s">
        <v>343</v>
      </c>
      <c r="C84" s="233">
        <f t="shared" si="1"/>
        <v>73</v>
      </c>
      <c r="D84" s="232" t="s">
        <v>185</v>
      </c>
      <c r="E84" s="232" t="s">
        <v>186</v>
      </c>
      <c r="F84" s="234">
        <v>512</v>
      </c>
      <c r="G84" s="234">
        <v>614</v>
      </c>
      <c r="H84" s="232"/>
      <c r="I84" s="232"/>
      <c r="J84" s="232"/>
    </row>
    <row r="85" spans="1:10" s="235" customFormat="1" ht="10.199999999999999" x14ac:dyDescent="0.2">
      <c r="A85" s="231" t="s">
        <v>344</v>
      </c>
      <c r="B85" s="232" t="s">
        <v>345</v>
      </c>
      <c r="C85" s="233">
        <f t="shared" si="1"/>
        <v>74</v>
      </c>
      <c r="D85" s="232" t="s">
        <v>268</v>
      </c>
      <c r="E85" s="232" t="s">
        <v>269</v>
      </c>
      <c r="F85" s="234">
        <v>588.73</v>
      </c>
      <c r="G85" s="234">
        <v>773</v>
      </c>
      <c r="H85" s="232"/>
      <c r="I85" s="232"/>
      <c r="J85" s="232"/>
    </row>
    <row r="86" spans="1:10" s="235" customFormat="1" ht="10.199999999999999" x14ac:dyDescent="0.2">
      <c r="A86" s="231" t="s">
        <v>346</v>
      </c>
      <c r="B86" s="232" t="s">
        <v>347</v>
      </c>
      <c r="C86" s="233">
        <f t="shared" si="1"/>
        <v>75</v>
      </c>
      <c r="D86" s="232" t="s">
        <v>172</v>
      </c>
      <c r="E86" s="232" t="s">
        <v>250</v>
      </c>
      <c r="F86" s="234">
        <v>488</v>
      </c>
      <c r="G86" s="234">
        <v>561</v>
      </c>
      <c r="H86" s="232"/>
      <c r="I86" s="232"/>
      <c r="J86" s="232"/>
    </row>
    <row r="87" spans="1:10" s="235" customFormat="1" ht="10.199999999999999" x14ac:dyDescent="0.2">
      <c r="A87" s="231" t="s">
        <v>348</v>
      </c>
      <c r="B87" s="232" t="s">
        <v>349</v>
      </c>
      <c r="C87" s="233">
        <f t="shared" si="1"/>
        <v>76</v>
      </c>
      <c r="D87" s="232" t="s">
        <v>268</v>
      </c>
      <c r="E87" s="232" t="s">
        <v>350</v>
      </c>
      <c r="F87" s="234">
        <v>587</v>
      </c>
      <c r="G87" s="234">
        <v>773</v>
      </c>
      <c r="H87" s="232"/>
      <c r="I87" s="232"/>
      <c r="J87" s="232"/>
    </row>
    <row r="88" spans="1:10" s="235" customFormat="1" ht="10.199999999999999" x14ac:dyDescent="0.2">
      <c r="A88" s="231" t="s">
        <v>351</v>
      </c>
      <c r="B88" s="232" t="s">
        <v>352</v>
      </c>
      <c r="C88" s="233">
        <f t="shared" si="1"/>
        <v>77</v>
      </c>
      <c r="D88" s="232" t="s">
        <v>172</v>
      </c>
      <c r="E88" s="232" t="s">
        <v>250</v>
      </c>
      <c r="F88" s="234">
        <v>488</v>
      </c>
      <c r="G88" s="234">
        <v>561</v>
      </c>
      <c r="H88" s="232"/>
      <c r="I88" s="232"/>
      <c r="J88" s="232"/>
    </row>
    <row r="89" spans="1:10" s="235" customFormat="1" ht="10.199999999999999" x14ac:dyDescent="0.2">
      <c r="A89" s="231" t="s">
        <v>353</v>
      </c>
      <c r="B89" s="232" t="s">
        <v>354</v>
      </c>
      <c r="C89" s="233">
        <f t="shared" si="1"/>
        <v>78</v>
      </c>
      <c r="D89" s="232" t="s">
        <v>268</v>
      </c>
      <c r="E89" s="232" t="s">
        <v>269</v>
      </c>
      <c r="F89" s="234">
        <v>603.12</v>
      </c>
      <c r="G89" s="234">
        <v>773</v>
      </c>
      <c r="H89" s="232"/>
      <c r="I89" s="232"/>
      <c r="J89" s="232"/>
    </row>
    <row r="90" spans="1:10" s="235" customFormat="1" ht="10.199999999999999" x14ac:dyDescent="0.2">
      <c r="A90" s="231" t="s">
        <v>355</v>
      </c>
      <c r="B90" s="232" t="s">
        <v>356</v>
      </c>
      <c r="C90" s="233">
        <f t="shared" si="1"/>
        <v>79</v>
      </c>
      <c r="D90" s="232" t="s">
        <v>185</v>
      </c>
      <c r="E90" s="232" t="s">
        <v>186</v>
      </c>
      <c r="F90" s="234">
        <v>512</v>
      </c>
      <c r="G90" s="234">
        <v>614</v>
      </c>
      <c r="H90" s="232"/>
      <c r="I90" s="232"/>
      <c r="J90" s="232"/>
    </row>
    <row r="91" spans="1:10" s="235" customFormat="1" ht="10.199999999999999" x14ac:dyDescent="0.2">
      <c r="A91" s="231" t="s">
        <v>357</v>
      </c>
      <c r="B91" s="232" t="s">
        <v>358</v>
      </c>
      <c r="C91" s="233">
        <f t="shared" si="1"/>
        <v>80</v>
      </c>
      <c r="D91" s="232" t="s">
        <v>185</v>
      </c>
      <c r="E91" s="232" t="s">
        <v>186</v>
      </c>
      <c r="F91" s="234">
        <v>512</v>
      </c>
      <c r="G91" s="234">
        <v>614</v>
      </c>
      <c r="H91" s="232"/>
      <c r="I91" s="232"/>
      <c r="J91" s="232"/>
    </row>
    <row r="92" spans="1:10" s="235" customFormat="1" ht="10.199999999999999" x14ac:dyDescent="0.2">
      <c r="A92" s="231" t="s">
        <v>359</v>
      </c>
      <c r="B92" s="232" t="s">
        <v>360</v>
      </c>
      <c r="C92" s="233">
        <f t="shared" si="1"/>
        <v>81</v>
      </c>
      <c r="D92" s="232" t="s">
        <v>255</v>
      </c>
      <c r="E92" s="232" t="s">
        <v>361</v>
      </c>
      <c r="F92" s="234">
        <v>545.57000000000005</v>
      </c>
      <c r="G92" s="234">
        <v>578</v>
      </c>
      <c r="H92" s="232"/>
      <c r="I92" s="232"/>
      <c r="J92" s="232"/>
    </row>
    <row r="93" spans="1:10" s="235" customFormat="1" ht="10.199999999999999" x14ac:dyDescent="0.2">
      <c r="A93" s="231" t="s">
        <v>362</v>
      </c>
      <c r="B93" s="232" t="s">
        <v>363</v>
      </c>
      <c r="C93" s="233">
        <f t="shared" si="1"/>
        <v>82</v>
      </c>
      <c r="D93" s="238" t="s">
        <v>175</v>
      </c>
      <c r="E93" s="232" t="s">
        <v>210</v>
      </c>
      <c r="F93" s="234">
        <v>559</v>
      </c>
      <c r="G93" s="234">
        <v>738</v>
      </c>
      <c r="H93" s="232"/>
      <c r="I93" s="232"/>
      <c r="J93" s="232"/>
    </row>
    <row r="94" spans="1:10" s="235" customFormat="1" ht="10.199999999999999" x14ac:dyDescent="0.2">
      <c r="A94" s="231" t="s">
        <v>364</v>
      </c>
      <c r="B94" s="232" t="s">
        <v>365</v>
      </c>
      <c r="C94" s="233">
        <f t="shared" si="1"/>
        <v>83</v>
      </c>
      <c r="D94" s="232" t="s">
        <v>172</v>
      </c>
      <c r="E94" s="232" t="s">
        <v>243</v>
      </c>
      <c r="F94" s="234">
        <v>425</v>
      </c>
      <c r="G94" s="234">
        <v>561</v>
      </c>
      <c r="H94" s="232"/>
      <c r="I94" s="232"/>
      <c r="J94" s="232"/>
    </row>
    <row r="95" spans="1:10" s="235" customFormat="1" ht="10.199999999999999" x14ac:dyDescent="0.2">
      <c r="A95" s="231" t="s">
        <v>366</v>
      </c>
      <c r="B95" s="232" t="s">
        <v>367</v>
      </c>
      <c r="C95" s="233">
        <f t="shared" si="1"/>
        <v>84</v>
      </c>
      <c r="D95" s="238" t="s">
        <v>175</v>
      </c>
      <c r="E95" s="232" t="s">
        <v>368</v>
      </c>
      <c r="F95" s="234">
        <v>559</v>
      </c>
      <c r="G95" s="234">
        <v>738</v>
      </c>
      <c r="H95" s="232"/>
      <c r="I95" s="232"/>
      <c r="J95" s="232"/>
    </row>
    <row r="96" spans="1:10" s="235" customFormat="1" ht="10.199999999999999" x14ac:dyDescent="0.2">
      <c r="A96" s="231" t="s">
        <v>369</v>
      </c>
      <c r="B96" s="232" t="s">
        <v>370</v>
      </c>
      <c r="C96" s="233">
        <f t="shared" si="1"/>
        <v>85</v>
      </c>
      <c r="D96" s="232" t="s">
        <v>172</v>
      </c>
      <c r="E96" s="232" t="s">
        <v>191</v>
      </c>
      <c r="F96" s="242">
        <v>488</v>
      </c>
      <c r="G96" s="234">
        <v>561</v>
      </c>
      <c r="H96" s="232"/>
      <c r="I96" s="232"/>
      <c r="J96" s="232"/>
    </row>
    <row r="97" spans="1:10" s="235" customFormat="1" ht="10.199999999999999" x14ac:dyDescent="0.2">
      <c r="A97" s="231" t="s">
        <v>371</v>
      </c>
      <c r="B97" s="232" t="s">
        <v>372</v>
      </c>
      <c r="C97" s="233">
        <f t="shared" si="1"/>
        <v>86</v>
      </c>
      <c r="D97" s="232" t="s">
        <v>181</v>
      </c>
      <c r="E97" s="232" t="s">
        <v>182</v>
      </c>
      <c r="F97" s="242">
        <v>512</v>
      </c>
      <c r="G97" s="234">
        <v>596</v>
      </c>
      <c r="H97" s="232"/>
      <c r="I97" s="232"/>
      <c r="J97" s="232"/>
    </row>
    <row r="98" spans="1:10" s="235" customFormat="1" ht="10.199999999999999" x14ac:dyDescent="0.2">
      <c r="A98" s="231" t="s">
        <v>373</v>
      </c>
      <c r="B98" s="232" t="s">
        <v>374</v>
      </c>
      <c r="C98" s="233">
        <f t="shared" si="1"/>
        <v>87</v>
      </c>
      <c r="D98" s="232" t="s">
        <v>181</v>
      </c>
      <c r="E98" s="232" t="s">
        <v>182</v>
      </c>
      <c r="F98" s="234">
        <v>572.12</v>
      </c>
      <c r="G98" s="234">
        <v>596</v>
      </c>
      <c r="H98" s="232"/>
      <c r="I98" s="232"/>
      <c r="J98" s="232"/>
    </row>
    <row r="99" spans="1:10" s="235" customFormat="1" ht="10.199999999999999" x14ac:dyDescent="0.2">
      <c r="A99" s="231" t="s">
        <v>375</v>
      </c>
      <c r="B99" s="232" t="s">
        <v>376</v>
      </c>
      <c r="C99" s="233">
        <f t="shared" si="1"/>
        <v>88</v>
      </c>
      <c r="D99" s="232" t="s">
        <v>172</v>
      </c>
      <c r="E99" s="232" t="s">
        <v>243</v>
      </c>
      <c r="F99" s="234">
        <v>425</v>
      </c>
      <c r="G99" s="234">
        <v>561</v>
      </c>
      <c r="H99" s="232"/>
      <c r="I99" s="232"/>
      <c r="J99" s="232"/>
    </row>
    <row r="100" spans="1:10" s="235" customFormat="1" ht="10.199999999999999" x14ac:dyDescent="0.2">
      <c r="A100" s="231" t="s">
        <v>377</v>
      </c>
      <c r="B100" s="232" t="s">
        <v>378</v>
      </c>
      <c r="C100" s="233">
        <f t="shared" si="1"/>
        <v>89</v>
      </c>
      <c r="D100" s="232" t="s">
        <v>172</v>
      </c>
      <c r="E100" s="232" t="s">
        <v>191</v>
      </c>
      <c r="F100" s="242">
        <v>488</v>
      </c>
      <c r="G100" s="234">
        <v>561</v>
      </c>
      <c r="H100" s="232"/>
      <c r="I100" s="232"/>
      <c r="J100" s="232"/>
    </row>
    <row r="101" spans="1:10" s="235" customFormat="1" ht="10.199999999999999" x14ac:dyDescent="0.2">
      <c r="A101" s="231" t="s">
        <v>379</v>
      </c>
      <c r="B101" s="232" t="s">
        <v>380</v>
      </c>
      <c r="C101" s="233">
        <f t="shared" si="1"/>
        <v>90</v>
      </c>
      <c r="D101" s="238" t="s">
        <v>175</v>
      </c>
      <c r="E101" s="232" t="s">
        <v>176</v>
      </c>
      <c r="F101" s="234">
        <v>559</v>
      </c>
      <c r="G101" s="234">
        <v>738</v>
      </c>
      <c r="H101" s="232"/>
      <c r="I101" s="232"/>
      <c r="J101" s="232"/>
    </row>
    <row r="102" spans="1:10" s="235" customFormat="1" ht="10.199999999999999" x14ac:dyDescent="0.2">
      <c r="A102" s="231" t="s">
        <v>381</v>
      </c>
      <c r="B102" s="232" t="s">
        <v>382</v>
      </c>
      <c r="C102" s="233">
        <f t="shared" si="1"/>
        <v>91</v>
      </c>
      <c r="D102" s="232" t="s">
        <v>268</v>
      </c>
      <c r="E102" s="232" t="s">
        <v>383</v>
      </c>
      <c r="F102" s="242">
        <v>675</v>
      </c>
      <c r="G102" s="234">
        <v>773</v>
      </c>
      <c r="H102" s="232"/>
      <c r="I102" s="232"/>
      <c r="J102" s="232"/>
    </row>
    <row r="103" spans="1:10" s="235" customFormat="1" ht="10.199999999999999" x14ac:dyDescent="0.2">
      <c r="A103" s="231" t="s">
        <v>384</v>
      </c>
      <c r="B103" s="232" t="s">
        <v>385</v>
      </c>
      <c r="C103" s="233">
        <f t="shared" si="1"/>
        <v>92</v>
      </c>
      <c r="D103" s="238" t="s">
        <v>175</v>
      </c>
      <c r="E103" s="232" t="s">
        <v>210</v>
      </c>
      <c r="F103" s="234">
        <v>559</v>
      </c>
      <c r="G103" s="234">
        <v>738</v>
      </c>
      <c r="H103" s="232"/>
      <c r="I103" s="232"/>
      <c r="J103" s="232"/>
    </row>
    <row r="104" spans="1:10" s="235" customFormat="1" ht="10.199999999999999" x14ac:dyDescent="0.2">
      <c r="A104" s="231" t="s">
        <v>386</v>
      </c>
      <c r="B104" s="232" t="s">
        <v>387</v>
      </c>
      <c r="C104" s="233">
        <f t="shared" si="1"/>
        <v>93</v>
      </c>
      <c r="D104" s="232" t="s">
        <v>185</v>
      </c>
      <c r="E104" s="232" t="s">
        <v>186</v>
      </c>
      <c r="F104" s="234">
        <v>512</v>
      </c>
      <c r="G104" s="234">
        <v>614</v>
      </c>
      <c r="H104" s="232"/>
      <c r="I104" s="232"/>
      <c r="J104" s="232"/>
    </row>
    <row r="105" spans="1:10" s="235" customFormat="1" ht="10.199999999999999" x14ac:dyDescent="0.2">
      <c r="A105" s="231" t="s">
        <v>388</v>
      </c>
      <c r="B105" s="232" t="s">
        <v>389</v>
      </c>
      <c r="C105" s="233">
        <f t="shared" si="1"/>
        <v>94</v>
      </c>
      <c r="D105" s="232" t="s">
        <v>172</v>
      </c>
      <c r="E105" s="232" t="s">
        <v>250</v>
      </c>
      <c r="F105" s="234">
        <v>488</v>
      </c>
      <c r="G105" s="234">
        <v>561</v>
      </c>
      <c r="H105" s="232"/>
      <c r="I105" s="232"/>
      <c r="J105" s="232"/>
    </row>
    <row r="106" spans="1:10" s="235" customFormat="1" ht="10.199999999999999" x14ac:dyDescent="0.2">
      <c r="A106" s="231" t="s">
        <v>390</v>
      </c>
      <c r="B106" s="232" t="s">
        <v>391</v>
      </c>
      <c r="C106" s="233">
        <f t="shared" si="1"/>
        <v>95</v>
      </c>
      <c r="D106" s="232" t="s">
        <v>268</v>
      </c>
      <c r="E106" s="232" t="s">
        <v>269</v>
      </c>
      <c r="F106" s="234">
        <v>563.28</v>
      </c>
      <c r="G106" s="234">
        <v>773</v>
      </c>
      <c r="H106" s="232"/>
      <c r="I106" s="232"/>
      <c r="J106" s="232"/>
    </row>
    <row r="107" spans="1:10" s="235" customFormat="1" ht="10.199999999999999" x14ac:dyDescent="0.2">
      <c r="A107" s="231" t="s">
        <v>392</v>
      </c>
      <c r="B107" s="232" t="s">
        <v>393</v>
      </c>
      <c r="C107" s="233">
        <f t="shared" si="1"/>
        <v>96</v>
      </c>
      <c r="D107" s="238" t="s">
        <v>175</v>
      </c>
      <c r="E107" s="232" t="s">
        <v>394</v>
      </c>
      <c r="F107" s="234">
        <v>559</v>
      </c>
      <c r="G107" s="234">
        <v>738</v>
      </c>
      <c r="H107" s="232"/>
      <c r="I107" s="232"/>
      <c r="J107" s="232"/>
    </row>
    <row r="108" spans="1:10" s="235" customFormat="1" ht="10.199999999999999" x14ac:dyDescent="0.2">
      <c r="A108" s="231" t="s">
        <v>395</v>
      </c>
      <c r="B108" s="232" t="s">
        <v>396</v>
      </c>
      <c r="C108" s="233">
        <f t="shared" si="1"/>
        <v>97</v>
      </c>
      <c r="D108" s="232" t="s">
        <v>172</v>
      </c>
      <c r="E108" s="232" t="s">
        <v>194</v>
      </c>
      <c r="F108" s="242">
        <v>425</v>
      </c>
      <c r="G108" s="234">
        <v>561</v>
      </c>
      <c r="H108" s="232"/>
      <c r="I108" s="232"/>
      <c r="J108" s="232"/>
    </row>
    <row r="109" spans="1:10" s="235" customFormat="1" ht="10.199999999999999" x14ac:dyDescent="0.2">
      <c r="A109" s="231" t="s">
        <v>397</v>
      </c>
      <c r="B109" s="232" t="s">
        <v>398</v>
      </c>
      <c r="C109" s="233">
        <f t="shared" si="1"/>
        <v>98</v>
      </c>
      <c r="D109" s="232" t="s">
        <v>172</v>
      </c>
      <c r="E109" s="232" t="s">
        <v>399</v>
      </c>
      <c r="F109" s="242">
        <v>488</v>
      </c>
      <c r="G109" s="234">
        <v>561</v>
      </c>
      <c r="H109" s="232"/>
      <c r="I109" s="232"/>
      <c r="J109" s="232"/>
    </row>
    <row r="110" spans="1:10" s="235" customFormat="1" ht="10.199999999999999" x14ac:dyDescent="0.2">
      <c r="A110" s="231" t="s">
        <v>400</v>
      </c>
      <c r="B110" s="232" t="s">
        <v>401</v>
      </c>
      <c r="C110" s="233">
        <f t="shared" si="1"/>
        <v>99</v>
      </c>
      <c r="D110" s="232" t="s">
        <v>185</v>
      </c>
      <c r="E110" s="232" t="s">
        <v>186</v>
      </c>
      <c r="F110" s="234">
        <v>512</v>
      </c>
      <c r="G110" s="234">
        <v>614</v>
      </c>
      <c r="H110" s="232"/>
      <c r="I110" s="232"/>
      <c r="J110" s="232"/>
    </row>
    <row r="111" spans="1:10" s="235" customFormat="1" ht="10.199999999999999" x14ac:dyDescent="0.2">
      <c r="A111" s="231" t="s">
        <v>402</v>
      </c>
      <c r="B111" s="232" t="s">
        <v>403</v>
      </c>
      <c r="C111" s="233">
        <f t="shared" si="1"/>
        <v>100</v>
      </c>
      <c r="D111" s="232" t="s">
        <v>181</v>
      </c>
      <c r="E111" s="232" t="s">
        <v>182</v>
      </c>
      <c r="F111" s="234">
        <v>512</v>
      </c>
      <c r="G111" s="234">
        <v>596</v>
      </c>
      <c r="H111" s="232"/>
      <c r="I111" s="232"/>
      <c r="J111" s="232"/>
    </row>
    <row r="112" spans="1:10" s="235" customFormat="1" ht="10.199999999999999" x14ac:dyDescent="0.2">
      <c r="A112" s="231" t="s">
        <v>404</v>
      </c>
      <c r="B112" s="232" t="s">
        <v>405</v>
      </c>
      <c r="C112" s="233">
        <f t="shared" si="1"/>
        <v>101</v>
      </c>
      <c r="D112" s="232" t="s">
        <v>172</v>
      </c>
      <c r="E112" s="232" t="s">
        <v>250</v>
      </c>
      <c r="F112" s="234">
        <v>555</v>
      </c>
      <c r="G112" s="234">
        <v>561</v>
      </c>
      <c r="H112" s="232"/>
      <c r="I112" s="232"/>
      <c r="J112" s="232"/>
    </row>
    <row r="113" spans="1:10" s="235" customFormat="1" ht="10.199999999999999" x14ac:dyDescent="0.2">
      <c r="A113" s="231" t="s">
        <v>406</v>
      </c>
      <c r="B113" s="232" t="s">
        <v>407</v>
      </c>
      <c r="C113" s="233">
        <f t="shared" si="1"/>
        <v>102</v>
      </c>
      <c r="D113" s="232" t="s">
        <v>172</v>
      </c>
      <c r="E113" s="232" t="s">
        <v>191</v>
      </c>
      <c r="F113" s="242">
        <v>488</v>
      </c>
      <c r="G113" s="234">
        <v>561</v>
      </c>
      <c r="H113" s="232"/>
      <c r="I113" s="232"/>
      <c r="J113" s="232"/>
    </row>
    <row r="114" spans="1:10" s="235" customFormat="1" ht="10.199999999999999" x14ac:dyDescent="0.2">
      <c r="A114" s="231" t="s">
        <v>408</v>
      </c>
      <c r="B114" s="232" t="s">
        <v>409</v>
      </c>
      <c r="C114" s="233">
        <f t="shared" si="1"/>
        <v>103</v>
      </c>
      <c r="D114" s="232" t="s">
        <v>172</v>
      </c>
      <c r="E114" s="232" t="s">
        <v>410</v>
      </c>
      <c r="F114" s="234">
        <v>561</v>
      </c>
      <c r="G114" s="234">
        <v>561</v>
      </c>
      <c r="H114" s="232"/>
      <c r="I114" s="232"/>
      <c r="J114" s="232"/>
    </row>
    <row r="115" spans="1:10" s="235" customFormat="1" ht="10.199999999999999" x14ac:dyDescent="0.2">
      <c r="A115" s="231" t="s">
        <v>411</v>
      </c>
      <c r="B115" s="232" t="s">
        <v>412</v>
      </c>
      <c r="C115" s="233">
        <f t="shared" si="1"/>
        <v>104</v>
      </c>
      <c r="D115" s="232" t="s">
        <v>172</v>
      </c>
      <c r="E115" s="232" t="s">
        <v>191</v>
      </c>
      <c r="F115" s="242">
        <v>488</v>
      </c>
      <c r="G115" s="234">
        <v>561</v>
      </c>
      <c r="H115" s="232"/>
      <c r="I115" s="232"/>
      <c r="J115" s="232"/>
    </row>
    <row r="116" spans="1:10" s="235" customFormat="1" ht="10.199999999999999" x14ac:dyDescent="0.2">
      <c r="A116" s="231" t="s">
        <v>413</v>
      </c>
      <c r="B116" s="232" t="s">
        <v>414</v>
      </c>
      <c r="C116" s="233">
        <f t="shared" si="1"/>
        <v>105</v>
      </c>
      <c r="D116" s="232" t="s">
        <v>181</v>
      </c>
      <c r="E116" s="232" t="s">
        <v>182</v>
      </c>
      <c r="F116" s="242">
        <v>512</v>
      </c>
      <c r="G116" s="234">
        <v>596</v>
      </c>
      <c r="H116" s="232"/>
      <c r="I116" s="232"/>
      <c r="J116" s="232"/>
    </row>
    <row r="117" spans="1:10" s="235" customFormat="1" ht="10.199999999999999" x14ac:dyDescent="0.2">
      <c r="A117" s="231" t="s">
        <v>415</v>
      </c>
      <c r="B117" s="232" t="s">
        <v>416</v>
      </c>
      <c r="C117" s="233">
        <f t="shared" si="1"/>
        <v>106</v>
      </c>
      <c r="D117" s="232" t="s">
        <v>172</v>
      </c>
      <c r="E117" s="232" t="s">
        <v>250</v>
      </c>
      <c r="F117" s="234">
        <v>488</v>
      </c>
      <c r="G117" s="234">
        <v>561</v>
      </c>
      <c r="H117" s="232"/>
      <c r="I117" s="232"/>
      <c r="J117" s="232"/>
    </row>
    <row r="118" spans="1:10" s="235" customFormat="1" ht="10.199999999999999" x14ac:dyDescent="0.2">
      <c r="A118" s="231" t="s">
        <v>417</v>
      </c>
      <c r="B118" s="232" t="s">
        <v>418</v>
      </c>
      <c r="C118" s="233">
        <f t="shared" si="1"/>
        <v>107</v>
      </c>
      <c r="D118" s="232" t="s">
        <v>172</v>
      </c>
      <c r="E118" s="232" t="s">
        <v>243</v>
      </c>
      <c r="F118" s="234">
        <v>425</v>
      </c>
      <c r="G118" s="234">
        <v>561</v>
      </c>
      <c r="H118" s="232"/>
      <c r="I118" s="232"/>
      <c r="J118" s="232"/>
    </row>
    <row r="119" spans="1:10" s="235" customFormat="1" ht="10.199999999999999" x14ac:dyDescent="0.2">
      <c r="A119" s="231" t="s">
        <v>419</v>
      </c>
      <c r="B119" s="232" t="s">
        <v>420</v>
      </c>
      <c r="C119" s="233">
        <f t="shared" si="1"/>
        <v>108</v>
      </c>
      <c r="D119" s="232" t="s">
        <v>185</v>
      </c>
      <c r="E119" s="232" t="s">
        <v>186</v>
      </c>
      <c r="F119" s="234">
        <v>612</v>
      </c>
      <c r="G119" s="234">
        <v>614</v>
      </c>
      <c r="H119" s="232"/>
      <c r="I119" s="232"/>
      <c r="J119" s="232"/>
    </row>
    <row r="120" spans="1:10" s="235" customFormat="1" ht="10.199999999999999" x14ac:dyDescent="0.2">
      <c r="A120" s="231" t="s">
        <v>421</v>
      </c>
      <c r="B120" s="232" t="s">
        <v>422</v>
      </c>
      <c r="C120" s="233">
        <f t="shared" si="1"/>
        <v>109</v>
      </c>
      <c r="D120" s="232" t="s">
        <v>185</v>
      </c>
      <c r="E120" s="232" t="s">
        <v>186</v>
      </c>
      <c r="F120" s="234">
        <v>512</v>
      </c>
      <c r="G120" s="234">
        <v>614</v>
      </c>
      <c r="H120" s="232"/>
      <c r="I120" s="232"/>
      <c r="J120" s="232"/>
    </row>
    <row r="121" spans="1:10" s="235" customFormat="1" ht="10.199999999999999" x14ac:dyDescent="0.2">
      <c r="A121" s="231" t="s">
        <v>423</v>
      </c>
      <c r="B121" s="232" t="s">
        <v>424</v>
      </c>
      <c r="C121" s="233">
        <f t="shared" si="1"/>
        <v>110</v>
      </c>
      <c r="D121" s="238" t="s">
        <v>175</v>
      </c>
      <c r="E121" s="232" t="s">
        <v>210</v>
      </c>
      <c r="F121" s="234">
        <v>559</v>
      </c>
      <c r="G121" s="234">
        <v>738</v>
      </c>
      <c r="H121" s="232"/>
      <c r="I121" s="232"/>
      <c r="J121" s="232"/>
    </row>
    <row r="122" spans="1:10" s="235" customFormat="1" ht="10.199999999999999" x14ac:dyDescent="0.2">
      <c r="A122" s="231" t="s">
        <v>425</v>
      </c>
      <c r="B122" s="232" t="s">
        <v>426</v>
      </c>
      <c r="C122" s="233">
        <f t="shared" si="1"/>
        <v>111</v>
      </c>
      <c r="D122" s="238" t="s">
        <v>175</v>
      </c>
      <c r="E122" s="232" t="s">
        <v>210</v>
      </c>
      <c r="F122" s="234">
        <v>559</v>
      </c>
      <c r="G122" s="234">
        <v>738</v>
      </c>
      <c r="H122" s="232"/>
      <c r="I122" s="232"/>
      <c r="J122" s="232"/>
    </row>
    <row r="123" spans="1:10" s="235" customFormat="1" ht="10.199999999999999" x14ac:dyDescent="0.2">
      <c r="A123" s="231" t="s">
        <v>427</v>
      </c>
      <c r="B123" s="232" t="s">
        <v>428</v>
      </c>
      <c r="C123" s="233">
        <f t="shared" si="1"/>
        <v>112</v>
      </c>
      <c r="D123" s="232" t="s">
        <v>181</v>
      </c>
      <c r="E123" s="232" t="s">
        <v>182</v>
      </c>
      <c r="F123" s="242">
        <v>512</v>
      </c>
      <c r="G123" s="234">
        <v>596</v>
      </c>
      <c r="H123" s="232"/>
      <c r="I123" s="232"/>
      <c r="J123" s="232"/>
    </row>
    <row r="124" spans="1:10" s="235" customFormat="1" ht="10.199999999999999" x14ac:dyDescent="0.2">
      <c r="A124" s="231" t="s">
        <v>429</v>
      </c>
      <c r="B124" s="232" t="s">
        <v>430</v>
      </c>
      <c r="C124" s="233">
        <f t="shared" si="1"/>
        <v>113</v>
      </c>
      <c r="D124" s="232" t="s">
        <v>181</v>
      </c>
      <c r="E124" s="232" t="s">
        <v>182</v>
      </c>
      <c r="F124" s="242">
        <v>512</v>
      </c>
      <c r="G124" s="234">
        <v>596</v>
      </c>
      <c r="H124" s="232"/>
      <c r="I124" s="232"/>
      <c r="J124" s="232"/>
    </row>
    <row r="125" spans="1:10" s="235" customFormat="1" ht="10.199999999999999" x14ac:dyDescent="0.2">
      <c r="A125" s="231" t="s">
        <v>431</v>
      </c>
      <c r="B125" s="232" t="s">
        <v>432</v>
      </c>
      <c r="C125" s="233">
        <f t="shared" si="1"/>
        <v>114</v>
      </c>
      <c r="D125" s="232" t="s">
        <v>185</v>
      </c>
      <c r="E125" s="232" t="s">
        <v>186</v>
      </c>
      <c r="F125" s="234">
        <v>512</v>
      </c>
      <c r="G125" s="234">
        <v>614</v>
      </c>
      <c r="H125" s="232"/>
      <c r="I125" s="232"/>
      <c r="J125" s="232"/>
    </row>
    <row r="126" spans="1:10" s="235" customFormat="1" ht="10.199999999999999" x14ac:dyDescent="0.2">
      <c r="A126" s="231" t="s">
        <v>433</v>
      </c>
      <c r="B126" s="232" t="s">
        <v>434</v>
      </c>
      <c r="C126" s="233">
        <f t="shared" si="1"/>
        <v>115</v>
      </c>
      <c r="D126" s="232" t="s">
        <v>172</v>
      </c>
      <c r="E126" s="232" t="s">
        <v>173</v>
      </c>
      <c r="F126" s="234">
        <v>425</v>
      </c>
      <c r="G126" s="234">
        <v>561</v>
      </c>
      <c r="H126" s="232"/>
      <c r="I126" s="232"/>
      <c r="J126" s="232"/>
    </row>
    <row r="127" spans="1:10" s="235" customFormat="1" ht="10.199999999999999" x14ac:dyDescent="0.2">
      <c r="A127" s="231" t="s">
        <v>435</v>
      </c>
      <c r="B127" s="232" t="s">
        <v>436</v>
      </c>
      <c r="C127" s="233">
        <f t="shared" si="1"/>
        <v>116</v>
      </c>
      <c r="D127" s="232" t="s">
        <v>268</v>
      </c>
      <c r="E127" s="232" t="s">
        <v>269</v>
      </c>
      <c r="F127" s="234">
        <v>603.12</v>
      </c>
      <c r="G127" s="234">
        <v>773</v>
      </c>
      <c r="H127" s="232"/>
      <c r="I127" s="232"/>
      <c r="J127" s="232"/>
    </row>
    <row r="128" spans="1:10" s="235" customFormat="1" ht="10.199999999999999" x14ac:dyDescent="0.2">
      <c r="A128" s="231" t="s">
        <v>437</v>
      </c>
      <c r="B128" s="232" t="s">
        <v>438</v>
      </c>
      <c r="C128" s="233">
        <f t="shared" si="1"/>
        <v>117</v>
      </c>
      <c r="D128" s="238" t="s">
        <v>175</v>
      </c>
      <c r="E128" s="232" t="s">
        <v>210</v>
      </c>
      <c r="F128" s="234">
        <v>559</v>
      </c>
      <c r="G128" s="234">
        <v>738</v>
      </c>
      <c r="H128" s="232"/>
      <c r="I128" s="232"/>
      <c r="J128" s="232"/>
    </row>
    <row r="129" spans="1:10" s="235" customFormat="1" ht="10.199999999999999" x14ac:dyDescent="0.2">
      <c r="A129" s="231" t="s">
        <v>439</v>
      </c>
      <c r="B129" s="232" t="s">
        <v>440</v>
      </c>
      <c r="C129" s="233">
        <f t="shared" si="1"/>
        <v>118</v>
      </c>
      <c r="D129" s="232" t="s">
        <v>181</v>
      </c>
      <c r="E129" s="232" t="s">
        <v>182</v>
      </c>
      <c r="F129" s="242">
        <v>512</v>
      </c>
      <c r="G129" s="234">
        <v>596</v>
      </c>
      <c r="H129" s="232"/>
      <c r="I129" s="232"/>
      <c r="J129" s="232"/>
    </row>
    <row r="130" spans="1:10" s="235" customFormat="1" ht="10.199999999999999" x14ac:dyDescent="0.2">
      <c r="A130" s="231" t="s">
        <v>441</v>
      </c>
      <c r="B130" s="232" t="s">
        <v>442</v>
      </c>
      <c r="C130" s="233">
        <f t="shared" si="1"/>
        <v>119</v>
      </c>
      <c r="D130" s="232" t="s">
        <v>185</v>
      </c>
      <c r="E130" s="232" t="s">
        <v>186</v>
      </c>
      <c r="F130" s="234">
        <v>512</v>
      </c>
      <c r="G130" s="234">
        <v>614</v>
      </c>
      <c r="H130" s="232"/>
      <c r="I130" s="232"/>
      <c r="J130" s="232"/>
    </row>
    <row r="131" spans="1:10" s="235" customFormat="1" ht="10.199999999999999" x14ac:dyDescent="0.2">
      <c r="A131" s="231" t="s">
        <v>443</v>
      </c>
      <c r="B131" s="232" t="s">
        <v>444</v>
      </c>
      <c r="C131" s="233">
        <f t="shared" si="1"/>
        <v>120</v>
      </c>
      <c r="D131" s="232" t="s">
        <v>181</v>
      </c>
      <c r="E131" s="232" t="s">
        <v>182</v>
      </c>
      <c r="F131" s="234">
        <v>512</v>
      </c>
      <c r="G131" s="234">
        <v>596</v>
      </c>
      <c r="H131" s="232"/>
      <c r="I131" s="232"/>
      <c r="J131" s="232"/>
    </row>
    <row r="132" spans="1:10" s="235" customFormat="1" ht="10.199999999999999" x14ac:dyDescent="0.2">
      <c r="A132" s="231" t="s">
        <v>445</v>
      </c>
      <c r="B132" s="232" t="s">
        <v>446</v>
      </c>
      <c r="C132" s="233">
        <f t="shared" si="1"/>
        <v>121</v>
      </c>
      <c r="D132" s="232" t="s">
        <v>181</v>
      </c>
      <c r="E132" s="232" t="s">
        <v>182</v>
      </c>
      <c r="F132" s="234">
        <v>512</v>
      </c>
      <c r="G132" s="234">
        <v>596</v>
      </c>
      <c r="H132" s="232"/>
      <c r="I132" s="232"/>
      <c r="J132" s="232"/>
    </row>
    <row r="133" spans="1:10" s="235" customFormat="1" ht="10.199999999999999" x14ac:dyDescent="0.2">
      <c r="A133" s="231" t="s">
        <v>447</v>
      </c>
      <c r="B133" s="232" t="s">
        <v>448</v>
      </c>
      <c r="C133" s="233">
        <f t="shared" si="1"/>
        <v>122</v>
      </c>
      <c r="D133" s="232" t="s">
        <v>172</v>
      </c>
      <c r="E133" s="232" t="s">
        <v>250</v>
      </c>
      <c r="F133" s="234">
        <v>488</v>
      </c>
      <c r="G133" s="234">
        <v>561</v>
      </c>
      <c r="H133" s="232"/>
      <c r="I133" s="232"/>
      <c r="J133" s="232"/>
    </row>
    <row r="134" spans="1:10" s="235" customFormat="1" ht="10.199999999999999" x14ac:dyDescent="0.2">
      <c r="A134" s="231" t="s">
        <v>449</v>
      </c>
      <c r="B134" s="232" t="s">
        <v>450</v>
      </c>
      <c r="C134" s="233">
        <f t="shared" si="1"/>
        <v>123</v>
      </c>
      <c r="D134" s="232" t="s">
        <v>181</v>
      </c>
      <c r="E134" s="232" t="s">
        <v>182</v>
      </c>
      <c r="F134" s="242">
        <v>512</v>
      </c>
      <c r="G134" s="234">
        <v>596</v>
      </c>
      <c r="H134" s="232"/>
      <c r="I134" s="232"/>
      <c r="J134" s="232"/>
    </row>
    <row r="135" spans="1:10" s="235" customFormat="1" ht="10.199999999999999" x14ac:dyDescent="0.2">
      <c r="A135" s="231" t="s">
        <v>451</v>
      </c>
      <c r="B135" s="232" t="s">
        <v>452</v>
      </c>
      <c r="C135" s="233">
        <f t="shared" si="1"/>
        <v>124</v>
      </c>
      <c r="D135" s="232" t="s">
        <v>172</v>
      </c>
      <c r="E135" s="232" t="s">
        <v>219</v>
      </c>
      <c r="F135" s="234">
        <v>489</v>
      </c>
      <c r="G135" s="234">
        <v>561</v>
      </c>
      <c r="H135" s="232"/>
      <c r="I135" s="232"/>
      <c r="J135" s="232"/>
    </row>
    <row r="136" spans="1:10" s="235" customFormat="1" ht="10.199999999999999" x14ac:dyDescent="0.2">
      <c r="A136" s="231" t="s">
        <v>453</v>
      </c>
      <c r="B136" s="232" t="s">
        <v>454</v>
      </c>
      <c r="C136" s="233">
        <f t="shared" si="1"/>
        <v>125</v>
      </c>
      <c r="D136" s="238" t="s">
        <v>175</v>
      </c>
      <c r="E136" s="232" t="s">
        <v>210</v>
      </c>
      <c r="F136" s="234">
        <v>559</v>
      </c>
      <c r="G136" s="234">
        <v>738</v>
      </c>
      <c r="H136" s="232"/>
      <c r="I136" s="232"/>
      <c r="J136" s="232"/>
    </row>
    <row r="137" spans="1:10" s="235" customFormat="1" ht="10.199999999999999" x14ac:dyDescent="0.2">
      <c r="A137" s="231" t="s">
        <v>455</v>
      </c>
      <c r="B137" s="232" t="s">
        <v>456</v>
      </c>
      <c r="C137" s="233">
        <f t="shared" si="1"/>
        <v>126</v>
      </c>
      <c r="D137" s="238" t="s">
        <v>175</v>
      </c>
      <c r="E137" s="232" t="s">
        <v>210</v>
      </c>
      <c r="F137" s="234">
        <v>559</v>
      </c>
      <c r="G137" s="234">
        <v>738</v>
      </c>
      <c r="H137" s="232"/>
      <c r="I137" s="232"/>
      <c r="J137" s="232"/>
    </row>
    <row r="138" spans="1:10" s="235" customFormat="1" ht="10.199999999999999" x14ac:dyDescent="0.2">
      <c r="A138" s="231" t="s">
        <v>457</v>
      </c>
      <c r="B138" s="232" t="s">
        <v>458</v>
      </c>
      <c r="C138" s="233">
        <f t="shared" si="1"/>
        <v>127</v>
      </c>
      <c r="D138" s="238" t="s">
        <v>175</v>
      </c>
      <c r="E138" s="232" t="s">
        <v>210</v>
      </c>
      <c r="F138" s="234">
        <v>559</v>
      </c>
      <c r="G138" s="234">
        <v>738</v>
      </c>
      <c r="H138" s="232"/>
      <c r="I138" s="232"/>
      <c r="J138" s="232"/>
    </row>
    <row r="139" spans="1:10" s="235" customFormat="1" ht="10.199999999999999" x14ac:dyDescent="0.2">
      <c r="A139" s="231" t="s">
        <v>459</v>
      </c>
      <c r="B139" s="232" t="s">
        <v>460</v>
      </c>
      <c r="C139" s="233">
        <f t="shared" si="1"/>
        <v>128</v>
      </c>
      <c r="D139" s="232" t="s">
        <v>172</v>
      </c>
      <c r="E139" s="232" t="s">
        <v>461</v>
      </c>
      <c r="F139" s="234">
        <v>555</v>
      </c>
      <c r="G139" s="234">
        <v>561</v>
      </c>
      <c r="H139" s="232"/>
      <c r="I139" s="232"/>
      <c r="J139" s="232"/>
    </row>
    <row r="140" spans="1:10" s="235" customFormat="1" ht="10.199999999999999" x14ac:dyDescent="0.2">
      <c r="A140" s="231" t="s">
        <v>462</v>
      </c>
      <c r="B140" s="232" t="s">
        <v>463</v>
      </c>
      <c r="C140" s="233">
        <f t="shared" si="1"/>
        <v>129</v>
      </c>
      <c r="D140" s="238" t="s">
        <v>175</v>
      </c>
      <c r="E140" s="232" t="s">
        <v>210</v>
      </c>
      <c r="F140" s="234">
        <v>559</v>
      </c>
      <c r="G140" s="234">
        <v>738</v>
      </c>
      <c r="H140" s="232"/>
      <c r="I140" s="232"/>
      <c r="J140" s="232"/>
    </row>
    <row r="141" spans="1:10" s="235" customFormat="1" ht="10.199999999999999" x14ac:dyDescent="0.2">
      <c r="A141" s="231" t="s">
        <v>464</v>
      </c>
      <c r="B141" s="232" t="s">
        <v>465</v>
      </c>
      <c r="C141" s="233">
        <f t="shared" ref="C141:C204" si="2">C140+1</f>
        <v>130</v>
      </c>
      <c r="D141" s="232" t="s">
        <v>172</v>
      </c>
      <c r="E141" s="232" t="s">
        <v>328</v>
      </c>
      <c r="F141" s="234">
        <v>425</v>
      </c>
      <c r="G141" s="234">
        <v>561</v>
      </c>
      <c r="H141" s="232"/>
      <c r="I141" s="232"/>
      <c r="J141" s="232"/>
    </row>
    <row r="142" spans="1:10" s="235" customFormat="1" ht="10.199999999999999" x14ac:dyDescent="0.2">
      <c r="A142" s="231" t="s">
        <v>466</v>
      </c>
      <c r="B142" s="232" t="s">
        <v>467</v>
      </c>
      <c r="C142" s="233">
        <f t="shared" si="2"/>
        <v>131</v>
      </c>
      <c r="D142" s="232" t="s">
        <v>185</v>
      </c>
      <c r="E142" s="232" t="s">
        <v>186</v>
      </c>
      <c r="F142" s="234">
        <v>512</v>
      </c>
      <c r="G142" s="234">
        <v>614</v>
      </c>
      <c r="H142" s="232"/>
      <c r="I142" s="232"/>
      <c r="J142" s="232"/>
    </row>
    <row r="143" spans="1:10" s="235" customFormat="1" ht="10.199999999999999" x14ac:dyDescent="0.2">
      <c r="A143" s="231" t="s">
        <v>468</v>
      </c>
      <c r="B143" s="232" t="s">
        <v>469</v>
      </c>
      <c r="C143" s="233">
        <f t="shared" si="2"/>
        <v>132</v>
      </c>
      <c r="D143" s="232" t="s">
        <v>181</v>
      </c>
      <c r="E143" s="232" t="s">
        <v>182</v>
      </c>
      <c r="F143" s="234">
        <v>512</v>
      </c>
      <c r="G143" s="234">
        <v>596</v>
      </c>
      <c r="H143" s="232"/>
      <c r="I143" s="232"/>
      <c r="J143" s="232"/>
    </row>
    <row r="144" spans="1:10" s="235" customFormat="1" ht="10.199999999999999" x14ac:dyDescent="0.2">
      <c r="A144" s="231" t="s">
        <v>470</v>
      </c>
      <c r="B144" s="232" t="s">
        <v>471</v>
      </c>
      <c r="C144" s="233">
        <f t="shared" si="2"/>
        <v>133</v>
      </c>
      <c r="D144" s="238" t="s">
        <v>175</v>
      </c>
      <c r="E144" s="232" t="s">
        <v>176</v>
      </c>
      <c r="F144" s="234">
        <v>559</v>
      </c>
      <c r="G144" s="234">
        <v>738</v>
      </c>
      <c r="H144" s="232"/>
      <c r="I144" s="232"/>
      <c r="J144" s="232"/>
    </row>
    <row r="145" spans="1:10" s="235" customFormat="1" ht="10.199999999999999" x14ac:dyDescent="0.2">
      <c r="A145" s="231" t="s">
        <v>472</v>
      </c>
      <c r="B145" s="232" t="s">
        <v>473</v>
      </c>
      <c r="C145" s="233">
        <f t="shared" si="2"/>
        <v>134</v>
      </c>
      <c r="D145" s="232" t="s">
        <v>172</v>
      </c>
      <c r="E145" s="232" t="s">
        <v>474</v>
      </c>
      <c r="F145" s="234">
        <v>675</v>
      </c>
      <c r="G145" s="234">
        <v>561</v>
      </c>
      <c r="H145" s="232"/>
      <c r="I145" s="232"/>
      <c r="J145" s="232"/>
    </row>
    <row r="146" spans="1:10" s="235" customFormat="1" ht="10.199999999999999" x14ac:dyDescent="0.2">
      <c r="A146" s="231" t="s">
        <v>475</v>
      </c>
      <c r="B146" s="232" t="s">
        <v>476</v>
      </c>
      <c r="C146" s="233">
        <f t="shared" si="2"/>
        <v>135</v>
      </c>
      <c r="D146" s="232" t="s">
        <v>268</v>
      </c>
      <c r="E146" s="232" t="s">
        <v>269</v>
      </c>
      <c r="F146" s="234">
        <v>556</v>
      </c>
      <c r="G146" s="234">
        <v>773</v>
      </c>
      <c r="H146" s="232"/>
      <c r="I146" s="232"/>
      <c r="J146" s="232"/>
    </row>
    <row r="147" spans="1:10" s="235" customFormat="1" ht="10.199999999999999" x14ac:dyDescent="0.2">
      <c r="A147" s="231" t="s">
        <v>477</v>
      </c>
      <c r="B147" s="232" t="s">
        <v>478</v>
      </c>
      <c r="C147" s="233">
        <f t="shared" si="2"/>
        <v>136</v>
      </c>
      <c r="D147" s="232" t="s">
        <v>268</v>
      </c>
      <c r="E147" s="232" t="s">
        <v>269</v>
      </c>
      <c r="F147" s="234">
        <v>594</v>
      </c>
      <c r="G147" s="234">
        <v>773</v>
      </c>
      <c r="H147" s="232"/>
      <c r="I147" s="232"/>
      <c r="J147" s="232"/>
    </row>
    <row r="148" spans="1:10" s="235" customFormat="1" ht="10.199999999999999" x14ac:dyDescent="0.2">
      <c r="A148" s="231" t="s">
        <v>479</v>
      </c>
      <c r="B148" s="232" t="s">
        <v>480</v>
      </c>
      <c r="C148" s="233">
        <f t="shared" si="2"/>
        <v>137</v>
      </c>
      <c r="D148" s="238" t="s">
        <v>175</v>
      </c>
      <c r="E148" s="232" t="s">
        <v>210</v>
      </c>
      <c r="F148" s="234">
        <v>559</v>
      </c>
      <c r="G148" s="234">
        <v>738</v>
      </c>
      <c r="H148" s="232"/>
      <c r="I148" s="232"/>
      <c r="J148" s="232"/>
    </row>
    <row r="149" spans="1:10" s="235" customFormat="1" ht="10.199999999999999" x14ac:dyDescent="0.2">
      <c r="A149" s="231" t="s">
        <v>481</v>
      </c>
      <c r="B149" s="232" t="s">
        <v>482</v>
      </c>
      <c r="C149" s="233">
        <f t="shared" si="2"/>
        <v>138</v>
      </c>
      <c r="D149" s="232" t="s">
        <v>172</v>
      </c>
      <c r="E149" s="232" t="s">
        <v>191</v>
      </c>
      <c r="F149" s="242">
        <v>488</v>
      </c>
      <c r="G149" s="234">
        <v>561</v>
      </c>
      <c r="H149" s="232"/>
      <c r="I149" s="232"/>
      <c r="J149" s="232"/>
    </row>
    <row r="150" spans="1:10" s="235" customFormat="1" ht="10.199999999999999" x14ac:dyDescent="0.2">
      <c r="A150" s="231" t="s">
        <v>483</v>
      </c>
      <c r="B150" s="232" t="s">
        <v>484</v>
      </c>
      <c r="C150" s="233">
        <f t="shared" si="2"/>
        <v>139</v>
      </c>
      <c r="D150" s="232" t="s">
        <v>172</v>
      </c>
      <c r="E150" s="232" t="s">
        <v>485</v>
      </c>
      <c r="F150" s="234">
        <v>571.02</v>
      </c>
      <c r="G150" s="234">
        <v>561</v>
      </c>
      <c r="H150" s="232"/>
      <c r="I150" s="232"/>
      <c r="J150" s="232"/>
    </row>
    <row r="151" spans="1:10" s="235" customFormat="1" ht="10.199999999999999" x14ac:dyDescent="0.2">
      <c r="A151" s="231" t="s">
        <v>486</v>
      </c>
      <c r="B151" s="232" t="s">
        <v>487</v>
      </c>
      <c r="C151" s="233">
        <f t="shared" si="2"/>
        <v>140</v>
      </c>
      <c r="D151" s="238" t="s">
        <v>175</v>
      </c>
      <c r="E151" s="232" t="s">
        <v>263</v>
      </c>
      <c r="F151" s="234">
        <v>559</v>
      </c>
      <c r="G151" s="234">
        <v>738</v>
      </c>
      <c r="H151" s="232"/>
      <c r="I151" s="232"/>
      <c r="J151" s="232"/>
    </row>
    <row r="152" spans="1:10" s="235" customFormat="1" ht="10.199999999999999" x14ac:dyDescent="0.2">
      <c r="A152" s="231" t="s">
        <v>488</v>
      </c>
      <c r="B152" s="232" t="s">
        <v>489</v>
      </c>
      <c r="C152" s="233">
        <f t="shared" si="2"/>
        <v>141</v>
      </c>
      <c r="D152" s="232" t="s">
        <v>185</v>
      </c>
      <c r="E152" s="232" t="s">
        <v>186</v>
      </c>
      <c r="F152" s="234">
        <v>512</v>
      </c>
      <c r="G152" s="234">
        <v>614</v>
      </c>
      <c r="H152" s="232"/>
      <c r="I152" s="232"/>
      <c r="J152" s="232"/>
    </row>
    <row r="153" spans="1:10" s="235" customFormat="1" ht="10.199999999999999" x14ac:dyDescent="0.2">
      <c r="A153" s="231" t="s">
        <v>490</v>
      </c>
      <c r="B153" s="232" t="s">
        <v>491</v>
      </c>
      <c r="C153" s="233">
        <f t="shared" si="2"/>
        <v>142</v>
      </c>
      <c r="D153" s="232" t="s">
        <v>172</v>
      </c>
      <c r="E153" s="232" t="s">
        <v>194</v>
      </c>
      <c r="F153" s="242">
        <v>425</v>
      </c>
      <c r="G153" s="234">
        <v>561</v>
      </c>
      <c r="H153" s="232"/>
      <c r="I153" s="232"/>
      <c r="J153" s="232"/>
    </row>
    <row r="154" spans="1:10" s="235" customFormat="1" ht="10.199999999999999" x14ac:dyDescent="0.2">
      <c r="A154" s="231" t="s">
        <v>492</v>
      </c>
      <c r="B154" s="232" t="s">
        <v>493</v>
      </c>
      <c r="C154" s="233">
        <f t="shared" si="2"/>
        <v>143</v>
      </c>
      <c r="D154" s="238" t="s">
        <v>175</v>
      </c>
      <c r="E154" s="232" t="s">
        <v>210</v>
      </c>
      <c r="F154" s="234">
        <v>559</v>
      </c>
      <c r="G154" s="234">
        <v>738</v>
      </c>
      <c r="H154" s="232"/>
      <c r="I154" s="232"/>
      <c r="J154" s="232"/>
    </row>
    <row r="155" spans="1:10" s="235" customFormat="1" ht="10.199999999999999" x14ac:dyDescent="0.2">
      <c r="A155" s="231" t="s">
        <v>494</v>
      </c>
      <c r="B155" s="232" t="s">
        <v>495</v>
      </c>
      <c r="C155" s="233">
        <f t="shared" si="2"/>
        <v>144</v>
      </c>
      <c r="D155" s="238" t="s">
        <v>175</v>
      </c>
      <c r="E155" s="232" t="s">
        <v>263</v>
      </c>
      <c r="F155" s="234">
        <v>559</v>
      </c>
      <c r="G155" s="234">
        <v>738</v>
      </c>
      <c r="H155" s="232"/>
      <c r="I155" s="232"/>
      <c r="J155" s="232"/>
    </row>
    <row r="156" spans="1:10" s="235" customFormat="1" ht="10.199999999999999" x14ac:dyDescent="0.2">
      <c r="A156" s="231" t="s">
        <v>496</v>
      </c>
      <c r="B156" s="232" t="s">
        <v>497</v>
      </c>
      <c r="C156" s="233">
        <f t="shared" si="2"/>
        <v>145</v>
      </c>
      <c r="D156" s="238" t="s">
        <v>175</v>
      </c>
      <c r="E156" s="232" t="s">
        <v>263</v>
      </c>
      <c r="F156" s="234">
        <v>559</v>
      </c>
      <c r="G156" s="234">
        <v>738</v>
      </c>
      <c r="H156" s="232"/>
      <c r="I156" s="232"/>
      <c r="J156" s="232"/>
    </row>
    <row r="157" spans="1:10" s="235" customFormat="1" ht="10.199999999999999" x14ac:dyDescent="0.2">
      <c r="A157" s="231" t="s">
        <v>498</v>
      </c>
      <c r="B157" s="232" t="s">
        <v>499</v>
      </c>
      <c r="C157" s="233">
        <f t="shared" si="2"/>
        <v>146</v>
      </c>
      <c r="D157" s="238" t="s">
        <v>175</v>
      </c>
      <c r="E157" s="232" t="s">
        <v>263</v>
      </c>
      <c r="F157" s="234">
        <v>559</v>
      </c>
      <c r="G157" s="234">
        <v>738</v>
      </c>
      <c r="H157" s="232"/>
      <c r="I157" s="232"/>
      <c r="J157" s="232"/>
    </row>
    <row r="158" spans="1:10" s="235" customFormat="1" ht="10.199999999999999" x14ac:dyDescent="0.2">
      <c r="A158" s="231" t="s">
        <v>500</v>
      </c>
      <c r="B158" s="232" t="s">
        <v>501</v>
      </c>
      <c r="C158" s="233">
        <f t="shared" si="2"/>
        <v>147</v>
      </c>
      <c r="D158" s="232" t="s">
        <v>181</v>
      </c>
      <c r="E158" s="232" t="s">
        <v>182</v>
      </c>
      <c r="F158" s="242">
        <v>612</v>
      </c>
      <c r="G158" s="234">
        <v>596</v>
      </c>
      <c r="H158" s="232"/>
      <c r="I158" s="232"/>
      <c r="J158" s="232"/>
    </row>
    <row r="159" spans="1:10" s="235" customFormat="1" ht="10.199999999999999" x14ac:dyDescent="0.2">
      <c r="A159" s="231" t="s">
        <v>502</v>
      </c>
      <c r="B159" s="232" t="s">
        <v>503</v>
      </c>
      <c r="C159" s="233">
        <f t="shared" si="2"/>
        <v>148</v>
      </c>
      <c r="D159" s="232" t="s">
        <v>172</v>
      </c>
      <c r="E159" s="232" t="s">
        <v>191</v>
      </c>
      <c r="F159" s="242">
        <v>530.08000000000004</v>
      </c>
      <c r="G159" s="234">
        <v>561</v>
      </c>
      <c r="H159" s="232"/>
      <c r="I159" s="232"/>
      <c r="J159" s="232"/>
    </row>
    <row r="160" spans="1:10" s="235" customFormat="1" ht="10.199999999999999" x14ac:dyDescent="0.2">
      <c r="A160" s="231" t="s">
        <v>504</v>
      </c>
      <c r="B160" s="232" t="s">
        <v>505</v>
      </c>
      <c r="C160" s="233">
        <f t="shared" si="2"/>
        <v>149</v>
      </c>
      <c r="D160" s="232" t="s">
        <v>172</v>
      </c>
      <c r="E160" s="232" t="s">
        <v>191</v>
      </c>
      <c r="F160" s="242">
        <v>488</v>
      </c>
      <c r="G160" s="234">
        <v>561</v>
      </c>
      <c r="H160" s="232"/>
      <c r="I160" s="232"/>
      <c r="J160" s="232"/>
    </row>
    <row r="161" spans="1:10" s="235" customFormat="1" ht="10.199999999999999" x14ac:dyDescent="0.2">
      <c r="A161" s="231" t="s">
        <v>506</v>
      </c>
      <c r="B161" s="232" t="s">
        <v>507</v>
      </c>
      <c r="C161" s="233">
        <f t="shared" si="2"/>
        <v>150</v>
      </c>
      <c r="D161" s="232" t="s">
        <v>172</v>
      </c>
      <c r="E161" s="232" t="s">
        <v>508</v>
      </c>
      <c r="F161" s="234">
        <v>425</v>
      </c>
      <c r="G161" s="234">
        <v>561</v>
      </c>
      <c r="H161" s="232"/>
      <c r="I161" s="232"/>
      <c r="J161" s="232"/>
    </row>
    <row r="162" spans="1:10" s="235" customFormat="1" ht="10.199999999999999" x14ac:dyDescent="0.2">
      <c r="A162" s="231" t="s">
        <v>509</v>
      </c>
      <c r="B162" s="232" t="s">
        <v>510</v>
      </c>
      <c r="C162" s="233">
        <f t="shared" si="2"/>
        <v>151</v>
      </c>
      <c r="D162" s="232" t="s">
        <v>268</v>
      </c>
      <c r="E162" s="232" t="s">
        <v>308</v>
      </c>
      <c r="F162" s="234">
        <v>675</v>
      </c>
      <c r="G162" s="234">
        <v>773</v>
      </c>
      <c r="H162" s="232"/>
      <c r="I162" s="232"/>
      <c r="J162" s="232"/>
    </row>
    <row r="163" spans="1:10" s="235" customFormat="1" ht="10.199999999999999" x14ac:dyDescent="0.2">
      <c r="A163" s="231" t="s">
        <v>511</v>
      </c>
      <c r="B163" s="232" t="s">
        <v>512</v>
      </c>
      <c r="C163" s="233">
        <f t="shared" si="2"/>
        <v>152</v>
      </c>
      <c r="D163" s="232" t="s">
        <v>185</v>
      </c>
      <c r="E163" s="232" t="s">
        <v>186</v>
      </c>
      <c r="F163" s="234">
        <v>512</v>
      </c>
      <c r="G163" s="234">
        <v>614</v>
      </c>
      <c r="H163" s="232"/>
      <c r="I163" s="232"/>
      <c r="J163" s="232"/>
    </row>
    <row r="164" spans="1:10" s="235" customFormat="1" ht="10.199999999999999" x14ac:dyDescent="0.2">
      <c r="A164" s="231" t="s">
        <v>513</v>
      </c>
      <c r="B164" s="232" t="s">
        <v>514</v>
      </c>
      <c r="C164" s="233">
        <f t="shared" si="2"/>
        <v>153</v>
      </c>
      <c r="D164" s="238" t="s">
        <v>175</v>
      </c>
      <c r="E164" s="232" t="s">
        <v>263</v>
      </c>
      <c r="F164" s="234">
        <v>559</v>
      </c>
      <c r="G164" s="234">
        <v>738</v>
      </c>
      <c r="H164" s="232"/>
      <c r="I164" s="232"/>
      <c r="J164" s="232"/>
    </row>
    <row r="165" spans="1:10" s="235" customFormat="1" ht="10.199999999999999" x14ac:dyDescent="0.2">
      <c r="A165" s="231" t="s">
        <v>515</v>
      </c>
      <c r="B165" s="232" t="s">
        <v>516</v>
      </c>
      <c r="C165" s="233">
        <f t="shared" si="2"/>
        <v>154</v>
      </c>
      <c r="D165" s="232" t="s">
        <v>172</v>
      </c>
      <c r="E165" s="232" t="s">
        <v>219</v>
      </c>
      <c r="F165" s="234">
        <v>489</v>
      </c>
      <c r="G165" s="234">
        <v>561</v>
      </c>
      <c r="H165" s="232"/>
      <c r="I165" s="232"/>
      <c r="J165" s="232"/>
    </row>
    <row r="166" spans="1:10" s="235" customFormat="1" ht="10.199999999999999" x14ac:dyDescent="0.2">
      <c r="A166" s="231" t="s">
        <v>517</v>
      </c>
      <c r="B166" s="232" t="s">
        <v>518</v>
      </c>
      <c r="C166" s="233">
        <f t="shared" si="2"/>
        <v>155</v>
      </c>
      <c r="D166" s="232" t="s">
        <v>185</v>
      </c>
      <c r="E166" s="232" t="s">
        <v>186</v>
      </c>
      <c r="F166" s="234">
        <v>512</v>
      </c>
      <c r="G166" s="234">
        <v>614</v>
      </c>
      <c r="H166" s="232"/>
      <c r="I166" s="232"/>
      <c r="J166" s="232"/>
    </row>
    <row r="167" spans="1:10" s="235" customFormat="1" ht="10.199999999999999" x14ac:dyDescent="0.2">
      <c r="A167" s="231" t="s">
        <v>519</v>
      </c>
      <c r="B167" s="232" t="s">
        <v>520</v>
      </c>
      <c r="C167" s="233">
        <f t="shared" si="2"/>
        <v>156</v>
      </c>
      <c r="D167" s="232" t="s">
        <v>172</v>
      </c>
      <c r="E167" s="232" t="s">
        <v>219</v>
      </c>
      <c r="F167" s="234">
        <v>489</v>
      </c>
      <c r="G167" s="234">
        <v>561</v>
      </c>
      <c r="H167" s="232"/>
      <c r="I167" s="232"/>
      <c r="J167" s="232"/>
    </row>
    <row r="168" spans="1:10" s="235" customFormat="1" ht="10.199999999999999" x14ac:dyDescent="0.2">
      <c r="A168" s="231" t="s">
        <v>521</v>
      </c>
      <c r="B168" s="232" t="s">
        <v>522</v>
      </c>
      <c r="C168" s="233">
        <f t="shared" si="2"/>
        <v>157</v>
      </c>
      <c r="D168" s="232" t="s">
        <v>172</v>
      </c>
      <c r="E168" s="232" t="s">
        <v>523</v>
      </c>
      <c r="F168" s="234">
        <v>425</v>
      </c>
      <c r="G168" s="234">
        <v>561</v>
      </c>
      <c r="H168" s="232"/>
      <c r="I168" s="232"/>
      <c r="J168" s="232"/>
    </row>
    <row r="169" spans="1:10" s="235" customFormat="1" ht="10.199999999999999" x14ac:dyDescent="0.2">
      <c r="A169" s="231" t="s">
        <v>524</v>
      </c>
      <c r="B169" s="232" t="s">
        <v>525</v>
      </c>
      <c r="C169" s="233">
        <f t="shared" si="2"/>
        <v>158</v>
      </c>
      <c r="D169" s="232" t="s">
        <v>185</v>
      </c>
      <c r="E169" s="232" t="s">
        <v>186</v>
      </c>
      <c r="F169" s="234">
        <v>512</v>
      </c>
      <c r="G169" s="234">
        <v>614</v>
      </c>
      <c r="H169" s="232"/>
      <c r="I169" s="232"/>
      <c r="J169" s="232"/>
    </row>
    <row r="170" spans="1:10" s="235" customFormat="1" ht="10.199999999999999" x14ac:dyDescent="0.2">
      <c r="A170" s="231" t="s">
        <v>526</v>
      </c>
      <c r="B170" s="232" t="s">
        <v>527</v>
      </c>
      <c r="C170" s="233">
        <f t="shared" si="2"/>
        <v>159</v>
      </c>
      <c r="D170" s="238" t="s">
        <v>175</v>
      </c>
      <c r="E170" s="232" t="s">
        <v>210</v>
      </c>
      <c r="F170" s="234">
        <v>559</v>
      </c>
      <c r="G170" s="234">
        <v>738</v>
      </c>
      <c r="H170" s="232"/>
      <c r="I170" s="232"/>
      <c r="J170" s="232"/>
    </row>
    <row r="171" spans="1:10" s="235" customFormat="1" ht="10.199999999999999" x14ac:dyDescent="0.2">
      <c r="A171" s="231" t="s">
        <v>528</v>
      </c>
      <c r="B171" s="232" t="s">
        <v>529</v>
      </c>
      <c r="C171" s="233">
        <f t="shared" si="2"/>
        <v>160</v>
      </c>
      <c r="D171" s="232" t="s">
        <v>181</v>
      </c>
      <c r="E171" s="232" t="s">
        <v>182</v>
      </c>
      <c r="F171" s="242">
        <v>512</v>
      </c>
      <c r="G171" s="234">
        <v>596</v>
      </c>
      <c r="H171" s="232"/>
      <c r="I171" s="232"/>
      <c r="J171" s="232"/>
    </row>
    <row r="172" spans="1:10" s="235" customFormat="1" ht="10.199999999999999" x14ac:dyDescent="0.2">
      <c r="A172" s="231" t="s">
        <v>530</v>
      </c>
      <c r="B172" s="232" t="s">
        <v>531</v>
      </c>
      <c r="C172" s="233">
        <f t="shared" si="2"/>
        <v>161</v>
      </c>
      <c r="D172" s="232" t="s">
        <v>172</v>
      </c>
      <c r="E172" s="232" t="s">
        <v>276</v>
      </c>
      <c r="F172" s="242">
        <v>525</v>
      </c>
      <c r="G172" s="234">
        <v>561</v>
      </c>
      <c r="H172" s="232"/>
      <c r="I172" s="232"/>
      <c r="J172" s="232"/>
    </row>
    <row r="173" spans="1:10" s="235" customFormat="1" ht="10.199999999999999" x14ac:dyDescent="0.2">
      <c r="A173" s="231" t="s">
        <v>532</v>
      </c>
      <c r="B173" s="232" t="s">
        <v>533</v>
      </c>
      <c r="C173" s="233">
        <f t="shared" si="2"/>
        <v>162</v>
      </c>
      <c r="D173" s="232" t="s">
        <v>172</v>
      </c>
      <c r="E173" s="232" t="s">
        <v>461</v>
      </c>
      <c r="F173" s="234">
        <v>555</v>
      </c>
      <c r="G173" s="234">
        <v>561</v>
      </c>
      <c r="H173" s="232"/>
      <c r="I173" s="232"/>
      <c r="J173" s="232"/>
    </row>
    <row r="174" spans="1:10" s="235" customFormat="1" ht="10.199999999999999" x14ac:dyDescent="0.2">
      <c r="A174" s="231" t="s">
        <v>534</v>
      </c>
      <c r="B174" s="232" t="s">
        <v>535</v>
      </c>
      <c r="C174" s="233">
        <f t="shared" si="2"/>
        <v>163</v>
      </c>
      <c r="D174" s="232" t="s">
        <v>536</v>
      </c>
      <c r="E174" s="232" t="s">
        <v>537</v>
      </c>
      <c r="F174" s="234">
        <v>895</v>
      </c>
      <c r="G174" s="234">
        <v>906</v>
      </c>
      <c r="H174" s="232"/>
      <c r="I174" s="232"/>
      <c r="J174" s="232"/>
    </row>
    <row r="175" spans="1:10" s="235" customFormat="1" ht="10.199999999999999" x14ac:dyDescent="0.2">
      <c r="A175" s="231" t="s">
        <v>538</v>
      </c>
      <c r="B175" s="232" t="s">
        <v>539</v>
      </c>
      <c r="C175" s="233">
        <f t="shared" si="2"/>
        <v>164</v>
      </c>
      <c r="D175" s="232" t="s">
        <v>172</v>
      </c>
      <c r="E175" s="232" t="s">
        <v>523</v>
      </c>
      <c r="F175" s="234">
        <v>425</v>
      </c>
      <c r="G175" s="234">
        <v>561</v>
      </c>
      <c r="H175" s="232"/>
      <c r="I175" s="232"/>
      <c r="J175" s="232"/>
    </row>
    <row r="176" spans="1:10" s="235" customFormat="1" ht="10.199999999999999" x14ac:dyDescent="0.2">
      <c r="A176" s="231" t="s">
        <v>540</v>
      </c>
      <c r="B176" s="232" t="s">
        <v>541</v>
      </c>
      <c r="C176" s="233">
        <f t="shared" si="2"/>
        <v>165</v>
      </c>
      <c r="D176" s="232" t="s">
        <v>172</v>
      </c>
      <c r="E176" s="232" t="s">
        <v>194</v>
      </c>
      <c r="F176" s="234">
        <v>425</v>
      </c>
      <c r="G176" s="234">
        <v>561</v>
      </c>
      <c r="H176" s="232"/>
      <c r="I176" s="232"/>
      <c r="J176" s="232"/>
    </row>
    <row r="177" spans="1:10" s="235" customFormat="1" ht="10.199999999999999" x14ac:dyDescent="0.2">
      <c r="A177" s="231" t="s">
        <v>542</v>
      </c>
      <c r="B177" s="232" t="s">
        <v>543</v>
      </c>
      <c r="C177" s="233">
        <f t="shared" si="2"/>
        <v>166</v>
      </c>
      <c r="D177" s="238" t="s">
        <v>175</v>
      </c>
      <c r="E177" s="232" t="s">
        <v>210</v>
      </c>
      <c r="F177" s="234">
        <v>559</v>
      </c>
      <c r="G177" s="234">
        <v>738</v>
      </c>
      <c r="H177" s="232"/>
      <c r="I177" s="232"/>
      <c r="J177" s="232"/>
    </row>
    <row r="178" spans="1:10" s="235" customFormat="1" ht="10.199999999999999" x14ac:dyDescent="0.2">
      <c r="A178" s="231" t="s">
        <v>544</v>
      </c>
      <c r="B178" s="232" t="s">
        <v>545</v>
      </c>
      <c r="C178" s="233">
        <f t="shared" si="2"/>
        <v>167</v>
      </c>
      <c r="D178" s="238" t="s">
        <v>175</v>
      </c>
      <c r="E178" s="232" t="s">
        <v>210</v>
      </c>
      <c r="F178" s="234">
        <v>559</v>
      </c>
      <c r="G178" s="234">
        <v>738</v>
      </c>
      <c r="H178" s="232"/>
      <c r="I178" s="232"/>
      <c r="J178" s="232"/>
    </row>
    <row r="179" spans="1:10" s="235" customFormat="1" ht="10.199999999999999" x14ac:dyDescent="0.2">
      <c r="A179" s="231" t="s">
        <v>546</v>
      </c>
      <c r="B179" s="232" t="s">
        <v>547</v>
      </c>
      <c r="C179" s="233">
        <f t="shared" si="2"/>
        <v>168</v>
      </c>
      <c r="D179" s="232" t="s">
        <v>536</v>
      </c>
      <c r="E179" s="232" t="s">
        <v>537</v>
      </c>
      <c r="F179" s="234">
        <v>895</v>
      </c>
      <c r="G179" s="234">
        <v>906</v>
      </c>
      <c r="H179" s="232"/>
      <c r="I179" s="232"/>
      <c r="J179" s="232"/>
    </row>
    <row r="180" spans="1:10" s="235" customFormat="1" ht="10.199999999999999" x14ac:dyDescent="0.2">
      <c r="A180" s="231" t="s">
        <v>548</v>
      </c>
      <c r="B180" s="232" t="s">
        <v>549</v>
      </c>
      <c r="C180" s="233">
        <f t="shared" si="2"/>
        <v>169</v>
      </c>
      <c r="D180" s="232" t="s">
        <v>172</v>
      </c>
      <c r="E180" s="232" t="s">
        <v>311</v>
      </c>
      <c r="F180" s="234">
        <v>425</v>
      </c>
      <c r="G180" s="234">
        <v>561</v>
      </c>
      <c r="H180" s="232"/>
      <c r="I180" s="232"/>
      <c r="J180" s="232"/>
    </row>
    <row r="181" spans="1:10" s="235" customFormat="1" ht="10.199999999999999" x14ac:dyDescent="0.2">
      <c r="A181" s="231" t="s">
        <v>550</v>
      </c>
      <c r="B181" s="232" t="s">
        <v>551</v>
      </c>
      <c r="C181" s="233">
        <f t="shared" si="2"/>
        <v>170</v>
      </c>
      <c r="D181" s="232" t="s">
        <v>185</v>
      </c>
      <c r="E181" s="232" t="s">
        <v>186</v>
      </c>
      <c r="F181" s="234">
        <v>512</v>
      </c>
      <c r="G181" s="234">
        <v>614</v>
      </c>
      <c r="H181" s="232"/>
      <c r="I181" s="232"/>
      <c r="J181" s="232"/>
    </row>
    <row r="182" spans="1:10" s="235" customFormat="1" ht="10.199999999999999" x14ac:dyDescent="0.2">
      <c r="A182" s="231" t="s">
        <v>552</v>
      </c>
      <c r="B182" s="232" t="s">
        <v>553</v>
      </c>
      <c r="C182" s="233">
        <f t="shared" si="2"/>
        <v>171</v>
      </c>
      <c r="D182" s="232" t="s">
        <v>334</v>
      </c>
      <c r="E182" s="232" t="s">
        <v>335</v>
      </c>
      <c r="F182" s="234">
        <v>675</v>
      </c>
      <c r="G182" s="234">
        <v>805</v>
      </c>
      <c r="H182" s="232"/>
      <c r="I182" s="232"/>
      <c r="J182" s="232"/>
    </row>
    <row r="183" spans="1:10" s="235" customFormat="1" ht="10.199999999999999" x14ac:dyDescent="0.2">
      <c r="A183" s="231" t="s">
        <v>554</v>
      </c>
      <c r="B183" s="232" t="s">
        <v>555</v>
      </c>
      <c r="C183" s="233">
        <f t="shared" si="2"/>
        <v>172</v>
      </c>
      <c r="D183" s="238" t="s">
        <v>175</v>
      </c>
      <c r="E183" s="232" t="s">
        <v>210</v>
      </c>
      <c r="F183" s="234">
        <v>559</v>
      </c>
      <c r="G183" s="234">
        <v>738</v>
      </c>
      <c r="H183" s="232"/>
      <c r="I183" s="232"/>
      <c r="J183" s="232"/>
    </row>
    <row r="184" spans="1:10" s="235" customFormat="1" ht="10.199999999999999" x14ac:dyDescent="0.2">
      <c r="A184" s="231" t="s">
        <v>556</v>
      </c>
      <c r="B184" s="232" t="s">
        <v>557</v>
      </c>
      <c r="C184" s="233">
        <f t="shared" si="2"/>
        <v>173</v>
      </c>
      <c r="D184" s="238" t="s">
        <v>175</v>
      </c>
      <c r="E184" s="232" t="s">
        <v>210</v>
      </c>
      <c r="F184" s="234">
        <v>559</v>
      </c>
      <c r="G184" s="234">
        <v>738</v>
      </c>
      <c r="H184" s="232"/>
      <c r="I184" s="232"/>
      <c r="J184" s="232"/>
    </row>
    <row r="185" spans="1:10" s="235" customFormat="1" ht="10.199999999999999" x14ac:dyDescent="0.2">
      <c r="A185" s="231" t="s">
        <v>558</v>
      </c>
      <c r="B185" s="232" t="s">
        <v>559</v>
      </c>
      <c r="C185" s="233">
        <f t="shared" si="2"/>
        <v>174</v>
      </c>
      <c r="D185" s="232" t="s">
        <v>185</v>
      </c>
      <c r="E185" s="232" t="s">
        <v>186</v>
      </c>
      <c r="F185" s="234">
        <v>512</v>
      </c>
      <c r="G185" s="234">
        <v>614</v>
      </c>
      <c r="H185" s="232"/>
      <c r="I185" s="232"/>
      <c r="J185" s="232"/>
    </row>
    <row r="186" spans="1:10" s="235" customFormat="1" ht="10.199999999999999" x14ac:dyDescent="0.2">
      <c r="A186" s="231" t="s">
        <v>560</v>
      </c>
      <c r="B186" s="232" t="s">
        <v>561</v>
      </c>
      <c r="C186" s="233">
        <f t="shared" si="2"/>
        <v>175</v>
      </c>
      <c r="D186" s="232" t="s">
        <v>172</v>
      </c>
      <c r="E186" s="232" t="s">
        <v>562</v>
      </c>
      <c r="F186" s="234">
        <v>531</v>
      </c>
      <c r="G186" s="234">
        <v>561</v>
      </c>
      <c r="H186" s="232"/>
      <c r="I186" s="232"/>
      <c r="J186" s="232"/>
    </row>
    <row r="187" spans="1:10" s="235" customFormat="1" ht="10.199999999999999" x14ac:dyDescent="0.2">
      <c r="A187" s="231" t="s">
        <v>563</v>
      </c>
      <c r="B187" s="232" t="s">
        <v>564</v>
      </c>
      <c r="C187" s="233">
        <f t="shared" si="2"/>
        <v>176</v>
      </c>
      <c r="D187" s="232" t="s">
        <v>181</v>
      </c>
      <c r="E187" s="232" t="s">
        <v>182</v>
      </c>
      <c r="F187" s="242">
        <v>512</v>
      </c>
      <c r="G187" s="234">
        <v>596</v>
      </c>
      <c r="H187" s="232"/>
      <c r="I187" s="232"/>
      <c r="J187" s="232"/>
    </row>
    <row r="188" spans="1:10" s="235" customFormat="1" ht="10.199999999999999" x14ac:dyDescent="0.2">
      <c r="A188" s="231" t="s">
        <v>565</v>
      </c>
      <c r="B188" s="232" t="s">
        <v>566</v>
      </c>
      <c r="C188" s="233">
        <f t="shared" si="2"/>
        <v>177</v>
      </c>
      <c r="D188" s="232" t="s">
        <v>185</v>
      </c>
      <c r="E188" s="232" t="s">
        <v>186</v>
      </c>
      <c r="F188" s="242">
        <v>512</v>
      </c>
      <c r="G188" s="234">
        <v>614</v>
      </c>
      <c r="H188" s="232"/>
      <c r="I188" s="232"/>
      <c r="J188" s="232"/>
    </row>
    <row r="189" spans="1:10" s="235" customFormat="1" ht="10.199999999999999" x14ac:dyDescent="0.2">
      <c r="A189" s="231" t="s">
        <v>567</v>
      </c>
      <c r="B189" s="232" t="s">
        <v>568</v>
      </c>
      <c r="C189" s="233">
        <f t="shared" si="2"/>
        <v>178</v>
      </c>
      <c r="D189" s="238" t="s">
        <v>175</v>
      </c>
      <c r="E189" s="232" t="s">
        <v>394</v>
      </c>
      <c r="F189" s="234">
        <v>559</v>
      </c>
      <c r="G189" s="234">
        <v>738</v>
      </c>
      <c r="H189" s="232"/>
      <c r="I189" s="232"/>
      <c r="J189" s="232"/>
    </row>
    <row r="190" spans="1:10" s="235" customFormat="1" ht="10.199999999999999" x14ac:dyDescent="0.2">
      <c r="A190" s="231" t="s">
        <v>569</v>
      </c>
      <c r="B190" s="232" t="s">
        <v>570</v>
      </c>
      <c r="C190" s="233">
        <f t="shared" si="2"/>
        <v>179</v>
      </c>
      <c r="D190" s="232" t="s">
        <v>181</v>
      </c>
      <c r="E190" s="232" t="s">
        <v>182</v>
      </c>
      <c r="F190" s="234">
        <v>548</v>
      </c>
      <c r="G190" s="234">
        <v>596</v>
      </c>
      <c r="H190" s="232"/>
      <c r="I190" s="232"/>
      <c r="J190" s="232"/>
    </row>
    <row r="191" spans="1:10" s="235" customFormat="1" ht="10.199999999999999" x14ac:dyDescent="0.2">
      <c r="A191" s="231" t="s">
        <v>571</v>
      </c>
      <c r="B191" s="232" t="s">
        <v>572</v>
      </c>
      <c r="C191" s="233">
        <f t="shared" si="2"/>
        <v>180</v>
      </c>
      <c r="D191" s="232" t="s">
        <v>268</v>
      </c>
      <c r="E191" s="232" t="s">
        <v>269</v>
      </c>
      <c r="F191" s="234">
        <v>556.63</v>
      </c>
      <c r="G191" s="234">
        <v>773</v>
      </c>
      <c r="H191" s="232"/>
      <c r="I191" s="232"/>
      <c r="J191" s="232"/>
    </row>
    <row r="192" spans="1:10" s="235" customFormat="1" ht="10.199999999999999" x14ac:dyDescent="0.2">
      <c r="A192" s="231" t="s">
        <v>573</v>
      </c>
      <c r="B192" s="232" t="s">
        <v>574</v>
      </c>
      <c r="C192" s="233">
        <f t="shared" si="2"/>
        <v>181</v>
      </c>
      <c r="D192" s="238" t="s">
        <v>175</v>
      </c>
      <c r="E192" s="232" t="s">
        <v>210</v>
      </c>
      <c r="F192" s="234">
        <v>559</v>
      </c>
      <c r="G192" s="234">
        <v>738</v>
      </c>
      <c r="H192" s="232"/>
      <c r="I192" s="232"/>
      <c r="J192" s="232"/>
    </row>
    <row r="193" spans="1:10" s="235" customFormat="1" ht="10.199999999999999" x14ac:dyDescent="0.2">
      <c r="A193" s="231" t="s">
        <v>575</v>
      </c>
      <c r="B193" s="232" t="s">
        <v>576</v>
      </c>
      <c r="C193" s="233">
        <f t="shared" si="2"/>
        <v>182</v>
      </c>
      <c r="D193" s="232" t="s">
        <v>185</v>
      </c>
      <c r="E193" s="232" t="s">
        <v>186</v>
      </c>
      <c r="F193" s="234">
        <v>512</v>
      </c>
      <c r="G193" s="234">
        <v>614</v>
      </c>
      <c r="H193" s="232"/>
      <c r="I193" s="232"/>
      <c r="J193" s="232"/>
    </row>
    <row r="194" spans="1:10" s="235" customFormat="1" ht="10.199999999999999" x14ac:dyDescent="0.2">
      <c r="A194" s="231" t="s">
        <v>577</v>
      </c>
      <c r="B194" s="232" t="s">
        <v>578</v>
      </c>
      <c r="C194" s="233">
        <f t="shared" si="2"/>
        <v>183</v>
      </c>
      <c r="D194" s="232" t="s">
        <v>185</v>
      </c>
      <c r="E194" s="232" t="s">
        <v>186</v>
      </c>
      <c r="F194" s="234">
        <v>512</v>
      </c>
      <c r="G194" s="234">
        <v>614</v>
      </c>
      <c r="H194" s="232"/>
      <c r="I194" s="232"/>
      <c r="J194" s="232"/>
    </row>
    <row r="195" spans="1:10" s="235" customFormat="1" ht="10.199999999999999" x14ac:dyDescent="0.2">
      <c r="A195" s="231" t="s">
        <v>579</v>
      </c>
      <c r="B195" s="232" t="s">
        <v>580</v>
      </c>
      <c r="C195" s="233">
        <f t="shared" si="2"/>
        <v>184</v>
      </c>
      <c r="D195" s="232" t="s">
        <v>185</v>
      </c>
      <c r="E195" s="232" t="s">
        <v>186</v>
      </c>
      <c r="F195" s="234">
        <v>512</v>
      </c>
      <c r="G195" s="234">
        <v>614</v>
      </c>
      <c r="H195" s="232"/>
      <c r="I195" s="232"/>
      <c r="J195" s="232"/>
    </row>
    <row r="196" spans="1:10" s="235" customFormat="1" ht="10.199999999999999" x14ac:dyDescent="0.2">
      <c r="A196" s="231" t="s">
        <v>581</v>
      </c>
      <c r="B196" s="232" t="s">
        <v>582</v>
      </c>
      <c r="C196" s="233">
        <f t="shared" si="2"/>
        <v>185</v>
      </c>
      <c r="D196" s="232" t="s">
        <v>172</v>
      </c>
      <c r="E196" s="232" t="s">
        <v>191</v>
      </c>
      <c r="F196" s="242">
        <v>488</v>
      </c>
      <c r="G196" s="234">
        <v>561</v>
      </c>
      <c r="H196" s="232"/>
      <c r="I196" s="232"/>
      <c r="J196" s="232"/>
    </row>
    <row r="197" spans="1:10" s="235" customFormat="1" ht="10.199999999999999" x14ac:dyDescent="0.2">
      <c r="A197" s="231" t="s">
        <v>583</v>
      </c>
      <c r="B197" s="232" t="s">
        <v>584</v>
      </c>
      <c r="C197" s="233">
        <f t="shared" si="2"/>
        <v>186</v>
      </c>
      <c r="D197" s="238" t="s">
        <v>175</v>
      </c>
      <c r="E197" s="232" t="s">
        <v>210</v>
      </c>
      <c r="F197" s="234">
        <v>559</v>
      </c>
      <c r="G197" s="234">
        <v>738</v>
      </c>
      <c r="H197" s="232"/>
      <c r="I197" s="232"/>
      <c r="J197" s="232"/>
    </row>
    <row r="198" spans="1:10" s="235" customFormat="1" ht="10.199999999999999" x14ac:dyDescent="0.2">
      <c r="A198" s="231" t="s">
        <v>585</v>
      </c>
      <c r="B198" s="232" t="s">
        <v>586</v>
      </c>
      <c r="C198" s="233">
        <f t="shared" si="2"/>
        <v>187</v>
      </c>
      <c r="D198" s="232" t="s">
        <v>181</v>
      </c>
      <c r="E198" s="232" t="s">
        <v>182</v>
      </c>
      <c r="F198" s="234">
        <v>512</v>
      </c>
      <c r="G198" s="234">
        <v>596</v>
      </c>
      <c r="H198" s="232"/>
      <c r="I198" s="232"/>
      <c r="J198" s="232"/>
    </row>
    <row r="199" spans="1:10" s="235" customFormat="1" ht="10.199999999999999" x14ac:dyDescent="0.2">
      <c r="A199" s="231" t="s">
        <v>587</v>
      </c>
      <c r="B199" s="232" t="s">
        <v>588</v>
      </c>
      <c r="C199" s="233">
        <f t="shared" si="2"/>
        <v>188</v>
      </c>
      <c r="D199" s="238" t="s">
        <v>175</v>
      </c>
      <c r="E199" s="232" t="s">
        <v>176</v>
      </c>
      <c r="F199" s="234">
        <v>559</v>
      </c>
      <c r="G199" s="234">
        <v>738</v>
      </c>
      <c r="H199" s="232"/>
      <c r="I199" s="232"/>
      <c r="J199" s="232"/>
    </row>
    <row r="200" spans="1:10" s="235" customFormat="1" ht="10.199999999999999" x14ac:dyDescent="0.2">
      <c r="A200" s="231" t="s">
        <v>589</v>
      </c>
      <c r="B200" s="232" t="s">
        <v>590</v>
      </c>
      <c r="C200" s="233">
        <f t="shared" si="2"/>
        <v>189</v>
      </c>
      <c r="D200" s="232" t="s">
        <v>181</v>
      </c>
      <c r="E200" s="232" t="s">
        <v>182</v>
      </c>
      <c r="F200" s="242">
        <v>512</v>
      </c>
      <c r="G200" s="234">
        <v>596</v>
      </c>
      <c r="H200" s="232"/>
      <c r="I200" s="232"/>
      <c r="J200" s="232"/>
    </row>
    <row r="201" spans="1:10" s="235" customFormat="1" ht="10.199999999999999" x14ac:dyDescent="0.2">
      <c r="A201" s="231" t="s">
        <v>591</v>
      </c>
      <c r="B201" s="232" t="s">
        <v>592</v>
      </c>
      <c r="C201" s="233">
        <f t="shared" si="2"/>
        <v>190</v>
      </c>
      <c r="D201" s="238" t="s">
        <v>175</v>
      </c>
      <c r="E201" s="232" t="s">
        <v>210</v>
      </c>
      <c r="F201" s="234">
        <v>559</v>
      </c>
      <c r="G201" s="234">
        <v>738</v>
      </c>
      <c r="H201" s="232"/>
      <c r="I201" s="232"/>
      <c r="J201" s="232"/>
    </row>
    <row r="202" spans="1:10" s="235" customFormat="1" ht="10.199999999999999" x14ac:dyDescent="0.2">
      <c r="A202" s="231" t="s">
        <v>593</v>
      </c>
      <c r="B202" s="232" t="s">
        <v>594</v>
      </c>
      <c r="C202" s="233">
        <f t="shared" si="2"/>
        <v>191</v>
      </c>
      <c r="D202" s="232" t="s">
        <v>185</v>
      </c>
      <c r="E202" s="232" t="s">
        <v>186</v>
      </c>
      <c r="F202" s="234">
        <v>512</v>
      </c>
      <c r="G202" s="234">
        <v>614</v>
      </c>
      <c r="H202" s="232"/>
      <c r="I202" s="232"/>
      <c r="J202" s="232"/>
    </row>
    <row r="203" spans="1:10" s="235" customFormat="1" ht="10.199999999999999" x14ac:dyDescent="0.2">
      <c r="A203" s="231" t="s">
        <v>595</v>
      </c>
      <c r="B203" s="232" t="s">
        <v>596</v>
      </c>
      <c r="C203" s="233">
        <f t="shared" si="2"/>
        <v>192</v>
      </c>
      <c r="D203" s="232" t="s">
        <v>268</v>
      </c>
      <c r="E203" s="232" t="s">
        <v>308</v>
      </c>
      <c r="F203" s="242">
        <v>773</v>
      </c>
      <c r="G203" s="234">
        <v>773</v>
      </c>
      <c r="H203" s="232"/>
      <c r="I203" s="232"/>
      <c r="J203" s="232"/>
    </row>
    <row r="204" spans="1:10" s="235" customFormat="1" ht="10.199999999999999" x14ac:dyDescent="0.2">
      <c r="A204" s="231" t="s">
        <v>597</v>
      </c>
      <c r="B204" s="232" t="s">
        <v>598</v>
      </c>
      <c r="C204" s="233">
        <f t="shared" si="2"/>
        <v>193</v>
      </c>
      <c r="D204" s="232" t="s">
        <v>185</v>
      </c>
      <c r="E204" s="232" t="s">
        <v>186</v>
      </c>
      <c r="F204" s="234">
        <v>512</v>
      </c>
      <c r="G204" s="234">
        <v>614</v>
      </c>
      <c r="H204" s="232"/>
      <c r="I204" s="232"/>
      <c r="J204" s="232"/>
    </row>
    <row r="205" spans="1:10" s="235" customFormat="1" ht="10.199999999999999" x14ac:dyDescent="0.2">
      <c r="A205" s="231" t="s">
        <v>599</v>
      </c>
      <c r="B205" s="232" t="s">
        <v>600</v>
      </c>
      <c r="C205" s="233">
        <f t="shared" ref="C205:C268" si="3">C204+1</f>
        <v>194</v>
      </c>
      <c r="D205" s="238" t="s">
        <v>175</v>
      </c>
      <c r="E205" s="232" t="s">
        <v>394</v>
      </c>
      <c r="F205" s="234">
        <v>559</v>
      </c>
      <c r="G205" s="234">
        <v>738</v>
      </c>
      <c r="H205" s="232"/>
      <c r="I205" s="232"/>
      <c r="J205" s="232"/>
    </row>
    <row r="206" spans="1:10" s="235" customFormat="1" ht="10.199999999999999" x14ac:dyDescent="0.2">
      <c r="A206" s="231" t="s">
        <v>601</v>
      </c>
      <c r="B206" s="232" t="s">
        <v>602</v>
      </c>
      <c r="C206" s="233">
        <f t="shared" si="3"/>
        <v>195</v>
      </c>
      <c r="D206" s="238" t="s">
        <v>175</v>
      </c>
      <c r="E206" s="232" t="s">
        <v>176</v>
      </c>
      <c r="F206" s="234">
        <v>559</v>
      </c>
      <c r="G206" s="234">
        <v>738</v>
      </c>
      <c r="H206" s="232"/>
      <c r="I206" s="232"/>
      <c r="J206" s="232"/>
    </row>
    <row r="207" spans="1:10" s="235" customFormat="1" ht="10.199999999999999" x14ac:dyDescent="0.2">
      <c r="A207" s="231" t="s">
        <v>603</v>
      </c>
      <c r="B207" s="232" t="s">
        <v>604</v>
      </c>
      <c r="C207" s="233">
        <f t="shared" si="3"/>
        <v>196</v>
      </c>
      <c r="D207" s="232" t="s">
        <v>172</v>
      </c>
      <c r="E207" s="232" t="s">
        <v>605</v>
      </c>
      <c r="F207" s="234">
        <v>425</v>
      </c>
      <c r="G207" s="234">
        <v>561</v>
      </c>
      <c r="H207" s="232"/>
      <c r="I207" s="232"/>
      <c r="J207" s="232"/>
    </row>
    <row r="208" spans="1:10" s="235" customFormat="1" ht="10.199999999999999" x14ac:dyDescent="0.2">
      <c r="A208" s="231" t="s">
        <v>606</v>
      </c>
      <c r="B208" s="232" t="s">
        <v>607</v>
      </c>
      <c r="C208" s="233">
        <f t="shared" si="3"/>
        <v>197</v>
      </c>
      <c r="D208" s="232" t="s">
        <v>172</v>
      </c>
      <c r="E208" s="232" t="s">
        <v>605</v>
      </c>
      <c r="F208" s="234">
        <v>425</v>
      </c>
      <c r="G208" s="234">
        <v>561</v>
      </c>
      <c r="H208" s="232"/>
      <c r="I208" s="232"/>
      <c r="J208" s="232"/>
    </row>
    <row r="209" spans="1:10" s="235" customFormat="1" ht="10.199999999999999" x14ac:dyDescent="0.2">
      <c r="A209" s="231" t="s">
        <v>608</v>
      </c>
      <c r="B209" s="232" t="s">
        <v>609</v>
      </c>
      <c r="C209" s="233">
        <f t="shared" si="3"/>
        <v>198</v>
      </c>
      <c r="D209" s="232" t="s">
        <v>185</v>
      </c>
      <c r="E209" s="232" t="s">
        <v>186</v>
      </c>
      <c r="F209" s="234">
        <v>512</v>
      </c>
      <c r="G209" s="234">
        <v>614</v>
      </c>
      <c r="H209" s="232"/>
      <c r="I209" s="232"/>
      <c r="J209" s="232"/>
    </row>
    <row r="210" spans="1:10" s="235" customFormat="1" ht="10.199999999999999" x14ac:dyDescent="0.2">
      <c r="A210" s="231" t="s">
        <v>610</v>
      </c>
      <c r="B210" s="232" t="s">
        <v>611</v>
      </c>
      <c r="C210" s="233">
        <f t="shared" si="3"/>
        <v>199</v>
      </c>
      <c r="D210" s="238" t="s">
        <v>175</v>
      </c>
      <c r="E210" s="232" t="s">
        <v>612</v>
      </c>
      <c r="F210" s="234">
        <v>675</v>
      </c>
      <c r="G210" s="234">
        <v>738</v>
      </c>
      <c r="H210" s="232"/>
      <c r="I210" s="232"/>
      <c r="J210" s="232"/>
    </row>
    <row r="211" spans="1:10" s="235" customFormat="1" ht="10.199999999999999" x14ac:dyDescent="0.2">
      <c r="A211" s="231" t="s">
        <v>613</v>
      </c>
      <c r="B211" s="232" t="s">
        <v>614</v>
      </c>
      <c r="C211" s="233">
        <f t="shared" si="3"/>
        <v>200</v>
      </c>
      <c r="D211" s="232" t="s">
        <v>172</v>
      </c>
      <c r="E211" s="232" t="s">
        <v>328</v>
      </c>
      <c r="F211" s="234">
        <v>425</v>
      </c>
      <c r="G211" s="234">
        <v>561</v>
      </c>
      <c r="H211" s="232"/>
      <c r="I211" s="232"/>
      <c r="J211" s="232"/>
    </row>
    <row r="212" spans="1:10" s="235" customFormat="1" ht="10.199999999999999" x14ac:dyDescent="0.2">
      <c r="A212" s="231" t="s">
        <v>615</v>
      </c>
      <c r="B212" s="232" t="s">
        <v>616</v>
      </c>
      <c r="C212" s="233">
        <f t="shared" si="3"/>
        <v>201</v>
      </c>
      <c r="D212" s="238" t="s">
        <v>175</v>
      </c>
      <c r="E212" s="232" t="s">
        <v>210</v>
      </c>
      <c r="F212" s="234">
        <v>559</v>
      </c>
      <c r="G212" s="234">
        <v>738</v>
      </c>
      <c r="H212" s="232"/>
      <c r="I212" s="232"/>
      <c r="J212" s="232"/>
    </row>
    <row r="213" spans="1:10" s="235" customFormat="1" ht="10.199999999999999" x14ac:dyDescent="0.2">
      <c r="A213" s="231" t="s">
        <v>617</v>
      </c>
      <c r="B213" s="232" t="s">
        <v>618</v>
      </c>
      <c r="C213" s="233">
        <f t="shared" si="3"/>
        <v>202</v>
      </c>
      <c r="D213" s="232" t="s">
        <v>268</v>
      </c>
      <c r="E213" s="232" t="s">
        <v>269</v>
      </c>
      <c r="F213" s="234">
        <v>563.28</v>
      </c>
      <c r="G213" s="234">
        <v>773</v>
      </c>
      <c r="H213" s="232"/>
      <c r="I213" s="232"/>
      <c r="J213" s="232"/>
    </row>
    <row r="214" spans="1:10" s="235" customFormat="1" ht="10.199999999999999" x14ac:dyDescent="0.2">
      <c r="A214" s="231" t="s">
        <v>619</v>
      </c>
      <c r="B214" s="232" t="s">
        <v>620</v>
      </c>
      <c r="C214" s="233">
        <f t="shared" si="3"/>
        <v>203</v>
      </c>
      <c r="D214" s="232" t="s">
        <v>172</v>
      </c>
      <c r="E214" s="232" t="s">
        <v>173</v>
      </c>
      <c r="F214" s="234">
        <v>425</v>
      </c>
      <c r="G214" s="234">
        <v>561</v>
      </c>
      <c r="H214" s="232"/>
      <c r="I214" s="232"/>
      <c r="J214" s="232"/>
    </row>
    <row r="215" spans="1:10" s="235" customFormat="1" ht="10.199999999999999" x14ac:dyDescent="0.2">
      <c r="A215" s="231" t="s">
        <v>621</v>
      </c>
      <c r="B215" s="232" t="s">
        <v>622</v>
      </c>
      <c r="C215" s="233">
        <f t="shared" si="3"/>
        <v>204</v>
      </c>
      <c r="D215" s="232" t="s">
        <v>172</v>
      </c>
      <c r="E215" s="232" t="s">
        <v>399</v>
      </c>
      <c r="F215" s="242">
        <v>488</v>
      </c>
      <c r="G215" s="234">
        <v>561</v>
      </c>
      <c r="H215" s="232"/>
      <c r="I215" s="232"/>
      <c r="J215" s="232"/>
    </row>
    <row r="216" spans="1:10" s="235" customFormat="1" ht="10.199999999999999" x14ac:dyDescent="0.2">
      <c r="A216" s="231" t="s">
        <v>623</v>
      </c>
      <c r="B216" s="232" t="s">
        <v>624</v>
      </c>
      <c r="C216" s="233">
        <f t="shared" si="3"/>
        <v>205</v>
      </c>
      <c r="D216" s="232" t="s">
        <v>172</v>
      </c>
      <c r="E216" s="232" t="s">
        <v>219</v>
      </c>
      <c r="F216" s="234">
        <v>489</v>
      </c>
      <c r="G216" s="234">
        <v>561</v>
      </c>
      <c r="H216" s="232"/>
      <c r="I216" s="232"/>
      <c r="J216" s="232"/>
    </row>
    <row r="217" spans="1:10" s="235" customFormat="1" ht="10.199999999999999" x14ac:dyDescent="0.2">
      <c r="A217" s="231" t="s">
        <v>625</v>
      </c>
      <c r="B217" s="232" t="s">
        <v>626</v>
      </c>
      <c r="C217" s="233">
        <f t="shared" si="3"/>
        <v>206</v>
      </c>
      <c r="D217" s="232" t="s">
        <v>172</v>
      </c>
      <c r="E217" s="232" t="s">
        <v>219</v>
      </c>
      <c r="F217" s="234">
        <v>489</v>
      </c>
      <c r="G217" s="234">
        <v>561</v>
      </c>
      <c r="H217" s="232"/>
      <c r="I217" s="232"/>
      <c r="J217" s="232"/>
    </row>
    <row r="218" spans="1:10" s="235" customFormat="1" ht="10.199999999999999" x14ac:dyDescent="0.2">
      <c r="A218" s="231" t="s">
        <v>627</v>
      </c>
      <c r="B218" s="232" t="s">
        <v>628</v>
      </c>
      <c r="C218" s="233">
        <f t="shared" si="3"/>
        <v>207</v>
      </c>
      <c r="D218" s="232" t="s">
        <v>185</v>
      </c>
      <c r="E218" s="232" t="s">
        <v>186</v>
      </c>
      <c r="F218" s="234">
        <v>603.12</v>
      </c>
      <c r="G218" s="234">
        <v>614</v>
      </c>
      <c r="H218" s="232"/>
      <c r="I218" s="232"/>
      <c r="J218" s="232"/>
    </row>
    <row r="219" spans="1:10" s="235" customFormat="1" ht="10.199999999999999" x14ac:dyDescent="0.2">
      <c r="A219" s="231" t="s">
        <v>629</v>
      </c>
      <c r="B219" s="232" t="s">
        <v>630</v>
      </c>
      <c r="C219" s="233">
        <f t="shared" si="3"/>
        <v>208</v>
      </c>
      <c r="D219" s="232" t="s">
        <v>185</v>
      </c>
      <c r="E219" s="232" t="s">
        <v>186</v>
      </c>
      <c r="F219" s="234">
        <v>512</v>
      </c>
      <c r="G219" s="234">
        <v>614</v>
      </c>
      <c r="H219" s="232"/>
      <c r="I219" s="232"/>
      <c r="J219" s="232"/>
    </row>
    <row r="220" spans="1:10" s="235" customFormat="1" ht="10.199999999999999" x14ac:dyDescent="0.2">
      <c r="A220" s="231" t="s">
        <v>631</v>
      </c>
      <c r="B220" s="232" t="s">
        <v>632</v>
      </c>
      <c r="C220" s="233">
        <f t="shared" si="3"/>
        <v>209</v>
      </c>
      <c r="D220" s="232" t="s">
        <v>334</v>
      </c>
      <c r="E220" s="232" t="s">
        <v>633</v>
      </c>
      <c r="F220" s="234">
        <v>675</v>
      </c>
      <c r="G220" s="234">
        <v>805</v>
      </c>
      <c r="H220" s="232"/>
      <c r="I220" s="232"/>
      <c r="J220" s="232"/>
    </row>
    <row r="221" spans="1:10" s="235" customFormat="1" ht="10.199999999999999" x14ac:dyDescent="0.2">
      <c r="A221" s="231" t="s">
        <v>634</v>
      </c>
      <c r="B221" s="232" t="s">
        <v>635</v>
      </c>
      <c r="C221" s="233">
        <f t="shared" si="3"/>
        <v>210</v>
      </c>
      <c r="D221" s="238" t="s">
        <v>175</v>
      </c>
      <c r="E221" s="232" t="s">
        <v>176</v>
      </c>
      <c r="F221" s="234">
        <v>559</v>
      </c>
      <c r="G221" s="234">
        <v>738</v>
      </c>
      <c r="H221" s="232"/>
      <c r="I221" s="232"/>
      <c r="J221" s="232"/>
    </row>
    <row r="222" spans="1:10" s="235" customFormat="1" ht="10.199999999999999" x14ac:dyDescent="0.2">
      <c r="A222" s="231" t="s">
        <v>636</v>
      </c>
      <c r="B222" s="232" t="s">
        <v>637</v>
      </c>
      <c r="C222" s="233">
        <f t="shared" si="3"/>
        <v>211</v>
      </c>
      <c r="D222" s="232" t="s">
        <v>172</v>
      </c>
      <c r="E222" s="232" t="s">
        <v>243</v>
      </c>
      <c r="F222" s="234">
        <v>425</v>
      </c>
      <c r="G222" s="234">
        <v>561</v>
      </c>
      <c r="H222" s="232"/>
      <c r="I222" s="232"/>
      <c r="J222" s="232"/>
    </row>
    <row r="223" spans="1:10" s="235" customFormat="1" ht="10.199999999999999" x14ac:dyDescent="0.2">
      <c r="A223" s="231" t="s">
        <v>638</v>
      </c>
      <c r="B223" s="232" t="s">
        <v>639</v>
      </c>
      <c r="C223" s="233">
        <f t="shared" si="3"/>
        <v>212</v>
      </c>
      <c r="D223" s="232" t="s">
        <v>255</v>
      </c>
      <c r="E223" s="232" t="s">
        <v>361</v>
      </c>
      <c r="F223" s="234">
        <v>578</v>
      </c>
      <c r="G223" s="234">
        <v>578</v>
      </c>
      <c r="H223" s="232"/>
      <c r="I223" s="232"/>
      <c r="J223" s="232"/>
    </row>
    <row r="224" spans="1:10" s="235" customFormat="1" ht="10.199999999999999" x14ac:dyDescent="0.2">
      <c r="A224" s="231" t="s">
        <v>640</v>
      </c>
      <c r="B224" s="232" t="s">
        <v>641</v>
      </c>
      <c r="C224" s="233">
        <f t="shared" si="3"/>
        <v>213</v>
      </c>
      <c r="D224" s="232" t="s">
        <v>172</v>
      </c>
      <c r="E224" s="232" t="s">
        <v>642</v>
      </c>
      <c r="F224" s="234">
        <v>425</v>
      </c>
      <c r="G224" s="234">
        <v>561</v>
      </c>
      <c r="H224" s="232"/>
      <c r="I224" s="232"/>
      <c r="J224" s="232"/>
    </row>
    <row r="225" spans="1:10" s="235" customFormat="1" ht="10.199999999999999" x14ac:dyDescent="0.2">
      <c r="A225" s="231" t="s">
        <v>643</v>
      </c>
      <c r="B225" s="232" t="s">
        <v>644</v>
      </c>
      <c r="C225" s="233">
        <f t="shared" si="3"/>
        <v>214</v>
      </c>
      <c r="D225" s="232" t="s">
        <v>185</v>
      </c>
      <c r="E225" s="232" t="s">
        <v>186</v>
      </c>
      <c r="F225" s="234">
        <v>512</v>
      </c>
      <c r="G225" s="234">
        <v>614</v>
      </c>
      <c r="H225" s="232"/>
      <c r="I225" s="232"/>
      <c r="J225" s="232"/>
    </row>
    <row r="226" spans="1:10" s="235" customFormat="1" ht="10.199999999999999" x14ac:dyDescent="0.2">
      <c r="A226" s="231" t="s">
        <v>645</v>
      </c>
      <c r="B226" s="232" t="s">
        <v>646</v>
      </c>
      <c r="C226" s="233">
        <f t="shared" si="3"/>
        <v>215</v>
      </c>
      <c r="D226" s="232" t="s">
        <v>172</v>
      </c>
      <c r="E226" s="232" t="s">
        <v>194</v>
      </c>
      <c r="F226" s="242">
        <v>425</v>
      </c>
      <c r="G226" s="234">
        <v>561</v>
      </c>
      <c r="H226" s="232"/>
      <c r="I226" s="232"/>
      <c r="J226" s="232"/>
    </row>
    <row r="227" spans="1:10" s="235" customFormat="1" ht="10.199999999999999" x14ac:dyDescent="0.2">
      <c r="A227" s="231" t="s">
        <v>647</v>
      </c>
      <c r="B227" s="232" t="s">
        <v>648</v>
      </c>
      <c r="C227" s="233">
        <f t="shared" si="3"/>
        <v>216</v>
      </c>
      <c r="D227" s="232" t="s">
        <v>185</v>
      </c>
      <c r="E227" s="232" t="s">
        <v>186</v>
      </c>
      <c r="F227" s="234">
        <v>512</v>
      </c>
      <c r="G227" s="234">
        <v>614</v>
      </c>
      <c r="H227" s="232"/>
      <c r="I227" s="232"/>
      <c r="J227" s="232"/>
    </row>
    <row r="228" spans="1:10" s="235" customFormat="1" ht="10.199999999999999" x14ac:dyDescent="0.2">
      <c r="A228" s="231" t="s">
        <v>649</v>
      </c>
      <c r="B228" s="232" t="s">
        <v>650</v>
      </c>
      <c r="C228" s="233">
        <f t="shared" si="3"/>
        <v>217</v>
      </c>
      <c r="D228" s="232" t="s">
        <v>268</v>
      </c>
      <c r="E228" s="232" t="s">
        <v>308</v>
      </c>
      <c r="F228" s="234">
        <v>733</v>
      </c>
      <c r="G228" s="234">
        <v>773</v>
      </c>
      <c r="H228" s="232"/>
      <c r="I228" s="232"/>
      <c r="J228" s="232"/>
    </row>
    <row r="229" spans="1:10" s="235" customFormat="1" ht="10.199999999999999" x14ac:dyDescent="0.2">
      <c r="A229" s="231" t="s">
        <v>651</v>
      </c>
      <c r="B229" s="232" t="s">
        <v>652</v>
      </c>
      <c r="C229" s="233">
        <f t="shared" si="3"/>
        <v>218</v>
      </c>
      <c r="D229" s="232" t="s">
        <v>172</v>
      </c>
      <c r="E229" s="232" t="s">
        <v>191</v>
      </c>
      <c r="F229" s="242">
        <v>488</v>
      </c>
      <c r="G229" s="234">
        <v>561</v>
      </c>
      <c r="H229" s="232"/>
      <c r="I229" s="232"/>
      <c r="J229" s="232"/>
    </row>
    <row r="230" spans="1:10" s="235" customFormat="1" ht="10.199999999999999" x14ac:dyDescent="0.2">
      <c r="A230" s="231" t="s">
        <v>653</v>
      </c>
      <c r="B230" s="232" t="s">
        <v>654</v>
      </c>
      <c r="C230" s="233">
        <f t="shared" si="3"/>
        <v>219</v>
      </c>
      <c r="D230" s="238" t="s">
        <v>175</v>
      </c>
      <c r="E230" s="232" t="s">
        <v>210</v>
      </c>
      <c r="F230" s="234">
        <v>559</v>
      </c>
      <c r="G230" s="234">
        <v>738</v>
      </c>
      <c r="H230" s="232"/>
      <c r="I230" s="232"/>
      <c r="J230" s="232"/>
    </row>
    <row r="231" spans="1:10" s="235" customFormat="1" ht="10.199999999999999" x14ac:dyDescent="0.2">
      <c r="A231" s="231" t="s">
        <v>655</v>
      </c>
      <c r="B231" s="232" t="s">
        <v>656</v>
      </c>
      <c r="C231" s="233">
        <f t="shared" si="3"/>
        <v>220</v>
      </c>
      <c r="D231" s="238" t="s">
        <v>175</v>
      </c>
      <c r="E231" s="232" t="s">
        <v>210</v>
      </c>
      <c r="F231" s="234">
        <v>559</v>
      </c>
      <c r="G231" s="234">
        <v>738</v>
      </c>
      <c r="H231" s="232"/>
      <c r="I231" s="232"/>
      <c r="J231" s="232"/>
    </row>
    <row r="232" spans="1:10" s="235" customFormat="1" ht="10.199999999999999" x14ac:dyDescent="0.2">
      <c r="A232" s="231" t="s">
        <v>657</v>
      </c>
      <c r="B232" s="232" t="s">
        <v>658</v>
      </c>
      <c r="C232" s="233">
        <f t="shared" si="3"/>
        <v>221</v>
      </c>
      <c r="D232" s="232" t="s">
        <v>172</v>
      </c>
      <c r="E232" s="232" t="s">
        <v>659</v>
      </c>
      <c r="F232" s="242">
        <v>500</v>
      </c>
      <c r="G232" s="234">
        <v>561</v>
      </c>
      <c r="H232" s="232"/>
      <c r="I232" s="232"/>
      <c r="J232" s="232"/>
    </row>
    <row r="233" spans="1:10" s="235" customFormat="1" ht="10.199999999999999" x14ac:dyDescent="0.2">
      <c r="A233" s="231" t="s">
        <v>660</v>
      </c>
      <c r="B233" s="232" t="s">
        <v>661</v>
      </c>
      <c r="C233" s="233">
        <f t="shared" si="3"/>
        <v>222</v>
      </c>
      <c r="D233" s="238" t="s">
        <v>175</v>
      </c>
      <c r="E233" s="232" t="s">
        <v>210</v>
      </c>
      <c r="F233" s="234">
        <v>559</v>
      </c>
      <c r="G233" s="234">
        <v>738</v>
      </c>
      <c r="H233" s="232"/>
      <c r="I233" s="232"/>
      <c r="J233" s="232"/>
    </row>
    <row r="234" spans="1:10" s="235" customFormat="1" ht="10.199999999999999" x14ac:dyDescent="0.2">
      <c r="A234" s="231" t="s">
        <v>662</v>
      </c>
      <c r="B234" s="232" t="s">
        <v>663</v>
      </c>
      <c r="C234" s="233">
        <f t="shared" si="3"/>
        <v>223</v>
      </c>
      <c r="D234" s="232" t="s">
        <v>172</v>
      </c>
      <c r="E234" s="232" t="s">
        <v>485</v>
      </c>
      <c r="F234" s="234">
        <v>521.22</v>
      </c>
      <c r="G234" s="234">
        <v>561</v>
      </c>
      <c r="H234" s="232"/>
      <c r="I234" s="232"/>
      <c r="J234" s="232"/>
    </row>
    <row r="235" spans="1:10" s="235" customFormat="1" ht="10.199999999999999" x14ac:dyDescent="0.2">
      <c r="A235" s="231" t="s">
        <v>664</v>
      </c>
      <c r="B235" s="232" t="s">
        <v>665</v>
      </c>
      <c r="C235" s="233">
        <f t="shared" si="3"/>
        <v>224</v>
      </c>
      <c r="D235" s="232" t="s">
        <v>185</v>
      </c>
      <c r="E235" s="232" t="s">
        <v>186</v>
      </c>
      <c r="F235" s="234">
        <v>512</v>
      </c>
      <c r="G235" s="234">
        <v>614</v>
      </c>
      <c r="H235" s="232"/>
      <c r="I235" s="232"/>
      <c r="J235" s="232"/>
    </row>
    <row r="236" spans="1:10" s="235" customFormat="1" ht="10.199999999999999" x14ac:dyDescent="0.2">
      <c r="A236" s="231" t="s">
        <v>666</v>
      </c>
      <c r="B236" s="232" t="s">
        <v>667</v>
      </c>
      <c r="C236" s="233">
        <f t="shared" si="3"/>
        <v>225</v>
      </c>
      <c r="D236" s="232" t="s">
        <v>172</v>
      </c>
      <c r="E236" s="232" t="s">
        <v>311</v>
      </c>
      <c r="F236" s="234">
        <v>425</v>
      </c>
      <c r="G236" s="234">
        <v>561</v>
      </c>
      <c r="H236" s="232"/>
      <c r="I236" s="232"/>
      <c r="J236" s="232"/>
    </row>
    <row r="237" spans="1:10" s="235" customFormat="1" ht="10.199999999999999" x14ac:dyDescent="0.2">
      <c r="A237" s="231" t="s">
        <v>668</v>
      </c>
      <c r="B237" s="232" t="s">
        <v>669</v>
      </c>
      <c r="C237" s="233">
        <f t="shared" si="3"/>
        <v>226</v>
      </c>
      <c r="D237" s="232" t="s">
        <v>181</v>
      </c>
      <c r="E237" s="232" t="s">
        <v>182</v>
      </c>
      <c r="F237" s="234">
        <v>512</v>
      </c>
      <c r="G237" s="234">
        <v>596</v>
      </c>
      <c r="H237" s="232"/>
      <c r="I237" s="232"/>
      <c r="J237" s="232"/>
    </row>
    <row r="238" spans="1:10" s="235" customFormat="1" ht="10.199999999999999" x14ac:dyDescent="0.2">
      <c r="A238" s="231" t="s">
        <v>670</v>
      </c>
      <c r="B238" s="232" t="s">
        <v>671</v>
      </c>
      <c r="C238" s="233">
        <f t="shared" si="3"/>
        <v>227</v>
      </c>
      <c r="D238" s="232" t="s">
        <v>268</v>
      </c>
      <c r="E238" s="232" t="s">
        <v>269</v>
      </c>
      <c r="F238" s="234">
        <v>464.29</v>
      </c>
      <c r="G238" s="234">
        <v>773</v>
      </c>
      <c r="H238" s="232"/>
      <c r="I238" s="232"/>
      <c r="J238" s="232"/>
    </row>
    <row r="239" spans="1:10" s="235" customFormat="1" ht="10.199999999999999" x14ac:dyDescent="0.2">
      <c r="A239" s="231" t="s">
        <v>672</v>
      </c>
      <c r="B239" s="232" t="s">
        <v>673</v>
      </c>
      <c r="C239" s="233">
        <f t="shared" si="3"/>
        <v>228</v>
      </c>
      <c r="D239" s="232" t="s">
        <v>172</v>
      </c>
      <c r="E239" s="232" t="s">
        <v>328</v>
      </c>
      <c r="F239" s="234">
        <v>425</v>
      </c>
      <c r="G239" s="234">
        <v>561</v>
      </c>
      <c r="H239" s="232"/>
      <c r="I239" s="232"/>
      <c r="J239" s="232"/>
    </row>
    <row r="240" spans="1:10" s="235" customFormat="1" ht="10.199999999999999" x14ac:dyDescent="0.2">
      <c r="A240" s="231" t="s">
        <v>674</v>
      </c>
      <c r="B240" s="232" t="s">
        <v>675</v>
      </c>
      <c r="C240" s="233">
        <f t="shared" si="3"/>
        <v>229</v>
      </c>
      <c r="D240" s="232" t="s">
        <v>181</v>
      </c>
      <c r="E240" s="232" t="s">
        <v>182</v>
      </c>
      <c r="F240" s="234">
        <v>512</v>
      </c>
      <c r="G240" s="234">
        <v>596</v>
      </c>
      <c r="H240" s="232"/>
      <c r="I240" s="232"/>
      <c r="J240" s="232"/>
    </row>
    <row r="241" spans="1:10" s="235" customFormat="1" ht="10.199999999999999" x14ac:dyDescent="0.2">
      <c r="A241" s="231" t="s">
        <v>676</v>
      </c>
      <c r="B241" s="232" t="s">
        <v>677</v>
      </c>
      <c r="C241" s="233">
        <f t="shared" si="3"/>
        <v>230</v>
      </c>
      <c r="D241" s="232" t="s">
        <v>172</v>
      </c>
      <c r="E241" s="232" t="s">
        <v>173</v>
      </c>
      <c r="F241" s="234">
        <v>425</v>
      </c>
      <c r="G241" s="234">
        <v>561</v>
      </c>
      <c r="H241" s="232"/>
      <c r="I241" s="232"/>
      <c r="J241" s="232"/>
    </row>
    <row r="242" spans="1:10" s="235" customFormat="1" ht="10.199999999999999" x14ac:dyDescent="0.2">
      <c r="A242" s="231" t="s">
        <v>678</v>
      </c>
      <c r="B242" s="232" t="s">
        <v>679</v>
      </c>
      <c r="C242" s="233">
        <f t="shared" si="3"/>
        <v>231</v>
      </c>
      <c r="D242" s="232" t="s">
        <v>172</v>
      </c>
      <c r="E242" s="232" t="s">
        <v>250</v>
      </c>
      <c r="F242" s="234">
        <v>488</v>
      </c>
      <c r="G242" s="234">
        <v>561</v>
      </c>
      <c r="H242" s="232"/>
      <c r="I242" s="232"/>
      <c r="J242" s="232"/>
    </row>
    <row r="243" spans="1:10" s="235" customFormat="1" ht="10.199999999999999" x14ac:dyDescent="0.2">
      <c r="A243" s="231" t="s">
        <v>680</v>
      </c>
      <c r="B243" s="232" t="s">
        <v>681</v>
      </c>
      <c r="C243" s="233">
        <f t="shared" si="3"/>
        <v>232</v>
      </c>
      <c r="D243" s="232" t="s">
        <v>185</v>
      </c>
      <c r="E243" s="232" t="s">
        <v>186</v>
      </c>
      <c r="F243" s="234">
        <v>512</v>
      </c>
      <c r="G243" s="234">
        <v>614</v>
      </c>
      <c r="H243" s="232"/>
      <c r="I243" s="232"/>
      <c r="J243" s="232"/>
    </row>
    <row r="244" spans="1:10" s="235" customFormat="1" ht="10.199999999999999" x14ac:dyDescent="0.2">
      <c r="A244" s="231" t="s">
        <v>682</v>
      </c>
      <c r="B244" s="232" t="s">
        <v>683</v>
      </c>
      <c r="C244" s="233">
        <f t="shared" si="3"/>
        <v>233</v>
      </c>
      <c r="D244" s="232" t="s">
        <v>185</v>
      </c>
      <c r="E244" s="232" t="s">
        <v>186</v>
      </c>
      <c r="F244" s="234">
        <v>512</v>
      </c>
      <c r="G244" s="234">
        <v>614</v>
      </c>
      <c r="H244" s="232"/>
      <c r="I244" s="232"/>
      <c r="J244" s="232"/>
    </row>
    <row r="245" spans="1:10" s="235" customFormat="1" ht="10.199999999999999" x14ac:dyDescent="0.2">
      <c r="A245" s="231" t="s">
        <v>684</v>
      </c>
      <c r="B245" s="232" t="s">
        <v>685</v>
      </c>
      <c r="C245" s="233">
        <f t="shared" si="3"/>
        <v>234</v>
      </c>
      <c r="D245" s="232" t="s">
        <v>172</v>
      </c>
      <c r="E245" s="232" t="s">
        <v>194</v>
      </c>
      <c r="F245" s="242">
        <v>425</v>
      </c>
      <c r="G245" s="234">
        <v>561</v>
      </c>
      <c r="H245" s="232"/>
      <c r="I245" s="232"/>
      <c r="J245" s="232"/>
    </row>
    <row r="246" spans="1:10" s="235" customFormat="1" ht="10.199999999999999" x14ac:dyDescent="0.2">
      <c r="A246" s="231" t="s">
        <v>686</v>
      </c>
      <c r="B246" s="232" t="s">
        <v>687</v>
      </c>
      <c r="C246" s="233">
        <f t="shared" si="3"/>
        <v>235</v>
      </c>
      <c r="D246" s="232" t="s">
        <v>185</v>
      </c>
      <c r="E246" s="232" t="s">
        <v>186</v>
      </c>
      <c r="F246" s="234">
        <v>512</v>
      </c>
      <c r="G246" s="234">
        <v>614</v>
      </c>
      <c r="H246" s="232"/>
      <c r="I246" s="232"/>
      <c r="J246" s="232"/>
    </row>
    <row r="247" spans="1:10" s="235" customFormat="1" ht="10.199999999999999" x14ac:dyDescent="0.2">
      <c r="A247" s="231" t="s">
        <v>688</v>
      </c>
      <c r="B247" s="232" t="s">
        <v>689</v>
      </c>
      <c r="C247" s="233">
        <f t="shared" si="3"/>
        <v>236</v>
      </c>
      <c r="D247" s="232" t="s">
        <v>172</v>
      </c>
      <c r="E247" s="232" t="s">
        <v>328</v>
      </c>
      <c r="F247" s="234">
        <v>425</v>
      </c>
      <c r="G247" s="234">
        <v>561</v>
      </c>
      <c r="H247" s="232"/>
      <c r="I247" s="232"/>
      <c r="J247" s="232"/>
    </row>
    <row r="248" spans="1:10" s="235" customFormat="1" ht="10.199999999999999" x14ac:dyDescent="0.2">
      <c r="A248" s="231" t="s">
        <v>690</v>
      </c>
      <c r="B248" s="232" t="s">
        <v>691</v>
      </c>
      <c r="C248" s="233">
        <f t="shared" si="3"/>
        <v>237</v>
      </c>
      <c r="D248" s="238" t="s">
        <v>175</v>
      </c>
      <c r="E248" s="232" t="s">
        <v>210</v>
      </c>
      <c r="F248" s="234">
        <v>559</v>
      </c>
      <c r="G248" s="234">
        <v>738</v>
      </c>
      <c r="H248" s="232"/>
      <c r="I248" s="232"/>
      <c r="J248" s="232"/>
    </row>
    <row r="249" spans="1:10" s="235" customFormat="1" ht="10.199999999999999" x14ac:dyDescent="0.2">
      <c r="A249" s="231" t="s">
        <v>692</v>
      </c>
      <c r="B249" s="232" t="s">
        <v>693</v>
      </c>
      <c r="C249" s="233">
        <f t="shared" si="3"/>
        <v>238</v>
      </c>
      <c r="D249" s="232" t="s">
        <v>181</v>
      </c>
      <c r="E249" s="232" t="s">
        <v>182</v>
      </c>
      <c r="F249" s="234">
        <v>550</v>
      </c>
      <c r="G249" s="234">
        <v>596</v>
      </c>
      <c r="H249" s="232"/>
      <c r="I249" s="232"/>
      <c r="J249" s="232"/>
    </row>
    <row r="250" spans="1:10" s="235" customFormat="1" ht="10.199999999999999" x14ac:dyDescent="0.2">
      <c r="A250" s="231" t="s">
        <v>694</v>
      </c>
      <c r="B250" s="232" t="s">
        <v>695</v>
      </c>
      <c r="C250" s="233">
        <f t="shared" si="3"/>
        <v>239</v>
      </c>
      <c r="D250" s="232" t="s">
        <v>334</v>
      </c>
      <c r="E250" s="232" t="s">
        <v>696</v>
      </c>
      <c r="F250" s="234">
        <v>700</v>
      </c>
      <c r="G250" s="234">
        <v>805</v>
      </c>
      <c r="H250" s="232"/>
      <c r="I250" s="232"/>
      <c r="J250" s="232"/>
    </row>
    <row r="251" spans="1:10" s="235" customFormat="1" ht="10.199999999999999" x14ac:dyDescent="0.2">
      <c r="A251" s="231" t="s">
        <v>697</v>
      </c>
      <c r="B251" s="232" t="s">
        <v>698</v>
      </c>
      <c r="C251" s="233">
        <f t="shared" si="3"/>
        <v>240</v>
      </c>
      <c r="D251" s="238" t="s">
        <v>175</v>
      </c>
      <c r="E251" s="232" t="s">
        <v>210</v>
      </c>
      <c r="F251" s="234">
        <v>559</v>
      </c>
      <c r="G251" s="234">
        <v>738</v>
      </c>
      <c r="H251" s="232"/>
      <c r="I251" s="232"/>
      <c r="J251" s="232"/>
    </row>
    <row r="252" spans="1:10" s="235" customFormat="1" ht="10.199999999999999" x14ac:dyDescent="0.2">
      <c r="A252" s="231" t="s">
        <v>699</v>
      </c>
      <c r="B252" s="232" t="s">
        <v>700</v>
      </c>
      <c r="C252" s="233">
        <f t="shared" si="3"/>
        <v>241</v>
      </c>
      <c r="D252" s="232" t="s">
        <v>172</v>
      </c>
      <c r="E252" s="232" t="s">
        <v>191</v>
      </c>
      <c r="F252" s="242">
        <v>488</v>
      </c>
      <c r="G252" s="234">
        <v>561</v>
      </c>
      <c r="H252" s="232"/>
      <c r="I252" s="232"/>
      <c r="J252" s="232"/>
    </row>
    <row r="253" spans="1:10" s="235" customFormat="1" ht="10.199999999999999" x14ac:dyDescent="0.2">
      <c r="A253" s="231" t="s">
        <v>701</v>
      </c>
      <c r="B253" s="232" t="s">
        <v>702</v>
      </c>
      <c r="C253" s="233">
        <f t="shared" si="3"/>
        <v>242</v>
      </c>
      <c r="D253" s="232" t="s">
        <v>172</v>
      </c>
      <c r="E253" s="232" t="s">
        <v>410</v>
      </c>
      <c r="F253" s="234">
        <v>579.88</v>
      </c>
      <c r="G253" s="234">
        <v>561</v>
      </c>
      <c r="H253" s="232"/>
      <c r="I253" s="232"/>
      <c r="J253" s="232"/>
    </row>
    <row r="254" spans="1:10" s="235" customFormat="1" ht="10.199999999999999" x14ac:dyDescent="0.2">
      <c r="A254" s="231" t="s">
        <v>703</v>
      </c>
      <c r="B254" s="232" t="s">
        <v>704</v>
      </c>
      <c r="C254" s="233">
        <f t="shared" si="3"/>
        <v>243</v>
      </c>
      <c r="D254" s="232" t="s">
        <v>172</v>
      </c>
      <c r="E254" s="232" t="s">
        <v>311</v>
      </c>
      <c r="F254" s="234">
        <v>425</v>
      </c>
      <c r="G254" s="234">
        <v>561</v>
      </c>
      <c r="H254" s="232"/>
      <c r="I254" s="232"/>
      <c r="J254" s="232"/>
    </row>
    <row r="255" spans="1:10" s="235" customFormat="1" ht="10.199999999999999" x14ac:dyDescent="0.2">
      <c r="A255" s="231" t="s">
        <v>705</v>
      </c>
      <c r="B255" s="232" t="s">
        <v>706</v>
      </c>
      <c r="C255" s="233">
        <f t="shared" si="3"/>
        <v>244</v>
      </c>
      <c r="D255" s="232" t="s">
        <v>172</v>
      </c>
      <c r="E255" s="232" t="s">
        <v>173</v>
      </c>
      <c r="F255" s="234">
        <v>425</v>
      </c>
      <c r="G255" s="234">
        <v>561</v>
      </c>
      <c r="H255" s="232"/>
      <c r="I255" s="232"/>
      <c r="J255" s="232"/>
    </row>
    <row r="256" spans="1:10" s="235" customFormat="1" ht="10.199999999999999" x14ac:dyDescent="0.2">
      <c r="A256" s="231" t="s">
        <v>707</v>
      </c>
      <c r="B256" s="232" t="s">
        <v>708</v>
      </c>
      <c r="C256" s="233">
        <f t="shared" si="3"/>
        <v>245</v>
      </c>
      <c r="D256" s="232" t="s">
        <v>181</v>
      </c>
      <c r="E256" s="232" t="s">
        <v>182</v>
      </c>
      <c r="F256" s="234">
        <v>512</v>
      </c>
      <c r="G256" s="234">
        <v>596</v>
      </c>
      <c r="H256" s="232"/>
      <c r="I256" s="232"/>
      <c r="J256" s="232"/>
    </row>
    <row r="257" spans="1:10" s="235" customFormat="1" ht="10.199999999999999" x14ac:dyDescent="0.2">
      <c r="A257" s="231" t="s">
        <v>709</v>
      </c>
      <c r="B257" s="232" t="s">
        <v>710</v>
      </c>
      <c r="C257" s="233">
        <f t="shared" si="3"/>
        <v>246</v>
      </c>
      <c r="D257" s="232" t="s">
        <v>255</v>
      </c>
      <c r="E257" s="232" t="s">
        <v>256</v>
      </c>
      <c r="F257" s="234">
        <v>520</v>
      </c>
      <c r="G257" s="234">
        <v>578</v>
      </c>
      <c r="H257" s="232"/>
      <c r="I257" s="232"/>
      <c r="J257" s="232"/>
    </row>
    <row r="258" spans="1:10" s="235" customFormat="1" ht="10.199999999999999" x14ac:dyDescent="0.2">
      <c r="A258" s="231" t="s">
        <v>711</v>
      </c>
      <c r="B258" s="232" t="s">
        <v>712</v>
      </c>
      <c r="C258" s="233">
        <f t="shared" si="3"/>
        <v>247</v>
      </c>
      <c r="D258" s="238" t="s">
        <v>175</v>
      </c>
      <c r="E258" s="232" t="s">
        <v>210</v>
      </c>
      <c r="F258" s="234">
        <v>559</v>
      </c>
      <c r="G258" s="234">
        <v>738</v>
      </c>
      <c r="H258" s="232"/>
      <c r="I258" s="232"/>
      <c r="J258" s="232"/>
    </row>
    <row r="259" spans="1:10" s="235" customFormat="1" ht="10.199999999999999" x14ac:dyDescent="0.2">
      <c r="A259" s="231" t="s">
        <v>713</v>
      </c>
      <c r="B259" s="232" t="s">
        <v>714</v>
      </c>
      <c r="C259" s="233">
        <f t="shared" si="3"/>
        <v>248</v>
      </c>
      <c r="D259" s="232" t="s">
        <v>268</v>
      </c>
      <c r="E259" s="232" t="s">
        <v>269</v>
      </c>
      <c r="F259" s="234">
        <v>556</v>
      </c>
      <c r="G259" s="234">
        <v>773</v>
      </c>
      <c r="H259" s="232"/>
      <c r="I259" s="232"/>
      <c r="J259" s="232"/>
    </row>
    <row r="260" spans="1:10" s="235" customFormat="1" ht="10.199999999999999" x14ac:dyDescent="0.2">
      <c r="A260" s="231" t="s">
        <v>715</v>
      </c>
      <c r="B260" s="232" t="s">
        <v>716</v>
      </c>
      <c r="C260" s="233">
        <f t="shared" si="3"/>
        <v>249</v>
      </c>
      <c r="D260" s="232" t="s">
        <v>181</v>
      </c>
      <c r="E260" s="232" t="s">
        <v>182</v>
      </c>
      <c r="F260" s="234">
        <v>512</v>
      </c>
      <c r="G260" s="234">
        <v>596</v>
      </c>
      <c r="H260" s="232"/>
      <c r="I260" s="232"/>
      <c r="J260" s="232"/>
    </row>
    <row r="261" spans="1:10" s="235" customFormat="1" ht="10.199999999999999" x14ac:dyDescent="0.2">
      <c r="A261" s="231" t="s">
        <v>717</v>
      </c>
      <c r="B261" s="232" t="s">
        <v>718</v>
      </c>
      <c r="C261" s="233">
        <f t="shared" si="3"/>
        <v>250</v>
      </c>
      <c r="D261" s="232" t="s">
        <v>172</v>
      </c>
      <c r="E261" s="232" t="s">
        <v>328</v>
      </c>
      <c r="F261" s="234">
        <v>425</v>
      </c>
      <c r="G261" s="234">
        <v>561</v>
      </c>
      <c r="H261" s="232"/>
      <c r="I261" s="232"/>
      <c r="J261" s="232"/>
    </row>
    <row r="262" spans="1:10" s="235" customFormat="1" ht="10.199999999999999" x14ac:dyDescent="0.2">
      <c r="A262" s="231" t="s">
        <v>719</v>
      </c>
      <c r="B262" s="232" t="s">
        <v>720</v>
      </c>
      <c r="C262" s="233">
        <f t="shared" si="3"/>
        <v>251</v>
      </c>
      <c r="D262" s="232" t="s">
        <v>172</v>
      </c>
      <c r="E262" s="232" t="s">
        <v>194</v>
      </c>
      <c r="F262" s="242">
        <v>425</v>
      </c>
      <c r="G262" s="234">
        <v>561</v>
      </c>
      <c r="H262" s="232"/>
      <c r="I262" s="232"/>
      <c r="J262" s="232"/>
    </row>
    <row r="263" spans="1:10" s="235" customFormat="1" ht="10.199999999999999" x14ac:dyDescent="0.2">
      <c r="A263" s="231" t="s">
        <v>721</v>
      </c>
      <c r="B263" s="232" t="s">
        <v>722</v>
      </c>
      <c r="C263" s="233">
        <f t="shared" si="3"/>
        <v>252</v>
      </c>
      <c r="D263" s="232" t="s">
        <v>185</v>
      </c>
      <c r="E263" s="232" t="s">
        <v>186</v>
      </c>
      <c r="F263" s="234">
        <v>512</v>
      </c>
      <c r="G263" s="234">
        <v>614</v>
      </c>
      <c r="H263" s="232"/>
      <c r="I263" s="232"/>
      <c r="J263" s="232"/>
    </row>
    <row r="264" spans="1:10" s="235" customFormat="1" ht="10.199999999999999" x14ac:dyDescent="0.2">
      <c r="A264" s="231" t="s">
        <v>723</v>
      </c>
      <c r="B264" s="232" t="s">
        <v>724</v>
      </c>
      <c r="C264" s="233">
        <f t="shared" si="3"/>
        <v>253</v>
      </c>
      <c r="D264" s="232" t="s">
        <v>185</v>
      </c>
      <c r="E264" s="232" t="s">
        <v>186</v>
      </c>
      <c r="F264" s="234">
        <v>512</v>
      </c>
      <c r="G264" s="234">
        <v>614</v>
      </c>
      <c r="H264" s="232"/>
      <c r="I264" s="232"/>
      <c r="J264" s="232"/>
    </row>
    <row r="265" spans="1:10" s="235" customFormat="1" ht="10.199999999999999" x14ac:dyDescent="0.2">
      <c r="A265" s="231" t="s">
        <v>725</v>
      </c>
      <c r="B265" s="232" t="s">
        <v>726</v>
      </c>
      <c r="C265" s="233">
        <f t="shared" si="3"/>
        <v>254</v>
      </c>
      <c r="D265" s="232" t="s">
        <v>268</v>
      </c>
      <c r="E265" s="232" t="s">
        <v>308</v>
      </c>
      <c r="F265" s="242">
        <v>773</v>
      </c>
      <c r="G265" s="234">
        <v>773</v>
      </c>
      <c r="H265" s="232"/>
      <c r="I265" s="232"/>
      <c r="J265" s="232"/>
    </row>
    <row r="266" spans="1:10" s="235" customFormat="1" ht="10.199999999999999" x14ac:dyDescent="0.2">
      <c r="A266" s="231" t="s">
        <v>727</v>
      </c>
      <c r="B266" s="232" t="s">
        <v>728</v>
      </c>
      <c r="C266" s="233">
        <f t="shared" si="3"/>
        <v>255</v>
      </c>
      <c r="D266" s="232" t="s">
        <v>185</v>
      </c>
      <c r="E266" s="232" t="s">
        <v>186</v>
      </c>
      <c r="F266" s="234">
        <v>512</v>
      </c>
      <c r="G266" s="234">
        <v>614</v>
      </c>
      <c r="H266" s="232"/>
      <c r="I266" s="232"/>
      <c r="J266" s="232"/>
    </row>
    <row r="267" spans="1:10" s="235" customFormat="1" ht="10.199999999999999" x14ac:dyDescent="0.2">
      <c r="A267" s="231" t="s">
        <v>729</v>
      </c>
      <c r="B267" s="232" t="s">
        <v>730</v>
      </c>
      <c r="C267" s="233">
        <f t="shared" si="3"/>
        <v>256</v>
      </c>
      <c r="D267" s="238" t="s">
        <v>175</v>
      </c>
      <c r="E267" s="232" t="s">
        <v>210</v>
      </c>
      <c r="F267" s="234">
        <v>559</v>
      </c>
      <c r="G267" s="234">
        <v>738</v>
      </c>
      <c r="H267" s="232"/>
      <c r="I267" s="232"/>
      <c r="J267" s="232"/>
    </row>
    <row r="268" spans="1:10" s="235" customFormat="1" ht="10.199999999999999" x14ac:dyDescent="0.2">
      <c r="A268" s="231" t="s">
        <v>731</v>
      </c>
      <c r="B268" s="232" t="s">
        <v>732</v>
      </c>
      <c r="C268" s="233">
        <f t="shared" si="3"/>
        <v>257</v>
      </c>
      <c r="D268" s="232" t="s">
        <v>172</v>
      </c>
      <c r="E268" s="232" t="s">
        <v>733</v>
      </c>
      <c r="F268" s="234">
        <v>425</v>
      </c>
      <c r="G268" s="234">
        <v>561</v>
      </c>
      <c r="H268" s="232"/>
      <c r="I268" s="232"/>
      <c r="J268" s="232"/>
    </row>
    <row r="269" spans="1:10" s="235" customFormat="1" ht="10.199999999999999" x14ac:dyDescent="0.2">
      <c r="A269" s="231" t="s">
        <v>734</v>
      </c>
      <c r="B269" s="232" t="s">
        <v>735</v>
      </c>
      <c r="C269" s="233">
        <f t="shared" ref="C269:C332" si="4">C268+1</f>
        <v>258</v>
      </c>
      <c r="D269" s="232" t="s">
        <v>172</v>
      </c>
      <c r="E269" s="232" t="s">
        <v>191</v>
      </c>
      <c r="F269" s="242">
        <v>488</v>
      </c>
      <c r="G269" s="234">
        <v>561</v>
      </c>
      <c r="H269" s="232"/>
      <c r="I269" s="232"/>
      <c r="J269" s="232"/>
    </row>
    <row r="270" spans="1:10" s="235" customFormat="1" ht="10.199999999999999" x14ac:dyDescent="0.2">
      <c r="A270" s="231" t="s">
        <v>736</v>
      </c>
      <c r="B270" s="232" t="s">
        <v>737</v>
      </c>
      <c r="C270" s="233">
        <f t="shared" si="4"/>
        <v>259</v>
      </c>
      <c r="D270" s="238" t="s">
        <v>175</v>
      </c>
      <c r="E270" s="232" t="s">
        <v>210</v>
      </c>
      <c r="F270" s="234">
        <v>559</v>
      </c>
      <c r="G270" s="234">
        <v>738</v>
      </c>
      <c r="H270" s="232"/>
      <c r="I270" s="232"/>
      <c r="J270" s="232"/>
    </row>
    <row r="271" spans="1:10" s="235" customFormat="1" ht="10.199999999999999" x14ac:dyDescent="0.2">
      <c r="A271" s="231" t="s">
        <v>738</v>
      </c>
      <c r="B271" s="232" t="s">
        <v>739</v>
      </c>
      <c r="C271" s="233">
        <f t="shared" si="4"/>
        <v>260</v>
      </c>
      <c r="D271" s="232" t="s">
        <v>172</v>
      </c>
      <c r="E271" s="232" t="s">
        <v>194</v>
      </c>
      <c r="F271" s="242">
        <v>733</v>
      </c>
      <c r="G271" s="234">
        <v>561</v>
      </c>
      <c r="H271" s="232"/>
      <c r="I271" s="232"/>
      <c r="J271" s="232"/>
    </row>
    <row r="272" spans="1:10" s="235" customFormat="1" ht="10.199999999999999" x14ac:dyDescent="0.2">
      <c r="A272" s="231" t="s">
        <v>740</v>
      </c>
      <c r="B272" s="232" t="s">
        <v>741</v>
      </c>
      <c r="C272" s="233">
        <f t="shared" si="4"/>
        <v>261</v>
      </c>
      <c r="D272" s="238" t="s">
        <v>175</v>
      </c>
      <c r="E272" s="232" t="s">
        <v>210</v>
      </c>
      <c r="F272" s="234">
        <v>586.51</v>
      </c>
      <c r="G272" s="234">
        <v>738</v>
      </c>
      <c r="H272" s="232"/>
      <c r="I272" s="232"/>
      <c r="J272" s="232"/>
    </row>
    <row r="273" spans="1:10" s="235" customFormat="1" ht="10.199999999999999" x14ac:dyDescent="0.2">
      <c r="A273" s="231" t="s">
        <v>742</v>
      </c>
      <c r="B273" s="232" t="s">
        <v>743</v>
      </c>
      <c r="C273" s="233">
        <f t="shared" si="4"/>
        <v>262</v>
      </c>
      <c r="D273" s="232" t="s">
        <v>255</v>
      </c>
      <c r="E273" s="232" t="s">
        <v>256</v>
      </c>
      <c r="F273" s="234">
        <v>520</v>
      </c>
      <c r="G273" s="234">
        <v>578</v>
      </c>
      <c r="H273" s="232"/>
      <c r="I273" s="232"/>
      <c r="J273" s="232"/>
    </row>
    <row r="274" spans="1:10" s="235" customFormat="1" ht="10.199999999999999" x14ac:dyDescent="0.2">
      <c r="A274" s="231" t="s">
        <v>744</v>
      </c>
      <c r="B274" s="232" t="s">
        <v>745</v>
      </c>
      <c r="C274" s="233">
        <f t="shared" si="4"/>
        <v>263</v>
      </c>
      <c r="D274" s="232" t="s">
        <v>268</v>
      </c>
      <c r="E274" s="232" t="s">
        <v>269</v>
      </c>
      <c r="F274" s="234">
        <v>587</v>
      </c>
      <c r="G274" s="234">
        <v>773</v>
      </c>
      <c r="H274" s="232"/>
      <c r="I274" s="232"/>
      <c r="J274" s="232"/>
    </row>
    <row r="275" spans="1:10" s="235" customFormat="1" ht="10.199999999999999" x14ac:dyDescent="0.2">
      <c r="A275" s="231" t="s">
        <v>746</v>
      </c>
      <c r="B275" s="232" t="s">
        <v>747</v>
      </c>
      <c r="C275" s="233">
        <f t="shared" si="4"/>
        <v>264</v>
      </c>
      <c r="D275" s="232" t="s">
        <v>172</v>
      </c>
      <c r="E275" s="232" t="s">
        <v>194</v>
      </c>
      <c r="F275" s="242">
        <v>425</v>
      </c>
      <c r="G275" s="234">
        <v>561</v>
      </c>
      <c r="H275" s="232"/>
      <c r="I275" s="232"/>
      <c r="J275" s="232"/>
    </row>
    <row r="276" spans="1:10" s="235" customFormat="1" ht="10.199999999999999" x14ac:dyDescent="0.2">
      <c r="A276" s="231" t="s">
        <v>748</v>
      </c>
      <c r="B276" s="232" t="s">
        <v>749</v>
      </c>
      <c r="C276" s="233">
        <f t="shared" si="4"/>
        <v>265</v>
      </c>
      <c r="D276" s="232" t="s">
        <v>181</v>
      </c>
      <c r="E276" s="232" t="s">
        <v>182</v>
      </c>
      <c r="F276" s="234">
        <v>512</v>
      </c>
      <c r="G276" s="234">
        <v>596</v>
      </c>
      <c r="H276" s="232"/>
      <c r="I276" s="232"/>
      <c r="J276" s="232"/>
    </row>
    <row r="277" spans="1:10" s="235" customFormat="1" ht="10.199999999999999" x14ac:dyDescent="0.2">
      <c r="A277" s="231" t="s">
        <v>750</v>
      </c>
      <c r="B277" s="232" t="s">
        <v>751</v>
      </c>
      <c r="C277" s="233">
        <f t="shared" si="4"/>
        <v>266</v>
      </c>
      <c r="D277" s="232" t="s">
        <v>268</v>
      </c>
      <c r="E277" s="232" t="s">
        <v>308</v>
      </c>
      <c r="F277" s="234">
        <v>600</v>
      </c>
      <c r="G277" s="234">
        <v>773</v>
      </c>
      <c r="H277" s="232"/>
      <c r="I277" s="232"/>
      <c r="J277" s="232"/>
    </row>
    <row r="278" spans="1:10" s="235" customFormat="1" ht="10.199999999999999" x14ac:dyDescent="0.2">
      <c r="A278" s="231" t="s">
        <v>752</v>
      </c>
      <c r="B278" s="232" t="s">
        <v>753</v>
      </c>
      <c r="C278" s="233">
        <f t="shared" si="4"/>
        <v>267</v>
      </c>
      <c r="D278" s="232" t="s">
        <v>172</v>
      </c>
      <c r="E278" s="232" t="s">
        <v>328</v>
      </c>
      <c r="F278" s="234">
        <v>425</v>
      </c>
      <c r="G278" s="234">
        <v>561</v>
      </c>
      <c r="H278" s="232"/>
      <c r="I278" s="232"/>
      <c r="J278" s="232"/>
    </row>
    <row r="279" spans="1:10" s="235" customFormat="1" ht="10.199999999999999" x14ac:dyDescent="0.2">
      <c r="A279" s="231" t="s">
        <v>754</v>
      </c>
      <c r="B279" s="232" t="s">
        <v>755</v>
      </c>
      <c r="C279" s="233">
        <f t="shared" si="4"/>
        <v>268</v>
      </c>
      <c r="D279" s="238" t="s">
        <v>175</v>
      </c>
      <c r="E279" s="232" t="s">
        <v>210</v>
      </c>
      <c r="F279" s="234">
        <v>559</v>
      </c>
      <c r="G279" s="234">
        <v>738</v>
      </c>
      <c r="H279" s="232"/>
      <c r="I279" s="232"/>
      <c r="J279" s="232"/>
    </row>
    <row r="280" spans="1:10" s="235" customFormat="1" ht="10.199999999999999" x14ac:dyDescent="0.2">
      <c r="A280" s="231" t="s">
        <v>756</v>
      </c>
      <c r="B280" s="232" t="s">
        <v>757</v>
      </c>
      <c r="C280" s="233">
        <f t="shared" si="4"/>
        <v>269</v>
      </c>
      <c r="D280" s="232" t="s">
        <v>172</v>
      </c>
      <c r="E280" s="232" t="s">
        <v>194</v>
      </c>
      <c r="F280" s="242">
        <v>425</v>
      </c>
      <c r="G280" s="234">
        <v>561</v>
      </c>
      <c r="H280" s="232"/>
      <c r="I280" s="232"/>
      <c r="J280" s="232"/>
    </row>
    <row r="281" spans="1:10" s="235" customFormat="1" ht="10.199999999999999" x14ac:dyDescent="0.2">
      <c r="A281" s="231" t="s">
        <v>758</v>
      </c>
      <c r="B281" s="232" t="s">
        <v>759</v>
      </c>
      <c r="C281" s="233">
        <f t="shared" si="4"/>
        <v>270</v>
      </c>
      <c r="D281" s="238" t="s">
        <v>175</v>
      </c>
      <c r="E281" s="232" t="s">
        <v>760</v>
      </c>
      <c r="F281" s="234">
        <v>559</v>
      </c>
      <c r="G281" s="234">
        <v>738</v>
      </c>
      <c r="H281" s="232"/>
      <c r="I281" s="232"/>
      <c r="J281" s="232"/>
    </row>
    <row r="282" spans="1:10" s="235" customFormat="1" ht="10.199999999999999" x14ac:dyDescent="0.2">
      <c r="A282" s="231" t="s">
        <v>761</v>
      </c>
      <c r="B282" s="232" t="s">
        <v>762</v>
      </c>
      <c r="C282" s="233">
        <f t="shared" si="4"/>
        <v>271</v>
      </c>
      <c r="D282" s="238" t="s">
        <v>175</v>
      </c>
      <c r="E282" s="232" t="s">
        <v>210</v>
      </c>
      <c r="F282" s="234">
        <v>559</v>
      </c>
      <c r="G282" s="234">
        <v>738</v>
      </c>
      <c r="H282" s="232"/>
      <c r="I282" s="232"/>
      <c r="J282" s="232"/>
    </row>
    <row r="283" spans="1:10" s="235" customFormat="1" ht="10.199999999999999" x14ac:dyDescent="0.2">
      <c r="A283" s="231" t="s">
        <v>763</v>
      </c>
      <c r="B283" s="232" t="s">
        <v>764</v>
      </c>
      <c r="C283" s="233">
        <f t="shared" si="4"/>
        <v>272</v>
      </c>
      <c r="D283" s="232" t="s">
        <v>268</v>
      </c>
      <c r="E283" s="232" t="s">
        <v>269</v>
      </c>
      <c r="F283" s="234">
        <v>556</v>
      </c>
      <c r="G283" s="234">
        <v>773</v>
      </c>
      <c r="H283" s="232"/>
      <c r="I283" s="232"/>
      <c r="J283" s="232"/>
    </row>
    <row r="284" spans="1:10" s="235" customFormat="1" ht="10.199999999999999" x14ac:dyDescent="0.2">
      <c r="A284" s="231" t="s">
        <v>765</v>
      </c>
      <c r="B284" s="232" t="s">
        <v>766</v>
      </c>
      <c r="C284" s="233">
        <f t="shared" si="4"/>
        <v>273</v>
      </c>
      <c r="D284" s="232" t="s">
        <v>172</v>
      </c>
      <c r="E284" s="232" t="s">
        <v>562</v>
      </c>
      <c r="F284" s="234">
        <v>531</v>
      </c>
      <c r="G284" s="234">
        <v>561</v>
      </c>
      <c r="H284" s="232"/>
      <c r="I284" s="232"/>
      <c r="J284" s="232"/>
    </row>
    <row r="285" spans="1:10" s="235" customFormat="1" ht="10.199999999999999" x14ac:dyDescent="0.2">
      <c r="A285" s="231" t="s">
        <v>767</v>
      </c>
      <c r="B285" s="232" t="s">
        <v>768</v>
      </c>
      <c r="C285" s="233">
        <f t="shared" si="4"/>
        <v>274</v>
      </c>
      <c r="D285" s="232" t="s">
        <v>172</v>
      </c>
      <c r="E285" s="232" t="s">
        <v>250</v>
      </c>
      <c r="F285" s="234">
        <v>488</v>
      </c>
      <c r="G285" s="234">
        <v>561</v>
      </c>
      <c r="H285" s="232"/>
      <c r="I285" s="232"/>
      <c r="J285" s="232"/>
    </row>
    <row r="286" spans="1:10" s="235" customFormat="1" ht="10.199999999999999" x14ac:dyDescent="0.2">
      <c r="A286" s="231" t="s">
        <v>769</v>
      </c>
      <c r="B286" s="232" t="s">
        <v>770</v>
      </c>
      <c r="C286" s="233">
        <f t="shared" si="4"/>
        <v>275</v>
      </c>
      <c r="D286" s="232" t="s">
        <v>172</v>
      </c>
      <c r="E286" s="232" t="s">
        <v>328</v>
      </c>
      <c r="F286" s="234">
        <v>425</v>
      </c>
      <c r="G286" s="234">
        <v>561</v>
      </c>
      <c r="H286" s="232"/>
      <c r="I286" s="232"/>
      <c r="J286" s="232"/>
    </row>
    <row r="287" spans="1:10" s="235" customFormat="1" ht="10.199999999999999" x14ac:dyDescent="0.2">
      <c r="A287" s="231" t="s">
        <v>771</v>
      </c>
      <c r="B287" s="232" t="s">
        <v>772</v>
      </c>
      <c r="C287" s="233">
        <f t="shared" si="4"/>
        <v>276</v>
      </c>
      <c r="D287" s="232" t="s">
        <v>172</v>
      </c>
      <c r="E287" s="232" t="s">
        <v>328</v>
      </c>
      <c r="F287" s="234">
        <v>425</v>
      </c>
      <c r="G287" s="234">
        <v>561</v>
      </c>
      <c r="H287" s="232"/>
      <c r="I287" s="232"/>
      <c r="J287" s="232"/>
    </row>
    <row r="288" spans="1:10" s="235" customFormat="1" ht="10.199999999999999" x14ac:dyDescent="0.2">
      <c r="A288" s="231" t="s">
        <v>773</v>
      </c>
      <c r="B288" s="232" t="s">
        <v>774</v>
      </c>
      <c r="C288" s="233">
        <f t="shared" si="4"/>
        <v>277</v>
      </c>
      <c r="D288" s="232" t="s">
        <v>181</v>
      </c>
      <c r="E288" s="232" t="s">
        <v>182</v>
      </c>
      <c r="F288" s="234">
        <v>512</v>
      </c>
      <c r="G288" s="234">
        <v>596</v>
      </c>
      <c r="H288" s="232"/>
      <c r="I288" s="232"/>
      <c r="J288" s="232"/>
    </row>
    <row r="289" spans="1:10" s="235" customFormat="1" ht="10.199999999999999" x14ac:dyDescent="0.2">
      <c r="A289" s="231" t="s">
        <v>775</v>
      </c>
      <c r="B289" s="232" t="s">
        <v>776</v>
      </c>
      <c r="C289" s="233">
        <f t="shared" si="4"/>
        <v>278</v>
      </c>
      <c r="D289" s="238" t="s">
        <v>175</v>
      </c>
      <c r="E289" s="232" t="s">
        <v>263</v>
      </c>
      <c r="F289" s="234">
        <v>559</v>
      </c>
      <c r="G289" s="234">
        <v>738</v>
      </c>
      <c r="H289" s="232"/>
      <c r="I289" s="232"/>
      <c r="J289" s="232"/>
    </row>
    <row r="290" spans="1:10" s="235" customFormat="1" ht="10.199999999999999" x14ac:dyDescent="0.2">
      <c r="A290" s="231" t="s">
        <v>777</v>
      </c>
      <c r="B290" s="232" t="s">
        <v>778</v>
      </c>
      <c r="C290" s="233">
        <f t="shared" si="4"/>
        <v>279</v>
      </c>
      <c r="D290" s="232" t="s">
        <v>172</v>
      </c>
      <c r="E290" s="232" t="s">
        <v>173</v>
      </c>
      <c r="F290" s="234">
        <v>425</v>
      </c>
      <c r="G290" s="234">
        <v>561</v>
      </c>
      <c r="H290" s="232"/>
      <c r="I290" s="232"/>
      <c r="J290" s="232"/>
    </row>
    <row r="291" spans="1:10" s="235" customFormat="1" ht="10.199999999999999" x14ac:dyDescent="0.2">
      <c r="A291" s="231" t="s">
        <v>779</v>
      </c>
      <c r="B291" s="232" t="s">
        <v>780</v>
      </c>
      <c r="C291" s="233">
        <f t="shared" si="4"/>
        <v>280</v>
      </c>
      <c r="D291" s="232" t="s">
        <v>172</v>
      </c>
      <c r="E291" s="232" t="s">
        <v>328</v>
      </c>
      <c r="F291" s="234">
        <v>425</v>
      </c>
      <c r="G291" s="234">
        <v>561</v>
      </c>
      <c r="H291" s="232"/>
      <c r="I291" s="232"/>
      <c r="J291" s="232"/>
    </row>
    <row r="292" spans="1:10" s="235" customFormat="1" ht="10.199999999999999" x14ac:dyDescent="0.2">
      <c r="A292" s="231" t="s">
        <v>781</v>
      </c>
      <c r="B292" s="232" t="s">
        <v>782</v>
      </c>
      <c r="C292" s="233">
        <f t="shared" si="4"/>
        <v>281</v>
      </c>
      <c r="D292" s="238" t="s">
        <v>175</v>
      </c>
      <c r="E292" s="232" t="s">
        <v>176</v>
      </c>
      <c r="F292" s="234">
        <v>559</v>
      </c>
      <c r="G292" s="234">
        <v>738</v>
      </c>
      <c r="H292" s="232"/>
      <c r="I292" s="232"/>
      <c r="J292" s="232"/>
    </row>
    <row r="293" spans="1:10" s="235" customFormat="1" ht="10.199999999999999" x14ac:dyDescent="0.2">
      <c r="A293" s="231" t="s">
        <v>783</v>
      </c>
      <c r="B293" s="232" t="s">
        <v>784</v>
      </c>
      <c r="C293" s="233">
        <f t="shared" si="4"/>
        <v>282</v>
      </c>
      <c r="D293" s="238" t="s">
        <v>175</v>
      </c>
      <c r="E293" s="232" t="s">
        <v>210</v>
      </c>
      <c r="F293" s="234">
        <v>559</v>
      </c>
      <c r="G293" s="234">
        <v>738</v>
      </c>
      <c r="H293" s="232"/>
      <c r="I293" s="232"/>
      <c r="J293" s="232"/>
    </row>
    <row r="294" spans="1:10" s="235" customFormat="1" ht="10.199999999999999" x14ac:dyDescent="0.2">
      <c r="A294" s="231" t="s">
        <v>785</v>
      </c>
      <c r="B294" s="232" t="s">
        <v>786</v>
      </c>
      <c r="C294" s="233">
        <f t="shared" si="4"/>
        <v>283</v>
      </c>
      <c r="D294" s="238" t="s">
        <v>175</v>
      </c>
      <c r="E294" s="232" t="s">
        <v>176</v>
      </c>
      <c r="F294" s="234">
        <v>559</v>
      </c>
      <c r="G294" s="234">
        <v>738</v>
      </c>
      <c r="H294" s="232"/>
      <c r="I294" s="232"/>
      <c r="J294" s="232"/>
    </row>
    <row r="295" spans="1:10" s="235" customFormat="1" ht="10.199999999999999" x14ac:dyDescent="0.2">
      <c r="A295" s="231" t="s">
        <v>787</v>
      </c>
      <c r="B295" s="232" t="s">
        <v>788</v>
      </c>
      <c r="C295" s="233">
        <f t="shared" si="4"/>
        <v>284</v>
      </c>
      <c r="D295" s="232" t="s">
        <v>172</v>
      </c>
      <c r="E295" s="232" t="s">
        <v>328</v>
      </c>
      <c r="F295" s="234">
        <v>425</v>
      </c>
      <c r="G295" s="234">
        <v>561</v>
      </c>
      <c r="H295" s="232"/>
      <c r="I295" s="232"/>
      <c r="J295" s="232"/>
    </row>
    <row r="296" spans="1:10" s="235" customFormat="1" ht="10.199999999999999" x14ac:dyDescent="0.2">
      <c r="A296" s="231" t="s">
        <v>789</v>
      </c>
      <c r="B296" s="232" t="s">
        <v>790</v>
      </c>
      <c r="C296" s="233">
        <f t="shared" si="4"/>
        <v>285</v>
      </c>
      <c r="D296" s="232" t="s">
        <v>268</v>
      </c>
      <c r="E296" s="232" t="s">
        <v>269</v>
      </c>
      <c r="F296" s="234">
        <v>556.63</v>
      </c>
      <c r="G296" s="234">
        <v>773</v>
      </c>
      <c r="H296" s="232"/>
      <c r="I296" s="232"/>
      <c r="J296" s="232"/>
    </row>
    <row r="297" spans="1:10" s="235" customFormat="1" ht="10.199999999999999" x14ac:dyDescent="0.2">
      <c r="A297" s="231" t="s">
        <v>791</v>
      </c>
      <c r="B297" s="232" t="s">
        <v>792</v>
      </c>
      <c r="C297" s="233">
        <f t="shared" si="4"/>
        <v>286</v>
      </c>
      <c r="D297" s="232" t="s">
        <v>268</v>
      </c>
      <c r="E297" s="232" t="s">
        <v>793</v>
      </c>
      <c r="F297" s="234">
        <v>550</v>
      </c>
      <c r="G297" s="234">
        <v>773</v>
      </c>
      <c r="H297" s="232"/>
      <c r="I297" s="232"/>
      <c r="J297" s="232"/>
    </row>
    <row r="298" spans="1:10" s="235" customFormat="1" ht="10.199999999999999" x14ac:dyDescent="0.2">
      <c r="A298" s="231" t="s">
        <v>794</v>
      </c>
      <c r="B298" s="232" t="s">
        <v>795</v>
      </c>
      <c r="C298" s="233">
        <f t="shared" si="4"/>
        <v>287</v>
      </c>
      <c r="D298" s="232" t="s">
        <v>172</v>
      </c>
      <c r="E298" s="232" t="s">
        <v>485</v>
      </c>
      <c r="F298" s="234">
        <v>535.61</v>
      </c>
      <c r="G298" s="234">
        <v>561</v>
      </c>
      <c r="H298" s="232"/>
      <c r="I298" s="232"/>
      <c r="J298" s="232"/>
    </row>
    <row r="299" spans="1:10" s="235" customFormat="1" ht="10.199999999999999" x14ac:dyDescent="0.2">
      <c r="A299" s="231" t="s">
        <v>796</v>
      </c>
      <c r="B299" s="232" t="s">
        <v>797</v>
      </c>
      <c r="C299" s="233">
        <f t="shared" si="4"/>
        <v>288</v>
      </c>
      <c r="D299" s="232" t="s">
        <v>172</v>
      </c>
      <c r="E299" s="232" t="s">
        <v>173</v>
      </c>
      <c r="F299" s="234">
        <v>425</v>
      </c>
      <c r="G299" s="234">
        <v>561</v>
      </c>
      <c r="H299" s="232"/>
      <c r="I299" s="232"/>
      <c r="J299" s="232"/>
    </row>
    <row r="300" spans="1:10" s="235" customFormat="1" ht="10.199999999999999" x14ac:dyDescent="0.2">
      <c r="A300" s="231" t="s">
        <v>798</v>
      </c>
      <c r="B300" s="232" t="s">
        <v>799</v>
      </c>
      <c r="C300" s="233">
        <f t="shared" si="4"/>
        <v>289</v>
      </c>
      <c r="D300" s="232" t="s">
        <v>185</v>
      </c>
      <c r="E300" s="232" t="s">
        <v>186</v>
      </c>
      <c r="F300" s="234">
        <v>512</v>
      </c>
      <c r="G300" s="234">
        <v>614</v>
      </c>
      <c r="H300" s="232"/>
      <c r="I300" s="232"/>
      <c r="J300" s="232"/>
    </row>
    <row r="301" spans="1:10" s="235" customFormat="1" ht="10.199999999999999" x14ac:dyDescent="0.2">
      <c r="A301" s="231" t="s">
        <v>800</v>
      </c>
      <c r="B301" s="232" t="s">
        <v>801</v>
      </c>
      <c r="C301" s="233">
        <f t="shared" si="4"/>
        <v>290</v>
      </c>
      <c r="D301" s="232" t="s">
        <v>172</v>
      </c>
      <c r="E301" s="232" t="s">
        <v>219</v>
      </c>
      <c r="F301" s="234">
        <v>489</v>
      </c>
      <c r="G301" s="234">
        <v>561</v>
      </c>
      <c r="H301" s="232"/>
      <c r="I301" s="232"/>
      <c r="J301" s="232"/>
    </row>
    <row r="302" spans="1:10" s="235" customFormat="1" ht="10.199999999999999" x14ac:dyDescent="0.2">
      <c r="A302" s="231" t="s">
        <v>802</v>
      </c>
      <c r="B302" s="232" t="s">
        <v>803</v>
      </c>
      <c r="C302" s="233">
        <f t="shared" si="4"/>
        <v>291</v>
      </c>
      <c r="D302" s="232" t="s">
        <v>185</v>
      </c>
      <c r="E302" s="232" t="s">
        <v>186</v>
      </c>
      <c r="F302" s="234">
        <v>512</v>
      </c>
      <c r="G302" s="234">
        <v>614</v>
      </c>
      <c r="H302" s="232"/>
      <c r="I302" s="232"/>
      <c r="J302" s="232"/>
    </row>
    <row r="303" spans="1:10" s="235" customFormat="1" ht="10.199999999999999" x14ac:dyDescent="0.2">
      <c r="A303" s="231" t="s">
        <v>804</v>
      </c>
      <c r="B303" s="232" t="s">
        <v>805</v>
      </c>
      <c r="C303" s="233">
        <f t="shared" si="4"/>
        <v>292</v>
      </c>
      <c r="D303" s="238" t="s">
        <v>175</v>
      </c>
      <c r="E303" s="232" t="s">
        <v>210</v>
      </c>
      <c r="F303" s="234">
        <v>559</v>
      </c>
      <c r="G303" s="234">
        <v>738</v>
      </c>
      <c r="H303" s="232"/>
      <c r="I303" s="232"/>
      <c r="J303" s="232"/>
    </row>
    <row r="304" spans="1:10" s="235" customFormat="1" ht="10.199999999999999" x14ac:dyDescent="0.2">
      <c r="A304" s="231" t="s">
        <v>806</v>
      </c>
      <c r="B304" s="232" t="s">
        <v>807</v>
      </c>
      <c r="C304" s="233">
        <f t="shared" si="4"/>
        <v>293</v>
      </c>
      <c r="D304" s="232" t="s">
        <v>185</v>
      </c>
      <c r="E304" s="232" t="s">
        <v>186</v>
      </c>
      <c r="F304" s="234">
        <v>512</v>
      </c>
      <c r="G304" s="234">
        <v>614</v>
      </c>
      <c r="H304" s="232"/>
      <c r="I304" s="232"/>
      <c r="J304" s="232"/>
    </row>
    <row r="305" spans="1:10" s="235" customFormat="1" ht="10.199999999999999" x14ac:dyDescent="0.2">
      <c r="A305" s="231" t="s">
        <v>808</v>
      </c>
      <c r="B305" s="232" t="s">
        <v>809</v>
      </c>
      <c r="C305" s="233">
        <f t="shared" si="4"/>
        <v>294</v>
      </c>
      <c r="D305" s="238" t="s">
        <v>175</v>
      </c>
      <c r="E305" s="232" t="s">
        <v>263</v>
      </c>
      <c r="F305" s="234">
        <v>559</v>
      </c>
      <c r="G305" s="234">
        <v>738</v>
      </c>
      <c r="H305" s="232"/>
      <c r="I305" s="232"/>
      <c r="J305" s="232"/>
    </row>
    <row r="306" spans="1:10" s="235" customFormat="1" ht="10.199999999999999" x14ac:dyDescent="0.2">
      <c r="A306" s="231" t="s">
        <v>810</v>
      </c>
      <c r="B306" s="232" t="s">
        <v>811</v>
      </c>
      <c r="C306" s="233">
        <f t="shared" si="4"/>
        <v>295</v>
      </c>
      <c r="D306" s="232" t="s">
        <v>181</v>
      </c>
      <c r="E306" s="232" t="s">
        <v>182</v>
      </c>
      <c r="F306" s="242">
        <v>512</v>
      </c>
      <c r="G306" s="234">
        <v>596</v>
      </c>
      <c r="H306" s="232"/>
      <c r="I306" s="232"/>
      <c r="J306" s="232"/>
    </row>
    <row r="307" spans="1:10" s="235" customFormat="1" ht="10.199999999999999" x14ac:dyDescent="0.2">
      <c r="A307" s="231" t="s">
        <v>812</v>
      </c>
      <c r="B307" s="232" t="s">
        <v>813</v>
      </c>
      <c r="C307" s="233">
        <f t="shared" si="4"/>
        <v>296</v>
      </c>
      <c r="D307" s="232" t="s">
        <v>181</v>
      </c>
      <c r="E307" s="232" t="s">
        <v>182</v>
      </c>
      <c r="F307" s="234">
        <v>512</v>
      </c>
      <c r="G307" s="234">
        <v>596</v>
      </c>
      <c r="H307" s="232"/>
      <c r="I307" s="232"/>
      <c r="J307" s="232"/>
    </row>
    <row r="308" spans="1:10" s="235" customFormat="1" ht="10.199999999999999" x14ac:dyDescent="0.2">
      <c r="A308" s="231" t="s">
        <v>814</v>
      </c>
      <c r="B308" s="232" t="s">
        <v>815</v>
      </c>
      <c r="C308" s="233">
        <f t="shared" si="4"/>
        <v>297</v>
      </c>
      <c r="D308" s="232" t="s">
        <v>181</v>
      </c>
      <c r="E308" s="232" t="s">
        <v>182</v>
      </c>
      <c r="F308" s="234">
        <v>512</v>
      </c>
      <c r="G308" s="234">
        <v>596</v>
      </c>
      <c r="H308" s="232"/>
      <c r="I308" s="232"/>
      <c r="J308" s="232"/>
    </row>
    <row r="309" spans="1:10" s="235" customFormat="1" ht="10.199999999999999" x14ac:dyDescent="0.2">
      <c r="A309" s="231" t="s">
        <v>816</v>
      </c>
      <c r="B309" s="232" t="s">
        <v>817</v>
      </c>
      <c r="C309" s="233">
        <f t="shared" si="4"/>
        <v>298</v>
      </c>
      <c r="D309" s="238" t="s">
        <v>175</v>
      </c>
      <c r="E309" s="232" t="s">
        <v>210</v>
      </c>
      <c r="F309" s="234">
        <v>559</v>
      </c>
      <c r="G309" s="234">
        <v>738</v>
      </c>
      <c r="H309" s="232"/>
      <c r="I309" s="232"/>
      <c r="J309" s="232"/>
    </row>
    <row r="310" spans="1:10" s="235" customFormat="1" ht="10.199999999999999" x14ac:dyDescent="0.2">
      <c r="A310" s="231" t="s">
        <v>818</v>
      </c>
      <c r="B310" s="232" t="s">
        <v>819</v>
      </c>
      <c r="C310" s="233">
        <f t="shared" si="4"/>
        <v>299</v>
      </c>
      <c r="D310" s="238" t="s">
        <v>175</v>
      </c>
      <c r="E310" s="232" t="s">
        <v>210</v>
      </c>
      <c r="F310" s="234">
        <v>559</v>
      </c>
      <c r="G310" s="234">
        <v>738</v>
      </c>
      <c r="H310" s="232"/>
      <c r="I310" s="232"/>
      <c r="J310" s="232"/>
    </row>
    <row r="311" spans="1:10" s="235" customFormat="1" ht="10.199999999999999" x14ac:dyDescent="0.2">
      <c r="A311" s="231" t="s">
        <v>820</v>
      </c>
      <c r="B311" s="232" t="s">
        <v>821</v>
      </c>
      <c r="C311" s="233">
        <f t="shared" si="4"/>
        <v>300</v>
      </c>
      <c r="D311" s="232" t="s">
        <v>268</v>
      </c>
      <c r="E311" s="232" t="s">
        <v>269</v>
      </c>
      <c r="F311" s="234">
        <v>572.12</v>
      </c>
      <c r="G311" s="234">
        <v>773</v>
      </c>
      <c r="H311" s="232"/>
      <c r="I311" s="232"/>
      <c r="J311" s="232"/>
    </row>
    <row r="312" spans="1:10" s="235" customFormat="1" ht="10.199999999999999" x14ac:dyDescent="0.2">
      <c r="A312" s="231" t="s">
        <v>822</v>
      </c>
      <c r="B312" s="232" t="s">
        <v>823</v>
      </c>
      <c r="C312" s="233">
        <f t="shared" si="4"/>
        <v>301</v>
      </c>
      <c r="D312" s="232" t="s">
        <v>185</v>
      </c>
      <c r="E312" s="232" t="s">
        <v>186</v>
      </c>
      <c r="F312" s="234">
        <v>512</v>
      </c>
      <c r="G312" s="234">
        <v>614</v>
      </c>
      <c r="H312" s="232"/>
      <c r="I312" s="232"/>
      <c r="J312" s="232"/>
    </row>
    <row r="313" spans="1:10" s="235" customFormat="1" ht="10.199999999999999" x14ac:dyDescent="0.2">
      <c r="A313" s="231" t="s">
        <v>824</v>
      </c>
      <c r="B313" s="232" t="s">
        <v>825</v>
      </c>
      <c r="C313" s="233">
        <f t="shared" si="4"/>
        <v>302</v>
      </c>
      <c r="D313" s="232" t="s">
        <v>181</v>
      </c>
      <c r="E313" s="232" t="s">
        <v>182</v>
      </c>
      <c r="F313" s="242">
        <v>512</v>
      </c>
      <c r="G313" s="234">
        <v>596</v>
      </c>
      <c r="H313" s="232"/>
      <c r="I313" s="232"/>
      <c r="J313" s="232"/>
    </row>
    <row r="314" spans="1:10" s="235" customFormat="1" ht="10.199999999999999" x14ac:dyDescent="0.2">
      <c r="A314" s="231" t="s">
        <v>826</v>
      </c>
      <c r="B314" s="232" t="s">
        <v>827</v>
      </c>
      <c r="C314" s="233">
        <f t="shared" si="4"/>
        <v>303</v>
      </c>
      <c r="D314" s="232" t="s">
        <v>185</v>
      </c>
      <c r="E314" s="232" t="s">
        <v>186</v>
      </c>
      <c r="F314" s="234">
        <v>512</v>
      </c>
      <c r="G314" s="234">
        <v>614</v>
      </c>
      <c r="H314" s="232"/>
      <c r="I314" s="232"/>
      <c r="J314" s="232"/>
    </row>
    <row r="315" spans="1:10" s="235" customFormat="1" ht="10.199999999999999" x14ac:dyDescent="0.2">
      <c r="A315" s="231" t="s">
        <v>828</v>
      </c>
      <c r="B315" s="232" t="s">
        <v>829</v>
      </c>
      <c r="C315" s="233">
        <f t="shared" si="4"/>
        <v>304</v>
      </c>
      <c r="D315" s="238" t="s">
        <v>175</v>
      </c>
      <c r="E315" s="232" t="s">
        <v>210</v>
      </c>
      <c r="F315" s="234">
        <v>559</v>
      </c>
      <c r="G315" s="234">
        <v>738</v>
      </c>
      <c r="H315" s="232"/>
      <c r="I315" s="232"/>
      <c r="J315" s="232"/>
    </row>
    <row r="316" spans="1:10" s="235" customFormat="1" ht="10.199999999999999" x14ac:dyDescent="0.2">
      <c r="A316" s="231" t="s">
        <v>830</v>
      </c>
      <c r="B316" s="232" t="s">
        <v>831</v>
      </c>
      <c r="C316" s="233">
        <f t="shared" si="4"/>
        <v>305</v>
      </c>
      <c r="D316" s="238" t="s">
        <v>175</v>
      </c>
      <c r="E316" s="232" t="s">
        <v>210</v>
      </c>
      <c r="F316" s="234">
        <v>559</v>
      </c>
      <c r="G316" s="234">
        <v>738</v>
      </c>
      <c r="H316" s="232"/>
      <c r="I316" s="232"/>
      <c r="J316" s="232"/>
    </row>
    <row r="317" spans="1:10" s="235" customFormat="1" ht="10.199999999999999" x14ac:dyDescent="0.2">
      <c r="A317" s="231" t="s">
        <v>832</v>
      </c>
      <c r="B317" s="232" t="s">
        <v>833</v>
      </c>
      <c r="C317" s="233">
        <f t="shared" si="4"/>
        <v>306</v>
      </c>
      <c r="D317" s="232" t="s">
        <v>268</v>
      </c>
      <c r="E317" s="232" t="s">
        <v>269</v>
      </c>
      <c r="F317" s="234">
        <v>556.63</v>
      </c>
      <c r="G317" s="234">
        <v>773</v>
      </c>
      <c r="H317" s="232"/>
      <c r="I317" s="232"/>
      <c r="J317" s="232"/>
    </row>
    <row r="318" spans="1:10" s="235" customFormat="1" ht="10.199999999999999" x14ac:dyDescent="0.2">
      <c r="A318" s="231" t="s">
        <v>834</v>
      </c>
      <c r="B318" s="232" t="s">
        <v>835</v>
      </c>
      <c r="C318" s="233">
        <f t="shared" si="4"/>
        <v>307</v>
      </c>
      <c r="D318" s="232" t="s">
        <v>172</v>
      </c>
      <c r="E318" s="232" t="s">
        <v>328</v>
      </c>
      <c r="F318" s="234">
        <v>425</v>
      </c>
      <c r="G318" s="234">
        <v>561</v>
      </c>
      <c r="H318" s="232"/>
      <c r="I318" s="232"/>
      <c r="J318" s="232"/>
    </row>
    <row r="319" spans="1:10" s="235" customFormat="1" ht="10.199999999999999" x14ac:dyDescent="0.2">
      <c r="A319" s="231" t="s">
        <v>836</v>
      </c>
      <c r="B319" s="232" t="s">
        <v>837</v>
      </c>
      <c r="C319" s="233">
        <f t="shared" si="4"/>
        <v>308</v>
      </c>
      <c r="D319" s="232" t="s">
        <v>181</v>
      </c>
      <c r="E319" s="232" t="s">
        <v>182</v>
      </c>
      <c r="F319" s="234">
        <v>512</v>
      </c>
      <c r="G319" s="234">
        <v>596</v>
      </c>
      <c r="H319" s="232"/>
      <c r="I319" s="232"/>
      <c r="J319" s="232"/>
    </row>
    <row r="320" spans="1:10" s="235" customFormat="1" ht="10.199999999999999" x14ac:dyDescent="0.2">
      <c r="A320" s="231" t="s">
        <v>838</v>
      </c>
      <c r="B320" s="232" t="s">
        <v>839</v>
      </c>
      <c r="C320" s="233">
        <f t="shared" si="4"/>
        <v>309</v>
      </c>
      <c r="D320" s="232" t="s">
        <v>185</v>
      </c>
      <c r="E320" s="232" t="s">
        <v>186</v>
      </c>
      <c r="F320" s="234">
        <v>512</v>
      </c>
      <c r="G320" s="234">
        <v>614</v>
      </c>
      <c r="H320" s="232"/>
      <c r="I320" s="232"/>
      <c r="J320" s="232"/>
    </row>
    <row r="321" spans="1:10" s="235" customFormat="1" ht="10.199999999999999" x14ac:dyDescent="0.2">
      <c r="A321" s="231" t="s">
        <v>840</v>
      </c>
      <c r="B321" s="232" t="s">
        <v>841</v>
      </c>
      <c r="C321" s="233">
        <f t="shared" si="4"/>
        <v>310</v>
      </c>
      <c r="D321" s="232" t="s">
        <v>172</v>
      </c>
      <c r="E321" s="232" t="s">
        <v>276</v>
      </c>
      <c r="F321" s="234">
        <v>587</v>
      </c>
      <c r="G321" s="234">
        <v>561</v>
      </c>
      <c r="H321" s="232"/>
      <c r="I321" s="232"/>
      <c r="J321" s="232"/>
    </row>
    <row r="322" spans="1:10" s="235" customFormat="1" ht="10.199999999999999" x14ac:dyDescent="0.2">
      <c r="A322" s="231" t="s">
        <v>842</v>
      </c>
      <c r="B322" s="232" t="s">
        <v>843</v>
      </c>
      <c r="C322" s="233">
        <f t="shared" si="4"/>
        <v>311</v>
      </c>
      <c r="D322" s="232" t="s">
        <v>268</v>
      </c>
      <c r="E322" s="232" t="s">
        <v>269</v>
      </c>
      <c r="F322" s="234">
        <v>556</v>
      </c>
      <c r="G322" s="234">
        <v>773</v>
      </c>
      <c r="H322" s="232"/>
      <c r="I322" s="232"/>
      <c r="J322" s="232"/>
    </row>
    <row r="323" spans="1:10" s="235" customFormat="1" ht="10.199999999999999" x14ac:dyDescent="0.2">
      <c r="A323" s="231" t="s">
        <v>844</v>
      </c>
      <c r="B323" s="232" t="s">
        <v>845</v>
      </c>
      <c r="C323" s="233">
        <f t="shared" si="4"/>
        <v>312</v>
      </c>
      <c r="D323" s="232" t="s">
        <v>185</v>
      </c>
      <c r="E323" s="232" t="s">
        <v>186</v>
      </c>
      <c r="F323" s="234">
        <v>512</v>
      </c>
      <c r="G323" s="234">
        <v>614</v>
      </c>
      <c r="H323" s="232"/>
      <c r="I323" s="232"/>
      <c r="J323" s="232"/>
    </row>
    <row r="324" spans="1:10" s="235" customFormat="1" ht="10.199999999999999" x14ac:dyDescent="0.2">
      <c r="A324" s="231" t="s">
        <v>846</v>
      </c>
      <c r="B324" s="232" t="s">
        <v>847</v>
      </c>
      <c r="C324" s="233">
        <f t="shared" si="4"/>
        <v>313</v>
      </c>
      <c r="D324" s="232" t="s">
        <v>172</v>
      </c>
      <c r="E324" s="232" t="s">
        <v>219</v>
      </c>
      <c r="F324" s="234">
        <v>489</v>
      </c>
      <c r="G324" s="234">
        <v>561</v>
      </c>
      <c r="H324" s="232"/>
      <c r="I324" s="232"/>
      <c r="J324" s="232"/>
    </row>
    <row r="325" spans="1:10" s="235" customFormat="1" ht="10.199999999999999" x14ac:dyDescent="0.2">
      <c r="A325" s="231" t="s">
        <v>848</v>
      </c>
      <c r="B325" s="232" t="s">
        <v>849</v>
      </c>
      <c r="C325" s="233">
        <f t="shared" si="4"/>
        <v>314</v>
      </c>
      <c r="D325" s="232" t="s">
        <v>172</v>
      </c>
      <c r="E325" s="232" t="s">
        <v>850</v>
      </c>
      <c r="F325" s="234">
        <v>425</v>
      </c>
      <c r="G325" s="234">
        <v>561</v>
      </c>
      <c r="H325" s="232"/>
      <c r="I325" s="232"/>
      <c r="J325" s="232"/>
    </row>
    <row r="326" spans="1:10" s="235" customFormat="1" ht="10.199999999999999" x14ac:dyDescent="0.2">
      <c r="A326" s="231" t="s">
        <v>851</v>
      </c>
      <c r="B326" s="232" t="s">
        <v>852</v>
      </c>
      <c r="C326" s="233">
        <f t="shared" si="4"/>
        <v>315</v>
      </c>
      <c r="D326" s="232" t="s">
        <v>181</v>
      </c>
      <c r="E326" s="232" t="s">
        <v>182</v>
      </c>
      <c r="F326" s="234">
        <v>512</v>
      </c>
      <c r="G326" s="234">
        <v>596</v>
      </c>
      <c r="H326" s="232"/>
      <c r="I326" s="232"/>
      <c r="J326" s="232"/>
    </row>
    <row r="327" spans="1:10" s="235" customFormat="1" ht="10.199999999999999" x14ac:dyDescent="0.2">
      <c r="A327" s="231" t="s">
        <v>853</v>
      </c>
      <c r="B327" s="232" t="s">
        <v>854</v>
      </c>
      <c r="C327" s="233">
        <f t="shared" si="4"/>
        <v>316</v>
      </c>
      <c r="D327" s="232" t="s">
        <v>185</v>
      </c>
      <c r="E327" s="232" t="s">
        <v>186</v>
      </c>
      <c r="F327" s="234">
        <v>512</v>
      </c>
      <c r="G327" s="234">
        <v>614</v>
      </c>
      <c r="H327" s="232"/>
      <c r="I327" s="232"/>
      <c r="J327" s="232"/>
    </row>
    <row r="328" spans="1:10" s="235" customFormat="1" ht="10.199999999999999" x14ac:dyDescent="0.2">
      <c r="A328" s="231" t="s">
        <v>855</v>
      </c>
      <c r="B328" s="232" t="s">
        <v>856</v>
      </c>
      <c r="C328" s="233">
        <f t="shared" si="4"/>
        <v>317</v>
      </c>
      <c r="D328" s="238" t="s">
        <v>175</v>
      </c>
      <c r="E328" s="232" t="s">
        <v>210</v>
      </c>
      <c r="F328" s="234">
        <v>559</v>
      </c>
      <c r="G328" s="234">
        <v>738</v>
      </c>
      <c r="H328" s="232"/>
      <c r="I328" s="232"/>
      <c r="J328" s="232"/>
    </row>
    <row r="329" spans="1:10" s="235" customFormat="1" ht="10.199999999999999" x14ac:dyDescent="0.2">
      <c r="A329" s="231" t="s">
        <v>857</v>
      </c>
      <c r="B329" s="232" t="s">
        <v>858</v>
      </c>
      <c r="C329" s="233">
        <f t="shared" si="4"/>
        <v>318</v>
      </c>
      <c r="D329" s="232" t="s">
        <v>172</v>
      </c>
      <c r="E329" s="232" t="s">
        <v>219</v>
      </c>
      <c r="F329" s="234">
        <v>489</v>
      </c>
      <c r="G329" s="234">
        <v>561</v>
      </c>
      <c r="H329" s="232"/>
      <c r="I329" s="232"/>
      <c r="J329" s="232"/>
    </row>
    <row r="330" spans="1:10" s="235" customFormat="1" ht="10.199999999999999" x14ac:dyDescent="0.2">
      <c r="A330" s="231" t="s">
        <v>859</v>
      </c>
      <c r="B330" s="232" t="s">
        <v>860</v>
      </c>
      <c r="C330" s="233">
        <f t="shared" si="4"/>
        <v>319</v>
      </c>
      <c r="D330" s="232" t="s">
        <v>172</v>
      </c>
      <c r="E330" s="232" t="s">
        <v>194</v>
      </c>
      <c r="F330" s="242">
        <v>425</v>
      </c>
      <c r="G330" s="234">
        <v>561</v>
      </c>
      <c r="H330" s="232"/>
      <c r="I330" s="232"/>
      <c r="J330" s="232"/>
    </row>
    <row r="331" spans="1:10" s="235" customFormat="1" ht="10.199999999999999" x14ac:dyDescent="0.2">
      <c r="A331" s="231" t="s">
        <v>861</v>
      </c>
      <c r="B331" s="232" t="s">
        <v>862</v>
      </c>
      <c r="C331" s="233">
        <f t="shared" si="4"/>
        <v>320</v>
      </c>
      <c r="D331" s="238" t="s">
        <v>175</v>
      </c>
      <c r="E331" s="232" t="s">
        <v>210</v>
      </c>
      <c r="F331" s="234">
        <v>559</v>
      </c>
      <c r="G331" s="234">
        <v>738</v>
      </c>
      <c r="H331" s="232"/>
      <c r="I331" s="232"/>
      <c r="J331" s="232"/>
    </row>
    <row r="332" spans="1:10" s="235" customFormat="1" ht="10.199999999999999" x14ac:dyDescent="0.2">
      <c r="A332" s="231" t="s">
        <v>863</v>
      </c>
      <c r="B332" s="232" t="s">
        <v>864</v>
      </c>
      <c r="C332" s="233">
        <f t="shared" si="4"/>
        <v>321</v>
      </c>
      <c r="D332" s="232" t="s">
        <v>172</v>
      </c>
      <c r="E332" s="232" t="s">
        <v>173</v>
      </c>
      <c r="F332" s="234">
        <v>425</v>
      </c>
      <c r="G332" s="234">
        <v>561</v>
      </c>
      <c r="H332" s="232"/>
      <c r="I332" s="232"/>
      <c r="J332" s="232"/>
    </row>
    <row r="333" spans="1:10" s="235" customFormat="1" ht="10.199999999999999" x14ac:dyDescent="0.2">
      <c r="A333" s="231" t="s">
        <v>865</v>
      </c>
      <c r="B333" s="232" t="s">
        <v>866</v>
      </c>
      <c r="C333" s="233">
        <f t="shared" ref="C333:C379" si="5">C332+1</f>
        <v>322</v>
      </c>
      <c r="D333" s="232" t="s">
        <v>185</v>
      </c>
      <c r="E333" s="232" t="s">
        <v>186</v>
      </c>
      <c r="F333" s="234">
        <v>512</v>
      </c>
      <c r="G333" s="234">
        <v>614</v>
      </c>
      <c r="H333" s="232"/>
      <c r="I333" s="232"/>
      <c r="J333" s="232"/>
    </row>
    <row r="334" spans="1:10" s="235" customFormat="1" ht="10.199999999999999" x14ac:dyDescent="0.2">
      <c r="A334" s="231" t="s">
        <v>867</v>
      </c>
      <c r="B334" s="232" t="s">
        <v>868</v>
      </c>
      <c r="C334" s="233">
        <f t="shared" si="5"/>
        <v>323</v>
      </c>
      <c r="D334" s="232" t="s">
        <v>172</v>
      </c>
      <c r="E334" s="232" t="s">
        <v>869</v>
      </c>
      <c r="F334" s="234">
        <v>425</v>
      </c>
      <c r="G334" s="234">
        <v>561</v>
      </c>
      <c r="H334" s="232"/>
      <c r="I334" s="232"/>
      <c r="J334" s="232"/>
    </row>
    <row r="335" spans="1:10" s="235" customFormat="1" ht="10.199999999999999" x14ac:dyDescent="0.2">
      <c r="A335" s="231" t="s">
        <v>870</v>
      </c>
      <c r="B335" s="232" t="s">
        <v>871</v>
      </c>
      <c r="C335" s="233">
        <f t="shared" si="5"/>
        <v>324</v>
      </c>
      <c r="D335" s="232" t="s">
        <v>172</v>
      </c>
      <c r="E335" s="232" t="s">
        <v>194</v>
      </c>
      <c r="F335" s="242">
        <v>425</v>
      </c>
      <c r="G335" s="234">
        <v>561</v>
      </c>
      <c r="H335" s="232"/>
      <c r="I335" s="232"/>
      <c r="J335" s="232"/>
    </row>
    <row r="336" spans="1:10" s="235" customFormat="1" ht="10.199999999999999" x14ac:dyDescent="0.2">
      <c r="A336" s="231" t="s">
        <v>872</v>
      </c>
      <c r="B336" s="232" t="s">
        <v>873</v>
      </c>
      <c r="C336" s="233">
        <f t="shared" si="5"/>
        <v>325</v>
      </c>
      <c r="D336" s="232" t="s">
        <v>268</v>
      </c>
      <c r="E336" s="232" t="s">
        <v>269</v>
      </c>
      <c r="F336" s="234">
        <v>556.63</v>
      </c>
      <c r="G336" s="234">
        <v>773</v>
      </c>
      <c r="H336" s="232"/>
      <c r="I336" s="232"/>
      <c r="J336" s="232"/>
    </row>
    <row r="337" spans="1:10" s="235" customFormat="1" ht="10.199999999999999" x14ac:dyDescent="0.2">
      <c r="A337" s="231" t="s">
        <v>874</v>
      </c>
      <c r="B337" s="232" t="s">
        <v>875</v>
      </c>
      <c r="C337" s="233">
        <f t="shared" si="5"/>
        <v>326</v>
      </c>
      <c r="D337" s="238" t="s">
        <v>175</v>
      </c>
      <c r="E337" s="232" t="s">
        <v>210</v>
      </c>
      <c r="F337" s="234">
        <v>559</v>
      </c>
      <c r="G337" s="234">
        <v>738</v>
      </c>
      <c r="H337" s="232"/>
      <c r="I337" s="232"/>
      <c r="J337" s="232"/>
    </row>
    <row r="338" spans="1:10" s="235" customFormat="1" ht="10.199999999999999" x14ac:dyDescent="0.2">
      <c r="A338" s="231" t="s">
        <v>876</v>
      </c>
      <c r="B338" s="232" t="s">
        <v>877</v>
      </c>
      <c r="C338" s="233">
        <f t="shared" si="5"/>
        <v>327</v>
      </c>
      <c r="D338" s="238" t="s">
        <v>175</v>
      </c>
      <c r="E338" s="232" t="s">
        <v>176</v>
      </c>
      <c r="F338" s="234">
        <v>559</v>
      </c>
      <c r="G338" s="234">
        <v>738</v>
      </c>
      <c r="H338" s="232"/>
      <c r="I338" s="232"/>
      <c r="J338" s="232"/>
    </row>
    <row r="339" spans="1:10" s="235" customFormat="1" ht="10.199999999999999" x14ac:dyDescent="0.2">
      <c r="A339" s="231" t="s">
        <v>878</v>
      </c>
      <c r="B339" s="232" t="s">
        <v>879</v>
      </c>
      <c r="C339" s="233">
        <f t="shared" si="5"/>
        <v>328</v>
      </c>
      <c r="D339" s="232" t="s">
        <v>185</v>
      </c>
      <c r="E339" s="232" t="s">
        <v>186</v>
      </c>
      <c r="F339" s="234">
        <v>512</v>
      </c>
      <c r="G339" s="234">
        <v>614</v>
      </c>
      <c r="H339" s="232"/>
      <c r="I339" s="232"/>
      <c r="J339" s="232"/>
    </row>
    <row r="340" spans="1:10" s="235" customFormat="1" ht="10.199999999999999" x14ac:dyDescent="0.2">
      <c r="A340" s="231" t="s">
        <v>880</v>
      </c>
      <c r="B340" s="232" t="s">
        <v>881</v>
      </c>
      <c r="C340" s="233">
        <f t="shared" si="5"/>
        <v>329</v>
      </c>
      <c r="D340" s="232" t="s">
        <v>185</v>
      </c>
      <c r="E340" s="232" t="s">
        <v>186</v>
      </c>
      <c r="F340" s="234">
        <v>512</v>
      </c>
      <c r="G340" s="234">
        <v>614</v>
      </c>
      <c r="H340" s="232"/>
      <c r="I340" s="232"/>
      <c r="J340" s="232"/>
    </row>
    <row r="341" spans="1:10" s="235" customFormat="1" ht="10.199999999999999" x14ac:dyDescent="0.2">
      <c r="A341" s="231" t="s">
        <v>882</v>
      </c>
      <c r="B341" s="232" t="s">
        <v>883</v>
      </c>
      <c r="C341" s="233">
        <f t="shared" si="5"/>
        <v>330</v>
      </c>
      <c r="D341" s="232" t="s">
        <v>181</v>
      </c>
      <c r="E341" s="232" t="s">
        <v>182</v>
      </c>
      <c r="F341" s="242">
        <v>512</v>
      </c>
      <c r="G341" s="234">
        <v>596</v>
      </c>
      <c r="H341" s="232"/>
      <c r="I341" s="232"/>
      <c r="J341" s="232"/>
    </row>
    <row r="342" spans="1:10" s="235" customFormat="1" ht="10.199999999999999" x14ac:dyDescent="0.2">
      <c r="A342" s="231" t="s">
        <v>884</v>
      </c>
      <c r="B342" s="232" t="s">
        <v>885</v>
      </c>
      <c r="C342" s="233">
        <f t="shared" si="5"/>
        <v>331</v>
      </c>
      <c r="D342" s="232" t="s">
        <v>334</v>
      </c>
      <c r="E342" s="232" t="s">
        <v>696</v>
      </c>
      <c r="F342" s="234">
        <v>700</v>
      </c>
      <c r="G342" s="234">
        <v>805</v>
      </c>
      <c r="H342" s="232"/>
      <c r="I342" s="232"/>
      <c r="J342" s="232"/>
    </row>
    <row r="343" spans="1:10" s="235" customFormat="1" ht="10.199999999999999" x14ac:dyDescent="0.2">
      <c r="A343" s="231" t="s">
        <v>886</v>
      </c>
      <c r="B343" s="232" t="s">
        <v>887</v>
      </c>
      <c r="C343" s="233">
        <f t="shared" si="5"/>
        <v>332</v>
      </c>
      <c r="D343" s="232" t="s">
        <v>185</v>
      </c>
      <c r="E343" s="232" t="s">
        <v>186</v>
      </c>
      <c r="F343" s="234">
        <v>512</v>
      </c>
      <c r="G343" s="234">
        <v>614</v>
      </c>
      <c r="H343" s="232"/>
      <c r="I343" s="232"/>
      <c r="J343" s="232"/>
    </row>
    <row r="344" spans="1:10" s="235" customFormat="1" ht="10.199999999999999" x14ac:dyDescent="0.2">
      <c r="A344" s="231" t="s">
        <v>888</v>
      </c>
      <c r="B344" s="232" t="s">
        <v>889</v>
      </c>
      <c r="C344" s="233">
        <f t="shared" si="5"/>
        <v>333</v>
      </c>
      <c r="D344" s="232" t="s">
        <v>185</v>
      </c>
      <c r="E344" s="232" t="s">
        <v>186</v>
      </c>
      <c r="F344" s="234">
        <v>512</v>
      </c>
      <c r="G344" s="234">
        <v>614</v>
      </c>
      <c r="H344" s="232"/>
      <c r="I344" s="232"/>
      <c r="J344" s="232"/>
    </row>
    <row r="345" spans="1:10" s="235" customFormat="1" ht="10.199999999999999" x14ac:dyDescent="0.2">
      <c r="A345" s="231" t="s">
        <v>890</v>
      </c>
      <c r="B345" s="232" t="s">
        <v>891</v>
      </c>
      <c r="C345" s="233">
        <f t="shared" si="5"/>
        <v>334</v>
      </c>
      <c r="D345" s="232" t="s">
        <v>185</v>
      </c>
      <c r="E345" s="232" t="s">
        <v>186</v>
      </c>
      <c r="F345" s="234">
        <v>558.85</v>
      </c>
      <c r="G345" s="234">
        <v>614</v>
      </c>
      <c r="H345" s="232"/>
      <c r="I345" s="232"/>
      <c r="J345" s="232"/>
    </row>
    <row r="346" spans="1:10" s="235" customFormat="1" ht="10.199999999999999" x14ac:dyDescent="0.2">
      <c r="A346" s="231" t="s">
        <v>892</v>
      </c>
      <c r="B346" s="232" t="s">
        <v>893</v>
      </c>
      <c r="C346" s="233">
        <f t="shared" si="5"/>
        <v>335</v>
      </c>
      <c r="D346" s="232" t="s">
        <v>172</v>
      </c>
      <c r="E346" s="232" t="s">
        <v>191</v>
      </c>
      <c r="F346" s="242">
        <v>488</v>
      </c>
      <c r="G346" s="234">
        <v>561</v>
      </c>
      <c r="H346" s="232"/>
      <c r="I346" s="232"/>
      <c r="J346" s="232"/>
    </row>
    <row r="347" spans="1:10" s="235" customFormat="1" ht="10.199999999999999" x14ac:dyDescent="0.2">
      <c r="A347" s="231" t="s">
        <v>894</v>
      </c>
      <c r="B347" s="232" t="s">
        <v>895</v>
      </c>
      <c r="C347" s="233">
        <f t="shared" si="5"/>
        <v>336</v>
      </c>
      <c r="D347" s="232" t="s">
        <v>268</v>
      </c>
      <c r="E347" s="232" t="s">
        <v>308</v>
      </c>
      <c r="F347" s="242">
        <v>773</v>
      </c>
      <c r="G347" s="234">
        <v>773</v>
      </c>
      <c r="H347" s="232"/>
      <c r="I347" s="232"/>
      <c r="J347" s="232"/>
    </row>
    <row r="348" spans="1:10" s="235" customFormat="1" ht="10.199999999999999" x14ac:dyDescent="0.2">
      <c r="A348" s="231" t="s">
        <v>896</v>
      </c>
      <c r="B348" s="232" t="s">
        <v>897</v>
      </c>
      <c r="C348" s="233">
        <f t="shared" si="5"/>
        <v>337</v>
      </c>
      <c r="D348" s="232" t="s">
        <v>172</v>
      </c>
      <c r="E348" s="232" t="s">
        <v>194</v>
      </c>
      <c r="F348" s="234">
        <v>425</v>
      </c>
      <c r="G348" s="234">
        <v>561</v>
      </c>
      <c r="H348" s="232"/>
      <c r="I348" s="232"/>
      <c r="J348" s="232"/>
    </row>
    <row r="349" spans="1:10" s="235" customFormat="1" ht="10.199999999999999" x14ac:dyDescent="0.2">
      <c r="A349" s="231" t="s">
        <v>898</v>
      </c>
      <c r="B349" s="232" t="s">
        <v>899</v>
      </c>
      <c r="C349" s="233">
        <f t="shared" si="5"/>
        <v>338</v>
      </c>
      <c r="D349" s="232" t="s">
        <v>185</v>
      </c>
      <c r="E349" s="232" t="s">
        <v>186</v>
      </c>
      <c r="F349" s="234">
        <v>512</v>
      </c>
      <c r="G349" s="234">
        <v>614</v>
      </c>
      <c r="H349" s="232"/>
      <c r="I349" s="232"/>
      <c r="J349" s="232"/>
    </row>
    <row r="350" spans="1:10" s="235" customFormat="1" ht="10.199999999999999" x14ac:dyDescent="0.2">
      <c r="A350" s="231" t="s">
        <v>900</v>
      </c>
      <c r="B350" s="232" t="s">
        <v>901</v>
      </c>
      <c r="C350" s="233">
        <f t="shared" si="5"/>
        <v>339</v>
      </c>
      <c r="D350" s="232" t="s">
        <v>268</v>
      </c>
      <c r="E350" s="232" t="s">
        <v>269</v>
      </c>
      <c r="F350" s="234">
        <v>556</v>
      </c>
      <c r="G350" s="234">
        <v>773</v>
      </c>
      <c r="H350" s="232"/>
      <c r="I350" s="232"/>
      <c r="J350" s="232"/>
    </row>
    <row r="351" spans="1:10" s="235" customFormat="1" ht="10.199999999999999" x14ac:dyDescent="0.2">
      <c r="A351" s="231" t="s">
        <v>902</v>
      </c>
      <c r="B351" s="232" t="s">
        <v>903</v>
      </c>
      <c r="C351" s="233">
        <f t="shared" si="5"/>
        <v>340</v>
      </c>
      <c r="D351" s="232" t="s">
        <v>268</v>
      </c>
      <c r="E351" s="232" t="s">
        <v>269</v>
      </c>
      <c r="F351" s="234">
        <v>555</v>
      </c>
      <c r="G351" s="234">
        <v>773</v>
      </c>
      <c r="H351" s="232"/>
      <c r="I351" s="232"/>
      <c r="J351" s="232"/>
    </row>
    <row r="352" spans="1:10" s="235" customFormat="1" ht="10.199999999999999" x14ac:dyDescent="0.2">
      <c r="A352" s="231" t="s">
        <v>904</v>
      </c>
      <c r="B352" s="232" t="s">
        <v>905</v>
      </c>
      <c r="C352" s="233">
        <f t="shared" si="5"/>
        <v>341</v>
      </c>
      <c r="D352" s="232" t="s">
        <v>181</v>
      </c>
      <c r="E352" s="232" t="s">
        <v>182</v>
      </c>
      <c r="F352" s="234">
        <v>512</v>
      </c>
      <c r="G352" s="234">
        <v>596</v>
      </c>
      <c r="H352" s="232"/>
      <c r="I352" s="232"/>
      <c r="J352" s="232"/>
    </row>
    <row r="353" spans="1:10" s="235" customFormat="1" ht="10.199999999999999" x14ac:dyDescent="0.2">
      <c r="A353" s="231" t="s">
        <v>906</v>
      </c>
      <c r="B353" s="232" t="s">
        <v>907</v>
      </c>
      <c r="C353" s="233">
        <f t="shared" si="5"/>
        <v>342</v>
      </c>
      <c r="D353" s="232" t="s">
        <v>181</v>
      </c>
      <c r="E353" s="232" t="s">
        <v>182</v>
      </c>
      <c r="F353" s="234">
        <v>512</v>
      </c>
      <c r="G353" s="234">
        <v>596</v>
      </c>
      <c r="H353" s="232"/>
      <c r="I353" s="232"/>
      <c r="J353" s="232"/>
    </row>
    <row r="354" spans="1:10" s="235" customFormat="1" ht="10.199999999999999" x14ac:dyDescent="0.2">
      <c r="A354" s="231" t="s">
        <v>908</v>
      </c>
      <c r="B354" s="232" t="s">
        <v>909</v>
      </c>
      <c r="C354" s="233">
        <f t="shared" si="5"/>
        <v>343</v>
      </c>
      <c r="D354" s="238" t="s">
        <v>175</v>
      </c>
      <c r="E354" s="232" t="s">
        <v>210</v>
      </c>
      <c r="F354" s="234">
        <v>559</v>
      </c>
      <c r="G354" s="234">
        <v>738</v>
      </c>
      <c r="H354" s="232"/>
      <c r="I354" s="232"/>
      <c r="J354" s="232"/>
    </row>
    <row r="355" spans="1:10" s="235" customFormat="1" ht="10.199999999999999" x14ac:dyDescent="0.2">
      <c r="A355" s="231" t="s">
        <v>910</v>
      </c>
      <c r="B355" s="232" t="s">
        <v>911</v>
      </c>
      <c r="C355" s="233">
        <f t="shared" si="5"/>
        <v>344</v>
      </c>
      <c r="D355" s="232" t="s">
        <v>185</v>
      </c>
      <c r="E355" s="232" t="s">
        <v>186</v>
      </c>
      <c r="F355" s="234">
        <v>512</v>
      </c>
      <c r="G355" s="234">
        <v>614</v>
      </c>
      <c r="H355" s="232"/>
      <c r="I355" s="232"/>
      <c r="J355" s="232"/>
    </row>
    <row r="356" spans="1:10" s="235" customFormat="1" ht="10.199999999999999" x14ac:dyDescent="0.2">
      <c r="A356" s="231" t="s">
        <v>912</v>
      </c>
      <c r="B356" s="232" t="s">
        <v>913</v>
      </c>
      <c r="C356" s="233">
        <f t="shared" si="5"/>
        <v>345</v>
      </c>
      <c r="D356" s="232" t="s">
        <v>181</v>
      </c>
      <c r="E356" s="232" t="s">
        <v>182</v>
      </c>
      <c r="F356" s="234">
        <v>512</v>
      </c>
      <c r="G356" s="234">
        <v>596</v>
      </c>
      <c r="H356" s="232"/>
      <c r="I356" s="232"/>
      <c r="J356" s="232"/>
    </row>
    <row r="357" spans="1:10" s="235" customFormat="1" ht="10.199999999999999" x14ac:dyDescent="0.2">
      <c r="A357" s="231" t="s">
        <v>914</v>
      </c>
      <c r="B357" s="232" t="s">
        <v>915</v>
      </c>
      <c r="C357" s="233">
        <f t="shared" si="5"/>
        <v>346</v>
      </c>
      <c r="D357" s="232" t="s">
        <v>185</v>
      </c>
      <c r="E357" s="232" t="s">
        <v>186</v>
      </c>
      <c r="F357" s="234">
        <v>512</v>
      </c>
      <c r="G357" s="234">
        <v>614</v>
      </c>
      <c r="H357" s="232"/>
      <c r="I357" s="232"/>
      <c r="J357" s="232"/>
    </row>
    <row r="358" spans="1:10" s="235" customFormat="1" ht="10.199999999999999" x14ac:dyDescent="0.2">
      <c r="A358" s="231" t="s">
        <v>916</v>
      </c>
      <c r="B358" s="232" t="s">
        <v>917</v>
      </c>
      <c r="C358" s="233">
        <f t="shared" si="5"/>
        <v>347</v>
      </c>
      <c r="D358" s="232" t="s">
        <v>268</v>
      </c>
      <c r="E358" s="232" t="s">
        <v>269</v>
      </c>
      <c r="F358" s="234">
        <v>556</v>
      </c>
      <c r="G358" s="234">
        <v>773</v>
      </c>
      <c r="H358" s="232"/>
      <c r="I358" s="232"/>
      <c r="J358" s="232"/>
    </row>
    <row r="359" spans="1:10" s="235" customFormat="1" ht="10.199999999999999" x14ac:dyDescent="0.2">
      <c r="A359" s="231" t="s">
        <v>918</v>
      </c>
      <c r="B359" s="232" t="s">
        <v>919</v>
      </c>
      <c r="C359" s="233">
        <f t="shared" si="5"/>
        <v>348</v>
      </c>
      <c r="D359" s="232" t="s">
        <v>172</v>
      </c>
      <c r="E359" s="232" t="s">
        <v>191</v>
      </c>
      <c r="F359" s="242">
        <v>488</v>
      </c>
      <c r="G359" s="234">
        <v>561</v>
      </c>
      <c r="H359" s="232"/>
      <c r="I359" s="232"/>
      <c r="J359" s="232"/>
    </row>
    <row r="360" spans="1:10" s="235" customFormat="1" ht="10.199999999999999" x14ac:dyDescent="0.2">
      <c r="A360" s="231" t="s">
        <v>920</v>
      </c>
      <c r="B360" s="232" t="s">
        <v>921</v>
      </c>
      <c r="C360" s="233">
        <f t="shared" si="5"/>
        <v>349</v>
      </c>
      <c r="D360" s="232" t="s">
        <v>172</v>
      </c>
      <c r="E360" s="232" t="s">
        <v>240</v>
      </c>
      <c r="F360" s="234">
        <v>500</v>
      </c>
      <c r="G360" s="234">
        <v>561</v>
      </c>
      <c r="H360" s="232"/>
      <c r="I360" s="232"/>
      <c r="J360" s="232"/>
    </row>
    <row r="361" spans="1:10" s="235" customFormat="1" ht="10.199999999999999" x14ac:dyDescent="0.2">
      <c r="A361" s="231" t="s">
        <v>922</v>
      </c>
      <c r="B361" s="232" t="s">
        <v>923</v>
      </c>
      <c r="C361" s="233">
        <f t="shared" si="5"/>
        <v>350</v>
      </c>
      <c r="D361" s="232" t="s">
        <v>185</v>
      </c>
      <c r="E361" s="232" t="s">
        <v>186</v>
      </c>
      <c r="F361" s="234">
        <v>512</v>
      </c>
      <c r="G361" s="234">
        <v>614</v>
      </c>
      <c r="H361" s="232"/>
      <c r="I361" s="232"/>
      <c r="J361" s="232"/>
    </row>
    <row r="362" spans="1:10" s="235" customFormat="1" ht="10.199999999999999" x14ac:dyDescent="0.2">
      <c r="A362" s="231" t="s">
        <v>924</v>
      </c>
      <c r="B362" s="232" t="s">
        <v>925</v>
      </c>
      <c r="C362" s="233">
        <f t="shared" si="5"/>
        <v>351</v>
      </c>
      <c r="D362" s="232" t="s">
        <v>926</v>
      </c>
      <c r="E362" s="232" t="s">
        <v>299</v>
      </c>
      <c r="F362" s="234">
        <v>826</v>
      </c>
      <c r="G362" s="234">
        <v>826</v>
      </c>
      <c r="H362" s="232"/>
      <c r="I362" s="232"/>
      <c r="J362" s="232"/>
    </row>
    <row r="363" spans="1:10" s="235" customFormat="1" ht="10.199999999999999" x14ac:dyDescent="0.2">
      <c r="A363" s="231" t="s">
        <v>927</v>
      </c>
      <c r="B363" s="232" t="s">
        <v>928</v>
      </c>
      <c r="C363" s="233">
        <f t="shared" si="5"/>
        <v>352</v>
      </c>
      <c r="D363" s="232" t="s">
        <v>268</v>
      </c>
      <c r="E363" s="232" t="s">
        <v>269</v>
      </c>
      <c r="F363" s="234">
        <v>602</v>
      </c>
      <c r="G363" s="234">
        <v>773</v>
      </c>
      <c r="H363" s="232"/>
      <c r="I363" s="232"/>
      <c r="J363" s="232"/>
    </row>
    <row r="364" spans="1:10" s="235" customFormat="1" ht="10.199999999999999" x14ac:dyDescent="0.2">
      <c r="A364" s="231" t="s">
        <v>929</v>
      </c>
      <c r="B364" s="232" t="s">
        <v>930</v>
      </c>
      <c r="C364" s="233">
        <f t="shared" si="5"/>
        <v>353</v>
      </c>
      <c r="D364" s="232" t="s">
        <v>172</v>
      </c>
      <c r="E364" s="232" t="s">
        <v>523</v>
      </c>
      <c r="F364" s="234">
        <v>425</v>
      </c>
      <c r="G364" s="234">
        <v>561</v>
      </c>
      <c r="H364" s="232"/>
      <c r="I364" s="232"/>
      <c r="J364" s="232"/>
    </row>
    <row r="365" spans="1:10" s="235" customFormat="1" ht="10.199999999999999" x14ac:dyDescent="0.2">
      <c r="A365" s="231" t="s">
        <v>931</v>
      </c>
      <c r="B365" s="232" t="s">
        <v>932</v>
      </c>
      <c r="C365" s="233">
        <f t="shared" si="5"/>
        <v>354</v>
      </c>
      <c r="D365" s="232" t="s">
        <v>172</v>
      </c>
      <c r="E365" s="232" t="s">
        <v>173</v>
      </c>
      <c r="F365" s="234">
        <v>425</v>
      </c>
      <c r="G365" s="234">
        <v>561</v>
      </c>
      <c r="H365" s="232"/>
      <c r="I365" s="232"/>
      <c r="J365" s="232"/>
    </row>
    <row r="366" spans="1:10" s="235" customFormat="1" ht="10.199999999999999" x14ac:dyDescent="0.2">
      <c r="A366" s="231" t="s">
        <v>933</v>
      </c>
      <c r="B366" s="232" t="s">
        <v>934</v>
      </c>
      <c r="C366" s="233">
        <f t="shared" si="5"/>
        <v>355</v>
      </c>
      <c r="D366" s="232" t="s">
        <v>185</v>
      </c>
      <c r="E366" s="232" t="s">
        <v>186</v>
      </c>
      <c r="F366" s="234">
        <v>512</v>
      </c>
      <c r="G366" s="234">
        <v>614</v>
      </c>
      <c r="H366" s="232"/>
      <c r="I366" s="232"/>
      <c r="J366" s="232"/>
    </row>
    <row r="367" spans="1:10" s="235" customFormat="1" ht="10.199999999999999" x14ac:dyDescent="0.2">
      <c r="A367" s="231" t="s">
        <v>935</v>
      </c>
      <c r="B367" s="232" t="s">
        <v>936</v>
      </c>
      <c r="C367" s="233">
        <f t="shared" si="5"/>
        <v>356</v>
      </c>
      <c r="D367" s="232" t="s">
        <v>181</v>
      </c>
      <c r="E367" s="232" t="s">
        <v>182</v>
      </c>
      <c r="F367" s="234">
        <v>512</v>
      </c>
      <c r="G367" s="234">
        <v>596</v>
      </c>
      <c r="H367" s="232"/>
      <c r="I367" s="232"/>
      <c r="J367" s="232"/>
    </row>
    <row r="368" spans="1:10" s="235" customFormat="1" ht="10.199999999999999" x14ac:dyDescent="0.2">
      <c r="A368" s="231" t="s">
        <v>937</v>
      </c>
      <c r="B368" s="232" t="s">
        <v>938</v>
      </c>
      <c r="C368" s="233">
        <f t="shared" si="5"/>
        <v>357</v>
      </c>
      <c r="D368" s="232" t="s">
        <v>185</v>
      </c>
      <c r="E368" s="232" t="s">
        <v>186</v>
      </c>
      <c r="F368" s="234">
        <v>512</v>
      </c>
      <c r="G368" s="234">
        <v>614</v>
      </c>
      <c r="H368" s="232"/>
      <c r="I368" s="232"/>
      <c r="J368" s="232"/>
    </row>
    <row r="369" spans="1:10" s="235" customFormat="1" ht="10.199999999999999" x14ac:dyDescent="0.2">
      <c r="A369" s="231" t="s">
        <v>939</v>
      </c>
      <c r="B369" s="232" t="s">
        <v>940</v>
      </c>
      <c r="C369" s="233">
        <f t="shared" si="5"/>
        <v>358</v>
      </c>
      <c r="D369" s="232" t="s">
        <v>185</v>
      </c>
      <c r="E369" s="232" t="s">
        <v>186</v>
      </c>
      <c r="F369" s="234">
        <v>512</v>
      </c>
      <c r="G369" s="234">
        <v>614</v>
      </c>
      <c r="H369" s="232"/>
      <c r="I369" s="232"/>
      <c r="J369" s="232"/>
    </row>
    <row r="370" spans="1:10" s="235" customFormat="1" ht="10.199999999999999" x14ac:dyDescent="0.2">
      <c r="A370" s="231" t="s">
        <v>941</v>
      </c>
      <c r="B370" s="232" t="s">
        <v>942</v>
      </c>
      <c r="C370" s="233">
        <f t="shared" si="5"/>
        <v>359</v>
      </c>
      <c r="D370" s="232" t="s">
        <v>185</v>
      </c>
      <c r="E370" s="232" t="s">
        <v>186</v>
      </c>
      <c r="F370" s="234">
        <v>512</v>
      </c>
      <c r="G370" s="234">
        <v>614</v>
      </c>
      <c r="H370" s="232"/>
      <c r="I370" s="232"/>
      <c r="J370" s="232"/>
    </row>
    <row r="371" spans="1:10" s="235" customFormat="1" ht="10.199999999999999" x14ac:dyDescent="0.2">
      <c r="A371" s="231" t="s">
        <v>943</v>
      </c>
      <c r="B371" s="232" t="s">
        <v>944</v>
      </c>
      <c r="C371" s="233">
        <f t="shared" si="5"/>
        <v>360</v>
      </c>
      <c r="D371" s="232" t="s">
        <v>172</v>
      </c>
      <c r="E371" s="232" t="s">
        <v>945</v>
      </c>
      <c r="F371" s="234">
        <v>500</v>
      </c>
      <c r="G371" s="234">
        <v>561</v>
      </c>
      <c r="H371" s="232"/>
      <c r="I371" s="232"/>
      <c r="J371" s="232"/>
    </row>
    <row r="372" spans="1:10" s="235" customFormat="1" ht="10.199999999999999" x14ac:dyDescent="0.2">
      <c r="A372" s="231" t="s">
        <v>946</v>
      </c>
      <c r="B372" s="232" t="s">
        <v>947</v>
      </c>
      <c r="C372" s="233">
        <f t="shared" si="5"/>
        <v>361</v>
      </c>
      <c r="D372" s="232" t="s">
        <v>268</v>
      </c>
      <c r="E372" s="232" t="s">
        <v>269</v>
      </c>
      <c r="F372" s="234">
        <v>587</v>
      </c>
      <c r="G372" s="234">
        <v>773</v>
      </c>
      <c r="H372" s="232"/>
      <c r="I372" s="232"/>
      <c r="J372" s="232"/>
    </row>
    <row r="373" spans="1:10" s="235" customFormat="1" ht="10.199999999999999" x14ac:dyDescent="0.2">
      <c r="A373" s="231" t="s">
        <v>948</v>
      </c>
      <c r="B373" s="232" t="s">
        <v>949</v>
      </c>
      <c r="C373" s="233">
        <f t="shared" si="5"/>
        <v>362</v>
      </c>
      <c r="D373" s="232" t="s">
        <v>172</v>
      </c>
      <c r="E373" s="232" t="s">
        <v>485</v>
      </c>
      <c r="F373" s="234">
        <v>425</v>
      </c>
      <c r="G373" s="234">
        <v>561</v>
      </c>
      <c r="H373" s="232"/>
      <c r="I373" s="232"/>
      <c r="J373" s="232"/>
    </row>
    <row r="374" spans="1:10" s="235" customFormat="1" ht="10.199999999999999" x14ac:dyDescent="0.2">
      <c r="A374" s="231" t="s">
        <v>950</v>
      </c>
      <c r="B374" s="232" t="s">
        <v>951</v>
      </c>
      <c r="C374" s="233">
        <f t="shared" si="5"/>
        <v>363</v>
      </c>
      <c r="D374" s="232" t="s">
        <v>172</v>
      </c>
      <c r="E374" s="232" t="s">
        <v>173</v>
      </c>
      <c r="F374" s="234">
        <v>425</v>
      </c>
      <c r="G374" s="234">
        <v>561</v>
      </c>
      <c r="H374" s="232"/>
      <c r="I374" s="232"/>
      <c r="J374" s="232"/>
    </row>
    <row r="375" spans="1:10" s="235" customFormat="1" ht="10.199999999999999" x14ac:dyDescent="0.2">
      <c r="A375" s="231" t="s">
        <v>952</v>
      </c>
      <c r="B375" s="232" t="s">
        <v>953</v>
      </c>
      <c r="C375" s="233">
        <f t="shared" si="5"/>
        <v>364</v>
      </c>
      <c r="D375" s="232" t="s">
        <v>172</v>
      </c>
      <c r="E375" s="232" t="s">
        <v>733</v>
      </c>
      <c r="F375" s="234">
        <v>425</v>
      </c>
      <c r="G375" s="234">
        <v>561</v>
      </c>
      <c r="H375" s="232"/>
      <c r="I375" s="232"/>
      <c r="J375" s="232"/>
    </row>
    <row r="376" spans="1:10" s="235" customFormat="1" ht="10.199999999999999" x14ac:dyDescent="0.2">
      <c r="A376" s="231" t="s">
        <v>954</v>
      </c>
      <c r="B376" s="232" t="s">
        <v>955</v>
      </c>
      <c r="C376" s="233">
        <f t="shared" si="5"/>
        <v>365</v>
      </c>
      <c r="D376" s="232" t="s">
        <v>172</v>
      </c>
      <c r="E376" s="232" t="s">
        <v>191</v>
      </c>
      <c r="F376" s="242">
        <v>488</v>
      </c>
      <c r="G376" s="234">
        <v>561</v>
      </c>
      <c r="H376" s="232"/>
      <c r="I376" s="232"/>
      <c r="J376" s="232"/>
    </row>
    <row r="377" spans="1:10" s="235" customFormat="1" ht="10.199999999999999" x14ac:dyDescent="0.2">
      <c r="A377" s="231" t="s">
        <v>956</v>
      </c>
      <c r="B377" s="232" t="s">
        <v>957</v>
      </c>
      <c r="C377" s="233">
        <f t="shared" si="5"/>
        <v>366</v>
      </c>
      <c r="D377" s="232" t="s">
        <v>172</v>
      </c>
      <c r="E377" s="232" t="s">
        <v>461</v>
      </c>
      <c r="F377" s="234">
        <v>555</v>
      </c>
      <c r="G377" s="234">
        <v>561</v>
      </c>
      <c r="H377" s="232"/>
      <c r="I377" s="232"/>
      <c r="J377" s="232"/>
    </row>
    <row r="378" spans="1:10" s="235" customFormat="1" ht="10.199999999999999" x14ac:dyDescent="0.2">
      <c r="A378" s="231" t="s">
        <v>958</v>
      </c>
      <c r="B378" s="232" t="s">
        <v>959</v>
      </c>
      <c r="C378" s="233">
        <f t="shared" si="5"/>
        <v>367</v>
      </c>
      <c r="D378" s="232" t="s">
        <v>172</v>
      </c>
      <c r="E378" s="232" t="s">
        <v>311</v>
      </c>
      <c r="F378" s="234">
        <v>425</v>
      </c>
      <c r="G378" s="234">
        <v>561</v>
      </c>
      <c r="H378" s="232"/>
      <c r="I378" s="232"/>
      <c r="J378" s="232"/>
    </row>
    <row r="379" spans="1:10" s="235" customFormat="1" ht="10.199999999999999" x14ac:dyDescent="0.2">
      <c r="A379" s="231" t="s">
        <v>960</v>
      </c>
      <c r="B379" s="232" t="s">
        <v>961</v>
      </c>
      <c r="C379" s="233">
        <f t="shared" si="5"/>
        <v>368</v>
      </c>
      <c r="D379" s="232" t="s">
        <v>172</v>
      </c>
      <c r="E379" s="232" t="s">
        <v>194</v>
      </c>
      <c r="F379" s="242">
        <v>425</v>
      </c>
      <c r="G379" s="234">
        <v>561</v>
      </c>
      <c r="H379" s="232"/>
      <c r="I379" s="232"/>
      <c r="J379" s="232"/>
    </row>
    <row r="380" spans="1:10" ht="15.9" customHeight="1" x14ac:dyDescent="0.3">
      <c r="A380" s="87"/>
      <c r="B380" s="87"/>
      <c r="C380" s="87"/>
      <c r="D380" s="87"/>
      <c r="E380" s="86" t="s">
        <v>17</v>
      </c>
      <c r="F380" s="243">
        <f>SUM(F12:F379)</f>
        <v>193081.02000000005</v>
      </c>
      <c r="G380" s="243">
        <f>SUM(G12:G379)</f>
        <v>235608</v>
      </c>
      <c r="H380" s="88"/>
      <c r="I380" s="88"/>
      <c r="J380" s="88"/>
    </row>
    <row r="381" spans="1:10" ht="15.9" customHeight="1" x14ac:dyDescent="0.3">
      <c r="A381" s="49"/>
      <c r="B381" s="49"/>
      <c r="C381" s="49"/>
      <c r="D381" s="49"/>
      <c r="E381" s="33"/>
      <c r="F381" s="50"/>
      <c r="G381" s="50"/>
      <c r="H381" s="50"/>
      <c r="I381" s="50"/>
      <c r="J381" s="4"/>
    </row>
    <row r="382" spans="1:10" ht="15.9" customHeight="1" x14ac:dyDescent="0.3">
      <c r="A382" s="51" t="s">
        <v>130</v>
      </c>
      <c r="B382" s="49"/>
      <c r="C382" s="49"/>
      <c r="D382" s="49"/>
      <c r="E382" s="33"/>
      <c r="F382" s="50"/>
      <c r="G382" s="50"/>
      <c r="H382" s="50"/>
      <c r="I382" s="50"/>
      <c r="J382" s="4"/>
    </row>
    <row r="383" spans="1:10" ht="15.9" customHeight="1" x14ac:dyDescent="0.3">
      <c r="A383" s="51" t="s">
        <v>132</v>
      </c>
      <c r="B383" s="49"/>
      <c r="C383" s="49"/>
      <c r="D383" s="49"/>
      <c r="E383" s="33"/>
      <c r="F383" s="50"/>
      <c r="G383" s="50"/>
      <c r="H383" s="50"/>
      <c r="I383" s="50"/>
      <c r="J383" s="4"/>
    </row>
    <row r="384" spans="1:10" ht="15.9" customHeight="1" x14ac:dyDescent="0.3">
      <c r="A384" s="51" t="s">
        <v>124</v>
      </c>
      <c r="B384" s="35"/>
      <c r="C384" s="35"/>
      <c r="D384" s="35"/>
      <c r="E384" s="35"/>
      <c r="F384" s="35"/>
      <c r="G384" s="35"/>
      <c r="H384" s="35"/>
      <c r="I384" s="35"/>
    </row>
    <row r="385" spans="1:9" ht="15.9" customHeight="1" x14ac:dyDescent="0.3">
      <c r="A385" s="51"/>
      <c r="B385" s="35"/>
      <c r="C385" s="35"/>
      <c r="D385" s="35"/>
      <c r="E385" s="35"/>
      <c r="F385" s="35"/>
      <c r="G385" s="35"/>
      <c r="H385" s="35"/>
      <c r="I385" s="35"/>
    </row>
    <row r="386" spans="1:9" ht="15.9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</row>
    <row r="387" spans="1:9" ht="15.9" customHeight="1" x14ac:dyDescent="0.3">
      <c r="A387" s="35"/>
      <c r="B387" s="35"/>
      <c r="C387" s="35"/>
      <c r="D387" s="35"/>
      <c r="E387" s="35"/>
      <c r="F387" s="244"/>
      <c r="G387" s="244"/>
      <c r="H387" s="244"/>
      <c r="I387" s="244"/>
    </row>
    <row r="388" spans="1:9" ht="15.9" customHeight="1" x14ac:dyDescent="0.3">
      <c r="A388" s="35"/>
      <c r="C388" s="35"/>
      <c r="F388" s="35"/>
      <c r="G388" s="35"/>
      <c r="H388" s="1"/>
      <c r="I388" s="1"/>
    </row>
    <row r="389" spans="1:9" ht="15.9" customHeight="1" x14ac:dyDescent="0.3">
      <c r="A389" s="283" t="s">
        <v>114</v>
      </c>
      <c r="B389" s="283"/>
      <c r="C389" s="283"/>
      <c r="D389" s="35"/>
      <c r="E389" s="45"/>
      <c r="F389" s="46"/>
      <c r="G389" s="46"/>
      <c r="H389" s="1"/>
      <c r="I389" s="1"/>
    </row>
    <row r="390" spans="1:9" ht="15.9" customHeight="1" x14ac:dyDescent="0.3">
      <c r="A390" s="245"/>
      <c r="B390" s="245"/>
      <c r="C390" s="245"/>
      <c r="D390" s="35"/>
      <c r="E390" s="45"/>
      <c r="F390" s="46"/>
      <c r="G390" s="46"/>
      <c r="H390" s="1"/>
      <c r="I390" s="1"/>
    </row>
    <row r="391" spans="1:9" ht="17.25" customHeight="1" x14ac:dyDescent="0.3">
      <c r="A391" s="246" t="s">
        <v>963</v>
      </c>
      <c r="B391" s="247"/>
      <c r="C391" s="247"/>
      <c r="D391" s="48"/>
      <c r="E391" s="47"/>
      <c r="F391" s="47"/>
      <c r="G391" s="47"/>
      <c r="H391" s="1"/>
      <c r="I391" s="1"/>
    </row>
    <row r="392" spans="1:9" ht="20.100000000000001" customHeight="1" x14ac:dyDescent="0.3">
      <c r="A392" s="246" t="s">
        <v>964</v>
      </c>
      <c r="B392" s="35"/>
      <c r="C392" s="35"/>
      <c r="H392" s="1"/>
      <c r="I392" s="1"/>
    </row>
    <row r="393" spans="1:9" ht="20.100000000000001" customHeight="1" x14ac:dyDescent="0.3">
      <c r="A393" s="246" t="s">
        <v>122</v>
      </c>
      <c r="B393" s="35"/>
      <c r="C393" s="35"/>
      <c r="H393" s="1"/>
      <c r="I393" s="1"/>
    </row>
  </sheetData>
  <mergeCells count="4">
    <mergeCell ref="A3:J3"/>
    <mergeCell ref="A4:J4"/>
    <mergeCell ref="A5:J5"/>
    <mergeCell ref="A389:C389"/>
  </mergeCells>
  <printOptions horizontalCentered="1"/>
  <pageMargins left="0.39370078740157483" right="0.39370078740157483" top="0.19685039370078741" bottom="0.19685039370078741" header="0" footer="0"/>
  <pageSetup paperSize="9" scale="6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102"/>
  <sheetViews>
    <sheetView topLeftCell="A82" zoomScaleNormal="100" workbookViewId="0">
      <selection activeCell="A100" sqref="A100"/>
    </sheetView>
  </sheetViews>
  <sheetFormatPr baseColWidth="10" defaultColWidth="11.44140625" defaultRowHeight="14.4" x14ac:dyDescent="0.3"/>
  <cols>
    <col min="1" max="1" width="10.6640625" style="5" customWidth="1"/>
    <col min="2" max="2" width="53.5546875" style="5" customWidth="1"/>
    <col min="3" max="4" width="11.109375" style="5" hidden="1" customWidth="1"/>
    <col min="5" max="5" width="14.5546875" style="5" customWidth="1"/>
    <col min="6" max="6" width="15.109375" style="5" customWidth="1"/>
    <col min="7" max="7" width="11.109375" style="5" hidden="1" customWidth="1"/>
    <col min="8" max="8" width="16.109375" style="5" customWidth="1"/>
    <col min="9" max="10" width="11.109375" style="5" customWidth="1"/>
    <col min="11" max="11" width="25" style="5" customWidth="1"/>
    <col min="12" max="16384" width="11.44140625" style="5"/>
  </cols>
  <sheetData>
    <row r="3" spans="1:11" ht="18" x14ac:dyDescent="0.35">
      <c r="A3" s="267" t="s">
        <v>159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</row>
    <row r="4" spans="1:11" ht="18" x14ac:dyDescent="0.35">
      <c r="A4" s="267" t="s">
        <v>160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1:11" ht="18" x14ac:dyDescent="0.35">
      <c r="A5" s="107"/>
      <c r="B5" s="107"/>
      <c r="C5" s="107"/>
      <c r="D5" s="107"/>
      <c r="E5" s="107"/>
      <c r="F5" s="107"/>
      <c r="G5" s="107"/>
      <c r="H5" s="107"/>
    </row>
    <row r="6" spans="1:11" ht="18" x14ac:dyDescent="0.35">
      <c r="A6" s="40" t="s">
        <v>147</v>
      </c>
      <c r="B6" s="107"/>
      <c r="C6" s="107"/>
      <c r="D6" s="107"/>
      <c r="E6" s="107"/>
      <c r="F6" s="107"/>
      <c r="G6" s="107"/>
      <c r="H6" s="107"/>
    </row>
    <row r="7" spans="1:11" ht="15" thickBot="1" x14ac:dyDescent="0.35">
      <c r="A7" s="271"/>
      <c r="B7" s="271"/>
      <c r="C7" s="271"/>
      <c r="D7" s="271"/>
      <c r="E7" s="271"/>
      <c r="F7" s="271"/>
      <c r="G7" s="271"/>
      <c r="H7" s="271"/>
    </row>
    <row r="8" spans="1:11" ht="15" customHeight="1" x14ac:dyDescent="0.3">
      <c r="A8" s="272" t="s">
        <v>39</v>
      </c>
      <c r="B8" s="273"/>
      <c r="C8" s="276" t="s">
        <v>40</v>
      </c>
      <c r="D8" s="277"/>
      <c r="E8" s="277"/>
      <c r="F8" s="278"/>
      <c r="G8" s="276" t="s">
        <v>41</v>
      </c>
      <c r="H8" s="277"/>
      <c r="I8" s="277"/>
      <c r="J8" s="278"/>
      <c r="K8" s="268" t="s">
        <v>131</v>
      </c>
    </row>
    <row r="9" spans="1:11" ht="15.75" customHeight="1" thickBot="1" x14ac:dyDescent="0.35">
      <c r="A9" s="274"/>
      <c r="B9" s="275"/>
      <c r="C9" s="279"/>
      <c r="D9" s="280"/>
      <c r="E9" s="280"/>
      <c r="F9" s="281"/>
      <c r="G9" s="279"/>
      <c r="H9" s="280"/>
      <c r="I9" s="280"/>
      <c r="J9" s="281"/>
      <c r="K9" s="269"/>
    </row>
    <row r="10" spans="1:11" ht="28.5" customHeight="1" thickBot="1" x14ac:dyDescent="0.35">
      <c r="A10" s="6" t="s">
        <v>42</v>
      </c>
      <c r="B10" s="7" t="s">
        <v>43</v>
      </c>
      <c r="C10" s="8">
        <v>2017</v>
      </c>
      <c r="D10" s="9">
        <v>2018</v>
      </c>
      <c r="E10" s="8">
        <v>2020</v>
      </c>
      <c r="F10" s="8">
        <v>2021</v>
      </c>
      <c r="G10" s="8">
        <v>2021</v>
      </c>
      <c r="H10" s="8">
        <v>2022</v>
      </c>
      <c r="I10" s="8">
        <v>2023</v>
      </c>
      <c r="J10" s="8">
        <v>2024</v>
      </c>
      <c r="K10" s="270"/>
    </row>
    <row r="11" spans="1:11" ht="15" thickBot="1" x14ac:dyDescent="0.35">
      <c r="A11" s="265" t="s">
        <v>44</v>
      </c>
      <c r="B11" s="266"/>
      <c r="C11" s="10">
        <f t="shared" ref="C11:J11" si="0">+C12+C17+C22+C23+C24+C25</f>
        <v>0</v>
      </c>
      <c r="D11" s="128">
        <f t="shared" si="0"/>
        <v>0</v>
      </c>
      <c r="E11" s="171">
        <f>+E12+E17+E22+E23+E24+E25</f>
        <v>10003094.929999998</v>
      </c>
      <c r="F11" s="182">
        <f>F12+F17+F23+F24+F25+F22</f>
        <v>12284689.890000001</v>
      </c>
      <c r="G11" s="170">
        <f>G12+G17+G23+G24+G25</f>
        <v>0</v>
      </c>
      <c r="H11" s="171">
        <f>+H12+H17+H22+H23+H24+H25</f>
        <v>15141972.559999999</v>
      </c>
      <c r="I11" s="129">
        <f t="shared" si="0"/>
        <v>0</v>
      </c>
      <c r="J11" s="129">
        <f t="shared" si="0"/>
        <v>0</v>
      </c>
      <c r="K11" s="10"/>
    </row>
    <row r="12" spans="1:11" x14ac:dyDescent="0.3">
      <c r="A12" s="11">
        <v>11</v>
      </c>
      <c r="B12" s="12" t="s">
        <v>45</v>
      </c>
      <c r="C12" s="13"/>
      <c r="D12" s="122"/>
      <c r="E12" s="172">
        <v>1458.7</v>
      </c>
      <c r="F12" s="157">
        <v>996.08</v>
      </c>
      <c r="G12" s="102"/>
      <c r="H12" s="157">
        <v>2082</v>
      </c>
      <c r="I12" s="130"/>
      <c r="J12" s="13"/>
      <c r="K12" s="13"/>
    </row>
    <row r="13" spans="1:11" x14ac:dyDescent="0.3">
      <c r="A13" s="14">
        <v>1101</v>
      </c>
      <c r="B13" s="15" t="s">
        <v>46</v>
      </c>
      <c r="C13" s="13"/>
      <c r="D13" s="123"/>
      <c r="E13" s="156">
        <v>0</v>
      </c>
      <c r="F13" s="156">
        <v>0</v>
      </c>
      <c r="G13" s="102"/>
      <c r="H13" s="156">
        <v>0</v>
      </c>
      <c r="I13" s="131"/>
      <c r="J13" s="16"/>
      <c r="K13" s="16"/>
    </row>
    <row r="14" spans="1:11" x14ac:dyDescent="0.3">
      <c r="A14" s="14">
        <v>1102</v>
      </c>
      <c r="B14" s="15" t="s">
        <v>47</v>
      </c>
      <c r="C14" s="13"/>
      <c r="D14" s="123"/>
      <c r="E14" s="173">
        <v>1458.7</v>
      </c>
      <c r="F14" s="156">
        <v>996.08</v>
      </c>
      <c r="G14" s="102"/>
      <c r="H14" s="156">
        <v>2082</v>
      </c>
      <c r="I14" s="131"/>
      <c r="J14" s="16"/>
      <c r="K14" s="16"/>
    </row>
    <row r="15" spans="1:11" x14ac:dyDescent="0.3">
      <c r="A15" s="14">
        <v>1103</v>
      </c>
      <c r="B15" s="15" t="s">
        <v>48</v>
      </c>
      <c r="C15" s="13"/>
      <c r="D15" s="123"/>
      <c r="E15" s="156">
        <v>0</v>
      </c>
      <c r="F15" s="156">
        <v>0</v>
      </c>
      <c r="G15" s="102"/>
      <c r="H15" s="156">
        <v>0</v>
      </c>
      <c r="I15" s="131"/>
      <c r="J15" s="16"/>
      <c r="K15" s="16"/>
    </row>
    <row r="16" spans="1:11" x14ac:dyDescent="0.3">
      <c r="A16" s="14">
        <v>1107</v>
      </c>
      <c r="B16" s="15" t="s">
        <v>49</v>
      </c>
      <c r="C16" s="13"/>
      <c r="D16" s="123"/>
      <c r="E16" s="156">
        <v>0</v>
      </c>
      <c r="F16" s="156">
        <v>0</v>
      </c>
      <c r="G16" s="102"/>
      <c r="H16" s="156">
        <v>0</v>
      </c>
      <c r="I16" s="131"/>
      <c r="J16" s="16"/>
      <c r="K16" s="16"/>
    </row>
    <row r="17" spans="1:11" x14ac:dyDescent="0.3">
      <c r="A17" s="11">
        <v>13</v>
      </c>
      <c r="B17" s="17" t="s">
        <v>50</v>
      </c>
      <c r="C17" s="13"/>
      <c r="D17" s="123"/>
      <c r="E17" s="172">
        <v>259931.15</v>
      </c>
      <c r="F17" s="158">
        <v>542637.28</v>
      </c>
      <c r="G17" s="102"/>
      <c r="H17" s="158">
        <v>432285</v>
      </c>
      <c r="I17" s="131"/>
      <c r="J17" s="16"/>
      <c r="K17" s="16"/>
    </row>
    <row r="18" spans="1:11" x14ac:dyDescent="0.3">
      <c r="A18" s="14">
        <v>1301</v>
      </c>
      <c r="B18" s="15" t="s">
        <v>51</v>
      </c>
      <c r="C18" s="13"/>
      <c r="D18" s="123"/>
      <c r="E18" s="173">
        <v>259931.15</v>
      </c>
      <c r="F18" s="159">
        <v>542637.28</v>
      </c>
      <c r="G18" s="102"/>
      <c r="H18" s="159">
        <v>432285</v>
      </c>
      <c r="I18" s="131"/>
      <c r="J18" s="16"/>
      <c r="K18" s="16"/>
    </row>
    <row r="19" spans="1:11" x14ac:dyDescent="0.3">
      <c r="A19" s="14">
        <v>1302</v>
      </c>
      <c r="B19" s="15" t="s">
        <v>52</v>
      </c>
      <c r="C19" s="13"/>
      <c r="D19" s="123"/>
      <c r="E19" s="156">
        <v>0</v>
      </c>
      <c r="F19" s="156">
        <v>0</v>
      </c>
      <c r="G19" s="102"/>
      <c r="H19" s="156">
        <v>0</v>
      </c>
      <c r="I19" s="131"/>
      <c r="J19" s="16"/>
      <c r="K19" s="16"/>
    </row>
    <row r="20" spans="1:11" x14ac:dyDescent="0.3">
      <c r="A20" s="14">
        <v>1303</v>
      </c>
      <c r="B20" s="15" t="s">
        <v>53</v>
      </c>
      <c r="C20" s="13"/>
      <c r="D20" s="123"/>
      <c r="E20" s="156">
        <v>0</v>
      </c>
      <c r="F20" s="156">
        <v>0</v>
      </c>
      <c r="G20" s="102"/>
      <c r="H20" s="156">
        <v>0</v>
      </c>
      <c r="I20" s="131"/>
      <c r="J20" s="16"/>
      <c r="K20" s="16"/>
    </row>
    <row r="21" spans="1:11" x14ac:dyDescent="0.3">
      <c r="A21" s="14">
        <v>1304</v>
      </c>
      <c r="B21" s="15" t="s">
        <v>54</v>
      </c>
      <c r="C21" s="13"/>
      <c r="D21" s="123"/>
      <c r="E21" s="156">
        <v>0</v>
      </c>
      <c r="F21" s="156">
        <v>0</v>
      </c>
      <c r="G21" s="102"/>
      <c r="H21" s="156">
        <v>0</v>
      </c>
      <c r="I21" s="131"/>
      <c r="J21" s="16"/>
      <c r="K21" s="16"/>
    </row>
    <row r="22" spans="1:11" x14ac:dyDescent="0.3">
      <c r="A22" s="11">
        <v>14</v>
      </c>
      <c r="B22" s="17" t="s">
        <v>55</v>
      </c>
      <c r="C22" s="13"/>
      <c r="D22" s="123"/>
      <c r="E22" s="172">
        <v>735358.82</v>
      </c>
      <c r="F22" s="158">
        <v>820026.3</v>
      </c>
      <c r="G22" s="102"/>
      <c r="H22" s="158">
        <v>3497000</v>
      </c>
      <c r="I22" s="131"/>
      <c r="J22" s="16"/>
      <c r="K22" s="16"/>
    </row>
    <row r="23" spans="1:11" x14ac:dyDescent="0.3">
      <c r="A23" s="11">
        <v>17</v>
      </c>
      <c r="B23" s="17" t="s">
        <v>56</v>
      </c>
      <c r="C23" s="13"/>
      <c r="D23" s="123"/>
      <c r="E23" s="172">
        <v>114131.36</v>
      </c>
      <c r="F23" s="158">
        <v>129808.27</v>
      </c>
      <c r="G23" s="136"/>
      <c r="H23" s="158">
        <v>224640.69</v>
      </c>
      <c r="I23" s="131"/>
      <c r="J23" s="16"/>
      <c r="K23" s="16"/>
    </row>
    <row r="24" spans="1:11" x14ac:dyDescent="0.3">
      <c r="A24" s="11">
        <v>18</v>
      </c>
      <c r="B24" s="17" t="s">
        <v>57</v>
      </c>
      <c r="C24" s="13"/>
      <c r="D24" s="123"/>
      <c r="E24" s="172">
        <v>8870777.7799999993</v>
      </c>
      <c r="F24" s="158">
        <v>10771158.1</v>
      </c>
      <c r="G24" s="102"/>
      <c r="H24" s="158">
        <v>10973964.869999999</v>
      </c>
      <c r="I24" s="131"/>
      <c r="J24" s="16"/>
      <c r="K24" s="16"/>
    </row>
    <row r="25" spans="1:11" x14ac:dyDescent="0.3">
      <c r="A25" s="11">
        <v>19</v>
      </c>
      <c r="B25" s="17" t="s">
        <v>58</v>
      </c>
      <c r="C25" s="13"/>
      <c r="D25" s="123"/>
      <c r="E25" s="172">
        <v>21437.119999999999</v>
      </c>
      <c r="F25" s="158">
        <v>20063.86</v>
      </c>
      <c r="G25" s="102"/>
      <c r="H25" s="158">
        <v>12000</v>
      </c>
      <c r="I25" s="131"/>
      <c r="J25" s="16"/>
      <c r="K25" s="16"/>
    </row>
    <row r="26" spans="1:11" x14ac:dyDescent="0.3">
      <c r="A26" s="14">
        <v>1901</v>
      </c>
      <c r="B26" s="15" t="s">
        <v>59</v>
      </c>
      <c r="C26" s="13"/>
      <c r="D26" s="123"/>
      <c r="E26" s="156">
        <v>0</v>
      </c>
      <c r="F26" s="156">
        <v>0</v>
      </c>
      <c r="G26" s="137"/>
      <c r="H26" s="156">
        <v>0</v>
      </c>
      <c r="I26" s="131"/>
      <c r="J26" s="16"/>
      <c r="K26" s="16"/>
    </row>
    <row r="27" spans="1:11" x14ac:dyDescent="0.3">
      <c r="A27" s="14">
        <v>1902</v>
      </c>
      <c r="B27" s="15" t="s">
        <v>60</v>
      </c>
      <c r="C27" s="13"/>
      <c r="D27" s="123"/>
      <c r="E27" s="156">
        <v>0</v>
      </c>
      <c r="F27" s="156">
        <v>0</v>
      </c>
      <c r="G27" s="137"/>
      <c r="H27" s="156">
        <v>0</v>
      </c>
      <c r="I27" s="131"/>
      <c r="J27" s="16"/>
      <c r="K27" s="16"/>
    </row>
    <row r="28" spans="1:11" ht="15" thickBot="1" x14ac:dyDescent="0.35">
      <c r="A28" s="114">
        <v>1904</v>
      </c>
      <c r="B28" s="115" t="s">
        <v>61</v>
      </c>
      <c r="C28" s="21"/>
      <c r="D28" s="124"/>
      <c r="E28" s="173">
        <v>21437.119999999999</v>
      </c>
      <c r="F28" s="13">
        <v>20063.86</v>
      </c>
      <c r="G28" s="135"/>
      <c r="H28" s="159">
        <v>12000</v>
      </c>
      <c r="I28" s="132"/>
      <c r="J28" s="116"/>
      <c r="K28" s="116"/>
    </row>
    <row r="29" spans="1:11" ht="15" thickBot="1" x14ac:dyDescent="0.35">
      <c r="A29" s="258" t="s">
        <v>62</v>
      </c>
      <c r="B29" s="259"/>
      <c r="C29" s="121">
        <f t="shared" ref="C29:H29" si="1">+C30+C39+C40+C41+C42+C43</f>
        <v>0</v>
      </c>
      <c r="D29" s="125">
        <f t="shared" si="1"/>
        <v>0</v>
      </c>
      <c r="E29" s="174">
        <f t="shared" si="1"/>
        <v>6681990.4500000002</v>
      </c>
      <c r="F29" s="174">
        <f t="shared" si="1"/>
        <v>7217413.4799999986</v>
      </c>
      <c r="G29" s="174">
        <f>G30+G39+G40+G41+G42</f>
        <v>0</v>
      </c>
      <c r="H29" s="174">
        <f t="shared" si="1"/>
        <v>6916758.3799999999</v>
      </c>
      <c r="I29" s="125">
        <f t="shared" ref="I29:J29" si="2">I30+I39+I40+I41+I42</f>
        <v>0</v>
      </c>
      <c r="J29" s="125">
        <f t="shared" si="2"/>
        <v>0</v>
      </c>
      <c r="K29" s="121"/>
    </row>
    <row r="30" spans="1:11" x14ac:dyDescent="0.3">
      <c r="A30" s="117">
        <v>51</v>
      </c>
      <c r="B30" s="118" t="s">
        <v>63</v>
      </c>
      <c r="C30" s="119"/>
      <c r="D30" s="126"/>
      <c r="E30" s="172">
        <f>E31+E32+E33+E34+E35+E36+E37</f>
        <v>2227414.48</v>
      </c>
      <c r="F30" s="158">
        <f>F31+F32+F33+F34+F35+F36+F37</f>
        <v>2102644.7399999998</v>
      </c>
      <c r="G30" s="102"/>
      <c r="H30" s="158">
        <f>H31+H32+H33+H34+H35+H38+H37+H36</f>
        <v>2734580.85</v>
      </c>
      <c r="I30" s="133"/>
      <c r="J30" s="120"/>
      <c r="K30" s="120"/>
    </row>
    <row r="31" spans="1:11" x14ac:dyDescent="0.3">
      <c r="A31" s="14">
        <v>5101</v>
      </c>
      <c r="B31" s="15" t="s">
        <v>64</v>
      </c>
      <c r="C31" s="13"/>
      <c r="D31" s="123"/>
      <c r="E31" s="173">
        <v>493500.48</v>
      </c>
      <c r="F31" s="156">
        <v>450501.7</v>
      </c>
      <c r="G31" s="102"/>
      <c r="H31" s="13">
        <v>451369.16</v>
      </c>
      <c r="I31" s="131"/>
      <c r="J31" s="16"/>
      <c r="K31" s="16"/>
    </row>
    <row r="32" spans="1:11" x14ac:dyDescent="0.3">
      <c r="A32" s="14">
        <v>5102</v>
      </c>
      <c r="B32" s="15" t="s">
        <v>65</v>
      </c>
      <c r="C32" s="13"/>
      <c r="D32" s="123"/>
      <c r="E32" s="173">
        <v>403091.28</v>
      </c>
      <c r="F32" s="159">
        <v>362568.55</v>
      </c>
      <c r="G32" s="102"/>
      <c r="H32" s="13">
        <v>345263.21</v>
      </c>
      <c r="I32" s="131"/>
      <c r="J32" s="16"/>
      <c r="K32" s="16"/>
    </row>
    <row r="33" spans="1:11" x14ac:dyDescent="0.3">
      <c r="A33" s="14">
        <v>5103</v>
      </c>
      <c r="B33" s="15" t="s">
        <v>66</v>
      </c>
      <c r="C33" s="13"/>
      <c r="D33" s="123"/>
      <c r="E33" s="173">
        <v>82607.360000000001</v>
      </c>
      <c r="F33" s="159">
        <v>98281.88</v>
      </c>
      <c r="G33" s="102"/>
      <c r="H33" s="156">
        <v>77220</v>
      </c>
      <c r="I33" s="131"/>
      <c r="J33" s="16"/>
      <c r="K33" s="16"/>
    </row>
    <row r="34" spans="1:11" x14ac:dyDescent="0.3">
      <c r="A34" s="14">
        <v>5104</v>
      </c>
      <c r="B34" s="15" t="s">
        <v>67</v>
      </c>
      <c r="C34" s="13"/>
      <c r="D34" s="123"/>
      <c r="E34" s="173">
        <v>13571.81</v>
      </c>
      <c r="F34" s="159">
        <v>17813.939999999999</v>
      </c>
      <c r="G34" s="102"/>
      <c r="H34" s="159">
        <v>611010.34</v>
      </c>
      <c r="I34" s="131"/>
      <c r="J34" s="16"/>
      <c r="K34" s="16"/>
    </row>
    <row r="35" spans="1:11" x14ac:dyDescent="0.3">
      <c r="A35" s="14">
        <v>5105</v>
      </c>
      <c r="B35" s="15" t="s">
        <v>68</v>
      </c>
      <c r="C35" s="72"/>
      <c r="D35" s="123"/>
      <c r="E35" s="173">
        <v>228169.74</v>
      </c>
      <c r="F35" s="159">
        <v>156086.75</v>
      </c>
      <c r="G35" s="102"/>
      <c r="H35" s="159">
        <v>267793.07</v>
      </c>
      <c r="I35" s="131"/>
      <c r="J35" s="16"/>
      <c r="K35" s="16"/>
    </row>
    <row r="36" spans="1:11" x14ac:dyDescent="0.3">
      <c r="A36" s="14">
        <v>5106</v>
      </c>
      <c r="B36" s="15" t="s">
        <v>69</v>
      </c>
      <c r="C36" s="13"/>
      <c r="D36" s="123"/>
      <c r="E36" s="173">
        <v>620865.15</v>
      </c>
      <c r="F36" s="159">
        <v>580233.05000000005</v>
      </c>
      <c r="G36" s="102"/>
      <c r="H36" s="159">
        <v>621989.18000000005</v>
      </c>
      <c r="I36" s="131"/>
      <c r="J36" s="16"/>
      <c r="K36" s="16"/>
    </row>
    <row r="37" spans="1:11" x14ac:dyDescent="0.3">
      <c r="A37" s="14">
        <v>5107</v>
      </c>
      <c r="B37" s="168" t="s">
        <v>70</v>
      </c>
      <c r="C37" s="13"/>
      <c r="D37" s="123"/>
      <c r="E37" s="173">
        <v>385608.66</v>
      </c>
      <c r="F37" s="13">
        <v>437158.87</v>
      </c>
      <c r="G37" s="102"/>
      <c r="H37" s="159">
        <v>359935.89</v>
      </c>
      <c r="I37" s="131"/>
      <c r="J37" s="16"/>
      <c r="K37" s="16"/>
    </row>
    <row r="38" spans="1:11" x14ac:dyDescent="0.3">
      <c r="A38" s="14">
        <v>5199</v>
      </c>
      <c r="B38" s="168" t="s">
        <v>71</v>
      </c>
      <c r="C38" s="13"/>
      <c r="D38" s="123"/>
      <c r="E38" s="156">
        <v>0</v>
      </c>
      <c r="F38" s="156">
        <v>0</v>
      </c>
      <c r="G38" s="156">
        <v>0</v>
      </c>
      <c r="H38" s="156">
        <v>0</v>
      </c>
      <c r="I38" s="131"/>
      <c r="J38" s="16"/>
      <c r="K38" s="16"/>
    </row>
    <row r="39" spans="1:11" x14ac:dyDescent="0.3">
      <c r="A39" s="11">
        <v>53</v>
      </c>
      <c r="B39" s="17" t="s">
        <v>72</v>
      </c>
      <c r="C39" s="13"/>
      <c r="D39" s="123"/>
      <c r="E39" s="172">
        <v>1696706.38</v>
      </c>
      <c r="F39" s="158">
        <v>1735467.67</v>
      </c>
      <c r="G39" s="102"/>
      <c r="H39" s="158">
        <v>1989113.68</v>
      </c>
      <c r="I39" s="131"/>
      <c r="J39" s="16"/>
      <c r="K39" s="16"/>
    </row>
    <row r="40" spans="1:11" x14ac:dyDescent="0.3">
      <c r="A40" s="11">
        <v>56</v>
      </c>
      <c r="B40" s="17" t="s">
        <v>73</v>
      </c>
      <c r="C40" s="13"/>
      <c r="D40" s="123"/>
      <c r="E40" s="172">
        <v>1596361.63</v>
      </c>
      <c r="F40" s="158">
        <v>2180133.29</v>
      </c>
      <c r="G40" s="102"/>
      <c r="H40" s="158">
        <v>1327917.48</v>
      </c>
      <c r="I40" s="131"/>
      <c r="J40" s="16"/>
      <c r="K40" s="16"/>
    </row>
    <row r="41" spans="1:11" x14ac:dyDescent="0.3">
      <c r="A41" s="11">
        <v>57</v>
      </c>
      <c r="B41" s="17" t="s">
        <v>74</v>
      </c>
      <c r="C41" s="13"/>
      <c r="D41" s="123"/>
      <c r="E41" s="172">
        <v>490104.55</v>
      </c>
      <c r="F41" s="158">
        <v>807158.52</v>
      </c>
      <c r="G41" s="102"/>
      <c r="H41" s="158">
        <v>665146.37</v>
      </c>
      <c r="I41" s="131"/>
      <c r="J41" s="16"/>
      <c r="K41" s="16"/>
    </row>
    <row r="42" spans="1:11" x14ac:dyDescent="0.3">
      <c r="A42" s="11">
        <v>58</v>
      </c>
      <c r="B42" s="17" t="s">
        <v>75</v>
      </c>
      <c r="C42" s="13"/>
      <c r="D42" s="123"/>
      <c r="E42" s="172">
        <v>671403.41</v>
      </c>
      <c r="F42" s="158">
        <v>392009.26</v>
      </c>
      <c r="G42" s="102"/>
      <c r="H42" s="158">
        <v>200000</v>
      </c>
      <c r="I42" s="131"/>
      <c r="J42" s="16"/>
      <c r="K42" s="16"/>
    </row>
    <row r="43" spans="1:11" ht="15" thickBot="1" x14ac:dyDescent="0.35">
      <c r="A43" s="138">
        <v>59</v>
      </c>
      <c r="B43" s="139" t="s">
        <v>76</v>
      </c>
      <c r="C43" s="21"/>
      <c r="D43" s="124"/>
      <c r="E43" s="175">
        <v>0</v>
      </c>
      <c r="F43" s="166">
        <v>0</v>
      </c>
      <c r="G43" s="140"/>
      <c r="H43" s="166">
        <v>0</v>
      </c>
      <c r="I43" s="132"/>
      <c r="J43" s="116"/>
      <c r="K43" s="116"/>
    </row>
    <row r="44" spans="1:11" ht="15" thickBot="1" x14ac:dyDescent="0.35">
      <c r="A44" s="263" t="s">
        <v>77</v>
      </c>
      <c r="B44" s="264"/>
      <c r="C44" s="142">
        <f t="shared" ref="C44:J44" si="3">+C11-C29</f>
        <v>0</v>
      </c>
      <c r="D44" s="142">
        <f t="shared" si="3"/>
        <v>0</v>
      </c>
      <c r="E44" s="176">
        <f t="shared" si="3"/>
        <v>3321104.4799999977</v>
      </c>
      <c r="F44" s="176">
        <f t="shared" si="3"/>
        <v>5067276.410000002</v>
      </c>
      <c r="G44" s="176">
        <f t="shared" si="3"/>
        <v>0</v>
      </c>
      <c r="H44" s="176">
        <f t="shared" si="3"/>
        <v>8225214.1799999988</v>
      </c>
      <c r="I44" s="142">
        <f t="shared" si="3"/>
        <v>0</v>
      </c>
      <c r="J44" s="142">
        <f t="shared" si="3"/>
        <v>0</v>
      </c>
      <c r="K44" s="142"/>
    </row>
    <row r="45" spans="1:11" ht="15" thickBot="1" x14ac:dyDescent="0.35">
      <c r="A45" s="258" t="s">
        <v>78</v>
      </c>
      <c r="B45" s="259"/>
      <c r="C45" s="143">
        <f>SUM(C46:C47:C48)</f>
        <v>0</v>
      </c>
      <c r="D45" s="143">
        <f>SUM(D46:D47:D48)</f>
        <v>0</v>
      </c>
      <c r="E45" s="177">
        <f>SUM(E46:E47:E48)</f>
        <v>24151839.640000001</v>
      </c>
      <c r="F45" s="183">
        <f>SUM(F46:F47:F48)</f>
        <v>30862538.260000002</v>
      </c>
      <c r="G45" s="177">
        <f>SUM(G46:G47:G48)</f>
        <v>0</v>
      </c>
      <c r="H45" s="183">
        <f>SUM(H46:H47:H48)</f>
        <v>45382575.850000001</v>
      </c>
      <c r="I45" s="143">
        <f>SUM(I46:I47:I48)</f>
        <v>0</v>
      </c>
      <c r="J45" s="143">
        <f>SUM(J46:J47:J48)</f>
        <v>0</v>
      </c>
      <c r="K45" s="144"/>
    </row>
    <row r="46" spans="1:11" x14ac:dyDescent="0.3">
      <c r="A46" s="22">
        <v>24</v>
      </c>
      <c r="B46" s="23" t="s">
        <v>79</v>
      </c>
      <c r="C46" s="119"/>
      <c r="D46" s="126"/>
      <c r="E46" s="156">
        <v>0</v>
      </c>
      <c r="F46" s="166">
        <v>0</v>
      </c>
      <c r="G46" s="141"/>
      <c r="H46" s="166">
        <v>0</v>
      </c>
      <c r="I46" s="133"/>
      <c r="J46" s="120"/>
      <c r="K46" s="120"/>
    </row>
    <row r="47" spans="1:11" x14ac:dyDescent="0.3">
      <c r="A47" s="18">
        <v>27</v>
      </c>
      <c r="B47" s="19" t="s">
        <v>133</v>
      </c>
      <c r="C47" s="13"/>
      <c r="D47" s="123"/>
      <c r="E47" s="156">
        <v>0</v>
      </c>
      <c r="F47" s="166">
        <v>0</v>
      </c>
      <c r="G47" s="135"/>
      <c r="H47" s="166">
        <v>0</v>
      </c>
      <c r="I47" s="131"/>
      <c r="J47" s="16"/>
      <c r="K47" s="16"/>
    </row>
    <row r="48" spans="1:11" ht="15" thickBot="1" x14ac:dyDescent="0.35">
      <c r="A48" s="18">
        <v>28</v>
      </c>
      <c r="B48" s="19" t="s">
        <v>80</v>
      </c>
      <c r="C48" s="13"/>
      <c r="D48" s="123"/>
      <c r="E48" s="172">
        <v>24151839.640000001</v>
      </c>
      <c r="F48" s="158">
        <v>30862538.260000002</v>
      </c>
      <c r="G48" s="135"/>
      <c r="H48" s="158">
        <v>45382575.850000001</v>
      </c>
      <c r="I48" s="131"/>
      <c r="J48" s="16"/>
      <c r="K48" s="16"/>
    </row>
    <row r="49" spans="1:11" ht="15" thickBot="1" x14ac:dyDescent="0.35">
      <c r="A49" s="258" t="s">
        <v>81</v>
      </c>
      <c r="B49" s="259"/>
      <c r="C49" s="143">
        <f t="shared" ref="C49:D49" si="4">C53+C62+C63+C71+C72</f>
        <v>0</v>
      </c>
      <c r="D49" s="143">
        <f t="shared" si="4"/>
        <v>0</v>
      </c>
      <c r="E49" s="177">
        <f>E53+E62+E63+E71+E72</f>
        <v>50315211.759999998</v>
      </c>
      <c r="F49" s="169">
        <f>F53+F62+F63+F71+F72</f>
        <v>54478121.319999993</v>
      </c>
      <c r="G49" s="143">
        <f t="shared" ref="G49:J49" si="5">G53+G62+G63+G71+G72</f>
        <v>0</v>
      </c>
      <c r="H49" s="169">
        <f>H53+H62+H63+H71+H72</f>
        <v>65985273.470000006</v>
      </c>
      <c r="I49" s="143">
        <f t="shared" si="5"/>
        <v>0</v>
      </c>
      <c r="J49" s="143">
        <f t="shared" si="5"/>
        <v>0</v>
      </c>
      <c r="K49" s="144"/>
    </row>
    <row r="50" spans="1:11" x14ac:dyDescent="0.3">
      <c r="A50" s="11" t="s">
        <v>82</v>
      </c>
      <c r="B50" s="12" t="s">
        <v>83</v>
      </c>
      <c r="C50" s="13"/>
      <c r="D50" s="123"/>
      <c r="E50" s="156">
        <v>0</v>
      </c>
      <c r="F50" s="166">
        <v>0</v>
      </c>
      <c r="G50" s="135"/>
      <c r="H50" s="166">
        <v>0</v>
      </c>
      <c r="I50" s="131"/>
      <c r="J50" s="16"/>
      <c r="K50" s="16"/>
    </row>
    <row r="51" spans="1:11" x14ac:dyDescent="0.3">
      <c r="A51" s="11" t="s">
        <v>84</v>
      </c>
      <c r="B51" s="17" t="s">
        <v>85</v>
      </c>
      <c r="C51" s="13"/>
      <c r="D51" s="123"/>
      <c r="E51" s="156">
        <v>0</v>
      </c>
      <c r="F51" s="166">
        <v>0</v>
      </c>
      <c r="G51" s="135"/>
      <c r="H51" s="166">
        <v>0</v>
      </c>
      <c r="I51" s="131"/>
      <c r="J51" s="16"/>
      <c r="K51" s="16"/>
    </row>
    <row r="52" spans="1:11" x14ac:dyDescent="0.3">
      <c r="A52" s="11" t="s">
        <v>86</v>
      </c>
      <c r="B52" s="17" t="s">
        <v>87</v>
      </c>
      <c r="C52" s="13"/>
      <c r="D52" s="123"/>
      <c r="E52" s="156">
        <v>0</v>
      </c>
      <c r="F52" s="166">
        <v>0</v>
      </c>
      <c r="G52" s="166">
        <v>0</v>
      </c>
      <c r="H52" s="166">
        <v>0</v>
      </c>
      <c r="I52" s="131"/>
      <c r="J52" s="16"/>
      <c r="K52" s="16"/>
    </row>
    <row r="53" spans="1:11" x14ac:dyDescent="0.3">
      <c r="A53" s="11">
        <v>71</v>
      </c>
      <c r="B53" s="17" t="s">
        <v>88</v>
      </c>
      <c r="C53" s="13"/>
      <c r="D53" s="123"/>
      <c r="E53" s="172">
        <f>E54+E55+E56+E57+E58+E59+E60</f>
        <v>4205331.2300000004</v>
      </c>
      <c r="F53" s="158">
        <f>F54+F55+F56+F57+F58+F59+F60</f>
        <v>5406965.4100000001</v>
      </c>
      <c r="G53" s="102"/>
      <c r="H53" s="172">
        <f>H54+H55+H56+H57+H58+H59+H60</f>
        <v>5558587.5499999998</v>
      </c>
      <c r="I53" s="131"/>
      <c r="J53" s="16"/>
      <c r="K53" s="16"/>
    </row>
    <row r="54" spans="1:11" x14ac:dyDescent="0.3">
      <c r="A54" s="14">
        <v>7101</v>
      </c>
      <c r="B54" s="15" t="s">
        <v>64</v>
      </c>
      <c r="C54" s="13"/>
      <c r="D54" s="123"/>
      <c r="E54" s="173">
        <v>1574161.77</v>
      </c>
      <c r="F54" s="159">
        <v>1980361.24</v>
      </c>
      <c r="G54" s="102"/>
      <c r="H54" s="173">
        <v>1958226.97</v>
      </c>
      <c r="I54" s="131"/>
      <c r="J54" s="16"/>
      <c r="K54" s="16"/>
    </row>
    <row r="55" spans="1:11" x14ac:dyDescent="0.3">
      <c r="A55" s="14">
        <v>7102</v>
      </c>
      <c r="B55" s="15" t="s">
        <v>65</v>
      </c>
      <c r="C55" s="13"/>
      <c r="D55" s="123"/>
      <c r="E55" s="173">
        <v>668507.92000000004</v>
      </c>
      <c r="F55" s="159">
        <v>734512.12</v>
      </c>
      <c r="G55" s="102"/>
      <c r="H55" s="173">
        <v>724196.12</v>
      </c>
      <c r="I55" s="131"/>
      <c r="J55" s="16"/>
      <c r="K55" s="16"/>
    </row>
    <row r="56" spans="1:11" x14ac:dyDescent="0.3">
      <c r="A56" s="14">
        <v>7103</v>
      </c>
      <c r="B56" s="15" t="s">
        <v>66</v>
      </c>
      <c r="C56" s="13"/>
      <c r="D56" s="123"/>
      <c r="E56" s="173">
        <v>275403</v>
      </c>
      <c r="F56" s="159">
        <v>373557.87</v>
      </c>
      <c r="G56" s="102"/>
      <c r="H56" s="173">
        <v>368280</v>
      </c>
      <c r="I56" s="131"/>
      <c r="J56" s="16"/>
      <c r="K56" s="16"/>
    </row>
    <row r="57" spans="1:11" x14ac:dyDescent="0.3">
      <c r="A57" s="14">
        <v>7104</v>
      </c>
      <c r="B57" s="15" t="s">
        <v>67</v>
      </c>
      <c r="C57" s="13"/>
      <c r="D57" s="123"/>
      <c r="E57" s="173">
        <v>86819.08</v>
      </c>
      <c r="F57" s="159">
        <v>91723.7</v>
      </c>
      <c r="G57" s="102"/>
      <c r="H57" s="173">
        <v>86216.4</v>
      </c>
      <c r="I57" s="131"/>
      <c r="J57" s="16"/>
      <c r="K57" s="16"/>
    </row>
    <row r="58" spans="1:11" x14ac:dyDescent="0.3">
      <c r="A58" s="14">
        <v>7105</v>
      </c>
      <c r="B58" s="15" t="s">
        <v>68</v>
      </c>
      <c r="C58" s="13"/>
      <c r="D58" s="123"/>
      <c r="E58" s="173">
        <v>303809.31</v>
      </c>
      <c r="F58" s="159">
        <v>764356.53</v>
      </c>
      <c r="G58" s="102"/>
      <c r="H58" s="173">
        <v>806484.82</v>
      </c>
      <c r="I58" s="131"/>
      <c r="J58" s="16"/>
      <c r="K58" s="16"/>
    </row>
    <row r="59" spans="1:11" x14ac:dyDescent="0.3">
      <c r="A59" s="14">
        <v>7106</v>
      </c>
      <c r="B59" s="15" t="s">
        <v>69</v>
      </c>
      <c r="C59" s="13"/>
      <c r="D59" s="123"/>
      <c r="E59" s="173">
        <v>991157.37</v>
      </c>
      <c r="F59" s="159">
        <v>1137852.6299999999</v>
      </c>
      <c r="G59" s="102"/>
      <c r="H59" s="173">
        <v>1148690.8600000001</v>
      </c>
      <c r="I59" s="131"/>
      <c r="J59" s="16"/>
      <c r="K59" s="16"/>
    </row>
    <row r="60" spans="1:11" x14ac:dyDescent="0.3">
      <c r="A60" s="14">
        <v>7107</v>
      </c>
      <c r="B60" s="168" t="s">
        <v>70</v>
      </c>
      <c r="C60" s="13"/>
      <c r="D60" s="123"/>
      <c r="E60" s="173">
        <v>305472.78000000003</v>
      </c>
      <c r="F60" s="13">
        <v>324601.32</v>
      </c>
      <c r="G60" s="102"/>
      <c r="H60" s="173">
        <v>466492.38</v>
      </c>
      <c r="I60" s="131"/>
      <c r="J60" s="16"/>
      <c r="K60" s="16"/>
    </row>
    <row r="61" spans="1:11" x14ac:dyDescent="0.3">
      <c r="A61" s="14">
        <v>7199</v>
      </c>
      <c r="B61" s="168" t="s">
        <v>71</v>
      </c>
      <c r="C61" s="13"/>
      <c r="D61" s="123"/>
      <c r="E61" s="156">
        <v>0</v>
      </c>
      <c r="F61" s="166">
        <v>0</v>
      </c>
      <c r="G61" s="166">
        <v>0</v>
      </c>
      <c r="H61" s="175">
        <v>0</v>
      </c>
      <c r="I61" s="131"/>
      <c r="J61" s="16"/>
      <c r="K61" s="16"/>
    </row>
    <row r="62" spans="1:11" x14ac:dyDescent="0.3">
      <c r="A62" s="11">
        <v>73</v>
      </c>
      <c r="B62" s="17" t="s">
        <v>89</v>
      </c>
      <c r="C62" s="13"/>
      <c r="D62" s="123"/>
      <c r="E62" s="172">
        <v>14417376.25</v>
      </c>
      <c r="F62" s="158">
        <v>14663908.02</v>
      </c>
      <c r="G62" s="102"/>
      <c r="H62" s="158">
        <v>16184276.09</v>
      </c>
      <c r="I62" s="131"/>
      <c r="J62" s="16"/>
      <c r="K62" s="16"/>
    </row>
    <row r="63" spans="1:11" x14ac:dyDescent="0.3">
      <c r="A63" s="11">
        <v>75</v>
      </c>
      <c r="B63" s="17" t="s">
        <v>90</v>
      </c>
      <c r="C63" s="13"/>
      <c r="D63" s="123"/>
      <c r="E63" s="172">
        <f>E64+E65+E66+E67+E696+E68+E69</f>
        <v>28602495.779999997</v>
      </c>
      <c r="F63" s="158">
        <f>F64+F65+F66+F67+F696+F68+F69</f>
        <v>33374941.399999999</v>
      </c>
      <c r="G63" s="102"/>
      <c r="H63" s="158">
        <f>H64+H65+H66+H67+H696+H68+H69</f>
        <v>43003561.530000001</v>
      </c>
      <c r="I63" s="131"/>
      <c r="J63" s="16"/>
      <c r="K63" s="16"/>
    </row>
    <row r="64" spans="1:11" x14ac:dyDescent="0.3">
      <c r="A64" s="14">
        <v>7501</v>
      </c>
      <c r="B64" s="15" t="s">
        <v>91</v>
      </c>
      <c r="C64" s="13"/>
      <c r="D64" s="123"/>
      <c r="E64" s="173">
        <v>25887132.219999999</v>
      </c>
      <c r="F64" s="159">
        <v>29349769.75</v>
      </c>
      <c r="G64" s="102"/>
      <c r="H64" s="173">
        <v>40317100.609999999</v>
      </c>
      <c r="I64" s="131"/>
      <c r="J64" s="16"/>
      <c r="K64" s="16"/>
    </row>
    <row r="65" spans="1:11" x14ac:dyDescent="0.3">
      <c r="A65" s="14">
        <v>7502</v>
      </c>
      <c r="B65" s="15" t="s">
        <v>92</v>
      </c>
      <c r="C65" s="13"/>
      <c r="D65" s="123"/>
      <c r="E65" s="156">
        <v>0</v>
      </c>
      <c r="F65" s="166">
        <v>0</v>
      </c>
      <c r="G65" s="102"/>
      <c r="H65" s="166">
        <v>0</v>
      </c>
      <c r="I65" s="131"/>
      <c r="J65" s="16"/>
      <c r="K65" s="16"/>
    </row>
    <row r="66" spans="1:11" x14ac:dyDescent="0.3">
      <c r="A66" s="14">
        <v>7503</v>
      </c>
      <c r="B66" s="15" t="s">
        <v>93</v>
      </c>
      <c r="C66" s="13"/>
      <c r="D66" s="123"/>
      <c r="E66" s="173">
        <v>278747.58</v>
      </c>
      <c r="F66" s="159">
        <v>469719.93</v>
      </c>
      <c r="G66" s="102"/>
      <c r="H66" s="166">
        <v>0</v>
      </c>
      <c r="I66" s="131"/>
      <c r="J66" s="16"/>
      <c r="K66" s="16"/>
    </row>
    <row r="67" spans="1:11" x14ac:dyDescent="0.3">
      <c r="A67" s="14">
        <v>7504</v>
      </c>
      <c r="B67" s="15" t="s">
        <v>94</v>
      </c>
      <c r="C67" s="13"/>
      <c r="D67" s="123"/>
      <c r="E67" s="173">
        <v>8064</v>
      </c>
      <c r="F67" s="159">
        <v>1008</v>
      </c>
      <c r="G67" s="102"/>
      <c r="H67" s="166">
        <v>0</v>
      </c>
      <c r="I67" s="131"/>
      <c r="J67" s="16"/>
      <c r="K67" s="16"/>
    </row>
    <row r="68" spans="1:11" x14ac:dyDescent="0.3">
      <c r="A68" s="14">
        <v>7505</v>
      </c>
      <c r="B68" s="15" t="s">
        <v>95</v>
      </c>
      <c r="C68" s="13"/>
      <c r="D68" s="123"/>
      <c r="E68" s="173">
        <v>2428551.98</v>
      </c>
      <c r="F68" s="159">
        <v>3554443.72</v>
      </c>
      <c r="G68" s="102"/>
      <c r="H68" s="159">
        <v>2686460.92</v>
      </c>
      <c r="I68" s="131"/>
      <c r="J68" s="16"/>
      <c r="K68" s="16"/>
    </row>
    <row r="69" spans="1:11" x14ac:dyDescent="0.3">
      <c r="A69" s="14">
        <v>7599</v>
      </c>
      <c r="B69" s="15" t="s">
        <v>71</v>
      </c>
      <c r="C69" s="13"/>
      <c r="D69" s="123"/>
      <c r="E69" s="156">
        <v>0</v>
      </c>
      <c r="F69" s="166">
        <v>0</v>
      </c>
      <c r="G69" s="102"/>
      <c r="H69" s="166">
        <v>0</v>
      </c>
      <c r="I69" s="131"/>
      <c r="J69" s="16"/>
      <c r="K69" s="16"/>
    </row>
    <row r="70" spans="1:11" x14ac:dyDescent="0.3">
      <c r="A70" s="11">
        <v>77</v>
      </c>
      <c r="B70" s="20" t="s">
        <v>96</v>
      </c>
      <c r="C70" s="13"/>
      <c r="D70" s="123"/>
      <c r="E70" s="172">
        <v>63567.6</v>
      </c>
      <c r="F70" s="158">
        <v>189071.62</v>
      </c>
      <c r="G70" s="102"/>
      <c r="H70" s="158">
        <v>76150.3</v>
      </c>
      <c r="I70" s="131"/>
      <c r="J70" s="16"/>
      <c r="K70" s="16"/>
    </row>
    <row r="71" spans="1:11" x14ac:dyDescent="0.3">
      <c r="A71" s="11">
        <v>78</v>
      </c>
      <c r="B71" s="17" t="s">
        <v>97</v>
      </c>
      <c r="C71" s="13"/>
      <c r="D71" s="123"/>
      <c r="E71" s="172">
        <v>43727.06</v>
      </c>
      <c r="F71" s="158">
        <v>23936.26</v>
      </c>
      <c r="G71" s="102"/>
      <c r="H71" s="158">
        <v>48196.74</v>
      </c>
      <c r="I71" s="131"/>
      <c r="J71" s="16"/>
      <c r="K71" s="16"/>
    </row>
    <row r="72" spans="1:11" x14ac:dyDescent="0.3">
      <c r="A72" s="11">
        <v>84</v>
      </c>
      <c r="B72" s="17" t="s">
        <v>98</v>
      </c>
      <c r="C72" s="13"/>
      <c r="D72" s="123"/>
      <c r="E72" s="172">
        <v>3046281.44</v>
      </c>
      <c r="F72" s="158">
        <v>1008370.23</v>
      </c>
      <c r="G72" s="102"/>
      <c r="H72" s="158">
        <v>1190651.56</v>
      </c>
      <c r="I72" s="131"/>
      <c r="J72" s="16"/>
      <c r="K72" s="16"/>
    </row>
    <row r="73" spans="1:11" ht="15" thickBot="1" x14ac:dyDescent="0.35">
      <c r="A73" s="138">
        <v>88</v>
      </c>
      <c r="B73" s="139" t="s">
        <v>99</v>
      </c>
      <c r="C73" s="21"/>
      <c r="D73" s="124"/>
      <c r="E73" s="156">
        <v>0</v>
      </c>
      <c r="F73" s="158">
        <v>0</v>
      </c>
      <c r="G73" s="140"/>
      <c r="H73" s="158">
        <v>0</v>
      </c>
      <c r="I73" s="132"/>
      <c r="J73" s="116"/>
      <c r="K73" s="116"/>
    </row>
    <row r="74" spans="1:11" ht="15" thickBot="1" x14ac:dyDescent="0.35">
      <c r="A74" s="263" t="s">
        <v>100</v>
      </c>
      <c r="B74" s="264"/>
      <c r="C74" s="145">
        <f t="shared" ref="C74:J74" si="6">+C45-C49</f>
        <v>0</v>
      </c>
      <c r="D74" s="145">
        <f t="shared" si="6"/>
        <v>0</v>
      </c>
      <c r="E74" s="178">
        <f t="shared" si="6"/>
        <v>-26163372.119999997</v>
      </c>
      <c r="F74" s="178">
        <f t="shared" si="6"/>
        <v>-23615583.059999991</v>
      </c>
      <c r="G74" s="178">
        <f t="shared" si="6"/>
        <v>0</v>
      </c>
      <c r="H74" s="178">
        <f t="shared" si="6"/>
        <v>-20602697.620000005</v>
      </c>
      <c r="I74" s="145">
        <f t="shared" si="6"/>
        <v>0</v>
      </c>
      <c r="J74" s="145">
        <f t="shared" si="6"/>
        <v>0</v>
      </c>
      <c r="K74" s="146"/>
    </row>
    <row r="75" spans="1:11" ht="15" thickBot="1" x14ac:dyDescent="0.35">
      <c r="A75" s="260" t="s">
        <v>101</v>
      </c>
      <c r="B75" s="261"/>
      <c r="C75" s="147">
        <f t="shared" ref="C75:J75" si="7">+C44+C74</f>
        <v>0</v>
      </c>
      <c r="D75" s="147">
        <f t="shared" si="7"/>
        <v>0</v>
      </c>
      <c r="E75" s="179">
        <f>+E44+E74</f>
        <v>-22842267.640000001</v>
      </c>
      <c r="F75" s="179">
        <f t="shared" ref="F75:H75" si="8">+F44+F74</f>
        <v>-18548306.649999991</v>
      </c>
      <c r="G75" s="179">
        <f t="shared" si="8"/>
        <v>0</v>
      </c>
      <c r="H75" s="179">
        <f t="shared" si="8"/>
        <v>-12377483.440000005</v>
      </c>
      <c r="I75" s="147">
        <f t="shared" si="7"/>
        <v>0</v>
      </c>
      <c r="J75" s="147">
        <f t="shared" si="7"/>
        <v>0</v>
      </c>
      <c r="K75" s="147"/>
    </row>
    <row r="76" spans="1:11" ht="15" thickBot="1" x14ac:dyDescent="0.35">
      <c r="A76" s="258" t="s">
        <v>102</v>
      </c>
      <c r="B76" s="259"/>
      <c r="C76" s="143">
        <f t="shared" ref="C76:D76" si="9">SUM(C77:C79)</f>
        <v>0</v>
      </c>
      <c r="D76" s="143">
        <f t="shared" si="9"/>
        <v>0</v>
      </c>
      <c r="E76" s="177">
        <f>SUM(E77:E79)</f>
        <v>35693660.969999999</v>
      </c>
      <c r="F76" s="185">
        <f t="shared" ref="F76:J76" si="10">SUM(F77:F79)</f>
        <v>31866643.149999999</v>
      </c>
      <c r="G76" s="144">
        <f>SUM(G77:G79)</f>
        <v>0</v>
      </c>
      <c r="H76" s="121">
        <f t="shared" si="10"/>
        <v>23330285.59</v>
      </c>
      <c r="I76" s="144">
        <f t="shared" si="10"/>
        <v>0</v>
      </c>
      <c r="J76" s="144">
        <f t="shared" si="10"/>
        <v>0</v>
      </c>
      <c r="K76" s="144"/>
    </row>
    <row r="77" spans="1:11" x14ac:dyDescent="0.3">
      <c r="A77" s="22">
        <v>36</v>
      </c>
      <c r="B77" s="23" t="s">
        <v>103</v>
      </c>
      <c r="C77" s="13"/>
      <c r="D77" s="123"/>
      <c r="E77" s="172">
        <v>14803526.130000001</v>
      </c>
      <c r="F77" s="158">
        <v>12427422.51</v>
      </c>
      <c r="G77" s="102"/>
      <c r="H77" s="158">
        <v>7190368.4500000002</v>
      </c>
      <c r="I77" s="131"/>
      <c r="J77" s="16"/>
      <c r="K77" s="16"/>
    </row>
    <row r="78" spans="1:11" x14ac:dyDescent="0.3">
      <c r="A78" s="18">
        <v>37</v>
      </c>
      <c r="B78" s="19" t="s">
        <v>104</v>
      </c>
      <c r="C78" s="13"/>
      <c r="D78" s="123"/>
      <c r="E78" s="172">
        <v>11052794.439999999</v>
      </c>
      <c r="F78" s="158">
        <v>5528724.0800000001</v>
      </c>
      <c r="G78" s="102"/>
      <c r="H78" s="158">
        <v>5544957.4299999997</v>
      </c>
      <c r="I78" s="131"/>
      <c r="J78" s="16"/>
      <c r="K78" s="16"/>
    </row>
    <row r="79" spans="1:11" ht="15" thickBot="1" x14ac:dyDescent="0.35">
      <c r="A79" s="18">
        <v>38</v>
      </c>
      <c r="B79" s="19" t="s">
        <v>105</v>
      </c>
      <c r="C79" s="13"/>
      <c r="D79" s="123"/>
      <c r="E79" s="172">
        <v>9837340.4000000004</v>
      </c>
      <c r="F79" s="158">
        <v>13910496.560000001</v>
      </c>
      <c r="G79" s="102"/>
      <c r="H79" s="158">
        <v>10594959.710000001</v>
      </c>
      <c r="I79" s="131"/>
      <c r="J79" s="16"/>
      <c r="K79" s="16"/>
    </row>
    <row r="80" spans="1:11" ht="15" thickBot="1" x14ac:dyDescent="0.35">
      <c r="A80" s="258" t="s">
        <v>106</v>
      </c>
      <c r="B80" s="259"/>
      <c r="C80" s="143">
        <f t="shared" ref="C80:E80" si="11">SUM(C81:C83)</f>
        <v>0</v>
      </c>
      <c r="D80" s="143">
        <f t="shared" si="11"/>
        <v>0</v>
      </c>
      <c r="E80" s="177">
        <f t="shared" si="11"/>
        <v>7401740.7300000004</v>
      </c>
      <c r="F80" s="184">
        <f t="shared" ref="F80:J80" si="12">SUM(F81:F83)</f>
        <v>8130139.9900000002</v>
      </c>
      <c r="G80" s="184">
        <f>SUM(G81:G83)</f>
        <v>0</v>
      </c>
      <c r="H80" s="184">
        <f t="shared" si="12"/>
        <v>5407259.8499999996</v>
      </c>
      <c r="I80" s="144">
        <f t="shared" si="12"/>
        <v>0</v>
      </c>
      <c r="J80" s="144">
        <f t="shared" si="12"/>
        <v>0</v>
      </c>
      <c r="K80" s="144"/>
    </row>
    <row r="81" spans="1:11" x14ac:dyDescent="0.3">
      <c r="A81" s="18">
        <v>87</v>
      </c>
      <c r="B81" s="19" t="s">
        <v>107</v>
      </c>
      <c r="C81" s="13"/>
      <c r="D81" s="123"/>
      <c r="E81" s="156">
        <v>0</v>
      </c>
      <c r="F81" s="158">
        <v>0</v>
      </c>
      <c r="G81" s="158">
        <v>0</v>
      </c>
      <c r="H81" s="158">
        <v>0</v>
      </c>
      <c r="I81" s="131"/>
      <c r="J81" s="16"/>
      <c r="K81" s="16"/>
    </row>
    <row r="82" spans="1:11" x14ac:dyDescent="0.3">
      <c r="A82" s="18">
        <v>96</v>
      </c>
      <c r="B82" s="19" t="s">
        <v>108</v>
      </c>
      <c r="C82" s="13"/>
      <c r="D82" s="123"/>
      <c r="E82" s="172">
        <v>3408679.98</v>
      </c>
      <c r="F82" s="158">
        <v>5296366.4000000004</v>
      </c>
      <c r="G82" s="102"/>
      <c r="H82" s="158">
        <v>3752204.26</v>
      </c>
      <c r="I82" s="131"/>
      <c r="J82" s="16"/>
      <c r="K82" s="16"/>
    </row>
    <row r="83" spans="1:11" x14ac:dyDescent="0.3">
      <c r="A83" s="18">
        <v>97</v>
      </c>
      <c r="B83" s="19" t="s">
        <v>109</v>
      </c>
      <c r="C83" s="13"/>
      <c r="D83" s="123"/>
      <c r="E83" s="172">
        <v>3993060.75</v>
      </c>
      <c r="F83" s="158">
        <v>2833773.59</v>
      </c>
      <c r="G83" s="102"/>
      <c r="H83" s="158">
        <v>1655055.59</v>
      </c>
      <c r="I83" s="131"/>
      <c r="J83" s="16"/>
      <c r="K83" s="16"/>
    </row>
    <row r="84" spans="1:11" ht="15" thickBot="1" x14ac:dyDescent="0.35">
      <c r="A84" s="24">
        <v>99</v>
      </c>
      <c r="B84" s="25" t="s">
        <v>110</v>
      </c>
      <c r="C84" s="13"/>
      <c r="D84" s="123"/>
      <c r="E84" s="156">
        <v>0</v>
      </c>
      <c r="F84" s="158">
        <v>0</v>
      </c>
      <c r="G84" s="158">
        <v>0</v>
      </c>
      <c r="H84" s="158">
        <v>0</v>
      </c>
      <c r="I84" s="131"/>
      <c r="J84" s="16"/>
      <c r="K84" s="16"/>
    </row>
    <row r="85" spans="1:11" ht="15" thickBot="1" x14ac:dyDescent="0.35">
      <c r="A85" s="260" t="s">
        <v>111</v>
      </c>
      <c r="B85" s="261"/>
      <c r="C85" s="26">
        <f t="shared" ref="C85:I85" si="13">+C76-C80</f>
        <v>0</v>
      </c>
      <c r="D85" s="127">
        <f t="shared" si="13"/>
        <v>0</v>
      </c>
      <c r="E85" s="180">
        <f t="shared" si="13"/>
        <v>28291920.239999998</v>
      </c>
      <c r="F85" s="180">
        <f t="shared" si="13"/>
        <v>23736503.159999996</v>
      </c>
      <c r="G85" s="180">
        <f t="shared" si="13"/>
        <v>0</v>
      </c>
      <c r="H85" s="180">
        <f t="shared" si="13"/>
        <v>17923025.740000002</v>
      </c>
      <c r="I85" s="134">
        <f t="shared" si="13"/>
        <v>0</v>
      </c>
      <c r="J85" s="134">
        <f t="shared" ref="J85" si="14">+J76-J80</f>
        <v>0</v>
      </c>
      <c r="K85" s="26"/>
    </row>
    <row r="86" spans="1:11" ht="15" thickBot="1" x14ac:dyDescent="0.35">
      <c r="A86" s="260" t="s">
        <v>137</v>
      </c>
      <c r="B86" s="261"/>
      <c r="C86" s="148">
        <f t="shared" ref="C86:J86" si="15">+C76+C45+C11-C29-C49-C80</f>
        <v>0</v>
      </c>
      <c r="D86" s="149">
        <f t="shared" si="15"/>
        <v>0</v>
      </c>
      <c r="E86" s="181">
        <f t="shared" si="15"/>
        <v>5449652.5999999903</v>
      </c>
      <c r="F86" s="181">
        <f t="shared" si="15"/>
        <v>5188196.51</v>
      </c>
      <c r="G86" s="181">
        <f t="shared" si="15"/>
        <v>0</v>
      </c>
      <c r="H86" s="181">
        <f t="shared" si="15"/>
        <v>5545542.2999999989</v>
      </c>
      <c r="I86" s="150">
        <f t="shared" si="15"/>
        <v>0</v>
      </c>
      <c r="J86" s="150">
        <f t="shared" si="15"/>
        <v>0</v>
      </c>
      <c r="K86" s="148"/>
    </row>
    <row r="87" spans="1:11" s="29" customFormat="1" ht="15" thickBot="1" x14ac:dyDescent="0.35">
      <c r="A87" s="151" t="s">
        <v>138</v>
      </c>
      <c r="B87" s="151"/>
      <c r="C87" s="151"/>
      <c r="D87" s="151"/>
      <c r="E87" s="151"/>
      <c r="F87" s="151"/>
      <c r="G87" s="151"/>
      <c r="H87" s="151"/>
      <c r="I87" s="151"/>
      <c r="J87" s="151"/>
      <c r="K87" s="147"/>
    </row>
    <row r="88" spans="1:11" s="29" customFormat="1" x14ac:dyDescent="0.3">
      <c r="A88" s="27"/>
      <c r="B88" s="27"/>
      <c r="C88" s="28"/>
      <c r="D88" s="28"/>
      <c r="E88" s="28"/>
      <c r="F88" s="28"/>
      <c r="G88" s="28"/>
      <c r="H88" s="28"/>
    </row>
    <row r="89" spans="1:11" x14ac:dyDescent="0.3">
      <c r="A89" s="30" t="s">
        <v>125</v>
      </c>
    </row>
    <row r="90" spans="1:11" x14ac:dyDescent="0.3">
      <c r="A90" s="30" t="s">
        <v>112</v>
      </c>
    </row>
    <row r="91" spans="1:11" x14ac:dyDescent="0.3">
      <c r="A91" s="30" t="s">
        <v>139</v>
      </c>
    </row>
    <row r="92" spans="1:11" x14ac:dyDescent="0.3">
      <c r="A92" s="30" t="s">
        <v>124</v>
      </c>
    </row>
    <row r="93" spans="1:11" x14ac:dyDescent="0.3">
      <c r="A93" s="167" t="s">
        <v>149</v>
      </c>
    </row>
    <row r="96" spans="1:11" x14ac:dyDescent="0.3">
      <c r="A96" s="216"/>
      <c r="B96" s="216"/>
      <c r="C96" s="216"/>
      <c r="D96" s="216"/>
      <c r="E96" s="216"/>
      <c r="F96" s="216"/>
      <c r="G96" s="216"/>
      <c r="H96" s="216"/>
      <c r="I96" s="216"/>
    </row>
    <row r="97" spans="1:11" x14ac:dyDescent="0.3">
      <c r="A97" s="262" t="s">
        <v>113</v>
      </c>
      <c r="B97" s="262"/>
      <c r="C97" s="262"/>
      <c r="E97" s="262" t="s">
        <v>114</v>
      </c>
      <c r="F97" s="262"/>
      <c r="G97" s="262"/>
      <c r="H97" s="262"/>
      <c r="I97" s="262"/>
    </row>
    <row r="98" spans="1:11" x14ac:dyDescent="0.3">
      <c r="A98" s="31" t="s">
        <v>161</v>
      </c>
      <c r="B98" s="105"/>
      <c r="E98" s="31" t="s">
        <v>150</v>
      </c>
      <c r="F98" s="105"/>
    </row>
    <row r="99" spans="1:11" x14ac:dyDescent="0.3">
      <c r="A99" s="31" t="s">
        <v>169</v>
      </c>
    </row>
    <row r="100" spans="1:11" x14ac:dyDescent="0.3">
      <c r="A100" s="31" t="s">
        <v>122</v>
      </c>
    </row>
    <row r="102" spans="1:11" x14ac:dyDescent="0.3">
      <c r="K102" s="222"/>
    </row>
  </sheetData>
  <mergeCells count="20">
    <mergeCell ref="A74:B74"/>
    <mergeCell ref="A49:B49"/>
    <mergeCell ref="A45:B45"/>
    <mergeCell ref="A11:B11"/>
    <mergeCell ref="A3:K3"/>
    <mergeCell ref="A4:K4"/>
    <mergeCell ref="K8:K10"/>
    <mergeCell ref="A7:H7"/>
    <mergeCell ref="A8:B9"/>
    <mergeCell ref="C8:F9"/>
    <mergeCell ref="G8:J9"/>
    <mergeCell ref="A44:B44"/>
    <mergeCell ref="A29:B29"/>
    <mergeCell ref="A76:B76"/>
    <mergeCell ref="A75:B75"/>
    <mergeCell ref="E97:I97"/>
    <mergeCell ref="A97:C97"/>
    <mergeCell ref="A86:B86"/>
    <mergeCell ref="A85:B85"/>
    <mergeCell ref="A80:B80"/>
  </mergeCells>
  <printOptions horizontalCentered="1"/>
  <pageMargins left="0" right="0" top="0" bottom="0" header="0.31496062992125984" footer="0.31496062992125984"/>
  <pageSetup paperSize="9" scale="5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FORMULARIO 1</vt:lpstr>
      <vt:lpstr>FORMULARIO 2</vt:lpstr>
      <vt:lpstr>FORMULARIO 3</vt:lpstr>
      <vt:lpstr>FORMULARIO 4</vt:lpstr>
      <vt:lpstr>'FORMULARIO 1'!Área_de_impresión</vt:lpstr>
    </vt:vector>
  </TitlesOfParts>
  <Company>C.A.C.S.M.Bancos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Samantha Romero</cp:lastModifiedBy>
  <cp:lastPrinted>2022-04-26T17:46:08Z</cp:lastPrinted>
  <dcterms:created xsi:type="dcterms:W3CDTF">2001-11-14T15:50:59Z</dcterms:created>
  <dcterms:modified xsi:type="dcterms:W3CDTF">2022-05-06T00:47:29Z</dcterms:modified>
</cp:coreProperties>
</file>