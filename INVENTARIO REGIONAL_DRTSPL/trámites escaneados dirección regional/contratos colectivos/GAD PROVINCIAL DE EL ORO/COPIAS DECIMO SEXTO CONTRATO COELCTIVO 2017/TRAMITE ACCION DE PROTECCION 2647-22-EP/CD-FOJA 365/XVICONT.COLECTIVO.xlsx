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240" yWindow="180" windowWidth="20115" windowHeight="7365" activeTab="1"/>
  </bookViews>
  <sheets>
    <sheet name="Hoja1" sheetId="1" r:id="rId1"/>
    <sheet name="Hoja2" sheetId="2" r:id="rId2"/>
    <sheet name="Hoja3" sheetId="3" r:id="rId3"/>
  </sheets>
  <definedNames>
    <definedName name="_xlnm._FilterDatabase" localSheetId="1" hidden="1">Hoja2!$A$2:$XEX$339</definedName>
  </definedNames>
  <calcPr calcId="144525"/>
</workbook>
</file>

<file path=xl/calcChain.xml><?xml version="1.0" encoding="utf-8"?>
<calcChain xmlns="http://schemas.openxmlformats.org/spreadsheetml/2006/main">
  <c r="T134" i="2" l="1"/>
  <c r="AA137" i="2"/>
  <c r="T137" i="2" s="1"/>
  <c r="AA136" i="2"/>
  <c r="T136" i="2" s="1"/>
  <c r="AA135" i="2"/>
  <c r="T135" i="2" s="1"/>
  <c r="AA5" i="2"/>
  <c r="AA6" i="2"/>
  <c r="T6" i="2" s="1"/>
  <c r="AA7" i="2"/>
  <c r="T7" i="2" s="1"/>
  <c r="AA8" i="2"/>
  <c r="T8" i="2" s="1"/>
  <c r="AA9" i="2"/>
  <c r="T9" i="2" s="1"/>
  <c r="AA10" i="2"/>
  <c r="T10" i="2" s="1"/>
  <c r="AA11" i="2"/>
  <c r="T11" i="2" s="1"/>
  <c r="AA12" i="2"/>
  <c r="T12" i="2" s="1"/>
  <c r="AA13" i="2"/>
  <c r="T13" i="2" s="1"/>
  <c r="AA14" i="2"/>
  <c r="T14" i="2" s="1"/>
  <c r="AA15" i="2"/>
  <c r="T15" i="2" s="1"/>
  <c r="AA16" i="2"/>
  <c r="T16" i="2" s="1"/>
  <c r="AA17" i="2"/>
  <c r="T17" i="2" s="1"/>
  <c r="AA18" i="2"/>
  <c r="T18" i="2" s="1"/>
  <c r="AA19" i="2"/>
  <c r="T19" i="2" s="1"/>
  <c r="AA20" i="2"/>
  <c r="T20" i="2" s="1"/>
  <c r="AA21" i="2"/>
  <c r="T21" i="2" s="1"/>
  <c r="AA22" i="2"/>
  <c r="T22" i="2" s="1"/>
  <c r="AA23" i="2"/>
  <c r="T23" i="2" s="1"/>
  <c r="AA24" i="2"/>
  <c r="T24" i="2" s="1"/>
  <c r="AA25" i="2"/>
  <c r="T25" i="2" s="1"/>
  <c r="AA26" i="2"/>
  <c r="T26" i="2" s="1"/>
  <c r="AA27" i="2"/>
  <c r="T27" i="2" s="1"/>
  <c r="AA28" i="2"/>
  <c r="T28" i="2" s="1"/>
  <c r="AA29" i="2"/>
  <c r="T29" i="2" s="1"/>
  <c r="AA30" i="2"/>
  <c r="T30" i="2" s="1"/>
  <c r="AA31" i="2"/>
  <c r="T31" i="2" s="1"/>
  <c r="AA32" i="2"/>
  <c r="T32" i="2" s="1"/>
  <c r="AA33" i="2"/>
  <c r="T33" i="2" s="1"/>
  <c r="AA34" i="2"/>
  <c r="T34" i="2" s="1"/>
  <c r="AA35" i="2"/>
  <c r="T35" i="2" s="1"/>
  <c r="AA36" i="2"/>
  <c r="T36" i="2" s="1"/>
  <c r="AA37" i="2"/>
  <c r="T37" i="2" s="1"/>
  <c r="AA38" i="2"/>
  <c r="T38" i="2" s="1"/>
  <c r="AA39" i="2"/>
  <c r="T39" i="2" s="1"/>
  <c r="AA40" i="2"/>
  <c r="T40" i="2" s="1"/>
  <c r="AA41" i="2"/>
  <c r="T41" i="2" s="1"/>
  <c r="AA42" i="2"/>
  <c r="T42" i="2" s="1"/>
  <c r="AA43" i="2"/>
  <c r="T43" i="2" s="1"/>
  <c r="AA44" i="2"/>
  <c r="T44" i="2" s="1"/>
  <c r="AA45" i="2"/>
  <c r="T45" i="2" s="1"/>
  <c r="AA46" i="2"/>
  <c r="T46" i="2" s="1"/>
  <c r="AA47" i="2"/>
  <c r="T47" i="2" s="1"/>
  <c r="AA48" i="2"/>
  <c r="T48" i="2" s="1"/>
  <c r="AA49" i="2"/>
  <c r="T49" i="2" s="1"/>
  <c r="AA50" i="2"/>
  <c r="T50" i="2" s="1"/>
  <c r="AA51" i="2"/>
  <c r="T51" i="2" s="1"/>
  <c r="AA52" i="2"/>
  <c r="T52" i="2" s="1"/>
  <c r="AA53" i="2"/>
  <c r="AA54" i="2"/>
  <c r="T54" i="2" s="1"/>
  <c r="AA55" i="2"/>
  <c r="T55" i="2" s="1"/>
  <c r="AA56" i="2"/>
  <c r="T56" i="2" s="1"/>
  <c r="AA57" i="2"/>
  <c r="T57" i="2" s="1"/>
  <c r="AA58" i="2"/>
  <c r="T58" i="2" s="1"/>
  <c r="AA59" i="2"/>
  <c r="T59" i="2" s="1"/>
  <c r="AA60" i="2"/>
  <c r="T60" i="2" s="1"/>
  <c r="AA61" i="2"/>
  <c r="AA62" i="2"/>
  <c r="T62" i="2" s="1"/>
  <c r="AA63" i="2"/>
  <c r="T63" i="2" s="1"/>
  <c r="AA64" i="2"/>
  <c r="T64" i="2" s="1"/>
  <c r="AA65" i="2"/>
  <c r="T65" i="2" s="1"/>
  <c r="AA66" i="2"/>
  <c r="T66" i="2" s="1"/>
  <c r="AA67" i="2"/>
  <c r="T67" i="2" s="1"/>
  <c r="AA68" i="2"/>
  <c r="T68" i="2" s="1"/>
  <c r="AA69" i="2"/>
  <c r="T69" i="2" s="1"/>
  <c r="AA70" i="2"/>
  <c r="T70" i="2" s="1"/>
  <c r="AA71" i="2"/>
  <c r="T71" i="2" s="1"/>
  <c r="AA72" i="2"/>
  <c r="T72" i="2" s="1"/>
  <c r="AA73" i="2"/>
  <c r="T73" i="2" s="1"/>
  <c r="AA74" i="2"/>
  <c r="T74" i="2" s="1"/>
  <c r="AA75" i="2"/>
  <c r="T75" i="2" s="1"/>
  <c r="AA76" i="2"/>
  <c r="T76" i="2" s="1"/>
  <c r="AA77" i="2"/>
  <c r="T77" i="2" s="1"/>
  <c r="AA78" i="2"/>
  <c r="T78" i="2" s="1"/>
  <c r="AA79" i="2"/>
  <c r="T79" i="2" s="1"/>
  <c r="AA80" i="2"/>
  <c r="T80" i="2" s="1"/>
  <c r="AA81" i="2"/>
  <c r="T81" i="2" s="1"/>
  <c r="AA82" i="2"/>
  <c r="T82" i="2" s="1"/>
  <c r="AA83" i="2"/>
  <c r="T83" i="2" s="1"/>
  <c r="AA84" i="2"/>
  <c r="T84" i="2" s="1"/>
  <c r="AA85" i="2"/>
  <c r="T85" i="2" s="1"/>
  <c r="AA86" i="2"/>
  <c r="T86" i="2" s="1"/>
  <c r="AA87" i="2"/>
  <c r="T87" i="2" s="1"/>
  <c r="AA88" i="2"/>
  <c r="T88" i="2" s="1"/>
  <c r="AA89" i="2"/>
  <c r="T89" i="2" s="1"/>
  <c r="AA90" i="2"/>
  <c r="T90" i="2" s="1"/>
  <c r="AA91" i="2"/>
  <c r="T91" i="2" s="1"/>
  <c r="AA92" i="2"/>
  <c r="T92" i="2" s="1"/>
  <c r="AA93" i="2"/>
  <c r="T93" i="2" s="1"/>
  <c r="AA94" i="2"/>
  <c r="T94" i="2" s="1"/>
  <c r="AA95" i="2"/>
  <c r="T95" i="2" s="1"/>
  <c r="AA96" i="2"/>
  <c r="T96" i="2" s="1"/>
  <c r="AA97" i="2"/>
  <c r="T97" i="2" s="1"/>
  <c r="AA98" i="2"/>
  <c r="T98" i="2" s="1"/>
  <c r="AA99" i="2"/>
  <c r="T99" i="2" s="1"/>
  <c r="AA100" i="2"/>
  <c r="T100" i="2" s="1"/>
  <c r="AA101" i="2"/>
  <c r="T101" i="2" s="1"/>
  <c r="AA102" i="2"/>
  <c r="T102" i="2" s="1"/>
  <c r="AA103" i="2"/>
  <c r="T103" i="2" s="1"/>
  <c r="AA104" i="2"/>
  <c r="T104" i="2" s="1"/>
  <c r="AA105" i="2"/>
  <c r="T105" i="2" s="1"/>
  <c r="AA106" i="2"/>
  <c r="T106" i="2" s="1"/>
  <c r="AA107" i="2"/>
  <c r="T107" i="2" s="1"/>
  <c r="AA108" i="2"/>
  <c r="T108" i="2" s="1"/>
  <c r="AA109" i="2"/>
  <c r="T109" i="2" s="1"/>
  <c r="AA110" i="2"/>
  <c r="T110" i="2" s="1"/>
  <c r="AA111" i="2"/>
  <c r="T111" i="2" s="1"/>
  <c r="AA112" i="2"/>
  <c r="T112" i="2" s="1"/>
  <c r="AA113" i="2"/>
  <c r="T113" i="2" s="1"/>
  <c r="AA114" i="2"/>
  <c r="T114" i="2" s="1"/>
  <c r="AA115" i="2"/>
  <c r="T115" i="2" s="1"/>
  <c r="AA116" i="2"/>
  <c r="T116" i="2" s="1"/>
  <c r="AA117" i="2"/>
  <c r="T117" i="2" s="1"/>
  <c r="AA118" i="2"/>
  <c r="T118" i="2" s="1"/>
  <c r="AA119" i="2"/>
  <c r="T119" i="2" s="1"/>
  <c r="AA120" i="2"/>
  <c r="T120" i="2" s="1"/>
  <c r="AA121" i="2"/>
  <c r="T121" i="2" s="1"/>
  <c r="AA122" i="2"/>
  <c r="T122" i="2" s="1"/>
  <c r="AA123" i="2"/>
  <c r="T123" i="2" s="1"/>
  <c r="AA124" i="2"/>
  <c r="T124" i="2" s="1"/>
  <c r="AA125" i="2"/>
  <c r="T125" i="2" s="1"/>
  <c r="AA126" i="2"/>
  <c r="T126" i="2" s="1"/>
  <c r="AA127" i="2"/>
  <c r="T127" i="2" s="1"/>
  <c r="AA128" i="2"/>
  <c r="T128" i="2" s="1"/>
  <c r="AA129" i="2"/>
  <c r="T129" i="2" s="1"/>
  <c r="AA130" i="2"/>
  <c r="T130" i="2" s="1"/>
  <c r="AA131" i="2"/>
  <c r="T131" i="2" s="1"/>
  <c r="AA132" i="2"/>
  <c r="T132" i="2" s="1"/>
  <c r="AA133" i="2"/>
  <c r="T133" i="2" s="1"/>
  <c r="AA134" i="2"/>
  <c r="AA138" i="2"/>
  <c r="T138" i="2" s="1"/>
  <c r="AA139" i="2"/>
  <c r="T139" i="2" s="1"/>
  <c r="AA140" i="2"/>
  <c r="T140" i="2" s="1"/>
  <c r="AA141" i="2"/>
  <c r="T141" i="2" s="1"/>
  <c r="AA142" i="2"/>
  <c r="T142" i="2" s="1"/>
  <c r="AA143" i="2"/>
  <c r="T143" i="2" s="1"/>
  <c r="AA144" i="2"/>
  <c r="T144" i="2" s="1"/>
  <c r="AA145" i="2"/>
  <c r="T145" i="2" s="1"/>
  <c r="AA146" i="2"/>
  <c r="T146" i="2" s="1"/>
  <c r="AA147" i="2"/>
  <c r="T147" i="2" s="1"/>
  <c r="AA148" i="2"/>
  <c r="T148" i="2" s="1"/>
  <c r="AA149" i="2"/>
  <c r="T149" i="2" s="1"/>
  <c r="AA150" i="2"/>
  <c r="T150" i="2" s="1"/>
  <c r="AA151" i="2"/>
  <c r="T151" i="2" s="1"/>
  <c r="AA152" i="2"/>
  <c r="T152" i="2" s="1"/>
  <c r="AA153" i="2"/>
  <c r="T153" i="2" s="1"/>
  <c r="AA154" i="2"/>
  <c r="T154" i="2" s="1"/>
  <c r="AA155" i="2"/>
  <c r="T155" i="2" s="1"/>
  <c r="AA156" i="2"/>
  <c r="T156" i="2" s="1"/>
  <c r="AA157" i="2"/>
  <c r="AA158" i="2"/>
  <c r="T158" i="2" s="1"/>
  <c r="AA159" i="2"/>
  <c r="T159" i="2" s="1"/>
  <c r="AA160" i="2"/>
  <c r="T160" i="2" s="1"/>
  <c r="AA161" i="2"/>
  <c r="T161" i="2" s="1"/>
  <c r="AA162" i="2"/>
  <c r="T162" i="2" s="1"/>
  <c r="AA163" i="2"/>
  <c r="T163" i="2" s="1"/>
  <c r="AA164" i="2"/>
  <c r="T164" i="2" s="1"/>
  <c r="AA165" i="2"/>
  <c r="AA166" i="2"/>
  <c r="AA167" i="2"/>
  <c r="T167" i="2" s="1"/>
  <c r="AA168" i="2"/>
  <c r="T168" i="2" s="1"/>
  <c r="AA169" i="2"/>
  <c r="T169" i="2" s="1"/>
  <c r="AA170" i="2"/>
  <c r="T170" i="2" s="1"/>
  <c r="AA171" i="2"/>
  <c r="T171" i="2" s="1"/>
  <c r="AA172" i="2"/>
  <c r="T172" i="2" s="1"/>
  <c r="AA173" i="2"/>
  <c r="AA174" i="2"/>
  <c r="T174" i="2" s="1"/>
  <c r="AA175" i="2"/>
  <c r="T175" i="2" s="1"/>
  <c r="AA176" i="2"/>
  <c r="T176" i="2" s="1"/>
  <c r="AA177" i="2"/>
  <c r="T177" i="2" s="1"/>
  <c r="AA178" i="2"/>
  <c r="AA179" i="2"/>
  <c r="T179" i="2" s="1"/>
  <c r="AA180" i="2"/>
  <c r="T180" i="2" s="1"/>
  <c r="AA181" i="2"/>
  <c r="T181" i="2" s="1"/>
  <c r="AA182" i="2"/>
  <c r="T182" i="2" s="1"/>
  <c r="AA183" i="2"/>
  <c r="T183" i="2" s="1"/>
  <c r="AA184" i="2"/>
  <c r="T184" i="2" s="1"/>
  <c r="AA185" i="2"/>
  <c r="T185" i="2" s="1"/>
  <c r="AA186" i="2"/>
  <c r="T186" i="2" s="1"/>
  <c r="AA187" i="2"/>
  <c r="T187" i="2" s="1"/>
  <c r="AA188" i="2"/>
  <c r="T188" i="2" s="1"/>
  <c r="AA189" i="2"/>
  <c r="T189" i="2" s="1"/>
  <c r="AA190" i="2"/>
  <c r="T190" i="2" s="1"/>
  <c r="AA191" i="2"/>
  <c r="T191" i="2" s="1"/>
  <c r="AA192" i="2"/>
  <c r="T192" i="2" s="1"/>
  <c r="AA193" i="2"/>
  <c r="T193" i="2" s="1"/>
  <c r="AA194" i="2"/>
  <c r="T194" i="2" s="1"/>
  <c r="AA195" i="2"/>
  <c r="T195" i="2" s="1"/>
  <c r="AA196" i="2"/>
  <c r="T196" i="2" s="1"/>
  <c r="AA197" i="2"/>
  <c r="T197" i="2" s="1"/>
  <c r="AA198" i="2"/>
  <c r="T198" i="2" s="1"/>
  <c r="AA199" i="2"/>
  <c r="T199" i="2" s="1"/>
  <c r="AA200" i="2"/>
  <c r="T200" i="2" s="1"/>
  <c r="AA201" i="2"/>
  <c r="T201" i="2" s="1"/>
  <c r="AA202" i="2"/>
  <c r="T202" i="2" s="1"/>
  <c r="AA203" i="2"/>
  <c r="T203" i="2" s="1"/>
  <c r="AA204" i="2"/>
  <c r="T204" i="2" s="1"/>
  <c r="AA205" i="2"/>
  <c r="T205" i="2" s="1"/>
  <c r="AA206" i="2"/>
  <c r="T206" i="2" s="1"/>
  <c r="AA207" i="2"/>
  <c r="T207" i="2" s="1"/>
  <c r="AA208" i="2"/>
  <c r="T208" i="2" s="1"/>
  <c r="AA209" i="2"/>
  <c r="T209" i="2" s="1"/>
  <c r="AA210" i="2"/>
  <c r="T210" i="2" s="1"/>
  <c r="AA211" i="2"/>
  <c r="T211" i="2" s="1"/>
  <c r="AA212" i="2"/>
  <c r="T212" i="2" s="1"/>
  <c r="AA213" i="2"/>
  <c r="T213" i="2" s="1"/>
  <c r="AA214" i="2"/>
  <c r="T214" i="2" s="1"/>
  <c r="AA215" i="2"/>
  <c r="T215" i="2" s="1"/>
  <c r="AA216" i="2"/>
  <c r="T216" i="2" s="1"/>
  <c r="AA217" i="2"/>
  <c r="T217" i="2" s="1"/>
  <c r="AA218" i="2"/>
  <c r="T218" i="2" s="1"/>
  <c r="AA219" i="2"/>
  <c r="T219" i="2" s="1"/>
  <c r="AA220" i="2"/>
  <c r="T220" i="2" s="1"/>
  <c r="AA221" i="2"/>
  <c r="AA222" i="2"/>
  <c r="T222" i="2" s="1"/>
  <c r="AA223" i="2"/>
  <c r="T223" i="2" s="1"/>
  <c r="AA224" i="2"/>
  <c r="T224" i="2" s="1"/>
  <c r="AA225" i="2"/>
  <c r="T225" i="2" s="1"/>
  <c r="AA226" i="2"/>
  <c r="T226" i="2" s="1"/>
  <c r="AA227" i="2"/>
  <c r="T227" i="2" s="1"/>
  <c r="AA228" i="2"/>
  <c r="T228" i="2" s="1"/>
  <c r="AA229" i="2"/>
  <c r="AA230" i="2"/>
  <c r="T230" i="2" s="1"/>
  <c r="AA231" i="2"/>
  <c r="T231" i="2" s="1"/>
  <c r="AA232" i="2"/>
  <c r="T232" i="2" s="1"/>
  <c r="AA233" i="2"/>
  <c r="T233" i="2" s="1"/>
  <c r="AA234" i="2"/>
  <c r="T234" i="2" s="1"/>
  <c r="AA235" i="2"/>
  <c r="T235" i="2" s="1"/>
  <c r="AA236" i="2"/>
  <c r="T236" i="2" s="1"/>
  <c r="AA237" i="2"/>
  <c r="AA238" i="2"/>
  <c r="T238" i="2" s="1"/>
  <c r="AA239" i="2"/>
  <c r="T239" i="2" s="1"/>
  <c r="AA240" i="2"/>
  <c r="T240" i="2" s="1"/>
  <c r="AA241" i="2"/>
  <c r="T241" i="2" s="1"/>
  <c r="AA242" i="2"/>
  <c r="T242" i="2" s="1"/>
  <c r="AA243" i="2"/>
  <c r="T243" i="2" s="1"/>
  <c r="AA244" i="2"/>
  <c r="T244" i="2" s="1"/>
  <c r="AA245" i="2"/>
  <c r="T245" i="2" s="1"/>
  <c r="AA246" i="2"/>
  <c r="T246" i="2" s="1"/>
  <c r="AA247" i="2"/>
  <c r="T247" i="2" s="1"/>
  <c r="AA248" i="2"/>
  <c r="T248" i="2" s="1"/>
  <c r="AA249" i="2"/>
  <c r="T249" i="2" s="1"/>
  <c r="AA250" i="2"/>
  <c r="T250" i="2" s="1"/>
  <c r="AA251" i="2"/>
  <c r="T251" i="2" s="1"/>
  <c r="AA252" i="2"/>
  <c r="T252" i="2" s="1"/>
  <c r="AA253" i="2"/>
  <c r="T253" i="2" s="1"/>
  <c r="AA254" i="2"/>
  <c r="T254" i="2" s="1"/>
  <c r="AA255" i="2"/>
  <c r="T255" i="2" s="1"/>
  <c r="AA256" i="2"/>
  <c r="T256" i="2" s="1"/>
  <c r="AA257" i="2"/>
  <c r="T257" i="2" s="1"/>
  <c r="AA258" i="2"/>
  <c r="T258" i="2" s="1"/>
  <c r="AA259" i="2"/>
  <c r="T259" i="2" s="1"/>
  <c r="AA260" i="2"/>
  <c r="T260" i="2" s="1"/>
  <c r="AA261" i="2"/>
  <c r="T261" i="2" s="1"/>
  <c r="AA262" i="2"/>
  <c r="T262" i="2" s="1"/>
  <c r="AA263" i="2"/>
  <c r="T263" i="2" s="1"/>
  <c r="AA264" i="2"/>
  <c r="T264" i="2" s="1"/>
  <c r="AA265" i="2"/>
  <c r="T265" i="2" s="1"/>
  <c r="AA266" i="2"/>
  <c r="T266" i="2" s="1"/>
  <c r="AA267" i="2"/>
  <c r="T267" i="2" s="1"/>
  <c r="AA268" i="2"/>
  <c r="T268" i="2" s="1"/>
  <c r="AA269" i="2"/>
  <c r="T269" i="2" s="1"/>
  <c r="AA270" i="2"/>
  <c r="T270" i="2" s="1"/>
  <c r="AA271" i="2"/>
  <c r="T271" i="2" s="1"/>
  <c r="AA272" i="2"/>
  <c r="T272" i="2" s="1"/>
  <c r="AA273" i="2"/>
  <c r="T273" i="2" s="1"/>
  <c r="AA274" i="2"/>
  <c r="T274" i="2" s="1"/>
  <c r="AA275" i="2"/>
  <c r="T275" i="2" s="1"/>
  <c r="AA276" i="2"/>
  <c r="T276" i="2" s="1"/>
  <c r="AA277" i="2"/>
  <c r="AA278" i="2"/>
  <c r="T278" i="2" s="1"/>
  <c r="AA279" i="2"/>
  <c r="T279" i="2" s="1"/>
  <c r="AA280" i="2"/>
  <c r="T280" i="2" s="1"/>
  <c r="AA281" i="2"/>
  <c r="T281" i="2" s="1"/>
  <c r="AA282" i="2"/>
  <c r="T282" i="2" s="1"/>
  <c r="AA283" i="2"/>
  <c r="T283" i="2" s="1"/>
  <c r="AA284" i="2"/>
  <c r="T284" i="2" s="1"/>
  <c r="AA285" i="2"/>
  <c r="AA286" i="2"/>
  <c r="T286" i="2" s="1"/>
  <c r="AA287" i="2"/>
  <c r="T287" i="2" s="1"/>
  <c r="AA288" i="2"/>
  <c r="T288" i="2" s="1"/>
  <c r="AA289" i="2"/>
  <c r="T289" i="2" s="1"/>
  <c r="AA290" i="2"/>
  <c r="T290" i="2" s="1"/>
  <c r="AA291" i="2"/>
  <c r="T291" i="2" s="1"/>
  <c r="AA292" i="2"/>
  <c r="T292" i="2" s="1"/>
  <c r="AA293" i="2"/>
  <c r="AA294" i="2"/>
  <c r="T294" i="2" s="1"/>
  <c r="AA295" i="2"/>
  <c r="T295" i="2" s="1"/>
  <c r="AA296" i="2"/>
  <c r="T296" i="2" s="1"/>
  <c r="AA297" i="2"/>
  <c r="T297" i="2" s="1"/>
  <c r="AA298" i="2"/>
  <c r="T298" i="2" s="1"/>
  <c r="AA299" i="2"/>
  <c r="T299" i="2" s="1"/>
  <c r="AA300" i="2"/>
  <c r="T300" i="2" s="1"/>
  <c r="AA301" i="2"/>
  <c r="T301" i="2" s="1"/>
  <c r="AA302" i="2"/>
  <c r="T302" i="2" s="1"/>
  <c r="AA303" i="2"/>
  <c r="T303" i="2" s="1"/>
  <c r="AA304" i="2"/>
  <c r="T304" i="2" s="1"/>
  <c r="AA305" i="2"/>
  <c r="T305" i="2" s="1"/>
  <c r="AA306" i="2"/>
  <c r="T306" i="2" s="1"/>
  <c r="AA307" i="2"/>
  <c r="T307" i="2" s="1"/>
  <c r="AA308" i="2"/>
  <c r="T308" i="2" s="1"/>
  <c r="AA309" i="2"/>
  <c r="T309" i="2" s="1"/>
  <c r="AA310" i="2"/>
  <c r="T310" i="2" s="1"/>
  <c r="AA311" i="2"/>
  <c r="T311" i="2" s="1"/>
  <c r="AA312" i="2"/>
  <c r="T312" i="2" s="1"/>
  <c r="AA313" i="2"/>
  <c r="T313" i="2" s="1"/>
  <c r="AA314" i="2"/>
  <c r="T314" i="2" s="1"/>
  <c r="AA315" i="2"/>
  <c r="T315" i="2" s="1"/>
  <c r="AA316" i="2"/>
  <c r="T316" i="2" s="1"/>
  <c r="AA317" i="2"/>
  <c r="T317" i="2" s="1"/>
  <c r="AA318" i="2"/>
  <c r="T318" i="2" s="1"/>
  <c r="AA319" i="2"/>
  <c r="T319" i="2" s="1"/>
  <c r="AA320" i="2"/>
  <c r="T320" i="2" s="1"/>
  <c r="AA321" i="2"/>
  <c r="T321" i="2" s="1"/>
  <c r="AA322" i="2"/>
  <c r="T322" i="2" s="1"/>
  <c r="AA323" i="2"/>
  <c r="T323" i="2" s="1"/>
  <c r="AA324" i="2"/>
  <c r="T324" i="2" s="1"/>
  <c r="AA325" i="2"/>
  <c r="T325" i="2" s="1"/>
  <c r="AA326" i="2"/>
  <c r="T326" i="2" s="1"/>
  <c r="AA327" i="2"/>
  <c r="T327" i="2" s="1"/>
  <c r="AA328" i="2"/>
  <c r="T328" i="2" s="1"/>
  <c r="AA329" i="2"/>
  <c r="T329" i="2" s="1"/>
  <c r="AA330" i="2"/>
  <c r="T330" i="2" s="1"/>
  <c r="AA331" i="2"/>
  <c r="T331" i="2" s="1"/>
  <c r="AA332" i="2"/>
  <c r="T332" i="2" s="1"/>
  <c r="AA333" i="2"/>
  <c r="T333" i="2" s="1"/>
  <c r="AA334" i="2"/>
  <c r="T334" i="2" s="1"/>
  <c r="AA335" i="2"/>
  <c r="T335" i="2" s="1"/>
  <c r="AA336" i="2"/>
  <c r="T336" i="2" s="1"/>
  <c r="AA337" i="2"/>
  <c r="T337" i="2" s="1"/>
  <c r="AA338" i="2"/>
  <c r="T338" i="2" s="1"/>
  <c r="AA4" i="2"/>
  <c r="T4" i="2" s="1"/>
  <c r="T166" i="2"/>
  <c r="T178" i="2"/>
  <c r="W134" i="2"/>
  <c r="V134" i="2"/>
  <c r="U134" i="2"/>
  <c r="W45" i="2"/>
  <c r="V45" i="2"/>
  <c r="U45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7" i="2"/>
  <c r="S8" i="2"/>
  <c r="S9" i="2"/>
  <c r="S10" i="2"/>
  <c r="S11" i="2"/>
  <c r="S12" i="2"/>
  <c r="S13" i="2"/>
  <c r="S14" i="2"/>
  <c r="S15" i="2"/>
  <c r="S16" i="2"/>
  <c r="S6" i="2"/>
  <c r="S5" i="2"/>
  <c r="S4" i="2"/>
  <c r="T5" i="2"/>
  <c r="T53" i="2"/>
  <c r="T61" i="2"/>
  <c r="T157" i="2"/>
  <c r="T165" i="2"/>
  <c r="T173" i="2"/>
  <c r="T221" i="2"/>
  <c r="T229" i="2"/>
  <c r="T237" i="2"/>
  <c r="T277" i="2"/>
  <c r="T285" i="2"/>
  <c r="T293" i="2"/>
  <c r="X8" i="2"/>
  <c r="W8" i="2"/>
  <c r="V8" i="2"/>
  <c r="U8" i="2"/>
  <c r="R8" i="2"/>
  <c r="Q8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7" i="2"/>
  <c r="X6" i="2"/>
  <c r="X5" i="2"/>
  <c r="X4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7" i="2"/>
  <c r="W6" i="2"/>
  <c r="W5" i="2"/>
  <c r="W4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7" i="2"/>
  <c r="V6" i="2"/>
  <c r="V5" i="2"/>
  <c r="V4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7" i="2"/>
  <c r="U6" i="2"/>
  <c r="U5" i="2"/>
  <c r="U4" i="2"/>
  <c r="R27" i="2"/>
  <c r="Q30" i="2"/>
  <c r="R30" i="2" s="1"/>
  <c r="Q103" i="2"/>
  <c r="R103" i="2" s="1"/>
  <c r="Q63" i="2"/>
  <c r="R63" i="2" s="1"/>
  <c r="Q47" i="2"/>
  <c r="R47" i="2" s="1"/>
  <c r="Q224" i="2"/>
  <c r="R224" i="2" s="1"/>
  <c r="Q42" i="2"/>
  <c r="R42" i="2" s="1"/>
  <c r="Q196" i="2"/>
  <c r="R196" i="2" s="1"/>
  <c r="Q252" i="2"/>
  <c r="R252" i="2" s="1"/>
  <c r="Q67" i="2"/>
  <c r="R67" i="2" s="1"/>
  <c r="Q195" i="2"/>
  <c r="R195" i="2" s="1"/>
  <c r="Q189" i="2"/>
  <c r="R189" i="2" s="1"/>
  <c r="Q333" i="2"/>
  <c r="R333" i="2" s="1"/>
  <c r="Q62" i="2"/>
  <c r="R62" i="2" s="1"/>
  <c r="Q132" i="2"/>
  <c r="R132" i="2" s="1"/>
  <c r="Q26" i="2"/>
  <c r="R26" i="2" s="1"/>
  <c r="Q61" i="2"/>
  <c r="R61" i="2" s="1"/>
  <c r="Q77" i="2"/>
  <c r="R77" i="2" s="1"/>
  <c r="Q131" i="2"/>
  <c r="R131" i="2" s="1"/>
  <c r="Q251" i="2"/>
  <c r="R251" i="2" s="1"/>
  <c r="Q223" i="2"/>
  <c r="R223" i="2" s="1"/>
  <c r="Q14" i="2"/>
  <c r="R14" i="2" s="1"/>
  <c r="Q250" i="2"/>
  <c r="R250" i="2" s="1"/>
  <c r="Q48" i="2"/>
  <c r="R48" i="2" s="1"/>
  <c r="Q66" i="2"/>
  <c r="R66" i="2" s="1"/>
  <c r="Q188" i="2"/>
  <c r="R188" i="2" s="1"/>
  <c r="Q187" i="2"/>
  <c r="R187" i="2" s="1"/>
  <c r="Q321" i="2"/>
  <c r="R321" i="2" s="1"/>
  <c r="Q130" i="2"/>
  <c r="R130" i="2" s="1"/>
  <c r="Q129" i="2"/>
  <c r="R129" i="2" s="1"/>
  <c r="Q186" i="2"/>
  <c r="R186" i="2" s="1"/>
  <c r="Q44" i="2"/>
  <c r="R44" i="2" s="1"/>
  <c r="Q222" i="2"/>
  <c r="R222" i="2" s="1"/>
  <c r="Q185" i="2"/>
  <c r="R185" i="2" s="1"/>
  <c r="Q7" i="2"/>
  <c r="R7" i="2" s="1"/>
  <c r="Q184" i="2"/>
  <c r="R184" i="2" s="1"/>
  <c r="Q128" i="2"/>
  <c r="R128" i="2" s="1"/>
  <c r="Q41" i="2"/>
  <c r="R41" i="2" s="1"/>
  <c r="Q32" i="2"/>
  <c r="R32" i="2" s="1"/>
  <c r="Q80" i="2"/>
  <c r="R80" i="2" s="1"/>
  <c r="Q320" i="2"/>
  <c r="R320" i="2" s="1"/>
  <c r="Q249" i="2"/>
  <c r="R249" i="2" s="1"/>
  <c r="Q102" i="2"/>
  <c r="R102" i="2" s="1"/>
  <c r="Q183" i="2"/>
  <c r="R183" i="2" s="1"/>
  <c r="Q70" i="2"/>
  <c r="R70" i="2" s="1"/>
  <c r="Q182" i="2"/>
  <c r="R182" i="2" s="1"/>
  <c r="Q40" i="2"/>
  <c r="R40" i="2" s="1"/>
  <c r="Q101" i="2"/>
  <c r="R101" i="2" s="1"/>
  <c r="Q181" i="2"/>
  <c r="R181" i="2" s="1"/>
  <c r="Q266" i="2"/>
  <c r="R266" i="2" s="1"/>
  <c r="Q319" i="2"/>
  <c r="R319" i="2" s="1"/>
  <c r="Q265" i="2"/>
  <c r="R265" i="2" s="1"/>
  <c r="Q39" i="2"/>
  <c r="R39" i="2" s="1"/>
  <c r="Q38" i="2"/>
  <c r="R38" i="2" s="1"/>
  <c r="Q264" i="2"/>
  <c r="R264" i="2" s="1"/>
  <c r="Q69" i="2"/>
  <c r="R69" i="2" s="1"/>
  <c r="Q180" i="2"/>
  <c r="R180" i="2" s="1"/>
  <c r="Q31" i="2"/>
  <c r="R31" i="2" s="1"/>
  <c r="Q248" i="2"/>
  <c r="R248" i="2" s="1"/>
  <c r="Q318" i="2"/>
  <c r="R318" i="2" s="1"/>
  <c r="Q317" i="2"/>
  <c r="R317" i="2" s="1"/>
  <c r="Q179" i="2"/>
  <c r="R179" i="2" s="1"/>
  <c r="Q178" i="2"/>
  <c r="R178" i="2" s="1"/>
  <c r="Q247" i="2"/>
  <c r="R247" i="2" s="1"/>
  <c r="Q316" i="2"/>
  <c r="R316" i="2" s="1"/>
  <c r="Q315" i="2"/>
  <c r="R315" i="2" s="1"/>
  <c r="Q127" i="2"/>
  <c r="R127" i="2" s="1"/>
  <c r="Q126" i="2"/>
  <c r="R126" i="2" s="1"/>
  <c r="Q329" i="2"/>
  <c r="R329" i="2" s="1"/>
  <c r="Q177" i="2"/>
  <c r="R177" i="2" s="1"/>
  <c r="Q314" i="2"/>
  <c r="R314" i="2" s="1"/>
  <c r="Q52" i="2"/>
  <c r="R52" i="2" s="1"/>
  <c r="Q85" i="2"/>
  <c r="R85" i="2" s="1"/>
  <c r="Q194" i="2"/>
  <c r="R194" i="2" s="1"/>
  <c r="Q263" i="2"/>
  <c r="R263" i="2" s="1"/>
  <c r="Q246" i="2"/>
  <c r="R246" i="2" s="1"/>
  <c r="Q84" i="2"/>
  <c r="R84" i="2" s="1"/>
  <c r="Q313" i="2"/>
  <c r="R313" i="2" s="1"/>
  <c r="Q65" i="2"/>
  <c r="R65" i="2" s="1"/>
  <c r="Q37" i="2"/>
  <c r="R37" i="2" s="1"/>
  <c r="Q83" i="2"/>
  <c r="R83" i="2" s="1"/>
  <c r="Q176" i="2"/>
  <c r="R176" i="2" s="1"/>
  <c r="Q25" i="2"/>
  <c r="R25" i="2" s="1"/>
  <c r="Q199" i="2"/>
  <c r="R199" i="2" s="1"/>
  <c r="Q125" i="2"/>
  <c r="R125" i="2" s="1"/>
  <c r="Q312" i="2"/>
  <c r="R312" i="2" s="1"/>
  <c r="Q332" i="2"/>
  <c r="R332" i="2" s="1"/>
  <c r="Q100" i="2"/>
  <c r="R100" i="2" s="1"/>
  <c r="Q311" i="2"/>
  <c r="R311" i="2" s="1"/>
  <c r="Q13" i="2"/>
  <c r="R13" i="2" s="1"/>
  <c r="Q124" i="2"/>
  <c r="R124" i="2" s="1"/>
  <c r="Q99" i="2"/>
  <c r="R99" i="2" s="1"/>
  <c r="Q245" i="2"/>
  <c r="R245" i="2" s="1"/>
  <c r="Q310" i="2"/>
  <c r="R310" i="2" s="1"/>
  <c r="Q12" i="2"/>
  <c r="R12" i="2" s="1"/>
  <c r="Q309" i="2"/>
  <c r="R309" i="2" s="1"/>
  <c r="Q308" i="2"/>
  <c r="R308" i="2" s="1"/>
  <c r="Q221" i="2"/>
  <c r="R221" i="2" s="1"/>
  <c r="Q98" i="2"/>
  <c r="R98" i="2" s="1"/>
  <c r="Q307" i="2"/>
  <c r="R307" i="2" s="1"/>
  <c r="Q193" i="2"/>
  <c r="R193" i="2" s="1"/>
  <c r="Q306" i="2"/>
  <c r="R306" i="2" s="1"/>
  <c r="Q175" i="2"/>
  <c r="R175" i="2" s="1"/>
  <c r="Q11" i="2"/>
  <c r="R11" i="2" s="1"/>
  <c r="Q305" i="2"/>
  <c r="R305" i="2" s="1"/>
  <c r="Q123" i="2"/>
  <c r="R123" i="2" s="1"/>
  <c r="Q174" i="2"/>
  <c r="R174" i="2" s="1"/>
  <c r="Q97" i="2"/>
  <c r="R97" i="2" s="1"/>
  <c r="Q122" i="2"/>
  <c r="R122" i="2" s="1"/>
  <c r="Q121" i="2"/>
  <c r="R121" i="2" s="1"/>
  <c r="Q304" i="2"/>
  <c r="R304" i="2" s="1"/>
  <c r="Q268" i="2"/>
  <c r="R268" i="2" s="1"/>
  <c r="Q120" i="2"/>
  <c r="R120" i="2" s="1"/>
  <c r="Q36" i="2"/>
  <c r="R36" i="2" s="1"/>
  <c r="Q60" i="2"/>
  <c r="R60" i="2" s="1"/>
  <c r="Q244" i="2"/>
  <c r="R244" i="2" s="1"/>
  <c r="Q220" i="2"/>
  <c r="R220" i="2" s="1"/>
  <c r="Q303" i="2"/>
  <c r="R303" i="2" s="1"/>
  <c r="Q173" i="2"/>
  <c r="R173" i="2" s="1"/>
  <c r="Q119" i="2"/>
  <c r="R119" i="2" s="1"/>
  <c r="Q302" i="2"/>
  <c r="R302" i="2" s="1"/>
  <c r="Q301" i="2"/>
  <c r="R301" i="2" s="1"/>
  <c r="Q300" i="2"/>
  <c r="R300" i="2" s="1"/>
  <c r="Q172" i="2"/>
  <c r="R172" i="2" s="1"/>
  <c r="Q171" i="2"/>
  <c r="R171" i="2" s="1"/>
  <c r="Q35" i="2"/>
  <c r="R35" i="2" s="1"/>
  <c r="Q59" i="2"/>
  <c r="R59" i="2" s="1"/>
  <c r="Q170" i="2"/>
  <c r="R170" i="2" s="1"/>
  <c r="Q192" i="2"/>
  <c r="R192" i="2" s="1"/>
  <c r="Q299" i="2"/>
  <c r="R299" i="2" s="1"/>
  <c r="Q169" i="2"/>
  <c r="R169" i="2" s="1"/>
  <c r="Q298" i="2"/>
  <c r="R298" i="2" s="1"/>
  <c r="Q297" i="2"/>
  <c r="R297" i="2" s="1"/>
  <c r="Q337" i="2"/>
  <c r="R337" i="2" s="1"/>
  <c r="Q219" i="2"/>
  <c r="R219" i="2" s="1"/>
  <c r="Q96" i="2"/>
  <c r="R96" i="2" s="1"/>
  <c r="Q34" i="2"/>
  <c r="R34" i="2" s="1"/>
  <c r="Q95" i="2"/>
  <c r="R95" i="2" s="1"/>
  <c r="Q15" i="2"/>
  <c r="R15" i="2" s="1"/>
  <c r="Q168" i="2"/>
  <c r="R168" i="2" s="1"/>
  <c r="Q24" i="2"/>
  <c r="R24" i="2" s="1"/>
  <c r="Q296" i="2"/>
  <c r="R296" i="2" s="1"/>
  <c r="Q167" i="2"/>
  <c r="R167" i="2" s="1"/>
  <c r="Q262" i="2"/>
  <c r="R262" i="2" s="1"/>
  <c r="Q261" i="2"/>
  <c r="R261" i="2" s="1"/>
  <c r="Q23" i="2"/>
  <c r="R23" i="2" s="1"/>
  <c r="Q82" i="2"/>
  <c r="R82" i="2" s="1"/>
  <c r="Q243" i="2"/>
  <c r="R243" i="2" s="1"/>
  <c r="Q295" i="2"/>
  <c r="R295" i="2" s="1"/>
  <c r="Q73" i="2"/>
  <c r="R73" i="2" s="1"/>
  <c r="Q72" i="2"/>
  <c r="R72" i="2" s="1"/>
  <c r="Q166" i="2"/>
  <c r="R166" i="2" s="1"/>
  <c r="Q4" i="2"/>
  <c r="R4" i="2" s="1"/>
  <c r="Q10" i="2"/>
  <c r="R10" i="2" s="1"/>
  <c r="Q165" i="2"/>
  <c r="R165" i="2" s="1"/>
  <c r="Q294" i="2"/>
  <c r="R294" i="2" s="1"/>
  <c r="Q260" i="2"/>
  <c r="R260" i="2" s="1"/>
  <c r="Q191" i="2"/>
  <c r="R191" i="2" s="1"/>
  <c r="Q242" i="2"/>
  <c r="R242" i="2" s="1"/>
  <c r="Q293" i="2"/>
  <c r="R293" i="2" s="1"/>
  <c r="Q218" i="2"/>
  <c r="R218" i="2" s="1"/>
  <c r="Q164" i="2"/>
  <c r="R164" i="2" s="1"/>
  <c r="Q163" i="2"/>
  <c r="R163" i="2" s="1"/>
  <c r="Q292" i="2"/>
  <c r="R292" i="2" s="1"/>
  <c r="Q334" i="2"/>
  <c r="R334" i="2" s="1"/>
  <c r="Q241" i="2"/>
  <c r="R241" i="2" s="1"/>
  <c r="Q118" i="2"/>
  <c r="R118" i="2" s="1"/>
  <c r="Q58" i="2"/>
  <c r="R58" i="2" s="1"/>
  <c r="Q198" i="2"/>
  <c r="R198" i="2" s="1"/>
  <c r="Q162" i="2"/>
  <c r="R162" i="2" s="1"/>
  <c r="Q217" i="2"/>
  <c r="R217" i="2" s="1"/>
  <c r="Q6" i="2"/>
  <c r="R6" i="2" s="1"/>
  <c r="Q161" i="2"/>
  <c r="R161" i="2" s="1"/>
  <c r="Q291" i="2"/>
  <c r="R291" i="2" s="1"/>
  <c r="Q290" i="2"/>
  <c r="R290" i="2" s="1"/>
  <c r="Q289" i="2"/>
  <c r="R289" i="2" s="1"/>
  <c r="Q94" i="2"/>
  <c r="R94" i="2" s="1"/>
  <c r="Q76" i="2"/>
  <c r="R76" i="2" s="1"/>
  <c r="Q160" i="2"/>
  <c r="R160" i="2" s="1"/>
  <c r="Q68" i="2"/>
  <c r="R68" i="2" s="1"/>
  <c r="Q75" i="2"/>
  <c r="R75" i="2" s="1"/>
  <c r="Q117" i="2"/>
  <c r="R117" i="2" s="1"/>
  <c r="Q259" i="2"/>
  <c r="R259" i="2" s="1"/>
  <c r="Q190" i="2"/>
  <c r="R190" i="2" s="1"/>
  <c r="Q159" i="2"/>
  <c r="R159" i="2" s="1"/>
  <c r="Q258" i="2"/>
  <c r="R258" i="2" s="1"/>
  <c r="Q328" i="2"/>
  <c r="R328" i="2" s="1"/>
  <c r="Q9" i="2"/>
  <c r="R9" i="2" s="1"/>
  <c r="Q57" i="2"/>
  <c r="R57" i="2" s="1"/>
  <c r="Q216" i="2"/>
  <c r="R216" i="2" s="1"/>
  <c r="Q116" i="2"/>
  <c r="R116" i="2" s="1"/>
  <c r="Q327" i="2"/>
  <c r="R327" i="2" s="1"/>
  <c r="Q326" i="2"/>
  <c r="R326" i="2" s="1"/>
  <c r="Q158" i="2"/>
  <c r="R158" i="2" s="1"/>
  <c r="Q288" i="2"/>
  <c r="R288" i="2" s="1"/>
  <c r="Q93" i="2"/>
  <c r="R93" i="2" s="1"/>
  <c r="Q240" i="2"/>
  <c r="R240" i="2" s="1"/>
  <c r="Q325" i="2"/>
  <c r="R325" i="2" s="1"/>
  <c r="Q29" i="2"/>
  <c r="R29" i="2" s="1"/>
  <c r="Q215" i="2"/>
  <c r="R215" i="2" s="1"/>
  <c r="Q225" i="2"/>
  <c r="R225" i="2" s="1"/>
  <c r="Q157" i="2"/>
  <c r="R157" i="2" s="1"/>
  <c r="Q287" i="2"/>
  <c r="R287" i="2" s="1"/>
  <c r="Q239" i="2"/>
  <c r="R239" i="2" s="1"/>
  <c r="Q115" i="2"/>
  <c r="R115" i="2" s="1"/>
  <c r="Q156" i="2"/>
  <c r="R156" i="2" s="1"/>
  <c r="Q286" i="2"/>
  <c r="R286" i="2" s="1"/>
  <c r="Q46" i="2"/>
  <c r="R46" i="2" s="1"/>
  <c r="Q285" i="2"/>
  <c r="R285" i="2" s="1"/>
  <c r="Q284" i="2"/>
  <c r="R284" i="2" s="1"/>
  <c r="Q22" i="2"/>
  <c r="R22" i="2" s="1"/>
  <c r="Q257" i="2"/>
  <c r="R257" i="2" s="1"/>
  <c r="Q114" i="2"/>
  <c r="R114" i="2" s="1"/>
  <c r="Q21" i="2"/>
  <c r="R21" i="2" s="1"/>
  <c r="Q113" i="2"/>
  <c r="R113" i="2" s="1"/>
  <c r="Q155" i="2"/>
  <c r="R155" i="2" s="1"/>
  <c r="Q283" i="2"/>
  <c r="R283" i="2" s="1"/>
  <c r="Q238" i="2"/>
  <c r="R238" i="2" s="1"/>
  <c r="Q92" i="2"/>
  <c r="R92" i="2" s="1"/>
  <c r="Q154" i="2"/>
  <c r="R154" i="2" s="1"/>
  <c r="Q338" i="2"/>
  <c r="R338" i="2" s="1"/>
  <c r="Q112" i="2"/>
  <c r="R112" i="2" s="1"/>
  <c r="Q282" i="2"/>
  <c r="R282" i="2" s="1"/>
  <c r="Q281" i="2"/>
  <c r="R281" i="2" s="1"/>
  <c r="Q153" i="2"/>
  <c r="R153" i="2" s="1"/>
  <c r="Q152" i="2"/>
  <c r="R152" i="2" s="1"/>
  <c r="Q51" i="2"/>
  <c r="R51" i="2" s="1"/>
  <c r="Q151" i="2"/>
  <c r="R151" i="2" s="1"/>
  <c r="Q111" i="2"/>
  <c r="R111" i="2" s="1"/>
  <c r="Q214" i="2"/>
  <c r="R214" i="2" s="1"/>
  <c r="Q226" i="2"/>
  <c r="R226" i="2" s="1"/>
  <c r="Q20" i="2"/>
  <c r="R20" i="2" s="1"/>
  <c r="Q19" i="2"/>
  <c r="R19" i="2" s="1"/>
  <c r="Q331" i="2"/>
  <c r="R331" i="2" s="1"/>
  <c r="Q91" i="2"/>
  <c r="R91" i="2" s="1"/>
  <c r="Q330" i="2"/>
  <c r="R330" i="2" s="1"/>
  <c r="Q237" i="2"/>
  <c r="R237" i="2" s="1"/>
  <c r="Q150" i="2"/>
  <c r="R150" i="2" s="1"/>
  <c r="Q280" i="2"/>
  <c r="R280" i="2" s="1"/>
  <c r="Q253" i="2"/>
  <c r="R253" i="2" s="1"/>
  <c r="Q213" i="2"/>
  <c r="R213" i="2" s="1"/>
  <c r="Q50" i="2"/>
  <c r="R50" i="2" s="1"/>
  <c r="Q110" i="2"/>
  <c r="R110" i="2" s="1"/>
  <c r="Q109" i="2"/>
  <c r="R109" i="2" s="1"/>
  <c r="Q212" i="2"/>
  <c r="R212" i="2" s="1"/>
  <c r="Q279" i="2"/>
  <c r="R279" i="2" s="1"/>
  <c r="Q335" i="2"/>
  <c r="R335" i="2" s="1"/>
  <c r="Q149" i="2"/>
  <c r="R149" i="2" s="1"/>
  <c r="Q148" i="2"/>
  <c r="R148" i="2" s="1"/>
  <c r="Q147" i="2"/>
  <c r="R147" i="2" s="1"/>
  <c r="Q236" i="2"/>
  <c r="R236" i="2" s="1"/>
  <c r="Q256" i="2"/>
  <c r="R256" i="2" s="1"/>
  <c r="Q254" i="2"/>
  <c r="R254" i="2" s="1"/>
  <c r="Q18" i="2"/>
  <c r="R18" i="2" s="1"/>
  <c r="Q235" i="2"/>
  <c r="R235" i="2" s="1"/>
  <c r="Q146" i="2"/>
  <c r="R146" i="2" s="1"/>
  <c r="Q324" i="2"/>
  <c r="R324" i="2" s="1"/>
  <c r="Q234" i="2"/>
  <c r="R234" i="2" s="1"/>
  <c r="Q145" i="2"/>
  <c r="R145" i="2" s="1"/>
  <c r="Q233" i="2"/>
  <c r="R233" i="2" s="1"/>
  <c r="Q5" i="2"/>
  <c r="R5" i="2" s="1"/>
  <c r="Q43" i="2"/>
  <c r="R43" i="2" s="1"/>
  <c r="Q144" i="2"/>
  <c r="R144" i="2" s="1"/>
  <c r="Q143" i="2"/>
  <c r="R143" i="2" s="1"/>
  <c r="Q28" i="2"/>
  <c r="R28" i="2" s="1"/>
  <c r="Q56" i="2"/>
  <c r="R56" i="2" s="1"/>
  <c r="Q278" i="2"/>
  <c r="R278" i="2" s="1"/>
  <c r="Q142" i="2"/>
  <c r="R142" i="2" s="1"/>
  <c r="Q141" i="2"/>
  <c r="R141" i="2" s="1"/>
  <c r="Q336" i="2"/>
  <c r="R336" i="2" s="1"/>
  <c r="Q277" i="2"/>
  <c r="R277" i="2" s="1"/>
  <c r="Q276" i="2"/>
  <c r="R276" i="2" s="1"/>
  <c r="Q232" i="2"/>
  <c r="R232" i="2" s="1"/>
  <c r="Q275" i="2"/>
  <c r="R275" i="2" s="1"/>
  <c r="Q81" i="2"/>
  <c r="R81" i="2" s="1"/>
  <c r="Q211" i="2"/>
  <c r="R211" i="2" s="1"/>
  <c r="Q210" i="2"/>
  <c r="R210" i="2" s="1"/>
  <c r="Q209" i="2"/>
  <c r="R209" i="2" s="1"/>
  <c r="Q108" i="2"/>
  <c r="R108" i="2" s="1"/>
  <c r="Q71" i="2"/>
  <c r="R71" i="2" s="1"/>
  <c r="Q274" i="2"/>
  <c r="R274" i="2" s="1"/>
  <c r="Q140" i="2"/>
  <c r="R140" i="2" s="1"/>
  <c r="Q231" i="2"/>
  <c r="R231" i="2" s="1"/>
  <c r="Q139" i="2"/>
  <c r="R139" i="2" s="1"/>
  <c r="Q323" i="2"/>
  <c r="R323" i="2" s="1"/>
  <c r="Q273" i="2"/>
  <c r="R273" i="2" s="1"/>
  <c r="Q74" i="2"/>
  <c r="R74" i="2" s="1"/>
  <c r="Q272" i="2"/>
  <c r="R272" i="2" s="1"/>
  <c r="Q267" i="2"/>
  <c r="R267" i="2" s="1"/>
  <c r="Q17" i="2"/>
  <c r="R17" i="2" s="1"/>
  <c r="Q208" i="2"/>
  <c r="R208" i="2" s="1"/>
  <c r="Q207" i="2"/>
  <c r="R207" i="2" s="1"/>
  <c r="Q49" i="2"/>
  <c r="R49" i="2" s="1"/>
  <c r="Q107" i="2"/>
  <c r="R107" i="2" s="1"/>
  <c r="Q64" i="2"/>
  <c r="R64" i="2" s="1"/>
  <c r="Q106" i="2"/>
  <c r="R106" i="2" s="1"/>
  <c r="Q90" i="2"/>
  <c r="R90" i="2" s="1"/>
  <c r="Q271" i="2"/>
  <c r="R271" i="2" s="1"/>
  <c r="Q55" i="2"/>
  <c r="R55" i="2" s="1"/>
  <c r="Q206" i="2"/>
  <c r="R206" i="2" s="1"/>
  <c r="Q33" i="2"/>
  <c r="R33" i="2" s="1"/>
  <c r="Q89" i="2"/>
  <c r="R89" i="2" s="1"/>
  <c r="Q270" i="2"/>
  <c r="R270" i="2" s="1"/>
  <c r="Q16" i="2"/>
  <c r="R16" i="2" s="1"/>
  <c r="Q269" i="2"/>
  <c r="R269" i="2" s="1"/>
  <c r="Q88" i="2"/>
  <c r="R88" i="2" s="1"/>
  <c r="Q205" i="2"/>
  <c r="R205" i="2" s="1"/>
  <c r="Q54" i="2"/>
  <c r="R54" i="2" s="1"/>
  <c r="Q138" i="2"/>
  <c r="R138" i="2" s="1"/>
  <c r="Q87" i="2"/>
  <c r="R87" i="2" s="1"/>
  <c r="Q53" i="2"/>
  <c r="R53" i="2" s="1"/>
  <c r="Q322" i="2"/>
  <c r="R322" i="2" s="1"/>
  <c r="Q204" i="2"/>
  <c r="R204" i="2" s="1"/>
  <c r="Q86" i="2"/>
  <c r="R86" i="2" s="1"/>
  <c r="Q203" i="2"/>
  <c r="R203" i="2" s="1"/>
  <c r="Q137" i="2"/>
  <c r="R137" i="2" s="1"/>
  <c r="Q79" i="2"/>
  <c r="R79" i="2" s="1"/>
  <c r="Q136" i="2"/>
  <c r="R136" i="2" s="1"/>
  <c r="Q78" i="2"/>
  <c r="R78" i="2" s="1"/>
  <c r="Q230" i="2"/>
  <c r="R230" i="2" s="1"/>
  <c r="Q229" i="2"/>
  <c r="R229" i="2" s="1"/>
  <c r="Q105" i="2"/>
  <c r="R105" i="2" s="1"/>
  <c r="Q228" i="2"/>
  <c r="R228" i="2" s="1"/>
  <c r="Q255" i="2"/>
  <c r="R255" i="2" s="1"/>
  <c r="Q197" i="2"/>
  <c r="R197" i="2" s="1"/>
  <c r="Q202" i="2"/>
  <c r="Q104" i="2"/>
  <c r="R104" i="2" s="1"/>
  <c r="Q45" i="2"/>
  <c r="R45" i="2" s="1"/>
  <c r="Q227" i="2"/>
  <c r="R227" i="2" s="1"/>
  <c r="Q135" i="2"/>
  <c r="R135" i="2" s="1"/>
  <c r="Q201" i="2"/>
  <c r="R201" i="2" s="1"/>
  <c r="Q134" i="2"/>
  <c r="R134" i="2" s="1"/>
  <c r="Q133" i="2"/>
  <c r="R133" i="2" s="1"/>
  <c r="Q200" i="2"/>
  <c r="R200" i="2" s="1"/>
  <c r="Y8" i="2" l="1"/>
  <c r="T339" i="2"/>
  <c r="Y321" i="2"/>
  <c r="Y18" i="2"/>
  <c r="Y34" i="2"/>
  <c r="Y66" i="2"/>
  <c r="Y90" i="2"/>
  <c r="Y306" i="2"/>
  <c r="Y338" i="2"/>
  <c r="Y114" i="2"/>
  <c r="Y225" i="2"/>
  <c r="Y82" i="2"/>
  <c r="Y154" i="2"/>
  <c r="Y98" i="2"/>
  <c r="Y186" i="2"/>
  <c r="Y287" i="2"/>
  <c r="Y176" i="2"/>
  <c r="Y10" i="2"/>
  <c r="Y50" i="2"/>
  <c r="Y130" i="2"/>
  <c r="Y232" i="2"/>
  <c r="Y330" i="2"/>
  <c r="Y177" i="2"/>
  <c r="Y298" i="2"/>
  <c r="Y113" i="2"/>
  <c r="Y160" i="2"/>
  <c r="Y288" i="2"/>
  <c r="Y25" i="2"/>
  <c r="Y33" i="2"/>
  <c r="Y49" i="2"/>
  <c r="Y57" i="2"/>
  <c r="Y65" i="2"/>
  <c r="Y73" i="2"/>
  <c r="Y89" i="2"/>
  <c r="Y97" i="2"/>
  <c r="Y105" i="2"/>
  <c r="Y121" i="2"/>
  <c r="Y137" i="2"/>
  <c r="Y161" i="2"/>
  <c r="Y241" i="2"/>
  <c r="Y257" i="2"/>
  <c r="Y265" i="2"/>
  <c r="Y273" i="2"/>
  <c r="Y297" i="2"/>
  <c r="Y305" i="2"/>
  <c r="Y313" i="2"/>
  <c r="Y329" i="2"/>
  <c r="Y337" i="2"/>
  <c r="S339" i="2"/>
  <c r="Y209" i="2"/>
  <c r="Y74" i="2"/>
  <c r="Y106" i="2"/>
  <c r="Y122" i="2"/>
  <c r="Y274" i="2"/>
  <c r="Y290" i="2"/>
  <c r="Y322" i="2"/>
  <c r="Y234" i="2"/>
  <c r="Y249" i="2"/>
  <c r="Y250" i="2"/>
  <c r="Y6" i="2"/>
  <c r="R202" i="2"/>
  <c r="Y202" i="2" s="1"/>
  <c r="X339" i="2"/>
  <c r="Y153" i="2"/>
  <c r="Y218" i="2"/>
  <c r="Y81" i="2"/>
  <c r="Y266" i="2"/>
  <c r="Y314" i="2"/>
  <c r="Y7" i="2"/>
  <c r="Y16" i="2"/>
  <c r="Y24" i="2"/>
  <c r="Y32" i="2"/>
  <c r="Y40" i="2"/>
  <c r="Y48" i="2"/>
  <c r="Y56" i="2"/>
  <c r="Y64" i="2"/>
  <c r="Y72" i="2"/>
  <c r="Y80" i="2"/>
  <c r="Y88" i="2"/>
  <c r="Y96" i="2"/>
  <c r="Y104" i="2"/>
  <c r="Y112" i="2"/>
  <c r="Y120" i="2"/>
  <c r="Y128" i="2"/>
  <c r="Y136" i="2"/>
  <c r="Y144" i="2"/>
  <c r="Y168" i="2"/>
  <c r="Y9" i="2"/>
  <c r="Y26" i="2"/>
  <c r="Y170" i="2"/>
  <c r="Y138" i="2"/>
  <c r="Y193" i="2"/>
  <c r="Y289" i="2"/>
  <c r="W339" i="2"/>
  <c r="Y233" i="2"/>
  <c r="Y42" i="2"/>
  <c r="Y15" i="2"/>
  <c r="Y216" i="2"/>
  <c r="Y281" i="2"/>
  <c r="Y41" i="2"/>
  <c r="Y129" i="2"/>
  <c r="Y282" i="2"/>
  <c r="Y58" i="2"/>
  <c r="Y217" i="2"/>
  <c r="Y17" i="2"/>
  <c r="Y304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54" i="2"/>
  <c r="Y262" i="2"/>
  <c r="Y270" i="2"/>
  <c r="Y278" i="2"/>
  <c r="Y286" i="2"/>
  <c r="Y294" i="2"/>
  <c r="Y302" i="2"/>
  <c r="Y310" i="2"/>
  <c r="Y318" i="2"/>
  <c r="Y326" i="2"/>
  <c r="Y334" i="2"/>
  <c r="Y184" i="2"/>
  <c r="Y185" i="2"/>
  <c r="Y146" i="2"/>
  <c r="Y162" i="2"/>
  <c r="Y178" i="2"/>
  <c r="Y194" i="2"/>
  <c r="Y210" i="2"/>
  <c r="Y226" i="2"/>
  <c r="Y242" i="2"/>
  <c r="Y258" i="2"/>
  <c r="Y169" i="2"/>
  <c r="Y246" i="2"/>
  <c r="Y152" i="2"/>
  <c r="Y201" i="2"/>
  <c r="Y192" i="2"/>
  <c r="Y145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23" i="2"/>
  <c r="Y31" i="2"/>
  <c r="Y39" i="2"/>
  <c r="Y55" i="2"/>
  <c r="Y63" i="2"/>
  <c r="Y71" i="2"/>
  <c r="Y87" i="2"/>
  <c r="Y95" i="2"/>
  <c r="Y103" i="2"/>
  <c r="Y119" i="2"/>
  <c r="Y127" i="2"/>
  <c r="Y143" i="2"/>
  <c r="Y151" i="2"/>
  <c r="Y167" i="2"/>
  <c r="Y175" i="2"/>
  <c r="Y183" i="2"/>
  <c r="Y191" i="2"/>
  <c r="Y199" i="2"/>
  <c r="Y207" i="2"/>
  <c r="Y223" i="2"/>
  <c r="Y231" i="2"/>
  <c r="Y239" i="2"/>
  <c r="Y247" i="2"/>
  <c r="Y255" i="2"/>
  <c r="Y263" i="2"/>
  <c r="Y271" i="2"/>
  <c r="Y279" i="2"/>
  <c r="Y295" i="2"/>
  <c r="Y303" i="2"/>
  <c r="Y311" i="2"/>
  <c r="Y319" i="2"/>
  <c r="Y327" i="2"/>
  <c r="Y335" i="2"/>
  <c r="Y47" i="2"/>
  <c r="Y79" i="2"/>
  <c r="Y111" i="2"/>
  <c r="Y159" i="2"/>
  <c r="Y215" i="2"/>
  <c r="V339" i="2"/>
  <c r="Y200" i="2"/>
  <c r="Y208" i="2"/>
  <c r="Y224" i="2"/>
  <c r="Y240" i="2"/>
  <c r="Y248" i="2"/>
  <c r="Y256" i="2"/>
  <c r="Y264" i="2"/>
  <c r="Y272" i="2"/>
  <c r="Y280" i="2"/>
  <c r="Y296" i="2"/>
  <c r="Y312" i="2"/>
  <c r="Y320" i="2"/>
  <c r="Y328" i="2"/>
  <c r="Y336" i="2"/>
  <c r="Y11" i="2"/>
  <c r="Y19" i="2"/>
  <c r="Y27" i="2"/>
  <c r="Y35" i="2"/>
  <c r="Y43" i="2"/>
  <c r="Y51" i="2"/>
  <c r="Y59" i="2"/>
  <c r="Y67" i="2"/>
  <c r="Y75" i="2"/>
  <c r="Y83" i="2"/>
  <c r="Y91" i="2"/>
  <c r="Y99" i="2"/>
  <c r="Y107" i="2"/>
  <c r="Y115" i="2"/>
  <c r="Y123" i="2"/>
  <c r="Y131" i="2"/>
  <c r="Y139" i="2"/>
  <c r="Y147" i="2"/>
  <c r="Y155" i="2"/>
  <c r="Y163" i="2"/>
  <c r="Y171" i="2"/>
  <c r="Y179" i="2"/>
  <c r="Y187" i="2"/>
  <c r="Y195" i="2"/>
  <c r="Y203" i="2"/>
  <c r="Y211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323" i="2"/>
  <c r="Y331" i="2"/>
  <c r="Y135" i="2"/>
  <c r="Y134" i="2"/>
  <c r="R339" i="2" l="1"/>
  <c r="A5" i="2" l="1"/>
  <c r="A6" i="2" s="1"/>
  <c r="A7" i="2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U339" i="2" l="1"/>
  <c r="Y4" i="2"/>
  <c r="Y339" i="2" s="1"/>
</calcChain>
</file>

<file path=xl/sharedStrings.xml><?xml version="1.0" encoding="utf-8"?>
<sst xmlns="http://schemas.openxmlformats.org/spreadsheetml/2006/main" count="2684" uniqueCount="455">
  <si>
    <t>Cargo</t>
  </si>
  <si>
    <t>AGILA VASQUEZ LUIS ALBERTO</t>
  </si>
  <si>
    <t>AYUDANTE</t>
  </si>
  <si>
    <t>AGUILAR CARPIO EDINSON ANIBAL</t>
  </si>
  <si>
    <t>AYUDANTE PLANTA DE TRITURACION</t>
  </si>
  <si>
    <t>AGUILAR NIETO RAUL</t>
  </si>
  <si>
    <t>CHOFER DE VEHICULO PESADO</t>
  </si>
  <si>
    <t>AGUILAR TINOCO EFREN</t>
  </si>
  <si>
    <t>AJILA RODAS MARCO ANIBAL</t>
  </si>
  <si>
    <t>INSPECT.DE RECURSOS HIDRICOS</t>
  </si>
  <si>
    <t>GUARDIAN</t>
  </si>
  <si>
    <t>ANANGONO VILLALBA ARNULFO ARTURO</t>
  </si>
  <si>
    <t>ANCHUNDIA GUTIERREZ VICENTE AUGUSTO</t>
  </si>
  <si>
    <t>CADENERO</t>
  </si>
  <si>
    <t>ANDRADE GERMAN VICENTE</t>
  </si>
  <si>
    <t>AQUINO ORTEGA WILDEN UFREDO</t>
  </si>
  <si>
    <t>OPERADOR DE EXCAVADORA</t>
  </si>
  <si>
    <t>ARCE RODRIGUEZ LUIS ABRAHAN</t>
  </si>
  <si>
    <t>AYUDANTE DE OPERADOR</t>
  </si>
  <si>
    <t>AREVALO CASTRO EDUARDO RODOLFO</t>
  </si>
  <si>
    <t>AREVALO SOTOMAYOR CARLOS FERNANDO</t>
  </si>
  <si>
    <t>AREVALO TALLEDO NEIL VICENTE</t>
  </si>
  <si>
    <t>ARIADEL COBO RONALD ALBERTO</t>
  </si>
  <si>
    <t>ARIAS BAQUE MICHAEL ANDRES</t>
  </si>
  <si>
    <t>ARMIJOS AGUILAR GERARDO WELLINTON</t>
  </si>
  <si>
    <t>OPERADOR</t>
  </si>
  <si>
    <t>ARMIJOS AJILA LILIA NATALIA</t>
  </si>
  <si>
    <t>AUXILIAR DE ODONTOLOGIA</t>
  </si>
  <si>
    <t>ARMIJOS GUAMAN VICTOR OLLAGUE</t>
  </si>
  <si>
    <t>ARMIJOS MACAS JIMMY TRANQUILINO</t>
  </si>
  <si>
    <t>ARMIJOS TORO GUIDO ALVARO</t>
  </si>
  <si>
    <t>AYUDANTE DE EQUIPO DE ASFALTO</t>
  </si>
  <si>
    <t>ARROYO QUIÑONEZ JORGE LUIS</t>
  </si>
  <si>
    <t>PERFILERO</t>
  </si>
  <si>
    <t>ASTUDILLO SAMANIEGO JUAN BENITO</t>
  </si>
  <si>
    <t>AVEIGA AVILA ODON OLMEDO</t>
  </si>
  <si>
    <t>BALLADARES BRAVO CRISTHIAN MIGUEL</t>
  </si>
  <si>
    <t>BALLADARES FRANCO VICTOR MANUEL</t>
  </si>
  <si>
    <t>CHOFER DE VEHICULO LIVIANO</t>
  </si>
  <si>
    <t>BALSECA AGILA CARLOS ALBERTO</t>
  </si>
  <si>
    <t>AYUDANTE DE PLANTA TRITURACION</t>
  </si>
  <si>
    <t>BARRAGAN PIEDRA REYNELMO FELIPE</t>
  </si>
  <si>
    <t>BARROS MORENO CARLOS ALBERTO</t>
  </si>
  <si>
    <t>AYUDANTE DE MECANICA AUTOMOTRIZ</t>
  </si>
  <si>
    <t>BELDUMA BELDUMA CAYO ESVILIO</t>
  </si>
  <si>
    <t>BERMUDEZ VELOZ AGUSTIN RAMON</t>
  </si>
  <si>
    <t>BERNABE RAMIREZ RAUL EULOGIO</t>
  </si>
  <si>
    <t>AUXILIAR DE SERVICIOS</t>
  </si>
  <si>
    <t>BLACIO ROMERO DEYVI MIGUEL</t>
  </si>
  <si>
    <t>MECANICO AUTOMOTRIZ</t>
  </si>
  <si>
    <t>BORBOR ARMIJOS LUIS ALFREDO</t>
  </si>
  <si>
    <t>BOTERO TORRES JUAN DAVID</t>
  </si>
  <si>
    <t>AYUDANTE PLANTA DE ASFALTO</t>
  </si>
  <si>
    <t>BRAVO ROBLES ALCIDES FABIAN</t>
  </si>
  <si>
    <t>BRIONES IBARRA FRANCISCO DANIEL</t>
  </si>
  <si>
    <t>BRITO AVILA HECTOR OSWALDO</t>
  </si>
  <si>
    <t>BUESTAN GOMEZ JULIO CLAUDIO</t>
  </si>
  <si>
    <t>BUÑAY BUÑAY MARCO EFREN</t>
  </si>
  <si>
    <t>BURBANO CRISTHIAN DAVID</t>
  </si>
  <si>
    <t>BURGOS ARMIJOS RUBEN DARIO</t>
  </si>
  <si>
    <t>AYUDANTE DE VULCANIZADORA</t>
  </si>
  <si>
    <t>BUSTAMANTE ALVARADO JORGE MARVIONY</t>
  </si>
  <si>
    <t>BUSTAMANTE ESPINOZA JORGE ANTONIO</t>
  </si>
  <si>
    <t>BUSTAMANTE MACHUCA ANGEL ROCIO</t>
  </si>
  <si>
    <t>CABRERA MARIO HERNAN</t>
  </si>
  <si>
    <t>CABRERA TANDAZO DARWIN ROGELIO</t>
  </si>
  <si>
    <t>AYUDATE EQUIPO DE ASFALTO</t>
  </si>
  <si>
    <t>CACAO HERRERA JULIO ALBERTO</t>
  </si>
  <si>
    <t>CACERES SEGUNDO LEONARDO</t>
  </si>
  <si>
    <t>CAJAS CONDOY CARLOS MARCELINO</t>
  </si>
  <si>
    <t>CAMPOVERDE RUBIO WALTER ARNOLDO</t>
  </si>
  <si>
    <t>CAMPOVERDE TAPIA JOHN FERNANDO</t>
  </si>
  <si>
    <t>SUPERVISOR DE VIVEROS</t>
  </si>
  <si>
    <t>CANDO JUMBO MIGUEL BOLIVAR</t>
  </si>
  <si>
    <t>CAÑAR JOSE SERVILIO</t>
  </si>
  <si>
    <t>CARAGUAY FEIJOO GEOVANNY NICOLAS</t>
  </si>
  <si>
    <t>CARDENAS CARCHIPULLA JOHNNATAN RENE</t>
  </si>
  <si>
    <t>CARRASCO OLAYA OSWALDO</t>
  </si>
  <si>
    <t>CARRION COYAGO EDINSON FERNANDO</t>
  </si>
  <si>
    <t>CASQUETE ALARCON FRANCISCO GONZALO</t>
  </si>
  <si>
    <t>CASTILLO ENCALADA LEONARDO ANTONIO</t>
  </si>
  <si>
    <t>AYUDANTE DE EXCAVADORA</t>
  </si>
  <si>
    <t>CASTILLO ESPINOZA AMELIA MARIA</t>
  </si>
  <si>
    <t>AUXILIAR DE ENFERMERIA</t>
  </si>
  <si>
    <t>CASTILLO LAINES RAMIRO VALENTIN</t>
  </si>
  <si>
    <t>CASTILLO LOMBEIDA ESTUARDO ALEJANDRINO</t>
  </si>
  <si>
    <t>CASTILLO MOSCOSO VICTOR ANTONIO</t>
  </si>
  <si>
    <t>CEDEÑO GARCIA JACINTO RENE</t>
  </si>
  <si>
    <t>CEVALLOS ARISTEGA JHONNY ERNESTO</t>
  </si>
  <si>
    <t>CHALACO APONTE MARLON WILFRIDO</t>
  </si>
  <si>
    <t>CHANTERA GARCIA JONATHAN JOEL</t>
  </si>
  <si>
    <t>CHAVEZ ALAÑA DIEGO XAVIER</t>
  </si>
  <si>
    <t>INSPECTOR OPERATIVO DE TALLER VEHICULAR</t>
  </si>
  <si>
    <t>CHAVEZ MACAS EDUARDO ALBERTO</t>
  </si>
  <si>
    <t>JORNALERO</t>
  </si>
  <si>
    <t>CHERREZ PAREDES JOSE ANTONIO</t>
  </si>
  <si>
    <t>CHICA CARDENAS LUIS ARMANDO</t>
  </si>
  <si>
    <t>CHILLOGALLO PINOS LUIS ANTONIO</t>
  </si>
  <si>
    <t>CHUMO MERA ESTUARDO UBERTO</t>
  </si>
  <si>
    <t>COELLO SAMANIEGO ROMEL OLIMPO</t>
  </si>
  <si>
    <t>SOLDADOR</t>
  </si>
  <si>
    <t>CONDOY HURTADO ANGEL ALBERTANO</t>
  </si>
  <si>
    <t>CORONEL LALVAY PATRICIO ORLANDO</t>
  </si>
  <si>
    <t>CORONEL LANDIN MARLON RONAN</t>
  </si>
  <si>
    <t>CORONEL LEON MARCEL RENE</t>
  </si>
  <si>
    <t>CORONEL LOPEZ IVAN MARCELO</t>
  </si>
  <si>
    <t>CORONEL SANCHEZ ALEX HUMBERTO</t>
  </si>
  <si>
    <t>CORONEL SANCHEZ MANUEL ISRAEL</t>
  </si>
  <si>
    <t>INSPECTOR DE SEGURIDAD</t>
  </si>
  <si>
    <t>CORONEL VASQUEZ MIGUEL ALBERTO</t>
  </si>
  <si>
    <t>CORREA VERA CARLOS SILVINO</t>
  </si>
  <si>
    <t>CRUZ ARIAS LUIS ENRIQUE</t>
  </si>
  <si>
    <t>CRUZ BARRIGA DOUGLAS JONATHAN</t>
  </si>
  <si>
    <t>OPERADOR DE RETROEXCAVADORA</t>
  </si>
  <si>
    <t>CRUZ CAICEDO ALEX VICTORIANO</t>
  </si>
  <si>
    <t>CRUZ ESPINOZA LUIS EDUARDO</t>
  </si>
  <si>
    <t>CRUZ TORRES JOSE MERCEDES</t>
  </si>
  <si>
    <t>CUERO CHICHANDE SEGUNDO NARCILO</t>
  </si>
  <si>
    <t>CUEVA BUSTAMANTE OSCAR KENEDY</t>
  </si>
  <si>
    <t>GUARDIAN OPERADOR</t>
  </si>
  <si>
    <t>CUEVA DE LA PAZ MARIO AUGUSTO</t>
  </si>
  <si>
    <t>CUMBICOS CUMBICOS HUGO BOLIVAR</t>
  </si>
  <si>
    <t>DAVILA PARDO MANUEL JACINTO</t>
  </si>
  <si>
    <t>DELGADO MURILLO LUIS MIGUEL</t>
  </si>
  <si>
    <t>DIAGO CHOEZ ALIRIO TEOFILO</t>
  </si>
  <si>
    <t>DIAZ DIAZ EUSEBIO</t>
  </si>
  <si>
    <t>DIAZ DIAZ MANUEL FERNANDO</t>
  </si>
  <si>
    <t>DIAZ JARAMILLO GIL ARTURO</t>
  </si>
  <si>
    <t>ECHEVERRIA SERRANO ARTURO HIPOLITO</t>
  </si>
  <si>
    <t>ELIZALDE REYES JOSE LUIS</t>
  </si>
  <si>
    <t>TECNICO DE SONIDO</t>
  </si>
  <si>
    <t>ERAZO GARCIA SEGUNDO JOSE</t>
  </si>
  <si>
    <t>ESPINAR CHICA DARWIN ANTONIO</t>
  </si>
  <si>
    <t>ESPINOZA BERSOSA HUGO FERNANDO</t>
  </si>
  <si>
    <t>ESPINOZA ENCARNACION ELICIO ENRIQUE</t>
  </si>
  <si>
    <t>ESPINOZA MAZA MAURICIO JAVIER</t>
  </si>
  <si>
    <t>ESPINOZA RIOFRIO MARLON ESTEFAN</t>
  </si>
  <si>
    <t>ESTACIO ANGULO MANUEL JESUS</t>
  </si>
  <si>
    <t>FARIAS ARMIJOS CHRISTOPHER FERNANDO</t>
  </si>
  <si>
    <t>FEIJOO ESPINOZA SEGUNDO AJENOR</t>
  </si>
  <si>
    <t>FEIJOO LOAYZA WILSON EDUARDO</t>
  </si>
  <si>
    <t>FERNANDEZ BUELE HIPOLITO DE JESUS</t>
  </si>
  <si>
    <t>FLORES BENALCAZAR JORGE AQUILES</t>
  </si>
  <si>
    <t>GALARZA ESPINOZA OSCAR EFREN</t>
  </si>
  <si>
    <t>AYUDANTE DE LA PLANTA DE MADURACION</t>
  </si>
  <si>
    <t>GARCES LOAYZA LUIS FERNANDO</t>
  </si>
  <si>
    <t>GARCIA PAREDES GABRIEL FRANCISCO</t>
  </si>
  <si>
    <t>GARZON AGUILAR CARLOS JOSE</t>
  </si>
  <si>
    <t>GOMEZ QUILAMBAQUI SAMUEL DAVID</t>
  </si>
  <si>
    <t>GONSAGA CORDOVA EMILIO FLORESMILO</t>
  </si>
  <si>
    <t>GONZALES CRESPO JUAN HUMBERTO</t>
  </si>
  <si>
    <t>GONZALEZ ALVARADO PEDRO LUIS</t>
  </si>
  <si>
    <t>GUARDIAN ADMINISTRATIVO</t>
  </si>
  <si>
    <t>GONZALEZ ARAGON ALBERTO XAVIER</t>
  </si>
  <si>
    <t>GONZALEZ AVILA JOSE MAXIMINO</t>
  </si>
  <si>
    <t>GONZALEZ CARRION GEORGE JINSOP</t>
  </si>
  <si>
    <t>GONZALEZ ROMERO GERMAN AUGUSTO</t>
  </si>
  <si>
    <t>GONZALEZ VALVERDE CARLOS ALBERTO</t>
  </si>
  <si>
    <t>GRANDA RIOFRIO DIGNO CLAUDIO</t>
  </si>
  <si>
    <t>GRANIZO REYES GILBERTO ALFREDO</t>
  </si>
  <si>
    <t>GUAILLAS ROMERO JESUS JERONIMO</t>
  </si>
  <si>
    <t>GUAILLAS ROMERO LEANDRO ABELINO</t>
  </si>
  <si>
    <t>GUAMAN ORDOÑEZ MARLON ALBERTO</t>
  </si>
  <si>
    <t>GUAMAN OROZCO MANUEL DE JESUS</t>
  </si>
  <si>
    <t>GUARNIZO FIGUEROA ALEXANDRO HERIBERTO</t>
  </si>
  <si>
    <t>GUARNIZO LIMA CARLOS WILSON</t>
  </si>
  <si>
    <t>AUXILIAR DE INGENIERIA</t>
  </si>
  <si>
    <t>GUERRERO MIERES JAVIER PATRICIO</t>
  </si>
  <si>
    <t>HERNANDEZ GOMEZ RICARDO JAVIER</t>
  </si>
  <si>
    <t>HERRERA CASTILLO MANUEL DE LA CRUZ</t>
  </si>
  <si>
    <t>HONORES CORDOVEZ MANUEL DE JESUS</t>
  </si>
  <si>
    <t>DESPACHADOR - RECIBIDOR</t>
  </si>
  <si>
    <t>HONORES PINTADO DULIS DANNI</t>
  </si>
  <si>
    <t>HONORES RUEDA EDISON RODRIGO</t>
  </si>
  <si>
    <t>IMAICELA HERRERA FRANKLIN URBANO</t>
  </si>
  <si>
    <t>JARAMILLO ESCALANTE RODOLFO OLMEDO</t>
  </si>
  <si>
    <t>AYUDANTE DE SERVICIOS ADMINISTRATIVO</t>
  </si>
  <si>
    <t>JARAMILLO HERRERA ANGEL SANTIAGO</t>
  </si>
  <si>
    <t>JIMENEZ ALVAREZ KLEVER VICENTE</t>
  </si>
  <si>
    <t>JIMENEZ HIDALGO JHONNY ALBERTO</t>
  </si>
  <si>
    <t>JIMENEZ MOLINA AMADO ISAURO</t>
  </si>
  <si>
    <t>JIMENEZ MOLINA EDGAR AMADOR</t>
  </si>
  <si>
    <t>JIMENEZ MOLINA JOSE FERNANDO</t>
  </si>
  <si>
    <t>JIMENEZ TORRES FABIAN MARK</t>
  </si>
  <si>
    <t>JORDAN SUAREZ MERCY EDYTH</t>
  </si>
  <si>
    <t>JUCA GALLEGOS CARLOS WILLIAM</t>
  </si>
  <si>
    <t>LALANGUI JIMENEZ VICTOR GONZALO</t>
  </si>
  <si>
    <t>LAPO ALBARRACIN JOSE GEOVANNI</t>
  </si>
  <si>
    <t>GUARDABOSQUE</t>
  </si>
  <si>
    <t>LEON LINO RAUL TEODORO</t>
  </si>
  <si>
    <t>LEON PATIÑO MANUEL LAUTARO</t>
  </si>
  <si>
    <t>LEON RODRIGUEZ DARWING JAVIER</t>
  </si>
  <si>
    <t>LEON ULLAGUARI EDISON JASMANI</t>
  </si>
  <si>
    <t>LEON VEGA WASHINGTON GUILLERMO</t>
  </si>
  <si>
    <t>LOAIZA CALERO WASHINGTON ENRIQUE</t>
  </si>
  <si>
    <t>LOAYZA LOAYZA ELEND DANIEL</t>
  </si>
  <si>
    <t>LOAYZA RODAS MILTON FABRICIO</t>
  </si>
  <si>
    <t>LOJA LLAGUARIMA LUIS ALCIVIADES</t>
  </si>
  <si>
    <t>LOPEZ FEIJOO PABLO ANDRES</t>
  </si>
  <si>
    <t>LOZANO ADRIAN MIGUEL WENCESLAO</t>
  </si>
  <si>
    <t>LUNA AGUILAR AUDY ROBERTO</t>
  </si>
  <si>
    <t>LUNA MENDOZA EVER ELIAS</t>
  </si>
  <si>
    <t>AYUDANTE DE BODEGA</t>
  </si>
  <si>
    <t>LUZURIAGA RECALDE MIGUEL ARTURO</t>
  </si>
  <si>
    <t>LUZURIAGA VARGAS JOSE FELIPE</t>
  </si>
  <si>
    <t>MACANCHI BLACIO CARLOS GEOVANNY</t>
  </si>
  <si>
    <t>MACANCHI CHAMBA DARWIN ALBERTO</t>
  </si>
  <si>
    <t>ASISTENTE DE INGENIERIA</t>
  </si>
  <si>
    <t>MACAS AZANZA ERROL FRANSI</t>
  </si>
  <si>
    <t>AYUDANTE DE MECANICA</t>
  </si>
  <si>
    <t>MACIAS ROBLES EDGAR GEOVANNY</t>
  </si>
  <si>
    <t>MALDONADO CHUCHUCA LUIS ARMANDO</t>
  </si>
  <si>
    <t>MARTINEZ GONZALEZ DANNY ALFREDO</t>
  </si>
  <si>
    <t>MARURI AREVALO JOSELITO NARDO</t>
  </si>
  <si>
    <t>MATAMOROS ORDOÑEZ MILTON DANIEL</t>
  </si>
  <si>
    <t>MEDINA CAÑOLA GABRIEL NARCISO</t>
  </si>
  <si>
    <t>MEDINA LEON JORGE LUIS</t>
  </si>
  <si>
    <t>MEDINA LEON ROLANDO JAVIER</t>
  </si>
  <si>
    <t>MEJIA VASQUEZ ANGEL JARRISSON</t>
  </si>
  <si>
    <t>MENA AVILA SEGUNDO BENITO</t>
  </si>
  <si>
    <t>MENDIETA LOZANO DANIEL EDUARDO</t>
  </si>
  <si>
    <t>MENDOZA CABRERA KLEBER ROLANDO</t>
  </si>
  <si>
    <t>MENDOZA VARGAS KETTY ALEXANDRA</t>
  </si>
  <si>
    <t>AUXILIAR DE LABORATORIO</t>
  </si>
  <si>
    <t>MERA PEÑARRETA MARCO LEONARDO</t>
  </si>
  <si>
    <t>MERCHAN VASQUEZ ENRY LEONARDO</t>
  </si>
  <si>
    <t>MONTALVAN ROMERO JOSE ALEXANDER</t>
  </si>
  <si>
    <t>MONTAÑO AGUIRRE FELIX MANUEL</t>
  </si>
  <si>
    <t>MORALES JAUREGUI JAIME FERNANDO</t>
  </si>
  <si>
    <t>TECNICO DE AUDIO Y SONIDO</t>
  </si>
  <si>
    <t>MORAN QUINTO YTREL MANUEL</t>
  </si>
  <si>
    <t>MORAN VASQUEZ DEMETRIO ANTONIO</t>
  </si>
  <si>
    <t>MOROCHO PACHECO MANUEL GEOVANY</t>
  </si>
  <si>
    <t>MOROCHO ULLOA HECTOR RAFAEL</t>
  </si>
  <si>
    <t>MOSCOSO BURGOS ALCIBIADES WESTER</t>
  </si>
  <si>
    <t>MOSQUERA JIMENEZ OLMEDO JOSE</t>
  </si>
  <si>
    <t>MURQUINCHO CUENCA AUGUSTO MICHAEL</t>
  </si>
  <si>
    <t>NOBOA FLORES FRANKLIN BON</t>
  </si>
  <si>
    <t>OCAMPO CARRION JORGE OSWALDO</t>
  </si>
  <si>
    <t>ORDOÑEZ ARMIJOS FREDDY BENIGNO</t>
  </si>
  <si>
    <t>ORDOÑEZ CUEVA MANUEL FAUSTINO</t>
  </si>
  <si>
    <t>ORDOÑEZ ESPINOZA DANNY XAVIER</t>
  </si>
  <si>
    <t>ORDOÑEZ OCHOA JOSE ANTONIO</t>
  </si>
  <si>
    <t>ORDOÑEZ RAMIREZ BYRON ARTURO</t>
  </si>
  <si>
    <t>ORDOÑEZ ROMAN JOSE RIGOBERTO</t>
  </si>
  <si>
    <t>ORDOÑEZ VALERO BADY GABRIEL</t>
  </si>
  <si>
    <t>AUXILIAR DE FARMACIA</t>
  </si>
  <si>
    <t>ORELLANA SARI BRAULIO ERNESTO</t>
  </si>
  <si>
    <t>ORTEGA CORDOVA JOSE JACINTO</t>
  </si>
  <si>
    <t>PACCHA CHUQUIMARCA VICTOR CARLOS MARCELINO</t>
  </si>
  <si>
    <t>PALACIO CHICHANDE ERNESTO</t>
  </si>
  <si>
    <t>PALACIOS HERRERA EULER STALIN</t>
  </si>
  <si>
    <t>PALADINES ASTUDILLO HERMEN RODOLFO</t>
  </si>
  <si>
    <t>PALADINES ASTUDILLO ROLANDO JAVIER</t>
  </si>
  <si>
    <t>PALADINES RAMIREZ NESTOR ENRIQUE</t>
  </si>
  <si>
    <t>PALMA VARGAS ALCIDES GONZALO</t>
  </si>
  <si>
    <t>PAMBI DIAZ JUAN SALVADOR</t>
  </si>
  <si>
    <t>PARRALES CARREÑO CARLOS GUSTAVO</t>
  </si>
  <si>
    <t>PAZMIÑO ARMIJOS MIGUEL ANGEL</t>
  </si>
  <si>
    <t>PEÑA MORA ALEJANDRO JUVENTINO</t>
  </si>
  <si>
    <t>PEREZ FIERRO VICTOR HUGO</t>
  </si>
  <si>
    <t>PEREZ MORAN PATRICIO RENAN</t>
  </si>
  <si>
    <t>PEREZ RUIZ PABLO XAVIER</t>
  </si>
  <si>
    <t>PINEDA VALAREZO CARLOS MANUEL</t>
  </si>
  <si>
    <t>PIZARRO BARREZUETA EITHEL ALFREDO</t>
  </si>
  <si>
    <t>POLO ARMIJOS JUAN GUILLERMO</t>
  </si>
  <si>
    <t>PROCEL RAMIREZ JAIME ARTURO</t>
  </si>
  <si>
    <t>PULLAGUARI QUEZADA GERMAN ASUNCION</t>
  </si>
  <si>
    <t>QUEVEDO FELIX MANRIQUE</t>
  </si>
  <si>
    <t>QUEVEDO PRIETO LEWIS DOUGLAS</t>
  </si>
  <si>
    <t>QUEZADA ALVAREZ PETER ANDY</t>
  </si>
  <si>
    <t>QUEZADA ARIAS FAUSTO WILMER</t>
  </si>
  <si>
    <t>QUEZADA ORTIZ LUIS FERNANDO</t>
  </si>
  <si>
    <t>QUEZADA ZATAMA FABIAN ALEJANDRO</t>
  </si>
  <si>
    <t>QUIMBA TITUANA PABLO RAUL</t>
  </si>
  <si>
    <t>QUINDE ZAMBRANO JOSE ALFREDO</t>
  </si>
  <si>
    <t>RAMIREZ ESPINOZA MARIO FABIAN</t>
  </si>
  <si>
    <t>RAMIREZ OYOLA MARCELO JAIR</t>
  </si>
  <si>
    <t>RAMIREZ TORREZ CESAR HERIBERTO</t>
  </si>
  <si>
    <t>OPERADOR PLANTA DE TRITURACION</t>
  </si>
  <si>
    <t>RAMON ESPINOZA ANGEL JACINTO</t>
  </si>
  <si>
    <t>RAMON RODRIGUEZ FREDDY FERNANDO</t>
  </si>
  <si>
    <t>RENTERIA HERRERA GLORIA ELIZABETH</t>
  </si>
  <si>
    <t>REYES QUIÑONEZ OSWALDO ANDRES</t>
  </si>
  <si>
    <t>RIOFRIO CORREA GALO EFREN</t>
  </si>
  <si>
    <t>RIVAS PEÑA RAFAEL ROBERTO</t>
  </si>
  <si>
    <t>RIVERA HUANCA RODRIGO FERNANDO</t>
  </si>
  <si>
    <t>RODAS JARAMILLO JOHN PIERRE</t>
  </si>
  <si>
    <t>RODRIGUEZ ZHIGUE EDUARDO OSWALDO</t>
  </si>
  <si>
    <t>RODRIGUEZ ZHIGUE FULBIO NELSO</t>
  </si>
  <si>
    <t>ROMAN FEIJOO RICHARD CARLOS</t>
  </si>
  <si>
    <t>ROMERO AGUILAR PEDRO FABRICIO</t>
  </si>
  <si>
    <t>ROMERO APOLO BRAYAN HERNAN</t>
  </si>
  <si>
    <t>ROMERO BORBOR DIONISIO JOSE</t>
  </si>
  <si>
    <t>ROMERO FRANCISCO HERNAN</t>
  </si>
  <si>
    <t>ROMERO MONCADA JIMER DE JESUS</t>
  </si>
  <si>
    <t>ROMERO ORDOÑEZ HERMAN ALFREDO</t>
  </si>
  <si>
    <t>ROMERO ROBLES CHRISTIAN YASMANI</t>
  </si>
  <si>
    <t>SAENZ ALVARADO JAXSON RAYMUNDI</t>
  </si>
  <si>
    <t>SALAZAR BARROS LUIS MEDARDO</t>
  </si>
  <si>
    <t>SALINAS ERREYES JUAN JOHNNY</t>
  </si>
  <si>
    <t>SALINAS MACAS MANUEL JORGE</t>
  </si>
  <si>
    <t>SAMANIEGO APOLO JOSE LUIS</t>
  </si>
  <si>
    <t>SANCHEZ AGUILAR MANUEL RUBEN</t>
  </si>
  <si>
    <t>SANCHEZ AREVALO ZOILO MANUEL</t>
  </si>
  <si>
    <t>SANCHEZ DIAZ ANDRES MARCELO</t>
  </si>
  <si>
    <t>SANCHEZ DIAZ MANUEL RUBEN</t>
  </si>
  <si>
    <t>SANCHEZ ELIZALDE FELIPE ALFREDO</t>
  </si>
  <si>
    <t>SANCHEZ LEON CARLOS FRANCISCO</t>
  </si>
  <si>
    <t>SANDOVAL CARRERA KLEN ELVIS</t>
  </si>
  <si>
    <t>SANDOVAL GALARZA CESAR ALEJANDRO</t>
  </si>
  <si>
    <t>SANMARTIN RAMON ANGEL FERNANDO</t>
  </si>
  <si>
    <t>SANTANA BUELE JUAN CARLOS</t>
  </si>
  <si>
    <t>SANTOS BRAVO ISRAEL ANTONIO</t>
  </si>
  <si>
    <t>SANTOS BRAVO LUIS JOSE</t>
  </si>
  <si>
    <t>SANTOS PUCHA EDGAR ROLANDO</t>
  </si>
  <si>
    <t>SARANGO CARRILLO EDISON PAUL</t>
  </si>
  <si>
    <t>SEDAMANOS CASTILLO JORGE HERALDO</t>
  </si>
  <si>
    <t>SEGARRA QUIÑONEZ JUAN PATRICIO</t>
  </si>
  <si>
    <t>SIGCHO ESTUPIÑAN RODOLFO GILBERTO</t>
  </si>
  <si>
    <t>SIGUENZA VEGA EDISON JAVIER</t>
  </si>
  <si>
    <t>SOL PUTAN PAUL GEOVANNY</t>
  </si>
  <si>
    <t>AYUDANTE DE TANQUERO IMPRIMADOR</t>
  </si>
  <si>
    <t>SOLANO LEON CARLOS EDUARDO</t>
  </si>
  <si>
    <t>SOLORZANO BOHORQUEZ WILSON RONALD</t>
  </si>
  <si>
    <t>SOLORZANO CUCALON JOSE ALBERTO</t>
  </si>
  <si>
    <t>SOTO BALLADARES STEVEN MANOLO</t>
  </si>
  <si>
    <t>SUAREZ RODAS WILLIAM GERARDO</t>
  </si>
  <si>
    <t>SUQUILANDA MACAS DIEGO MANUEL</t>
  </si>
  <si>
    <t>AYUDANTE DE CUADRILLA</t>
  </si>
  <si>
    <t>SUQUILANDA MACAS LUIS OSCAR</t>
  </si>
  <si>
    <t>TENE AULLA HUMBERTO</t>
  </si>
  <si>
    <t>TENEZACA ROMERO HERNAN EDUARDO</t>
  </si>
  <si>
    <t>TINITANA SANDOVAL VICTOR MANUEL</t>
  </si>
  <si>
    <t>TIZON MALDONADO JAIME VICENTE</t>
  </si>
  <si>
    <t>TOLEDO ROMAN JORGE LUIS</t>
  </si>
  <si>
    <t>TORO AGUILAR JOSE LUIS</t>
  </si>
  <si>
    <t>AYUDANTE DE INGENIERIA</t>
  </si>
  <si>
    <t>TORO VARGAS RICHARD FERNANDO</t>
  </si>
  <si>
    <t>TORRES WALTER BOLIVAR</t>
  </si>
  <si>
    <t>ULLAURI ASTUDILLO BOLIVAR ALFREDO</t>
  </si>
  <si>
    <t>VACA TANDAZO EDWIN JHONNY</t>
  </si>
  <si>
    <t>VALAREZO PARDO JOSE ALBERTO</t>
  </si>
  <si>
    <t>VALLADOLID GONZALO IVAN</t>
  </si>
  <si>
    <t>VALVERDE TOCTO FREDI HONORATO</t>
  </si>
  <si>
    <t>VARGAS GODOY RENE ROBERTINO</t>
  </si>
  <si>
    <t>VASQUEZ CARDENAS BAYRON GOMER</t>
  </si>
  <si>
    <t>VASQUEZ RAMON HUMBERTO RENE</t>
  </si>
  <si>
    <t>VEGA JIMENEZ MANUEL ALCIDES</t>
  </si>
  <si>
    <t>VEGA SALCEDO ANGEL MAURICIO</t>
  </si>
  <si>
    <t>VELEZ MATOS JUAN DOMINGO</t>
  </si>
  <si>
    <t>VERA BRAVO VICTOR FREDDY</t>
  </si>
  <si>
    <t>VERA GUAMAN VICTOR MANUEL</t>
  </si>
  <si>
    <t>VERA YUNGA MARCO EDISON</t>
  </si>
  <si>
    <t>VIVANCO HERRERA EDGAR JOSE</t>
  </si>
  <si>
    <t>YAGUANA ACARO MIGUEL ANGEL</t>
  </si>
  <si>
    <t>YANAYACO COELLO JOHANNA</t>
  </si>
  <si>
    <t>PARAMEDICO</t>
  </si>
  <si>
    <t>YANEZ ORDOÑEZ JUAN ALBERTO</t>
  </si>
  <si>
    <t>YASELGA YAMUNAQUE DESIDERIO ELEXTOR</t>
  </si>
  <si>
    <t>ZAMBRANO BALSECA CARLOS MIGUEL</t>
  </si>
  <si>
    <t>ZAMBRANO CAMPOVERDE LIBENTON RODOLFO</t>
  </si>
  <si>
    <t>ZAMBRANO CRESPIN SIXTO MANUEL</t>
  </si>
  <si>
    <t>ZAMBRANO LUCAS FRANCISCO YIMER</t>
  </si>
  <si>
    <t>ZAPATA OLIVERO FRANKLIN EDUARDO</t>
  </si>
  <si>
    <t>ZAPATA OLIVERO RICAUTER FULTON</t>
  </si>
  <si>
    <t>ZEA FARIAS RICARDO JAVIER</t>
  </si>
  <si>
    <t>ZUMBA CALDERON GALO OSWALDO</t>
  </si>
  <si>
    <t>ZUÑIGA DOMINGUEZ WINSTON FELIPE</t>
  </si>
  <si>
    <t xml:space="preserve"> </t>
  </si>
  <si>
    <t>Funcionario</t>
  </si>
  <si>
    <t>SMUnificado</t>
  </si>
  <si>
    <t>Sub.antig.</t>
  </si>
  <si>
    <t>Sub.fam</t>
  </si>
  <si>
    <t>Total=&gt;</t>
  </si>
  <si>
    <t>Fecha_Nacimiento</t>
  </si>
  <si>
    <t>Nombre_Banco</t>
  </si>
  <si>
    <t>Tipo_Cuenta</t>
  </si>
  <si>
    <t>NumCuenta</t>
  </si>
  <si>
    <t>Proyecto</t>
  </si>
  <si>
    <t>Fecha_Ingeso</t>
  </si>
  <si>
    <t>Fecha_Salida</t>
  </si>
  <si>
    <t>Fecha_ReIngreso</t>
  </si>
  <si>
    <t>AH</t>
  </si>
  <si>
    <t>BANCO DE MACHALA</t>
  </si>
  <si>
    <t>SECRETARIA DE OBRAS PUBLICAS</t>
  </si>
  <si>
    <t>BANCO PICHINCHA</t>
  </si>
  <si>
    <t>SECRETARIA DE RECURSOS HIDRICOS</t>
  </si>
  <si>
    <t>ACTIVIDAD CENTRAL</t>
  </si>
  <si>
    <t>SECRETARIA ADMINISTRATIVA</t>
  </si>
  <si>
    <t>ALVAREZ PEREZ FELIX WALTER</t>
  </si>
  <si>
    <t>BANCO GUAYAQUIL</t>
  </si>
  <si>
    <t>SECRETARIA DE ATENCION PRIORITARIA Y DESARROLLO SOCIAL</t>
  </si>
  <si>
    <t>BANCO GENERAL RUMIÑAHUI</t>
  </si>
  <si>
    <t>SECRETARIA DE ESTUDIOS Y PROYECTOS</t>
  </si>
  <si>
    <t>SECRETARIA DE FISCALIZACION</t>
  </si>
  <si>
    <t>BLACIO AGUILAR MIGUEL ANGEL</t>
  </si>
  <si>
    <t>BANCO DEL PACIFICO</t>
  </si>
  <si>
    <t>BANCO BANECUADOR</t>
  </si>
  <si>
    <t>CORONEL ALVAREZ CARLOS ALBERTO</t>
  </si>
  <si>
    <t>CORREA DURAN LUIS ALCIVAR</t>
  </si>
  <si>
    <t>BANCO DEL AUSTRO</t>
  </si>
  <si>
    <t>SECRETARIA DE TALENTO HUMANO</t>
  </si>
  <si>
    <t>BANCO DE LOJA</t>
  </si>
  <si>
    <t>LUNA UNUZUNGO JAIME KLEBER</t>
  </si>
  <si>
    <t>SECRETARIA DE GESTION AMBIENTAL</t>
  </si>
  <si>
    <t>OLVERA MUÑOZ LUIS ANIBAL</t>
  </si>
  <si>
    <t>BANCO BOLIVARIANO</t>
  </si>
  <si>
    <t>PIEDRA RAMIREZ LUIS ARTURO</t>
  </si>
  <si>
    <t>POVEDA SALTOS RODRIGO</t>
  </si>
  <si>
    <t>PRECILLA LAINES PEDRO ALBERTO</t>
  </si>
  <si>
    <t>DESPACHADOR DE COMBUSTIBLE</t>
  </si>
  <si>
    <t>SANMARTIN RAMON JAVIER ENRIQUE</t>
  </si>
  <si>
    <t>TINOCO RIVAS CARLOS MANUEL</t>
  </si>
  <si>
    <t>VELIZ SUASTEGUI JOSE MIGUEL</t>
  </si>
  <si>
    <t>VERA ALVAREZ NESTOR SALOMON</t>
  </si>
  <si>
    <t>VILELA ARMIJOS NICANOR SEGUNDO</t>
  </si>
  <si>
    <t>COOP. JEP</t>
  </si>
  <si>
    <t>COOP. ONCE DE JUNIO</t>
  </si>
  <si>
    <t>COOP.JARDIN AZUAYO</t>
  </si>
  <si>
    <t>COOP.STA.ROSA</t>
  </si>
  <si>
    <t>SECRETARIA DE DESARROLLO PRODUCTIVO Y AGROPECUARIO</t>
  </si>
  <si>
    <t>SECRETARIA TRANSPORTES Y MANTENIMIENTO</t>
  </si>
  <si>
    <t>No.</t>
  </si>
  <si>
    <t>Apellidos _ Nombres</t>
  </si>
  <si>
    <t>Cédula</t>
  </si>
  <si>
    <t>RMU desde 01 enero 2016 hasta 31 diciembre 2016</t>
  </si>
  <si>
    <t>Acuerdo Ministerial 2015-0054</t>
  </si>
  <si>
    <t>NUEVA RMU 2016</t>
  </si>
  <si>
    <t>Incremento</t>
  </si>
  <si>
    <t>Denominación de puestos según Acuerdo Ministerial 2015-0054</t>
  </si>
  <si>
    <t xml:space="preserve">GUARDIAN </t>
  </si>
  <si>
    <t>OPERADORES DE MAQUINARIAS O EQUIPO PESADO</t>
  </si>
  <si>
    <t>INSPECTOR DE COMPUERTAS DE AGUA POTABLE</t>
  </si>
  <si>
    <t>CONTROLADOR Y DESPACHADOR DE COMBUSTIBLE</t>
  </si>
  <si>
    <t>AYUDANTE DE TRITURADORA TERCIARIA</t>
  </si>
  <si>
    <t>AYUDANTE DE MECANICA DE EQUIPO Y/O MAQUINARIA</t>
  </si>
  <si>
    <t>AYUDANTE DE EQUIPO Y/O MAQUINARIA PESADA</t>
  </si>
  <si>
    <t>AYUDANTE DE VIA</t>
  </si>
  <si>
    <t xml:space="preserve">AYUDANTE DE CUADRILLA </t>
  </si>
  <si>
    <t>AYUDANTE DE TANQUERO</t>
  </si>
  <si>
    <t xml:space="preserve">OPERADOR DE TRITURADORA PRIMARIA </t>
  </si>
  <si>
    <t>Subsidio_Familiar</t>
  </si>
  <si>
    <t>Subsidio_antiguedad</t>
  </si>
  <si>
    <t>Servicio_Transporte</t>
  </si>
  <si>
    <t>Servicio_Alimentación</t>
  </si>
  <si>
    <t>Seguro_Vida</t>
  </si>
  <si>
    <t>Ropa_Trabajo</t>
  </si>
  <si>
    <t>Gran Total</t>
  </si>
  <si>
    <t>Total Incremento año 2016</t>
  </si>
  <si>
    <t>RMU_Acuerdo ministerial 2015-0054</t>
  </si>
  <si>
    <t>TECNICO EN SONIDO</t>
  </si>
  <si>
    <t>TOTAL:</t>
  </si>
  <si>
    <t>N° _Cargas</t>
  </si>
  <si>
    <t>N°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</si>
</sst>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0000000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3" tint="0.3999755851924192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43" fontId="2" fillId="0" borderId="0" xfId="1" applyFont="1"/>
    <xf numFmtId="43" fontId="0" fillId="0" borderId="0" xfId="1" applyFont="1"/>
    <xf numFmtId="0" fontId="3" fillId="0" borderId="0" xfId="0" applyFont="1"/>
    <xf numFmtId="164" fontId="3" fillId="0" borderId="0" xfId="0" applyNumberFormat="1" applyFont="1"/>
    <xf numFmtId="43" fontId="3" fillId="0" borderId="0" xfId="1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4" fillId="0" borderId="0" xfId="0" applyFont="1"/>
    <xf numFmtId="43" fontId="3" fillId="0" borderId="0" xfId="1" applyFont="1" applyAlignment="1">
      <alignment horizontal="center"/>
    </xf>
    <xf numFmtId="43" fontId="3" fillId="0" borderId="0" xfId="1" applyFont="1" applyFill="1"/>
    <xf numFmtId="0" fontId="3" fillId="0" borderId="0" xfId="0" applyFont="1" applyFill="1"/>
    <xf numFmtId="43" fontId="5" fillId="0" borderId="0" xfId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43" fontId="4" fillId="0" borderId="0" xfId="1" applyFont="1" applyFill="1"/>
    <xf numFmtId="0" fontId="5" fillId="0" borderId="1" xfId="0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 wrapText="1"/>
    </xf>
    <xf numFmtId="0" fontId="4" fillId="0" borderId="1" xfId="0" applyFont="1" applyFill="1" applyBorder="1"/>
    <xf numFmtId="164" fontId="4" fillId="0" borderId="1" xfId="0" applyNumberFormat="1" applyFont="1" applyFill="1" applyBorder="1"/>
    <xf numFmtId="14" fontId="4" fillId="0" borderId="1" xfId="0" applyNumberFormat="1" applyFont="1" applyFill="1" applyBorder="1"/>
    <xf numFmtId="43" fontId="4" fillId="0" borderId="1" xfId="1" applyFont="1" applyFill="1" applyBorder="1"/>
    <xf numFmtId="37" fontId="3" fillId="0" borderId="0" xfId="1" applyNumberFormat="1" applyFont="1" applyFill="1"/>
    <xf numFmtId="37" fontId="4" fillId="0" borderId="0" xfId="1" applyNumberFormat="1" applyFont="1" applyFill="1"/>
    <xf numFmtId="1" fontId="4" fillId="0" borderId="1" xfId="0" applyNumberFormat="1" applyFont="1" applyFill="1" applyBorder="1"/>
    <xf numFmtId="1" fontId="5" fillId="0" borderId="2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1" fontId="4" fillId="0" borderId="1" xfId="0" applyNumberFormat="1" applyFont="1" applyBorder="1"/>
    <xf numFmtId="43" fontId="4" fillId="0" borderId="1" xfId="1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1" xfId="0" applyNumberFormat="1" applyFont="1" applyFill="1" applyBorder="1"/>
    <xf numFmtId="14" fontId="4" fillId="2" borderId="1" xfId="0" applyNumberFormat="1" applyFont="1" applyFill="1" applyBorder="1"/>
    <xf numFmtId="1" fontId="4" fillId="2" borderId="1" xfId="0" applyNumberFormat="1" applyFont="1" applyFill="1" applyBorder="1"/>
    <xf numFmtId="43" fontId="4" fillId="2" borderId="1" xfId="1" applyFont="1" applyFill="1" applyBorder="1"/>
    <xf numFmtId="1" fontId="4" fillId="2" borderId="1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/>
    <xf numFmtId="0" fontId="6" fillId="0" borderId="1" xfId="0" applyFont="1" applyBorder="1"/>
    <xf numFmtId="1" fontId="6" fillId="0" borderId="1" xfId="0" applyNumberFormat="1" applyFont="1" applyBorder="1"/>
    <xf numFmtId="43" fontId="6" fillId="0" borderId="1" xfId="1" applyFont="1" applyBorder="1"/>
    <xf numFmtId="43" fontId="6" fillId="0" borderId="1" xfId="1" applyFont="1" applyFill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" fontId="4" fillId="0" borderId="0" xfId="0" applyNumberFormat="1" applyFont="1"/>
    <xf numFmtId="43" fontId="4" fillId="0" borderId="0" xfId="1" applyFont="1"/>
    <xf numFmtId="43" fontId="4" fillId="2" borderId="1" xfId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2" fontId="4" fillId="0" borderId="1" xfId="1" applyNumberFormat="1" applyFont="1" applyFill="1" applyBorder="1"/>
    <xf numFmtId="168" fontId="4" fillId="0" borderId="1" xfId="1" applyNumberFormat="1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4" fillId="0" borderId="0" xfId="1" applyFont="1" applyAlignment="1">
      <alignment horizontal="center"/>
    </xf>
    <xf numFmtId="43" fontId="5" fillId="0" borderId="2" xfId="1" applyFont="1" applyFill="1" applyBorder="1" applyAlignment="1">
      <alignment horizontal="center" vertical="center" wrapText="1"/>
    </xf>
    <xf numFmtId="43" fontId="5" fillId="0" borderId="3" xfId="1" applyFont="1" applyFill="1" applyBorder="1" applyAlignment="1">
      <alignment horizontal="center" vertical="center" wrapText="1"/>
    </xf>
    <xf numFmtId="37" fontId="5" fillId="0" borderId="2" xfId="1" applyNumberFormat="1" applyFont="1" applyFill="1" applyBorder="1" applyAlignment="1">
      <alignment horizontal="center" vertical="center" wrapText="1"/>
    </xf>
    <xf numFmtId="37" fontId="5" fillId="0" borderId="4" xfId="1" applyNumberFormat="1" applyFont="1" applyFill="1" applyBorder="1" applyAlignment="1">
      <alignment horizontal="center" vertical="center" wrapText="1"/>
    </xf>
    <xf numFmtId="43" fontId="5" fillId="0" borderId="2" xfId="1" applyFont="1" applyBorder="1" applyAlignment="1">
      <alignment horizontal="center" vertical="center" wrapText="1"/>
    </xf>
    <xf numFmtId="43" fontId="5" fillId="0" borderId="3" xfId="1" applyFont="1" applyBorder="1" applyAlignment="1">
      <alignment horizontal="center" vertical="center" wrapText="1"/>
    </xf>
    <xf numFmtId="37" fontId="4" fillId="0" borderId="1" xfId="1" applyNumberFormat="1" applyFont="1" applyFill="1" applyBorder="1"/>
    <xf numFmtId="2" fontId="4" fillId="2" borderId="1" xfId="1" applyNumberFormat="1" applyFont="1" applyFill="1" applyBorder="1"/>
    <xf numFmtId="37" fontId="4" fillId="2" borderId="1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4"/>
  <sheetViews>
    <sheetView topLeftCell="A40" workbookViewId="0">
      <selection activeCell="C19" sqref="C19"/>
    </sheetView>
  </sheetViews>
  <sheetFormatPr baseColWidth="10" defaultRowHeight="15" x14ac:dyDescent="0.25"/>
  <cols>
    <col min="2" max="2" width="11.42578125" style="3"/>
    <col min="3" max="3" width="41.28515625" customWidth="1"/>
    <col min="4" max="4" width="33.5703125" customWidth="1"/>
    <col min="5" max="11" width="11.42578125" style="5"/>
  </cols>
  <sheetData>
    <row r="1" spans="1:8" x14ac:dyDescent="0.25">
      <c r="A1" s="1"/>
      <c r="B1" s="2" t="s">
        <v>369</v>
      </c>
      <c r="C1" s="1" t="s">
        <v>370</v>
      </c>
      <c r="D1" s="1" t="s">
        <v>0</v>
      </c>
      <c r="E1" s="4" t="s">
        <v>371</v>
      </c>
      <c r="F1" s="4"/>
      <c r="G1" s="4" t="s">
        <v>372</v>
      </c>
      <c r="H1" s="4" t="s">
        <v>373</v>
      </c>
    </row>
    <row r="2" spans="1:8" x14ac:dyDescent="0.25">
      <c r="A2" s="1"/>
      <c r="B2" s="2">
        <v>704191030</v>
      </c>
      <c r="C2" s="1" t="s">
        <v>354</v>
      </c>
      <c r="D2" s="1" t="s">
        <v>38</v>
      </c>
      <c r="E2" s="4">
        <v>461</v>
      </c>
      <c r="F2" s="4"/>
      <c r="G2" s="4">
        <v>8.07</v>
      </c>
      <c r="H2" s="4"/>
    </row>
    <row r="3" spans="1:8" x14ac:dyDescent="0.25">
      <c r="A3" s="1"/>
      <c r="B3" s="2">
        <v>1001152253</v>
      </c>
      <c r="C3" s="1" t="s">
        <v>11</v>
      </c>
      <c r="D3" s="1" t="s">
        <v>10</v>
      </c>
      <c r="E3" s="4">
        <v>512.37</v>
      </c>
      <c r="F3" s="4"/>
      <c r="G3" s="4">
        <v>15.37</v>
      </c>
      <c r="H3" s="4">
        <v>18.3</v>
      </c>
    </row>
    <row r="4" spans="1:8" x14ac:dyDescent="0.25">
      <c r="A4" s="1"/>
      <c r="B4" s="2">
        <v>1702135599</v>
      </c>
      <c r="C4" s="1" t="s">
        <v>14</v>
      </c>
      <c r="D4" s="1" t="s">
        <v>10</v>
      </c>
      <c r="E4" s="4">
        <v>419</v>
      </c>
      <c r="F4" s="4"/>
      <c r="G4" s="4">
        <v>8.3800000000000008</v>
      </c>
      <c r="H4" s="4"/>
    </row>
    <row r="5" spans="1:8" x14ac:dyDescent="0.25">
      <c r="A5" s="1"/>
      <c r="B5" s="2">
        <v>704235530</v>
      </c>
      <c r="C5" s="1" t="s">
        <v>22</v>
      </c>
      <c r="D5" s="1" t="s">
        <v>10</v>
      </c>
      <c r="E5" s="4">
        <v>419</v>
      </c>
      <c r="F5" s="4"/>
      <c r="G5" s="4">
        <v>8.3800000000000008</v>
      </c>
      <c r="H5" s="4"/>
    </row>
    <row r="6" spans="1:8" x14ac:dyDescent="0.25">
      <c r="A6" s="1"/>
      <c r="B6" s="2">
        <v>800652497</v>
      </c>
      <c r="C6" s="1" t="s">
        <v>32</v>
      </c>
      <c r="D6" s="1" t="s">
        <v>10</v>
      </c>
      <c r="E6" s="4">
        <v>419</v>
      </c>
      <c r="F6" s="4"/>
      <c r="G6" s="4">
        <v>8.3800000000000008</v>
      </c>
      <c r="H6" s="4"/>
    </row>
    <row r="7" spans="1:8" x14ac:dyDescent="0.25">
      <c r="A7" s="1"/>
      <c r="B7" s="2">
        <v>701355794</v>
      </c>
      <c r="C7" s="1" t="s">
        <v>44</v>
      </c>
      <c r="D7" s="1" t="s">
        <v>10</v>
      </c>
      <c r="E7" s="4">
        <v>540.04</v>
      </c>
      <c r="F7" s="4"/>
      <c r="G7" s="4">
        <v>16.2</v>
      </c>
      <c r="H7" s="4"/>
    </row>
    <row r="8" spans="1:8" x14ac:dyDescent="0.25">
      <c r="A8" s="1"/>
      <c r="B8" s="2">
        <v>1202021588</v>
      </c>
      <c r="C8" s="1" t="s">
        <v>45</v>
      </c>
      <c r="D8" s="1" t="s">
        <v>10</v>
      </c>
      <c r="E8" s="4">
        <v>419</v>
      </c>
      <c r="F8" s="4"/>
      <c r="G8" s="4">
        <v>8.3800000000000008</v>
      </c>
      <c r="H8" s="4"/>
    </row>
    <row r="9" spans="1:8" x14ac:dyDescent="0.25">
      <c r="A9" s="1"/>
      <c r="B9" s="2">
        <v>703930958</v>
      </c>
      <c r="C9" s="1" t="s">
        <v>62</v>
      </c>
      <c r="D9" s="1" t="s">
        <v>10</v>
      </c>
      <c r="E9" s="4">
        <v>419</v>
      </c>
      <c r="F9" s="4"/>
      <c r="G9" s="4">
        <v>8.3800000000000008</v>
      </c>
      <c r="H9" s="4">
        <v>7.32</v>
      </c>
    </row>
    <row r="10" spans="1:8" ht="13.5" customHeight="1" x14ac:dyDescent="0.25">
      <c r="A10" s="1"/>
      <c r="B10" s="2">
        <v>701511701</v>
      </c>
      <c r="C10" s="1" t="s">
        <v>63</v>
      </c>
      <c r="D10" s="1" t="s">
        <v>10</v>
      </c>
      <c r="E10" s="4">
        <v>419</v>
      </c>
      <c r="F10" s="4"/>
      <c r="G10" s="4">
        <v>8.3800000000000008</v>
      </c>
      <c r="H10" s="4">
        <v>7.32</v>
      </c>
    </row>
    <row r="11" spans="1:8" x14ac:dyDescent="0.25">
      <c r="A11" s="1"/>
      <c r="B11" s="2">
        <v>101994598</v>
      </c>
      <c r="C11" s="1" t="s">
        <v>64</v>
      </c>
      <c r="D11" s="1" t="s">
        <v>10</v>
      </c>
      <c r="E11" s="4">
        <v>419</v>
      </c>
      <c r="F11" s="4"/>
      <c r="G11" s="4">
        <v>8.3800000000000008</v>
      </c>
      <c r="H11" s="4"/>
    </row>
    <row r="12" spans="1:8" x14ac:dyDescent="0.25">
      <c r="A12" s="1"/>
      <c r="B12" s="2">
        <v>704327436</v>
      </c>
      <c r="C12" s="1" t="s">
        <v>102</v>
      </c>
      <c r="D12" s="1" t="s">
        <v>10</v>
      </c>
      <c r="E12" s="4">
        <v>419</v>
      </c>
      <c r="F12" s="4"/>
      <c r="G12" s="4">
        <v>1.05</v>
      </c>
      <c r="H12" s="4"/>
    </row>
    <row r="13" spans="1:8" x14ac:dyDescent="0.25">
      <c r="A13" s="1"/>
      <c r="B13" s="2">
        <v>705360923</v>
      </c>
      <c r="C13" s="1" t="s">
        <v>103</v>
      </c>
      <c r="D13" s="1" t="s">
        <v>38</v>
      </c>
      <c r="E13" s="4">
        <v>447</v>
      </c>
      <c r="F13" s="4"/>
      <c r="G13" s="4">
        <v>8.94</v>
      </c>
      <c r="H13" s="4"/>
    </row>
    <row r="14" spans="1:8" x14ac:dyDescent="0.25">
      <c r="A14" s="1"/>
      <c r="B14" s="2">
        <v>703708396</v>
      </c>
      <c r="C14" s="1" t="s">
        <v>106</v>
      </c>
      <c r="D14" s="1" t="s">
        <v>10</v>
      </c>
      <c r="E14" s="4">
        <v>419</v>
      </c>
      <c r="F14" s="4"/>
      <c r="G14" s="4">
        <v>8.3800000000000008</v>
      </c>
      <c r="H14" s="4"/>
    </row>
    <row r="15" spans="1:8" x14ac:dyDescent="0.25">
      <c r="A15" s="1"/>
      <c r="B15" s="2">
        <v>701980443</v>
      </c>
      <c r="C15" s="1" t="s">
        <v>107</v>
      </c>
      <c r="D15" s="1" t="s">
        <v>108</v>
      </c>
      <c r="E15" s="4">
        <v>675</v>
      </c>
      <c r="F15" s="4"/>
      <c r="G15" s="4">
        <v>13.5</v>
      </c>
      <c r="H15" s="4"/>
    </row>
    <row r="16" spans="1:8" x14ac:dyDescent="0.25">
      <c r="A16" s="1"/>
      <c r="B16" s="2">
        <v>703130864</v>
      </c>
      <c r="C16" s="1" t="s">
        <v>120</v>
      </c>
      <c r="D16" s="1" t="s">
        <v>10</v>
      </c>
      <c r="E16" s="4">
        <v>419</v>
      </c>
      <c r="F16" s="4"/>
      <c r="G16" s="4">
        <v>8.3800000000000008</v>
      </c>
      <c r="H16" s="4">
        <v>7.32</v>
      </c>
    </row>
    <row r="17" spans="1:8" x14ac:dyDescent="0.25">
      <c r="A17" s="1"/>
      <c r="B17" s="2">
        <v>929312544</v>
      </c>
      <c r="C17" s="1" t="s">
        <v>151</v>
      </c>
      <c r="D17" s="1" t="s">
        <v>152</v>
      </c>
      <c r="E17" s="4">
        <v>419</v>
      </c>
      <c r="F17" s="4"/>
      <c r="G17" s="4">
        <v>1.05</v>
      </c>
      <c r="H17" s="4"/>
    </row>
    <row r="18" spans="1:8" x14ac:dyDescent="0.25">
      <c r="A18" s="1"/>
      <c r="B18" s="2">
        <v>703721266</v>
      </c>
      <c r="C18" s="1" t="s">
        <v>153</v>
      </c>
      <c r="D18" s="1" t="s">
        <v>10</v>
      </c>
      <c r="E18" s="4">
        <v>419</v>
      </c>
      <c r="F18" s="4"/>
      <c r="G18" s="4">
        <v>8.3800000000000008</v>
      </c>
      <c r="H18" s="4">
        <v>10.98</v>
      </c>
    </row>
    <row r="19" spans="1:8" x14ac:dyDescent="0.25">
      <c r="A19" s="1"/>
      <c r="B19" s="2">
        <v>702682618</v>
      </c>
      <c r="C19" s="1" t="s">
        <v>163</v>
      </c>
      <c r="D19" s="1" t="s">
        <v>10</v>
      </c>
      <c r="E19" s="4">
        <v>530.08000000000004</v>
      </c>
      <c r="F19" s="4"/>
      <c r="G19" s="4">
        <v>15.9</v>
      </c>
      <c r="H19" s="4">
        <v>7.32</v>
      </c>
    </row>
    <row r="20" spans="1:8" x14ac:dyDescent="0.25">
      <c r="A20" s="1"/>
      <c r="B20" s="2">
        <v>705149532</v>
      </c>
      <c r="C20" s="1" t="s">
        <v>185</v>
      </c>
      <c r="D20" s="1" t="s">
        <v>10</v>
      </c>
      <c r="E20" s="4">
        <v>419</v>
      </c>
      <c r="F20" s="4"/>
      <c r="G20" s="4">
        <v>8.3800000000000008</v>
      </c>
      <c r="H20" s="4"/>
    </row>
    <row r="21" spans="1:8" x14ac:dyDescent="0.25">
      <c r="A21" s="1"/>
      <c r="B21" s="2">
        <v>705149854</v>
      </c>
      <c r="C21" s="1" t="s">
        <v>197</v>
      </c>
      <c r="D21" s="1" t="s">
        <v>10</v>
      </c>
      <c r="E21" s="4">
        <v>419</v>
      </c>
      <c r="F21" s="4"/>
      <c r="G21" s="4">
        <v>7.33</v>
      </c>
      <c r="H21" s="4"/>
    </row>
    <row r="22" spans="1:8" x14ac:dyDescent="0.25">
      <c r="A22" s="1"/>
      <c r="B22" s="2">
        <v>701082836</v>
      </c>
      <c r="C22" s="1" t="s">
        <v>227</v>
      </c>
      <c r="D22" s="1" t="s">
        <v>10</v>
      </c>
      <c r="E22" s="4">
        <v>419</v>
      </c>
      <c r="F22" s="4"/>
      <c r="G22" s="4">
        <v>8.3800000000000008</v>
      </c>
      <c r="H22" s="4"/>
    </row>
    <row r="23" spans="1:8" x14ac:dyDescent="0.25">
      <c r="A23" s="1"/>
      <c r="B23" s="2">
        <v>702385881</v>
      </c>
      <c r="C23" s="1" t="s">
        <v>248</v>
      </c>
      <c r="D23" s="1" t="s">
        <v>10</v>
      </c>
      <c r="E23" s="4">
        <v>419</v>
      </c>
      <c r="F23" s="4"/>
      <c r="G23" s="4">
        <v>8.3800000000000008</v>
      </c>
      <c r="H23" s="4"/>
    </row>
    <row r="24" spans="1:8" x14ac:dyDescent="0.25">
      <c r="A24" s="1"/>
      <c r="B24" s="2">
        <v>702442096</v>
      </c>
      <c r="C24" s="1" t="s">
        <v>267</v>
      </c>
      <c r="D24" s="1" t="s">
        <v>10</v>
      </c>
      <c r="E24" s="4">
        <v>419</v>
      </c>
      <c r="F24" s="4"/>
      <c r="G24" s="4">
        <v>8.3800000000000008</v>
      </c>
      <c r="H24" s="4"/>
    </row>
    <row r="25" spans="1:8" x14ac:dyDescent="0.25">
      <c r="A25" s="1"/>
      <c r="B25" s="2">
        <v>704766609</v>
      </c>
      <c r="C25" s="1" t="s">
        <v>335</v>
      </c>
      <c r="D25" s="1" t="s">
        <v>10</v>
      </c>
      <c r="E25" s="4">
        <v>419</v>
      </c>
      <c r="F25" s="4"/>
      <c r="G25" s="4">
        <v>6.29</v>
      </c>
      <c r="H25" s="4"/>
    </row>
    <row r="26" spans="1:8" x14ac:dyDescent="0.25">
      <c r="A26" s="1"/>
      <c r="B26" s="2">
        <v>1705665006</v>
      </c>
      <c r="C26" s="1" t="s">
        <v>348</v>
      </c>
      <c r="D26" s="1" t="s">
        <v>10</v>
      </c>
      <c r="E26" s="4">
        <v>419</v>
      </c>
      <c r="F26" s="4"/>
      <c r="G26" s="4">
        <v>6.29</v>
      </c>
      <c r="H26" s="4"/>
    </row>
    <row r="27" spans="1:8" x14ac:dyDescent="0.25">
      <c r="A27" s="1"/>
      <c r="B27" s="2">
        <v>702801945</v>
      </c>
      <c r="C27" s="1" t="s">
        <v>364</v>
      </c>
      <c r="D27" s="1" t="s">
        <v>10</v>
      </c>
      <c r="E27" s="4">
        <v>419</v>
      </c>
      <c r="F27" s="4"/>
      <c r="G27" s="4">
        <v>8.3800000000000008</v>
      </c>
      <c r="H27" s="4">
        <v>7.32</v>
      </c>
    </row>
    <row r="28" spans="1:8" x14ac:dyDescent="0.25">
      <c r="A28" s="1"/>
      <c r="B28" s="2">
        <v>705867729</v>
      </c>
      <c r="C28" s="1" t="s">
        <v>308</v>
      </c>
      <c r="D28" s="1" t="s">
        <v>202</v>
      </c>
      <c r="E28" s="4">
        <v>561</v>
      </c>
      <c r="F28" s="4"/>
      <c r="G28" s="4">
        <v>7.01</v>
      </c>
      <c r="H28" s="4"/>
    </row>
    <row r="29" spans="1:8" x14ac:dyDescent="0.25">
      <c r="A29" s="1"/>
      <c r="B29" s="2">
        <v>701736654</v>
      </c>
      <c r="C29" s="1" t="s">
        <v>116</v>
      </c>
      <c r="D29" s="1" t="s">
        <v>47</v>
      </c>
      <c r="E29" s="4">
        <v>419</v>
      </c>
      <c r="F29" s="4"/>
      <c r="G29" s="4">
        <v>2.1</v>
      </c>
      <c r="H29" s="4"/>
    </row>
    <row r="30" spans="1:8" x14ac:dyDescent="0.25">
      <c r="A30" s="1"/>
      <c r="B30" s="2">
        <v>701567067</v>
      </c>
      <c r="C30" s="1" t="s">
        <v>175</v>
      </c>
      <c r="D30" s="1" t="s">
        <v>176</v>
      </c>
      <c r="E30" s="4">
        <v>525</v>
      </c>
      <c r="F30" s="4"/>
      <c r="G30" s="4">
        <v>15.75</v>
      </c>
      <c r="H30" s="4"/>
    </row>
    <row r="31" spans="1:8" x14ac:dyDescent="0.25">
      <c r="A31" s="1"/>
      <c r="B31" s="2">
        <v>702334590</v>
      </c>
      <c r="C31" s="1" t="s">
        <v>215</v>
      </c>
      <c r="D31" s="1" t="s">
        <v>47</v>
      </c>
      <c r="E31" s="4">
        <v>419</v>
      </c>
      <c r="F31" s="4"/>
      <c r="G31" s="4">
        <v>6.29</v>
      </c>
      <c r="H31" s="4"/>
    </row>
    <row r="32" spans="1:8" x14ac:dyDescent="0.25">
      <c r="A32" s="1"/>
      <c r="B32" s="2">
        <v>701081754</v>
      </c>
      <c r="C32" s="1" t="s">
        <v>37</v>
      </c>
      <c r="D32" s="1" t="s">
        <v>38</v>
      </c>
      <c r="E32" s="4">
        <v>588.73</v>
      </c>
      <c r="F32" s="4"/>
      <c r="G32" s="4">
        <v>17.66</v>
      </c>
      <c r="H32" s="4"/>
    </row>
    <row r="33" spans="1:8" x14ac:dyDescent="0.25">
      <c r="A33" s="1"/>
      <c r="B33" s="2">
        <v>700957962</v>
      </c>
      <c r="C33" s="1" t="s">
        <v>61</v>
      </c>
      <c r="D33" s="1" t="s">
        <v>38</v>
      </c>
      <c r="E33" s="4">
        <v>576.54999999999995</v>
      </c>
      <c r="F33" s="4"/>
      <c r="G33" s="4">
        <v>17.3</v>
      </c>
      <c r="H33" s="4"/>
    </row>
    <row r="34" spans="1:8" x14ac:dyDescent="0.25">
      <c r="A34" s="1"/>
      <c r="B34" s="2">
        <v>704456839</v>
      </c>
      <c r="C34" s="1" t="s">
        <v>114</v>
      </c>
      <c r="D34" s="1" t="s">
        <v>13</v>
      </c>
      <c r="E34" s="4">
        <v>419</v>
      </c>
      <c r="F34" s="4"/>
      <c r="G34" s="4">
        <v>4.1900000000000004</v>
      </c>
      <c r="H34" s="4"/>
    </row>
    <row r="35" spans="1:8" x14ac:dyDescent="0.25">
      <c r="A35" s="1"/>
      <c r="B35" s="2">
        <v>704597152</v>
      </c>
      <c r="C35" s="1" t="s">
        <v>162</v>
      </c>
      <c r="D35" s="1" t="s">
        <v>38</v>
      </c>
      <c r="E35" s="4">
        <v>612</v>
      </c>
      <c r="F35" s="4"/>
      <c r="G35" s="4">
        <v>6.12</v>
      </c>
      <c r="H35" s="4"/>
    </row>
    <row r="36" spans="1:8" x14ac:dyDescent="0.25">
      <c r="A36" s="1"/>
      <c r="B36" s="2">
        <v>702044736</v>
      </c>
      <c r="C36" s="1" t="s">
        <v>232</v>
      </c>
      <c r="D36" s="1" t="s">
        <v>6</v>
      </c>
      <c r="E36" s="4">
        <v>461</v>
      </c>
      <c r="F36" s="4"/>
      <c r="G36" s="4">
        <v>4.6100000000000003</v>
      </c>
      <c r="H36" s="4"/>
    </row>
    <row r="37" spans="1:8" x14ac:dyDescent="0.25">
      <c r="A37" s="1"/>
      <c r="B37" s="2">
        <v>702452210</v>
      </c>
      <c r="C37" s="1" t="s">
        <v>251</v>
      </c>
      <c r="D37" s="1" t="s">
        <v>31</v>
      </c>
      <c r="E37" s="4">
        <v>419</v>
      </c>
      <c r="F37" s="4"/>
      <c r="G37" s="4">
        <v>6.29</v>
      </c>
      <c r="H37" s="4">
        <v>7.32</v>
      </c>
    </row>
    <row r="38" spans="1:8" x14ac:dyDescent="0.25">
      <c r="A38" s="1"/>
      <c r="B38" s="2">
        <v>704466838</v>
      </c>
      <c r="C38" s="1" t="s">
        <v>318</v>
      </c>
      <c r="D38" s="1" t="s">
        <v>13</v>
      </c>
      <c r="E38" s="4">
        <v>419</v>
      </c>
      <c r="F38" s="4"/>
      <c r="G38" s="4">
        <v>4.1900000000000004</v>
      </c>
      <c r="H38" s="4">
        <v>7.32</v>
      </c>
    </row>
    <row r="39" spans="1:8" x14ac:dyDescent="0.25">
      <c r="A39" s="1"/>
      <c r="B39" s="2">
        <v>702967498</v>
      </c>
      <c r="C39" s="1" t="s">
        <v>367</v>
      </c>
      <c r="D39" s="1" t="s">
        <v>13</v>
      </c>
      <c r="E39" s="4">
        <v>419</v>
      </c>
      <c r="F39" s="4"/>
      <c r="G39" s="4">
        <v>4.1900000000000004</v>
      </c>
      <c r="H39" s="4"/>
    </row>
    <row r="40" spans="1:8" x14ac:dyDescent="0.25">
      <c r="A40" s="1"/>
      <c r="B40" s="2">
        <v>705040947</v>
      </c>
      <c r="C40" s="1" t="s">
        <v>138</v>
      </c>
      <c r="D40" s="1" t="s">
        <v>38</v>
      </c>
      <c r="E40" s="4">
        <v>419</v>
      </c>
      <c r="F40" s="4"/>
      <c r="G40" s="4">
        <v>6.29</v>
      </c>
      <c r="H40" s="4"/>
    </row>
    <row r="41" spans="1:8" x14ac:dyDescent="0.25">
      <c r="A41" s="1"/>
      <c r="B41" s="2">
        <v>706357068</v>
      </c>
      <c r="C41" s="1" t="s">
        <v>36</v>
      </c>
      <c r="D41" s="1" t="s">
        <v>13</v>
      </c>
      <c r="E41" s="4">
        <v>419</v>
      </c>
      <c r="F41" s="4"/>
      <c r="G41" s="4">
        <v>3.14</v>
      </c>
      <c r="H41" s="4"/>
    </row>
    <row r="42" spans="1:8" x14ac:dyDescent="0.25">
      <c r="A42" s="1"/>
      <c r="B42" s="2">
        <v>702951880</v>
      </c>
      <c r="C42" s="1" t="s">
        <v>121</v>
      </c>
      <c r="D42" s="1" t="s">
        <v>38</v>
      </c>
      <c r="E42" s="4">
        <v>447</v>
      </c>
      <c r="F42" s="4"/>
      <c r="G42" s="4">
        <v>1.1200000000000001</v>
      </c>
      <c r="H42" s="4">
        <v>7.32</v>
      </c>
    </row>
    <row r="43" spans="1:8" x14ac:dyDescent="0.25">
      <c r="A43" s="1"/>
      <c r="B43" s="2">
        <v>705206852</v>
      </c>
      <c r="C43" s="1" t="s">
        <v>128</v>
      </c>
      <c r="D43" s="1" t="s">
        <v>38</v>
      </c>
      <c r="E43" s="4">
        <v>419</v>
      </c>
      <c r="F43" s="4"/>
      <c r="G43" s="4">
        <v>4.1900000000000004</v>
      </c>
      <c r="H43" s="4"/>
    </row>
    <row r="44" spans="1:8" x14ac:dyDescent="0.25">
      <c r="A44" s="1"/>
      <c r="B44" s="2">
        <v>1709169120</v>
      </c>
      <c r="C44" s="1" t="s">
        <v>147</v>
      </c>
      <c r="D44" s="1" t="s">
        <v>38</v>
      </c>
      <c r="E44" s="4">
        <v>419</v>
      </c>
      <c r="F44" s="4"/>
      <c r="G44" s="4">
        <v>5.24</v>
      </c>
      <c r="H44" s="4">
        <v>3.66</v>
      </c>
    </row>
    <row r="45" spans="1:8" x14ac:dyDescent="0.25">
      <c r="A45" s="1"/>
      <c r="B45" s="2">
        <v>703896282</v>
      </c>
      <c r="C45" s="1" t="s">
        <v>157</v>
      </c>
      <c r="D45" s="1" t="s">
        <v>13</v>
      </c>
      <c r="E45" s="4">
        <v>419</v>
      </c>
      <c r="F45" s="4"/>
      <c r="G45" s="4">
        <v>3.14</v>
      </c>
      <c r="H45" s="4">
        <v>10.98</v>
      </c>
    </row>
    <row r="46" spans="1:8" x14ac:dyDescent="0.25">
      <c r="A46" s="1"/>
      <c r="B46" s="2">
        <v>703641654</v>
      </c>
      <c r="C46" s="1" t="s">
        <v>206</v>
      </c>
      <c r="D46" s="1" t="s">
        <v>207</v>
      </c>
      <c r="E46" s="4">
        <v>773</v>
      </c>
      <c r="F46" s="4"/>
      <c r="G46" s="4">
        <v>3.87</v>
      </c>
      <c r="H46" s="4"/>
    </row>
    <row r="47" spans="1:8" x14ac:dyDescent="0.25">
      <c r="A47" s="1"/>
      <c r="B47" s="2">
        <v>706393592</v>
      </c>
      <c r="C47" s="1" t="s">
        <v>224</v>
      </c>
      <c r="D47" s="1" t="s">
        <v>13</v>
      </c>
      <c r="E47" s="4">
        <v>419</v>
      </c>
      <c r="F47" s="4"/>
      <c r="G47" s="4">
        <v>3.14</v>
      </c>
      <c r="H47" s="4"/>
    </row>
    <row r="48" spans="1:8" x14ac:dyDescent="0.25">
      <c r="A48" s="1"/>
      <c r="B48" s="2">
        <v>704528975</v>
      </c>
      <c r="C48" s="1" t="s">
        <v>226</v>
      </c>
      <c r="D48" s="1" t="s">
        <v>13</v>
      </c>
      <c r="E48" s="4">
        <v>419</v>
      </c>
      <c r="F48" s="4"/>
      <c r="G48" s="4">
        <v>8.3800000000000008</v>
      </c>
      <c r="H48" s="4"/>
    </row>
    <row r="49" spans="1:8" x14ac:dyDescent="0.25">
      <c r="A49" s="1"/>
      <c r="B49" s="2">
        <v>703040378</v>
      </c>
      <c r="C49" s="1" t="s">
        <v>257</v>
      </c>
      <c r="D49" s="1" t="s">
        <v>13</v>
      </c>
      <c r="E49" s="4">
        <v>419</v>
      </c>
      <c r="F49" s="4"/>
      <c r="G49" s="4">
        <v>5.24</v>
      </c>
      <c r="H49" s="4">
        <v>7.32</v>
      </c>
    </row>
    <row r="50" spans="1:8" x14ac:dyDescent="0.25">
      <c r="A50" s="1"/>
      <c r="B50" s="2">
        <v>703959155</v>
      </c>
      <c r="C50" s="1" t="s">
        <v>261</v>
      </c>
      <c r="D50" s="1" t="s">
        <v>166</v>
      </c>
      <c r="E50" s="4">
        <v>773</v>
      </c>
      <c r="F50" s="4"/>
      <c r="G50" s="4">
        <v>1.93</v>
      </c>
      <c r="H50" s="4"/>
    </row>
    <row r="51" spans="1:8" x14ac:dyDescent="0.25">
      <c r="A51" s="1"/>
      <c r="B51" s="2">
        <v>705133205</v>
      </c>
      <c r="C51" s="1" t="s">
        <v>273</v>
      </c>
      <c r="D51" s="1" t="s">
        <v>13</v>
      </c>
      <c r="E51" s="4">
        <v>419</v>
      </c>
      <c r="F51" s="4"/>
      <c r="G51" s="4">
        <v>5.24</v>
      </c>
      <c r="H51" s="4"/>
    </row>
    <row r="52" spans="1:8" x14ac:dyDescent="0.25">
      <c r="A52" s="1"/>
      <c r="B52" s="2">
        <v>704888197</v>
      </c>
      <c r="C52" s="1" t="s">
        <v>277</v>
      </c>
      <c r="D52" s="1" t="s">
        <v>13</v>
      </c>
      <c r="E52" s="4">
        <v>419</v>
      </c>
      <c r="F52" s="4"/>
      <c r="G52" s="4">
        <v>5.24</v>
      </c>
      <c r="H52" s="4"/>
    </row>
    <row r="53" spans="1:8" x14ac:dyDescent="0.25">
      <c r="A53" s="1"/>
      <c r="B53" s="2">
        <v>702720954</v>
      </c>
      <c r="C53" s="1" t="s">
        <v>324</v>
      </c>
      <c r="D53" s="1" t="s">
        <v>13</v>
      </c>
      <c r="E53" s="4">
        <v>419</v>
      </c>
      <c r="F53" s="4"/>
      <c r="G53" s="4">
        <v>5.24</v>
      </c>
      <c r="H53" s="4"/>
    </row>
    <row r="54" spans="1:8" x14ac:dyDescent="0.25">
      <c r="A54" s="1"/>
      <c r="B54" s="2">
        <v>602795940</v>
      </c>
      <c r="C54" s="1" t="s">
        <v>331</v>
      </c>
      <c r="D54" s="1" t="s">
        <v>38</v>
      </c>
      <c r="E54" s="4">
        <v>419</v>
      </c>
      <c r="F54" s="4"/>
      <c r="G54" s="4">
        <v>5.24</v>
      </c>
      <c r="H54" s="4"/>
    </row>
    <row r="55" spans="1:8" x14ac:dyDescent="0.25">
      <c r="A55" s="1"/>
      <c r="B55" s="2">
        <v>704278720</v>
      </c>
      <c r="C55" s="1" t="s">
        <v>336</v>
      </c>
      <c r="D55" s="1" t="s">
        <v>337</v>
      </c>
      <c r="E55" s="4">
        <v>773</v>
      </c>
      <c r="F55" s="4"/>
      <c r="G55" s="4">
        <v>7.73</v>
      </c>
      <c r="H55" s="4"/>
    </row>
    <row r="56" spans="1:8" x14ac:dyDescent="0.25">
      <c r="A56" s="1"/>
      <c r="B56" s="2">
        <v>700506975</v>
      </c>
      <c r="C56" s="1" t="s">
        <v>41</v>
      </c>
      <c r="D56" s="1" t="s">
        <v>38</v>
      </c>
      <c r="E56" s="4">
        <v>603.12</v>
      </c>
      <c r="F56" s="4"/>
      <c r="G56" s="4">
        <v>18.09</v>
      </c>
      <c r="H56" s="4"/>
    </row>
    <row r="57" spans="1:8" x14ac:dyDescent="0.25">
      <c r="A57" s="1"/>
      <c r="B57" s="2">
        <v>702906025</v>
      </c>
      <c r="C57" s="1" t="s">
        <v>42</v>
      </c>
      <c r="D57" s="1" t="s">
        <v>43</v>
      </c>
      <c r="E57" s="4">
        <v>419</v>
      </c>
      <c r="F57" s="4"/>
      <c r="G57" s="4">
        <v>2.1</v>
      </c>
      <c r="H57" s="4">
        <v>10.98</v>
      </c>
    </row>
    <row r="58" spans="1:8" x14ac:dyDescent="0.25">
      <c r="A58" s="1"/>
      <c r="B58" s="2">
        <v>705212249</v>
      </c>
      <c r="C58" s="1" t="s">
        <v>48</v>
      </c>
      <c r="D58" s="1" t="s">
        <v>49</v>
      </c>
      <c r="E58" s="4">
        <v>461</v>
      </c>
      <c r="F58" s="4"/>
      <c r="G58" s="4">
        <v>8.07</v>
      </c>
      <c r="H58" s="4"/>
    </row>
    <row r="59" spans="1:8" x14ac:dyDescent="0.25">
      <c r="A59" s="1"/>
      <c r="B59" s="2">
        <v>704945120</v>
      </c>
      <c r="C59" s="1" t="s">
        <v>59</v>
      </c>
      <c r="D59" s="1" t="s">
        <v>60</v>
      </c>
      <c r="E59" s="4">
        <v>419</v>
      </c>
      <c r="F59" s="4"/>
      <c r="G59" s="4">
        <v>7.33</v>
      </c>
      <c r="H59" s="4"/>
    </row>
    <row r="60" spans="1:8" x14ac:dyDescent="0.25">
      <c r="A60" s="1"/>
      <c r="B60" s="2">
        <v>1703668259</v>
      </c>
      <c r="C60" s="1" t="s">
        <v>73</v>
      </c>
      <c r="D60" s="1" t="s">
        <v>6</v>
      </c>
      <c r="E60" s="4">
        <v>461</v>
      </c>
      <c r="F60" s="4"/>
      <c r="G60" s="4">
        <v>9.2200000000000006</v>
      </c>
      <c r="H60" s="4"/>
    </row>
    <row r="61" spans="1:8" x14ac:dyDescent="0.25">
      <c r="A61" s="1"/>
      <c r="B61" s="2">
        <v>703201962</v>
      </c>
      <c r="C61" s="1" t="s">
        <v>91</v>
      </c>
      <c r="D61" s="1" t="s">
        <v>92</v>
      </c>
      <c r="E61" s="4">
        <v>587</v>
      </c>
      <c r="F61" s="4"/>
      <c r="G61" s="4">
        <v>11.74</v>
      </c>
      <c r="H61" s="4">
        <v>3.66</v>
      </c>
    </row>
    <row r="62" spans="1:8" x14ac:dyDescent="0.25">
      <c r="A62" s="1"/>
      <c r="B62" s="2">
        <v>702108507</v>
      </c>
      <c r="C62" s="1" t="s">
        <v>99</v>
      </c>
      <c r="D62" s="1" t="s">
        <v>100</v>
      </c>
      <c r="E62" s="4">
        <v>545.57000000000005</v>
      </c>
      <c r="F62" s="4"/>
      <c r="G62" s="4">
        <v>16.37</v>
      </c>
      <c r="H62" s="4"/>
    </row>
    <row r="63" spans="1:8" x14ac:dyDescent="0.25">
      <c r="A63" s="1"/>
      <c r="B63" s="2">
        <v>704644657</v>
      </c>
      <c r="C63" s="1" t="s">
        <v>105</v>
      </c>
      <c r="D63" s="1" t="s">
        <v>43</v>
      </c>
      <c r="E63" s="4">
        <v>419</v>
      </c>
      <c r="F63" s="4"/>
      <c r="G63" s="4">
        <v>7.33</v>
      </c>
      <c r="H63" s="4"/>
    </row>
    <row r="64" spans="1:8" x14ac:dyDescent="0.25">
      <c r="A64" s="1"/>
      <c r="B64" s="2">
        <v>800857229</v>
      </c>
      <c r="C64" s="1" t="s">
        <v>117</v>
      </c>
      <c r="D64" s="1" t="s">
        <v>47</v>
      </c>
      <c r="E64" s="4">
        <v>555</v>
      </c>
      <c r="F64" s="4"/>
      <c r="G64" s="4">
        <v>16.649999999999999</v>
      </c>
      <c r="H64" s="4"/>
    </row>
    <row r="65" spans="1:8" x14ac:dyDescent="0.25">
      <c r="A65" s="1"/>
      <c r="B65" s="2">
        <v>923976005</v>
      </c>
      <c r="C65" s="1" t="s">
        <v>123</v>
      </c>
      <c r="D65" s="1" t="s">
        <v>43</v>
      </c>
      <c r="E65" s="4">
        <v>419</v>
      </c>
      <c r="F65" s="4"/>
      <c r="G65" s="4">
        <v>7.33</v>
      </c>
      <c r="H65" s="4">
        <v>3.66</v>
      </c>
    </row>
    <row r="66" spans="1:8" x14ac:dyDescent="0.25">
      <c r="A66" s="1"/>
      <c r="B66" s="2">
        <v>702916479</v>
      </c>
      <c r="C66" s="1" t="s">
        <v>210</v>
      </c>
      <c r="D66" s="1" t="s">
        <v>60</v>
      </c>
      <c r="E66" s="4">
        <v>419</v>
      </c>
      <c r="F66" s="4"/>
      <c r="G66" s="4">
        <v>4.1900000000000004</v>
      </c>
      <c r="H66" s="4"/>
    </row>
    <row r="67" spans="1:8" x14ac:dyDescent="0.25">
      <c r="A67" s="1"/>
      <c r="B67" s="2">
        <v>911820488</v>
      </c>
      <c r="C67" s="1" t="s">
        <v>211</v>
      </c>
      <c r="D67" s="1" t="s">
        <v>60</v>
      </c>
      <c r="E67" s="4">
        <v>419</v>
      </c>
      <c r="F67" s="4"/>
      <c r="G67" s="4">
        <v>8.3800000000000008</v>
      </c>
      <c r="H67" s="4">
        <v>7.32</v>
      </c>
    </row>
    <row r="68" spans="1:8" x14ac:dyDescent="0.25">
      <c r="A68" s="1"/>
      <c r="B68" s="2">
        <v>704925775</v>
      </c>
      <c r="C68" s="1" t="s">
        <v>220</v>
      </c>
      <c r="D68" s="1" t="s">
        <v>47</v>
      </c>
      <c r="E68" s="4">
        <v>419</v>
      </c>
      <c r="F68" s="4"/>
      <c r="G68" s="4">
        <v>7.33</v>
      </c>
      <c r="H68" s="4"/>
    </row>
    <row r="69" spans="1:8" x14ac:dyDescent="0.25">
      <c r="A69" s="1"/>
      <c r="B69" s="2">
        <v>704176809</v>
      </c>
      <c r="C69" s="1" t="s">
        <v>252</v>
      </c>
      <c r="D69" s="1" t="s">
        <v>38</v>
      </c>
      <c r="E69" s="4">
        <v>447</v>
      </c>
      <c r="F69" s="4"/>
      <c r="G69" s="4">
        <v>8.94</v>
      </c>
      <c r="H69" s="4">
        <v>7.32</v>
      </c>
    </row>
    <row r="70" spans="1:8" x14ac:dyDescent="0.25">
      <c r="A70" s="1"/>
      <c r="B70" s="2">
        <v>705342376</v>
      </c>
      <c r="C70" s="1" t="s">
        <v>253</v>
      </c>
      <c r="D70" s="1" t="s">
        <v>49</v>
      </c>
      <c r="E70" s="4">
        <v>433</v>
      </c>
      <c r="F70" s="4"/>
      <c r="G70" s="4">
        <v>7.58</v>
      </c>
      <c r="H70" s="4"/>
    </row>
    <row r="71" spans="1:8" x14ac:dyDescent="0.25">
      <c r="A71" s="1"/>
      <c r="B71" s="2">
        <v>701085227</v>
      </c>
      <c r="C71" s="1" t="s">
        <v>256</v>
      </c>
      <c r="D71" s="1" t="s">
        <v>38</v>
      </c>
      <c r="E71" s="4">
        <v>562.16999999999996</v>
      </c>
      <c r="F71" s="4"/>
      <c r="G71" s="4">
        <v>16.87</v>
      </c>
      <c r="H71" s="4">
        <v>3.66</v>
      </c>
    </row>
    <row r="72" spans="1:8" x14ac:dyDescent="0.25">
      <c r="A72" s="1"/>
      <c r="B72" s="2">
        <v>908010184</v>
      </c>
      <c r="C72" s="1" t="s">
        <v>259</v>
      </c>
      <c r="D72" s="1" t="s">
        <v>38</v>
      </c>
      <c r="E72" s="4">
        <v>563.28</v>
      </c>
      <c r="F72" s="4"/>
      <c r="G72" s="4">
        <v>16.899999999999999</v>
      </c>
      <c r="H72" s="4"/>
    </row>
    <row r="73" spans="1:8" x14ac:dyDescent="0.25">
      <c r="A73" s="1"/>
      <c r="B73" s="2">
        <v>702197278</v>
      </c>
      <c r="C73" s="1" t="s">
        <v>284</v>
      </c>
      <c r="D73" s="1" t="s">
        <v>6</v>
      </c>
      <c r="E73" s="4">
        <v>461</v>
      </c>
      <c r="F73" s="4"/>
      <c r="G73" s="4">
        <v>6.92</v>
      </c>
      <c r="H73" s="4"/>
    </row>
    <row r="74" spans="1:8" x14ac:dyDescent="0.25">
      <c r="A74" s="1"/>
      <c r="B74" s="2">
        <v>702678608</v>
      </c>
      <c r="C74" s="1" t="s">
        <v>294</v>
      </c>
      <c r="D74" s="1" t="s">
        <v>43</v>
      </c>
      <c r="E74" s="4">
        <v>500</v>
      </c>
      <c r="F74" s="4"/>
      <c r="G74" s="4">
        <v>5</v>
      </c>
      <c r="H74" s="4">
        <v>7.32</v>
      </c>
    </row>
    <row r="75" spans="1:8" x14ac:dyDescent="0.25">
      <c r="A75" s="1"/>
      <c r="B75" s="2">
        <v>701327108</v>
      </c>
      <c r="C75" s="1" t="s">
        <v>304</v>
      </c>
      <c r="D75" s="1" t="s">
        <v>6</v>
      </c>
      <c r="E75" s="4">
        <v>461</v>
      </c>
      <c r="F75" s="4"/>
      <c r="G75" s="4">
        <v>9.2200000000000006</v>
      </c>
      <c r="H75" s="4">
        <v>3.66</v>
      </c>
    </row>
    <row r="76" spans="1:8" x14ac:dyDescent="0.25">
      <c r="A76" s="1"/>
      <c r="B76" s="2">
        <v>704777788</v>
      </c>
      <c r="C76" s="1" t="s">
        <v>310</v>
      </c>
      <c r="D76" s="1" t="s">
        <v>176</v>
      </c>
      <c r="E76" s="4">
        <v>587</v>
      </c>
      <c r="F76" s="4"/>
      <c r="G76" s="4">
        <v>7.34</v>
      </c>
      <c r="H76" s="4"/>
    </row>
    <row r="77" spans="1:8" x14ac:dyDescent="0.25">
      <c r="A77" s="1"/>
      <c r="B77" s="2">
        <v>702331919</v>
      </c>
      <c r="C77" s="1" t="s">
        <v>342</v>
      </c>
      <c r="D77" s="1" t="s">
        <v>6</v>
      </c>
      <c r="E77" s="4">
        <v>461</v>
      </c>
      <c r="F77" s="4"/>
      <c r="G77" s="4">
        <v>4.6100000000000003</v>
      </c>
      <c r="H77" s="4"/>
    </row>
    <row r="78" spans="1:8" x14ac:dyDescent="0.25">
      <c r="A78" s="1"/>
      <c r="B78" s="2">
        <v>702317843</v>
      </c>
      <c r="C78" s="1" t="s">
        <v>345</v>
      </c>
      <c r="D78" s="1" t="s">
        <v>209</v>
      </c>
      <c r="E78" s="4">
        <v>419</v>
      </c>
      <c r="F78" s="4"/>
      <c r="G78" s="4">
        <v>8.3800000000000008</v>
      </c>
      <c r="H78" s="4"/>
    </row>
    <row r="79" spans="1:8" x14ac:dyDescent="0.25">
      <c r="A79" s="1"/>
      <c r="B79" s="2">
        <v>907936546</v>
      </c>
      <c r="C79" s="1" t="s">
        <v>350</v>
      </c>
      <c r="D79" s="1" t="s">
        <v>38</v>
      </c>
      <c r="E79" s="4">
        <v>447</v>
      </c>
      <c r="F79" s="4"/>
      <c r="G79" s="4">
        <v>7.82</v>
      </c>
      <c r="H79" s="4"/>
    </row>
    <row r="80" spans="1:8" x14ac:dyDescent="0.25">
      <c r="A80" s="1"/>
      <c r="B80" s="2">
        <v>704037696</v>
      </c>
      <c r="C80" s="1" t="s">
        <v>205</v>
      </c>
      <c r="D80" s="1" t="s">
        <v>166</v>
      </c>
      <c r="E80" s="4">
        <v>733</v>
      </c>
      <c r="F80" s="4"/>
      <c r="G80" s="4">
        <v>14.66</v>
      </c>
      <c r="H80" s="4">
        <v>7.32</v>
      </c>
    </row>
    <row r="81" spans="1:8" x14ac:dyDescent="0.25">
      <c r="A81" s="1"/>
      <c r="B81" s="2">
        <v>703474064</v>
      </c>
      <c r="C81" s="1" t="s">
        <v>339</v>
      </c>
      <c r="D81" s="1" t="s">
        <v>38</v>
      </c>
      <c r="E81" s="4">
        <v>555</v>
      </c>
      <c r="F81" s="4"/>
      <c r="G81" s="4">
        <v>2.78</v>
      </c>
      <c r="H81" s="4"/>
    </row>
    <row r="82" spans="1:8" x14ac:dyDescent="0.25">
      <c r="A82" s="1"/>
      <c r="B82" s="2">
        <v>704185594</v>
      </c>
      <c r="C82" s="1" t="s">
        <v>270</v>
      </c>
      <c r="D82" s="1" t="s">
        <v>166</v>
      </c>
      <c r="E82" s="4">
        <v>733</v>
      </c>
      <c r="F82" s="4"/>
      <c r="G82" s="4">
        <v>9.16</v>
      </c>
      <c r="H82" s="4"/>
    </row>
    <row r="83" spans="1:8" x14ac:dyDescent="0.25">
      <c r="A83" s="1"/>
      <c r="B83" s="2">
        <v>704446715</v>
      </c>
      <c r="C83" s="1" t="s">
        <v>1</v>
      </c>
      <c r="D83" s="1" t="s">
        <v>2</v>
      </c>
      <c r="E83" s="4">
        <v>419</v>
      </c>
      <c r="F83" s="4"/>
      <c r="G83" s="4">
        <v>6.29</v>
      </c>
      <c r="H83" s="4"/>
    </row>
    <row r="84" spans="1:8" x14ac:dyDescent="0.25">
      <c r="A84" s="1"/>
      <c r="B84" s="2">
        <v>702423427</v>
      </c>
      <c r="C84" s="1" t="s">
        <v>5</v>
      </c>
      <c r="D84" s="1" t="s">
        <v>6</v>
      </c>
      <c r="E84" s="4">
        <v>571.02</v>
      </c>
      <c r="F84" s="4"/>
      <c r="G84" s="4">
        <v>17.13</v>
      </c>
      <c r="H84" s="4">
        <v>10.98</v>
      </c>
    </row>
    <row r="85" spans="1:8" x14ac:dyDescent="0.25">
      <c r="A85" s="1"/>
      <c r="B85" s="2">
        <v>703706473</v>
      </c>
      <c r="C85" s="1" t="s">
        <v>8</v>
      </c>
      <c r="D85" s="1" t="s">
        <v>6</v>
      </c>
      <c r="E85" s="4">
        <v>461</v>
      </c>
      <c r="F85" s="4"/>
      <c r="G85" s="4">
        <v>8.07</v>
      </c>
      <c r="H85" s="4"/>
    </row>
    <row r="86" spans="1:8" x14ac:dyDescent="0.25">
      <c r="A86" s="1"/>
      <c r="B86" s="2">
        <v>1303337990</v>
      </c>
      <c r="C86" s="1" t="s">
        <v>12</v>
      </c>
      <c r="D86" s="1" t="s">
        <v>13</v>
      </c>
      <c r="E86" s="4">
        <v>568.80999999999995</v>
      </c>
      <c r="F86" s="4"/>
      <c r="G86" s="4">
        <v>17.059999999999999</v>
      </c>
      <c r="H86" s="4"/>
    </row>
    <row r="87" spans="1:8" x14ac:dyDescent="0.25">
      <c r="A87" s="1"/>
      <c r="B87" s="2">
        <v>701464513</v>
      </c>
      <c r="C87" s="1" t="s">
        <v>19</v>
      </c>
      <c r="D87" s="1" t="s">
        <v>13</v>
      </c>
      <c r="E87" s="4">
        <v>561.05999999999995</v>
      </c>
      <c r="F87" s="4"/>
      <c r="G87" s="4">
        <v>16.829999999999998</v>
      </c>
      <c r="H87" s="4"/>
    </row>
    <row r="88" spans="1:8" x14ac:dyDescent="0.25">
      <c r="A88" s="1"/>
      <c r="B88" s="2">
        <v>702500893</v>
      </c>
      <c r="C88" s="1" t="s">
        <v>21</v>
      </c>
      <c r="D88" s="1" t="s">
        <v>18</v>
      </c>
      <c r="E88" s="4">
        <v>419</v>
      </c>
      <c r="F88" s="4"/>
      <c r="G88" s="4">
        <v>7.33</v>
      </c>
      <c r="H88" s="4">
        <v>3.66</v>
      </c>
    </row>
    <row r="89" spans="1:8" x14ac:dyDescent="0.25">
      <c r="A89" s="1"/>
      <c r="B89" s="2">
        <v>704569391</v>
      </c>
      <c r="C89" s="1" t="s">
        <v>23</v>
      </c>
      <c r="D89" s="1" t="s">
        <v>13</v>
      </c>
      <c r="E89" s="4">
        <v>419</v>
      </c>
      <c r="F89" s="4"/>
      <c r="G89" s="4">
        <v>1.05</v>
      </c>
      <c r="H89" s="4"/>
    </row>
    <row r="90" spans="1:8" x14ac:dyDescent="0.25">
      <c r="A90" s="1"/>
      <c r="B90" s="2">
        <v>703465567</v>
      </c>
      <c r="C90" s="1" t="s">
        <v>24</v>
      </c>
      <c r="D90" s="1" t="s">
        <v>25</v>
      </c>
      <c r="E90" s="4">
        <v>559</v>
      </c>
      <c r="F90" s="4"/>
      <c r="G90" s="4">
        <v>9.7799999999999994</v>
      </c>
      <c r="H90" s="4"/>
    </row>
    <row r="91" spans="1:8" x14ac:dyDescent="0.25">
      <c r="A91" s="1"/>
      <c r="B91" s="2">
        <v>702103078</v>
      </c>
      <c r="C91" s="1" t="s">
        <v>28</v>
      </c>
      <c r="D91" s="1" t="s">
        <v>25</v>
      </c>
      <c r="E91" s="4">
        <v>559</v>
      </c>
      <c r="F91" s="4"/>
      <c r="G91" s="4">
        <v>11.18</v>
      </c>
      <c r="H91" s="4">
        <v>7.32</v>
      </c>
    </row>
    <row r="92" spans="1:8" x14ac:dyDescent="0.25">
      <c r="A92" s="1"/>
      <c r="B92" s="2">
        <v>701865826</v>
      </c>
      <c r="C92" s="1" t="s">
        <v>29</v>
      </c>
      <c r="D92" s="1" t="s">
        <v>13</v>
      </c>
      <c r="E92" s="4">
        <v>538.92999999999995</v>
      </c>
      <c r="F92" s="4"/>
      <c r="G92" s="4">
        <v>16.170000000000002</v>
      </c>
      <c r="H92" s="4"/>
    </row>
    <row r="93" spans="1:8" x14ac:dyDescent="0.25">
      <c r="A93" s="1"/>
      <c r="B93" s="2">
        <v>701815565</v>
      </c>
      <c r="C93" s="1" t="s">
        <v>30</v>
      </c>
      <c r="D93" s="1" t="s">
        <v>31</v>
      </c>
      <c r="E93" s="4">
        <v>419</v>
      </c>
      <c r="F93" s="4"/>
      <c r="G93" s="4">
        <v>8.3800000000000008</v>
      </c>
      <c r="H93" s="4"/>
    </row>
    <row r="94" spans="1:8" x14ac:dyDescent="0.25">
      <c r="A94" s="1"/>
      <c r="B94" s="2">
        <v>701203184</v>
      </c>
      <c r="C94" s="1" t="s">
        <v>34</v>
      </c>
      <c r="D94" s="1" t="s">
        <v>18</v>
      </c>
      <c r="E94" s="4">
        <v>562.16999999999996</v>
      </c>
      <c r="F94" s="4"/>
      <c r="G94" s="4">
        <v>16.87</v>
      </c>
      <c r="H94" s="4">
        <v>7.32</v>
      </c>
    </row>
    <row r="95" spans="1:8" x14ac:dyDescent="0.25">
      <c r="A95" s="1"/>
      <c r="B95" s="2">
        <v>1707675615</v>
      </c>
      <c r="C95" s="1" t="s">
        <v>35</v>
      </c>
      <c r="D95" s="1" t="s">
        <v>25</v>
      </c>
      <c r="E95" s="4">
        <v>559</v>
      </c>
      <c r="F95" s="4"/>
      <c r="G95" s="4">
        <v>11.18</v>
      </c>
      <c r="H95" s="4">
        <v>3.66</v>
      </c>
    </row>
    <row r="96" spans="1:8" x14ac:dyDescent="0.25">
      <c r="A96" s="1"/>
      <c r="B96" s="2">
        <v>702166422</v>
      </c>
      <c r="C96" s="1" t="s">
        <v>39</v>
      </c>
      <c r="D96" s="1" t="s">
        <v>40</v>
      </c>
      <c r="E96" s="4">
        <v>526.75</v>
      </c>
      <c r="F96" s="4"/>
      <c r="G96" s="4">
        <v>15.8</v>
      </c>
      <c r="H96" s="4">
        <v>10.98</v>
      </c>
    </row>
    <row r="97" spans="1:8" x14ac:dyDescent="0.25">
      <c r="A97" s="1"/>
      <c r="B97" s="2">
        <v>704986165</v>
      </c>
      <c r="C97" s="1" t="s">
        <v>50</v>
      </c>
      <c r="D97" s="1" t="s">
        <v>25</v>
      </c>
      <c r="E97" s="4">
        <v>559</v>
      </c>
      <c r="F97" s="4"/>
      <c r="G97" s="4">
        <v>11.18</v>
      </c>
      <c r="H97" s="4"/>
    </row>
    <row r="98" spans="1:8" x14ac:dyDescent="0.25">
      <c r="A98" s="1"/>
      <c r="B98" s="2">
        <v>956005573</v>
      </c>
      <c r="C98" s="1" t="s">
        <v>51</v>
      </c>
      <c r="D98" s="1" t="s">
        <v>52</v>
      </c>
      <c r="E98" s="4">
        <v>419</v>
      </c>
      <c r="F98" s="4"/>
      <c r="G98" s="4">
        <v>1.05</v>
      </c>
      <c r="H98" s="4"/>
    </row>
    <row r="99" spans="1:8" x14ac:dyDescent="0.25">
      <c r="A99" s="1"/>
      <c r="B99" s="2">
        <v>702746397</v>
      </c>
      <c r="C99" s="1" t="s">
        <v>53</v>
      </c>
      <c r="D99" s="1" t="s">
        <v>25</v>
      </c>
      <c r="E99" s="4">
        <v>559</v>
      </c>
      <c r="F99" s="4"/>
      <c r="G99" s="4">
        <v>11.18</v>
      </c>
      <c r="H99" s="4"/>
    </row>
    <row r="100" spans="1:8" x14ac:dyDescent="0.25">
      <c r="A100" s="1"/>
      <c r="B100" s="2">
        <v>701953515</v>
      </c>
      <c r="C100" s="1" t="s">
        <v>55</v>
      </c>
      <c r="D100" s="1" t="s">
        <v>6</v>
      </c>
      <c r="E100" s="4">
        <v>461</v>
      </c>
      <c r="F100" s="4"/>
      <c r="G100" s="4">
        <v>9.2200000000000006</v>
      </c>
      <c r="H100" s="4">
        <v>3.66</v>
      </c>
    </row>
    <row r="101" spans="1:8" x14ac:dyDescent="0.25">
      <c r="A101" s="1"/>
      <c r="B101" s="2">
        <v>601922693</v>
      </c>
      <c r="C101" s="1" t="s">
        <v>57</v>
      </c>
      <c r="D101" s="1" t="s">
        <v>6</v>
      </c>
      <c r="E101" s="4">
        <v>461</v>
      </c>
      <c r="F101" s="4"/>
      <c r="G101" s="4">
        <v>8.07</v>
      </c>
      <c r="H101" s="4"/>
    </row>
    <row r="102" spans="1:8" x14ac:dyDescent="0.25">
      <c r="A102" s="1"/>
      <c r="B102" s="2">
        <v>704539790</v>
      </c>
      <c r="C102" s="1" t="s">
        <v>58</v>
      </c>
      <c r="D102" s="1" t="s">
        <v>25</v>
      </c>
      <c r="E102" s="4">
        <v>559</v>
      </c>
      <c r="F102" s="4"/>
      <c r="G102" s="4">
        <v>11.18</v>
      </c>
      <c r="H102" s="4"/>
    </row>
    <row r="103" spans="1:8" x14ac:dyDescent="0.25">
      <c r="A103" s="1"/>
      <c r="B103" s="2">
        <v>703373860</v>
      </c>
      <c r="C103" s="1" t="s">
        <v>65</v>
      </c>
      <c r="D103" s="1" t="s">
        <v>66</v>
      </c>
      <c r="E103" s="4">
        <v>419</v>
      </c>
      <c r="F103" s="4"/>
      <c r="G103" s="4">
        <v>8.3800000000000008</v>
      </c>
      <c r="H103" s="4"/>
    </row>
    <row r="104" spans="1:8" x14ac:dyDescent="0.25">
      <c r="A104" s="1"/>
      <c r="B104" s="2">
        <v>704347574</v>
      </c>
      <c r="C104" s="1" t="s">
        <v>67</v>
      </c>
      <c r="D104" s="1" t="s">
        <v>25</v>
      </c>
      <c r="E104" s="4">
        <v>559</v>
      </c>
      <c r="F104" s="4"/>
      <c r="G104" s="4">
        <v>11.18</v>
      </c>
      <c r="H104" s="4">
        <v>3.66</v>
      </c>
    </row>
    <row r="105" spans="1:8" x14ac:dyDescent="0.25">
      <c r="A105" s="1"/>
      <c r="B105" s="2">
        <v>1102685888</v>
      </c>
      <c r="C105" s="1" t="s">
        <v>69</v>
      </c>
      <c r="D105" s="1" t="s">
        <v>25</v>
      </c>
      <c r="E105" s="4">
        <v>559</v>
      </c>
      <c r="F105" s="4"/>
      <c r="G105" s="4">
        <v>9.7799999999999994</v>
      </c>
      <c r="H105" s="4">
        <v>3.66</v>
      </c>
    </row>
    <row r="106" spans="1:8" x14ac:dyDescent="0.25">
      <c r="A106" s="1"/>
      <c r="B106" s="2">
        <v>703470047</v>
      </c>
      <c r="C106" s="1" t="s">
        <v>70</v>
      </c>
      <c r="D106" s="1" t="s">
        <v>25</v>
      </c>
      <c r="E106" s="4">
        <v>559</v>
      </c>
      <c r="F106" s="4"/>
      <c r="G106" s="4">
        <v>11.18</v>
      </c>
      <c r="H106" s="4">
        <v>7.32</v>
      </c>
    </row>
    <row r="107" spans="1:8" x14ac:dyDescent="0.25">
      <c r="A107" s="1"/>
      <c r="B107" s="2">
        <v>701484867</v>
      </c>
      <c r="C107" s="1" t="s">
        <v>74</v>
      </c>
      <c r="D107" s="1" t="s">
        <v>6</v>
      </c>
      <c r="E107" s="4">
        <v>461</v>
      </c>
      <c r="F107" s="4"/>
      <c r="G107" s="4">
        <v>9.2200000000000006</v>
      </c>
      <c r="H107" s="4"/>
    </row>
    <row r="108" spans="1:8" x14ac:dyDescent="0.25">
      <c r="A108" s="1"/>
      <c r="B108" s="2">
        <v>704287184</v>
      </c>
      <c r="C108" s="1" t="s">
        <v>75</v>
      </c>
      <c r="D108" s="1" t="s">
        <v>25</v>
      </c>
      <c r="E108" s="4">
        <v>559</v>
      </c>
      <c r="F108" s="4"/>
      <c r="G108" s="4">
        <v>9.7799999999999994</v>
      </c>
      <c r="H108" s="4"/>
    </row>
    <row r="109" spans="1:8" x14ac:dyDescent="0.25">
      <c r="A109" s="1"/>
      <c r="B109" s="2">
        <v>705199016</v>
      </c>
      <c r="C109" s="1" t="s">
        <v>76</v>
      </c>
      <c r="D109" s="1" t="s">
        <v>18</v>
      </c>
      <c r="E109" s="4">
        <v>419</v>
      </c>
      <c r="F109" s="4"/>
      <c r="G109" s="4">
        <v>4.1900000000000004</v>
      </c>
      <c r="H109" s="4"/>
    </row>
    <row r="110" spans="1:8" x14ac:dyDescent="0.25">
      <c r="A110" s="1"/>
      <c r="B110" s="2">
        <v>703643049</v>
      </c>
      <c r="C110" s="1" t="s">
        <v>77</v>
      </c>
      <c r="D110" s="1" t="s">
        <v>2</v>
      </c>
      <c r="E110" s="4">
        <v>419</v>
      </c>
      <c r="F110" s="4"/>
      <c r="G110" s="4">
        <v>8.3800000000000008</v>
      </c>
      <c r="H110" s="4">
        <v>14.64</v>
      </c>
    </row>
    <row r="111" spans="1:8" x14ac:dyDescent="0.25">
      <c r="A111" s="1"/>
      <c r="B111" s="2">
        <v>702143405</v>
      </c>
      <c r="C111" s="1" t="s">
        <v>78</v>
      </c>
      <c r="D111" s="1" t="s">
        <v>6</v>
      </c>
      <c r="E111" s="4">
        <v>461</v>
      </c>
      <c r="F111" s="4"/>
      <c r="G111" s="4">
        <v>8.07</v>
      </c>
      <c r="H111" s="4"/>
    </row>
    <row r="112" spans="1:8" x14ac:dyDescent="0.25">
      <c r="A112" s="1"/>
      <c r="B112" s="2">
        <v>701954802</v>
      </c>
      <c r="C112" s="1" t="s">
        <v>79</v>
      </c>
      <c r="D112" s="1" t="s">
        <v>6</v>
      </c>
      <c r="E112" s="4">
        <v>461</v>
      </c>
      <c r="F112" s="4"/>
      <c r="G112" s="4">
        <v>9.2200000000000006</v>
      </c>
      <c r="H112" s="4"/>
    </row>
    <row r="113" spans="1:8" x14ac:dyDescent="0.25">
      <c r="A113" s="1"/>
      <c r="B113" s="2">
        <v>1705534210</v>
      </c>
      <c r="C113" s="1" t="s">
        <v>85</v>
      </c>
      <c r="D113" s="1" t="s">
        <v>6</v>
      </c>
      <c r="E113" s="4">
        <v>461</v>
      </c>
      <c r="F113" s="4"/>
      <c r="G113" s="4">
        <v>9.2200000000000006</v>
      </c>
      <c r="H113" s="4"/>
    </row>
    <row r="114" spans="1:8" x14ac:dyDescent="0.25">
      <c r="A114" s="1"/>
      <c r="B114" s="2">
        <v>1305810432</v>
      </c>
      <c r="C114" s="1" t="s">
        <v>87</v>
      </c>
      <c r="D114" s="1" t="s">
        <v>16</v>
      </c>
      <c r="E114" s="4">
        <v>559</v>
      </c>
      <c r="F114" s="4"/>
      <c r="G114" s="4">
        <v>11.18</v>
      </c>
      <c r="H114" s="4">
        <v>7.32</v>
      </c>
    </row>
    <row r="115" spans="1:8" x14ac:dyDescent="0.25">
      <c r="A115" s="1"/>
      <c r="B115" s="2">
        <v>702505090</v>
      </c>
      <c r="C115" s="1" t="s">
        <v>88</v>
      </c>
      <c r="D115" s="1" t="s">
        <v>6</v>
      </c>
      <c r="E115" s="4">
        <v>461</v>
      </c>
      <c r="F115" s="4"/>
      <c r="G115" s="4">
        <v>8.07</v>
      </c>
      <c r="H115" s="4">
        <v>3.66</v>
      </c>
    </row>
    <row r="116" spans="1:8" x14ac:dyDescent="0.25">
      <c r="A116" s="1"/>
      <c r="B116" s="2">
        <v>704707751</v>
      </c>
      <c r="C116" s="1" t="s">
        <v>93</v>
      </c>
      <c r="D116" s="1" t="s">
        <v>94</v>
      </c>
      <c r="E116" s="4">
        <v>419</v>
      </c>
      <c r="F116" s="4"/>
      <c r="G116" s="4">
        <v>2.1</v>
      </c>
      <c r="H116" s="4"/>
    </row>
    <row r="117" spans="1:8" x14ac:dyDescent="0.25">
      <c r="A117" s="1"/>
      <c r="B117" s="2">
        <v>702454554</v>
      </c>
      <c r="C117" s="1" t="s">
        <v>96</v>
      </c>
      <c r="D117" s="1" t="s">
        <v>6</v>
      </c>
      <c r="E117" s="4">
        <v>461</v>
      </c>
      <c r="F117" s="4"/>
      <c r="G117" s="4">
        <v>9.2200000000000006</v>
      </c>
      <c r="H117" s="4"/>
    </row>
    <row r="118" spans="1:8" x14ac:dyDescent="0.25">
      <c r="A118" s="1"/>
      <c r="B118" s="2">
        <v>700679533</v>
      </c>
      <c r="C118" s="1" t="s">
        <v>97</v>
      </c>
      <c r="D118" s="1" t="s">
        <v>6</v>
      </c>
      <c r="E118" s="4">
        <v>461</v>
      </c>
      <c r="F118" s="4"/>
      <c r="G118" s="4">
        <v>9.2200000000000006</v>
      </c>
      <c r="H118" s="4"/>
    </row>
    <row r="119" spans="1:8" x14ac:dyDescent="0.25">
      <c r="A119" s="1"/>
      <c r="B119" s="2">
        <v>1500489255</v>
      </c>
      <c r="C119" s="1" t="s">
        <v>98</v>
      </c>
      <c r="D119" s="1" t="s">
        <v>6</v>
      </c>
      <c r="E119" s="4">
        <v>461</v>
      </c>
      <c r="F119" s="4"/>
      <c r="G119" s="4">
        <v>9.2200000000000006</v>
      </c>
      <c r="H119" s="4">
        <v>3.66</v>
      </c>
    </row>
    <row r="120" spans="1:8" x14ac:dyDescent="0.25">
      <c r="A120" s="1"/>
      <c r="B120" s="2">
        <v>704454719</v>
      </c>
      <c r="C120" s="1" t="s">
        <v>101</v>
      </c>
      <c r="D120" s="1" t="s">
        <v>25</v>
      </c>
      <c r="E120" s="4">
        <v>559</v>
      </c>
      <c r="F120" s="4"/>
      <c r="G120" s="4">
        <v>4.1900000000000004</v>
      </c>
      <c r="H120" s="4">
        <v>3.66</v>
      </c>
    </row>
    <row r="121" spans="1:8" x14ac:dyDescent="0.25">
      <c r="A121" s="1"/>
      <c r="B121" s="2">
        <v>701013344</v>
      </c>
      <c r="C121" s="1" t="s">
        <v>109</v>
      </c>
      <c r="D121" s="1" t="s">
        <v>25</v>
      </c>
      <c r="E121" s="4">
        <v>559</v>
      </c>
      <c r="F121" s="4"/>
      <c r="G121" s="4">
        <v>11.18</v>
      </c>
      <c r="H121" s="4"/>
    </row>
    <row r="122" spans="1:8" x14ac:dyDescent="0.25">
      <c r="A122" s="1"/>
      <c r="B122" s="2">
        <v>701103525</v>
      </c>
      <c r="C122" s="1" t="s">
        <v>110</v>
      </c>
      <c r="D122" s="1" t="s">
        <v>6</v>
      </c>
      <c r="E122" s="4">
        <v>461</v>
      </c>
      <c r="F122" s="4"/>
      <c r="G122" s="4">
        <v>9.2200000000000006</v>
      </c>
      <c r="H122" s="4"/>
    </row>
    <row r="123" spans="1:8" x14ac:dyDescent="0.25">
      <c r="A123" s="1"/>
      <c r="B123" s="2">
        <v>701053639</v>
      </c>
      <c r="C123" s="1" t="s">
        <v>122</v>
      </c>
      <c r="D123" s="1" t="s">
        <v>6</v>
      </c>
      <c r="E123" s="4">
        <v>461</v>
      </c>
      <c r="F123" s="4"/>
      <c r="G123" s="4">
        <v>9.2200000000000006</v>
      </c>
      <c r="H123" s="4"/>
    </row>
    <row r="124" spans="1:8" x14ac:dyDescent="0.25">
      <c r="A124" s="1"/>
      <c r="B124" s="2">
        <v>1101652764</v>
      </c>
      <c r="C124" s="1" t="s">
        <v>125</v>
      </c>
      <c r="D124" s="1" t="s">
        <v>6</v>
      </c>
      <c r="E124" s="4">
        <v>461</v>
      </c>
      <c r="F124" s="4"/>
      <c r="G124" s="4">
        <v>9.2200000000000006</v>
      </c>
      <c r="H124" s="4"/>
    </row>
    <row r="125" spans="1:8" x14ac:dyDescent="0.25">
      <c r="A125" s="1"/>
      <c r="B125" s="2">
        <v>702425281</v>
      </c>
      <c r="C125" s="1" t="s">
        <v>127</v>
      </c>
      <c r="D125" s="1" t="s">
        <v>25</v>
      </c>
      <c r="E125" s="4">
        <v>559</v>
      </c>
      <c r="F125" s="4"/>
      <c r="G125" s="4">
        <v>11.18</v>
      </c>
      <c r="H125" s="4">
        <v>3.66</v>
      </c>
    </row>
    <row r="126" spans="1:8" x14ac:dyDescent="0.25">
      <c r="A126" s="1"/>
      <c r="B126" s="2">
        <v>1704077377</v>
      </c>
      <c r="C126" s="1" t="s">
        <v>131</v>
      </c>
      <c r="D126" s="1" t="s">
        <v>6</v>
      </c>
      <c r="E126" s="4">
        <v>461</v>
      </c>
      <c r="F126" s="4"/>
      <c r="G126" s="4">
        <v>9.2200000000000006</v>
      </c>
      <c r="H126" s="4"/>
    </row>
    <row r="127" spans="1:8" x14ac:dyDescent="0.25">
      <c r="A127" s="1"/>
      <c r="B127" s="2">
        <v>919016238</v>
      </c>
      <c r="C127" s="1" t="s">
        <v>132</v>
      </c>
      <c r="D127" s="1" t="s">
        <v>13</v>
      </c>
      <c r="E127" s="4">
        <v>419</v>
      </c>
      <c r="F127" s="4"/>
      <c r="G127" s="4">
        <v>1.05</v>
      </c>
      <c r="H127" s="4"/>
    </row>
    <row r="128" spans="1:8" x14ac:dyDescent="0.25">
      <c r="A128" s="1"/>
      <c r="B128" s="2">
        <v>702296898</v>
      </c>
      <c r="C128" s="1" t="s">
        <v>134</v>
      </c>
      <c r="D128" s="1" t="s">
        <v>25</v>
      </c>
      <c r="E128" s="4">
        <v>559</v>
      </c>
      <c r="F128" s="4"/>
      <c r="G128" s="4">
        <v>5.59</v>
      </c>
      <c r="H128" s="4">
        <v>7.32</v>
      </c>
    </row>
    <row r="129" spans="1:8" x14ac:dyDescent="0.25">
      <c r="A129" s="1"/>
      <c r="B129" s="2">
        <v>703568535</v>
      </c>
      <c r="C129" s="1" t="s">
        <v>135</v>
      </c>
      <c r="D129" s="1" t="s">
        <v>6</v>
      </c>
      <c r="E129" s="4">
        <v>461</v>
      </c>
      <c r="F129" s="4"/>
      <c r="G129" s="4">
        <v>8.07</v>
      </c>
      <c r="H129" s="4"/>
    </row>
    <row r="130" spans="1:8" x14ac:dyDescent="0.25">
      <c r="A130" s="1"/>
      <c r="B130" s="2">
        <v>706226818</v>
      </c>
      <c r="C130" s="1" t="s">
        <v>140</v>
      </c>
      <c r="D130" s="1" t="s">
        <v>47</v>
      </c>
      <c r="E130" s="4">
        <v>419</v>
      </c>
      <c r="F130" s="4"/>
      <c r="G130" s="4">
        <v>2.1</v>
      </c>
      <c r="H130" s="4"/>
    </row>
    <row r="131" spans="1:8" x14ac:dyDescent="0.25">
      <c r="A131" s="1"/>
      <c r="B131" s="2">
        <v>700883069</v>
      </c>
      <c r="C131" s="1" t="s">
        <v>141</v>
      </c>
      <c r="D131" s="1" t="s">
        <v>25</v>
      </c>
      <c r="E131" s="4">
        <v>559</v>
      </c>
      <c r="F131" s="4"/>
      <c r="G131" s="4">
        <v>11.18</v>
      </c>
      <c r="H131" s="4"/>
    </row>
    <row r="132" spans="1:8" x14ac:dyDescent="0.25">
      <c r="A132" s="1"/>
      <c r="B132" s="2">
        <v>701515157</v>
      </c>
      <c r="C132" s="1" t="s">
        <v>142</v>
      </c>
      <c r="D132" s="1" t="s">
        <v>25</v>
      </c>
      <c r="E132" s="4">
        <v>559</v>
      </c>
      <c r="F132" s="4"/>
      <c r="G132" s="4">
        <v>11.18</v>
      </c>
      <c r="H132" s="4"/>
    </row>
    <row r="133" spans="1:8" x14ac:dyDescent="0.25">
      <c r="A133" s="1"/>
      <c r="B133" s="2">
        <v>703136960</v>
      </c>
      <c r="C133" s="1" t="s">
        <v>145</v>
      </c>
      <c r="D133" s="1" t="s">
        <v>25</v>
      </c>
      <c r="E133" s="4">
        <v>559</v>
      </c>
      <c r="F133" s="4"/>
      <c r="G133" s="4">
        <v>11.18</v>
      </c>
      <c r="H133" s="4">
        <v>10.98</v>
      </c>
    </row>
    <row r="134" spans="1:8" x14ac:dyDescent="0.25">
      <c r="A134" s="1"/>
      <c r="B134" s="2">
        <v>702317512</v>
      </c>
      <c r="C134" s="1" t="s">
        <v>146</v>
      </c>
      <c r="D134" s="1" t="s">
        <v>6</v>
      </c>
      <c r="E134" s="4">
        <v>461</v>
      </c>
      <c r="F134" s="4"/>
      <c r="G134" s="4">
        <v>4.6100000000000003</v>
      </c>
      <c r="H134" s="4"/>
    </row>
    <row r="135" spans="1:8" x14ac:dyDescent="0.25">
      <c r="A135" s="1"/>
      <c r="B135" s="2">
        <v>701480188</v>
      </c>
      <c r="C135" s="1" t="s">
        <v>149</v>
      </c>
      <c r="D135" s="1" t="s">
        <v>25</v>
      </c>
      <c r="E135" s="4">
        <v>559</v>
      </c>
      <c r="F135" s="4"/>
      <c r="G135" s="4">
        <v>11.18</v>
      </c>
      <c r="H135" s="4"/>
    </row>
    <row r="136" spans="1:8" x14ac:dyDescent="0.25">
      <c r="A136" s="1"/>
      <c r="B136" s="2">
        <v>702351990</v>
      </c>
      <c r="C136" s="1" t="s">
        <v>150</v>
      </c>
      <c r="D136" s="1" t="s">
        <v>6</v>
      </c>
      <c r="E136" s="4">
        <v>461</v>
      </c>
      <c r="F136" s="4"/>
      <c r="G136" s="4">
        <v>9.2200000000000006</v>
      </c>
      <c r="H136" s="4">
        <v>10.98</v>
      </c>
    </row>
    <row r="137" spans="1:8" x14ac:dyDescent="0.25">
      <c r="A137" s="1"/>
      <c r="B137" s="2">
        <v>1101909693</v>
      </c>
      <c r="C137" s="1" t="s">
        <v>154</v>
      </c>
      <c r="D137" s="1" t="s">
        <v>2</v>
      </c>
      <c r="E137" s="4">
        <v>571.02</v>
      </c>
      <c r="F137" s="4"/>
      <c r="G137" s="4">
        <v>17.13</v>
      </c>
      <c r="H137" s="4">
        <v>3.66</v>
      </c>
    </row>
    <row r="138" spans="1:8" x14ac:dyDescent="0.25">
      <c r="A138" s="1"/>
      <c r="B138" s="2">
        <v>1900420819</v>
      </c>
      <c r="C138" s="1" t="s">
        <v>158</v>
      </c>
      <c r="D138" s="1" t="s">
        <v>25</v>
      </c>
      <c r="E138" s="4">
        <v>559</v>
      </c>
      <c r="F138" s="4"/>
      <c r="G138" s="4">
        <v>9.7799999999999994</v>
      </c>
      <c r="H138" s="4">
        <v>10.98</v>
      </c>
    </row>
    <row r="139" spans="1:8" x14ac:dyDescent="0.25">
      <c r="A139" s="1"/>
      <c r="B139" s="2">
        <v>703834416</v>
      </c>
      <c r="C139" s="1" t="s">
        <v>159</v>
      </c>
      <c r="D139" s="1" t="s">
        <v>6</v>
      </c>
      <c r="E139" s="4">
        <v>461</v>
      </c>
      <c r="F139" s="4"/>
      <c r="G139" s="4">
        <v>9.2200000000000006</v>
      </c>
      <c r="H139" s="4">
        <v>3.66</v>
      </c>
    </row>
    <row r="140" spans="1:8" x14ac:dyDescent="0.25">
      <c r="A140" s="1"/>
      <c r="B140" s="2">
        <v>702612938</v>
      </c>
      <c r="C140" s="1" t="s">
        <v>164</v>
      </c>
      <c r="D140" s="1" t="s">
        <v>18</v>
      </c>
      <c r="E140" s="4">
        <v>419</v>
      </c>
      <c r="F140" s="4"/>
      <c r="G140" s="4">
        <v>8.3800000000000008</v>
      </c>
      <c r="H140" s="4">
        <v>3.66</v>
      </c>
    </row>
    <row r="141" spans="1:8" x14ac:dyDescent="0.25">
      <c r="A141" s="1"/>
      <c r="B141" s="2">
        <v>701171761</v>
      </c>
      <c r="C141" s="1" t="s">
        <v>169</v>
      </c>
      <c r="D141" s="1" t="s">
        <v>6</v>
      </c>
      <c r="E141" s="4">
        <v>461</v>
      </c>
      <c r="F141" s="4"/>
      <c r="G141" s="4">
        <v>9.2200000000000006</v>
      </c>
      <c r="H141" s="4"/>
    </row>
    <row r="142" spans="1:8" x14ac:dyDescent="0.25">
      <c r="A142" s="1"/>
      <c r="B142" s="2">
        <v>702178039</v>
      </c>
      <c r="C142" s="1" t="s">
        <v>170</v>
      </c>
      <c r="D142" s="1" t="s">
        <v>171</v>
      </c>
      <c r="E142" s="4">
        <v>643</v>
      </c>
      <c r="F142" s="4"/>
      <c r="G142" s="4">
        <v>19.29</v>
      </c>
      <c r="H142" s="4"/>
    </row>
    <row r="143" spans="1:8" x14ac:dyDescent="0.25">
      <c r="A143" s="1"/>
      <c r="B143" s="2">
        <v>704013952</v>
      </c>
      <c r="C143" s="1" t="s">
        <v>177</v>
      </c>
      <c r="D143" s="1" t="s">
        <v>6</v>
      </c>
      <c r="E143" s="4">
        <v>461</v>
      </c>
      <c r="F143" s="4"/>
      <c r="G143" s="4">
        <v>8.07</v>
      </c>
      <c r="H143" s="4">
        <v>10.98</v>
      </c>
    </row>
    <row r="144" spans="1:8" x14ac:dyDescent="0.25">
      <c r="A144" s="1"/>
      <c r="B144" s="2">
        <v>702887282</v>
      </c>
      <c r="C144" s="1" t="s">
        <v>178</v>
      </c>
      <c r="D144" s="1" t="s">
        <v>52</v>
      </c>
      <c r="E144" s="4">
        <v>419</v>
      </c>
      <c r="F144" s="4"/>
      <c r="G144" s="4">
        <v>2.1</v>
      </c>
      <c r="H144" s="4"/>
    </row>
    <row r="145" spans="1:8" x14ac:dyDescent="0.25">
      <c r="A145" s="1"/>
      <c r="B145" s="2">
        <v>704515030</v>
      </c>
      <c r="C145" s="1" t="s">
        <v>179</v>
      </c>
      <c r="D145" s="1" t="s">
        <v>13</v>
      </c>
      <c r="E145" s="4">
        <v>419</v>
      </c>
      <c r="F145" s="4"/>
      <c r="G145" s="4">
        <v>1.05</v>
      </c>
      <c r="H145" s="4"/>
    </row>
    <row r="146" spans="1:8" x14ac:dyDescent="0.25">
      <c r="A146" s="1"/>
      <c r="B146" s="2">
        <v>702688771</v>
      </c>
      <c r="C146" s="1" t="s">
        <v>180</v>
      </c>
      <c r="D146" s="1" t="s">
        <v>25</v>
      </c>
      <c r="E146" s="4">
        <v>559</v>
      </c>
      <c r="F146" s="4"/>
      <c r="G146" s="4">
        <v>11.18</v>
      </c>
      <c r="H146" s="4">
        <v>3.66</v>
      </c>
    </row>
    <row r="147" spans="1:8" x14ac:dyDescent="0.25">
      <c r="A147" s="1"/>
      <c r="B147" s="2">
        <v>704023472</v>
      </c>
      <c r="C147" s="1" t="s">
        <v>181</v>
      </c>
      <c r="D147" s="1" t="s">
        <v>25</v>
      </c>
      <c r="E147" s="4">
        <v>559</v>
      </c>
      <c r="F147" s="4"/>
      <c r="G147" s="4">
        <v>11.18</v>
      </c>
      <c r="H147" s="4"/>
    </row>
    <row r="148" spans="1:8" x14ac:dyDescent="0.25">
      <c r="A148" s="1"/>
      <c r="B148" s="2">
        <v>702326638</v>
      </c>
      <c r="C148" s="1" t="s">
        <v>182</v>
      </c>
      <c r="D148" s="1" t="s">
        <v>25</v>
      </c>
      <c r="E148" s="4">
        <v>559</v>
      </c>
      <c r="F148" s="4"/>
      <c r="G148" s="4">
        <v>11.18</v>
      </c>
      <c r="H148" s="4">
        <v>10.98</v>
      </c>
    </row>
    <row r="149" spans="1:8" x14ac:dyDescent="0.25">
      <c r="A149" s="1"/>
      <c r="B149" s="2">
        <v>702555848</v>
      </c>
      <c r="C149" s="1" t="s">
        <v>183</v>
      </c>
      <c r="D149" s="1" t="s">
        <v>6</v>
      </c>
      <c r="E149" s="4">
        <v>461</v>
      </c>
      <c r="F149" s="4"/>
      <c r="G149" s="4">
        <v>8.07</v>
      </c>
      <c r="H149" s="4">
        <v>7.32</v>
      </c>
    </row>
    <row r="150" spans="1:8" x14ac:dyDescent="0.25">
      <c r="A150" s="1"/>
      <c r="B150" s="2">
        <v>702039157</v>
      </c>
      <c r="C150" s="1" t="s">
        <v>186</v>
      </c>
      <c r="D150" s="1" t="s">
        <v>6</v>
      </c>
      <c r="E150" s="4">
        <v>461</v>
      </c>
      <c r="F150" s="4"/>
      <c r="G150" s="4">
        <v>9.2200000000000006</v>
      </c>
      <c r="H150" s="4"/>
    </row>
    <row r="151" spans="1:8" x14ac:dyDescent="0.25">
      <c r="A151" s="1"/>
      <c r="B151" s="2">
        <v>700769649</v>
      </c>
      <c r="C151" s="1" t="s">
        <v>190</v>
      </c>
      <c r="D151" s="1" t="s">
        <v>6</v>
      </c>
      <c r="E151" s="4">
        <v>461</v>
      </c>
      <c r="F151" s="4"/>
      <c r="G151" s="4">
        <v>9.2200000000000006</v>
      </c>
      <c r="H151" s="4"/>
    </row>
    <row r="152" spans="1:8" x14ac:dyDescent="0.25">
      <c r="A152" s="1"/>
      <c r="B152" s="2">
        <v>702896879</v>
      </c>
      <c r="C152" s="1" t="s">
        <v>191</v>
      </c>
      <c r="D152" s="1" t="s">
        <v>38</v>
      </c>
      <c r="E152" s="4">
        <v>548</v>
      </c>
      <c r="F152" s="4"/>
      <c r="G152" s="4">
        <v>2.74</v>
      </c>
      <c r="H152" s="4">
        <v>7.32</v>
      </c>
    </row>
    <row r="153" spans="1:8" x14ac:dyDescent="0.25">
      <c r="A153" s="1"/>
      <c r="B153" s="2">
        <v>700188915</v>
      </c>
      <c r="C153" s="1" t="s">
        <v>193</v>
      </c>
      <c r="D153" s="1" t="s">
        <v>33</v>
      </c>
      <c r="E153" s="4">
        <v>609.75</v>
      </c>
      <c r="F153" s="4"/>
      <c r="G153" s="4">
        <v>18.29</v>
      </c>
      <c r="H153" s="4"/>
    </row>
    <row r="154" spans="1:8" x14ac:dyDescent="0.25">
      <c r="A154" s="1"/>
      <c r="B154" s="2">
        <v>702091067</v>
      </c>
      <c r="C154" s="1" t="s">
        <v>194</v>
      </c>
      <c r="D154" s="1" t="s">
        <v>25</v>
      </c>
      <c r="E154" s="4">
        <v>559</v>
      </c>
      <c r="F154" s="4"/>
      <c r="G154" s="4">
        <v>11.18</v>
      </c>
      <c r="H154" s="4">
        <v>3.66</v>
      </c>
    </row>
    <row r="155" spans="1:8" x14ac:dyDescent="0.25">
      <c r="A155" s="1"/>
      <c r="B155" s="2">
        <v>702403957</v>
      </c>
      <c r="C155" s="1" t="s">
        <v>195</v>
      </c>
      <c r="D155" s="1" t="s">
        <v>6</v>
      </c>
      <c r="E155" s="4">
        <v>461</v>
      </c>
      <c r="F155" s="4"/>
      <c r="G155" s="4">
        <v>9.2200000000000006</v>
      </c>
      <c r="H155" s="4">
        <v>3.66</v>
      </c>
    </row>
    <row r="156" spans="1:8" x14ac:dyDescent="0.25">
      <c r="A156" s="1"/>
      <c r="B156" s="2">
        <v>704072180</v>
      </c>
      <c r="C156" s="1" t="s">
        <v>196</v>
      </c>
      <c r="D156" s="1" t="s">
        <v>6</v>
      </c>
      <c r="E156" s="4">
        <v>461</v>
      </c>
      <c r="F156" s="4"/>
      <c r="G156" s="4">
        <v>4.6100000000000003</v>
      </c>
      <c r="H156" s="4"/>
    </row>
    <row r="157" spans="1:8" x14ac:dyDescent="0.25">
      <c r="A157" s="1"/>
      <c r="B157" s="2">
        <v>704684570</v>
      </c>
      <c r="C157" s="1" t="s">
        <v>198</v>
      </c>
      <c r="D157" s="1" t="s">
        <v>25</v>
      </c>
      <c r="E157" s="4">
        <v>559</v>
      </c>
      <c r="F157" s="4"/>
      <c r="G157" s="4">
        <v>9.7799999999999994</v>
      </c>
      <c r="H157" s="4"/>
    </row>
    <row r="158" spans="1:8" x14ac:dyDescent="0.25">
      <c r="A158" s="1"/>
      <c r="B158" s="2">
        <v>701872129</v>
      </c>
      <c r="C158" s="1" t="s">
        <v>200</v>
      </c>
      <c r="D158" s="1" t="s">
        <v>171</v>
      </c>
      <c r="E158" s="4">
        <v>430</v>
      </c>
      <c r="F158" s="4"/>
      <c r="G158" s="4">
        <v>12.9</v>
      </c>
      <c r="H158" s="4"/>
    </row>
    <row r="159" spans="1:8" x14ac:dyDescent="0.25">
      <c r="A159" s="1"/>
      <c r="B159" s="2">
        <v>702844895</v>
      </c>
      <c r="C159" s="1" t="s">
        <v>203</v>
      </c>
      <c r="D159" s="1" t="s">
        <v>25</v>
      </c>
      <c r="E159" s="4">
        <v>559</v>
      </c>
      <c r="F159" s="4"/>
      <c r="G159" s="4">
        <v>11.18</v>
      </c>
      <c r="H159" s="4"/>
    </row>
    <row r="160" spans="1:8" x14ac:dyDescent="0.25">
      <c r="A160" s="1"/>
      <c r="B160" s="2">
        <v>702523911</v>
      </c>
      <c r="C160" s="1" t="s">
        <v>204</v>
      </c>
      <c r="D160" s="1" t="s">
        <v>6</v>
      </c>
      <c r="E160" s="4">
        <v>461</v>
      </c>
      <c r="F160" s="4"/>
      <c r="G160" s="4">
        <v>9.2200000000000006</v>
      </c>
      <c r="H160" s="4">
        <v>7.32</v>
      </c>
    </row>
    <row r="161" spans="1:8" x14ac:dyDescent="0.25">
      <c r="A161" s="1"/>
      <c r="B161" s="2">
        <v>703588228</v>
      </c>
      <c r="C161" s="1" t="s">
        <v>208</v>
      </c>
      <c r="D161" s="1" t="s">
        <v>6</v>
      </c>
      <c r="E161" s="4">
        <v>461</v>
      </c>
      <c r="F161" s="4"/>
      <c r="G161" s="4">
        <v>4.6100000000000003</v>
      </c>
      <c r="H161" s="4">
        <v>14.64</v>
      </c>
    </row>
    <row r="162" spans="1:8" x14ac:dyDescent="0.25">
      <c r="A162" s="1"/>
      <c r="B162" s="2">
        <v>1310107881</v>
      </c>
      <c r="C162" s="1" t="s">
        <v>212</v>
      </c>
      <c r="D162" s="1" t="s">
        <v>25</v>
      </c>
      <c r="E162" s="4">
        <v>559</v>
      </c>
      <c r="F162" s="4"/>
      <c r="G162" s="4">
        <v>9.7799999999999994</v>
      </c>
      <c r="H162" s="4">
        <v>7.32</v>
      </c>
    </row>
    <row r="163" spans="1:8" x14ac:dyDescent="0.25">
      <c r="A163" s="1"/>
      <c r="B163" s="2">
        <v>705985299</v>
      </c>
      <c r="C163" s="1" t="s">
        <v>214</v>
      </c>
      <c r="D163" s="1" t="s">
        <v>66</v>
      </c>
      <c r="E163" s="4">
        <v>419</v>
      </c>
      <c r="F163" s="4"/>
      <c r="G163" s="4">
        <v>6.29</v>
      </c>
      <c r="H163" s="4"/>
    </row>
    <row r="164" spans="1:8" x14ac:dyDescent="0.25">
      <c r="A164" s="1"/>
      <c r="B164" s="2">
        <v>2100094925</v>
      </c>
      <c r="C164" s="1" t="s">
        <v>219</v>
      </c>
      <c r="D164" s="1" t="s">
        <v>25</v>
      </c>
      <c r="E164" s="4">
        <v>559</v>
      </c>
      <c r="F164" s="4"/>
      <c r="G164" s="4">
        <v>11.18</v>
      </c>
      <c r="H164" s="4">
        <v>3.66</v>
      </c>
    </row>
    <row r="165" spans="1:8" x14ac:dyDescent="0.25">
      <c r="A165" s="1"/>
      <c r="B165" s="2">
        <v>702786385</v>
      </c>
      <c r="C165" s="1" t="s">
        <v>221</v>
      </c>
      <c r="D165" s="1" t="s">
        <v>6</v>
      </c>
      <c r="E165" s="4">
        <v>461</v>
      </c>
      <c r="F165" s="4"/>
      <c r="G165" s="4">
        <v>4.6100000000000003</v>
      </c>
      <c r="H165" s="4">
        <v>10.98</v>
      </c>
    </row>
    <row r="166" spans="1:8" x14ac:dyDescent="0.25">
      <c r="A166" s="1"/>
      <c r="B166" s="2">
        <v>702544289</v>
      </c>
      <c r="C166" s="1" t="s">
        <v>225</v>
      </c>
      <c r="D166" s="1" t="s">
        <v>31</v>
      </c>
      <c r="E166" s="4">
        <v>419</v>
      </c>
      <c r="F166" s="4"/>
      <c r="G166" s="4">
        <v>6.29</v>
      </c>
      <c r="H166" s="4"/>
    </row>
    <row r="167" spans="1:8" x14ac:dyDescent="0.25">
      <c r="A167" s="1"/>
      <c r="B167" s="2">
        <v>1201005525</v>
      </c>
      <c r="C167" s="1" t="s">
        <v>230</v>
      </c>
      <c r="D167" s="1" t="s">
        <v>25</v>
      </c>
      <c r="E167" s="4">
        <v>559</v>
      </c>
      <c r="F167" s="4"/>
      <c r="G167" s="4">
        <v>11.18</v>
      </c>
      <c r="H167" s="4">
        <v>3.66</v>
      </c>
    </row>
    <row r="168" spans="1:8" x14ac:dyDescent="0.25">
      <c r="A168" s="1"/>
      <c r="B168" s="2">
        <v>702423203</v>
      </c>
      <c r="C168" s="1" t="s">
        <v>231</v>
      </c>
      <c r="D168" s="1" t="s">
        <v>25</v>
      </c>
      <c r="E168" s="4">
        <v>298.13</v>
      </c>
      <c r="F168" s="4"/>
      <c r="G168" s="4">
        <v>8.94</v>
      </c>
      <c r="H168" s="4">
        <v>10.98</v>
      </c>
    </row>
    <row r="169" spans="1:8" x14ac:dyDescent="0.25">
      <c r="A169" s="1"/>
      <c r="B169" s="2">
        <v>702571167</v>
      </c>
      <c r="C169" s="1" t="s">
        <v>233</v>
      </c>
      <c r="D169" s="1" t="s">
        <v>25</v>
      </c>
      <c r="E169" s="4">
        <v>559</v>
      </c>
      <c r="F169" s="4"/>
      <c r="G169" s="4">
        <v>11.18</v>
      </c>
      <c r="H169" s="4">
        <v>3.66</v>
      </c>
    </row>
    <row r="170" spans="1:8" x14ac:dyDescent="0.25">
      <c r="A170" s="1"/>
      <c r="B170" s="2">
        <v>701740326</v>
      </c>
      <c r="C170" s="1" t="s">
        <v>234</v>
      </c>
      <c r="D170" s="1" t="s">
        <v>171</v>
      </c>
      <c r="E170" s="4">
        <v>521.22</v>
      </c>
      <c r="F170" s="4"/>
      <c r="G170" s="4">
        <v>15.64</v>
      </c>
      <c r="H170" s="4">
        <v>3.66</v>
      </c>
    </row>
    <row r="171" spans="1:8" x14ac:dyDescent="0.25">
      <c r="A171" s="1"/>
      <c r="B171" s="2">
        <v>1705628301</v>
      </c>
      <c r="C171" s="1" t="s">
        <v>235</v>
      </c>
      <c r="D171" s="1" t="s">
        <v>6</v>
      </c>
      <c r="E171" s="4">
        <v>461</v>
      </c>
      <c r="F171" s="4"/>
      <c r="G171" s="4">
        <v>9.2200000000000006</v>
      </c>
      <c r="H171" s="4"/>
    </row>
    <row r="172" spans="1:8" x14ac:dyDescent="0.25">
      <c r="A172" s="1"/>
      <c r="B172" s="2">
        <v>1103542500</v>
      </c>
      <c r="C172" s="1" t="s">
        <v>236</v>
      </c>
      <c r="D172" s="1" t="s">
        <v>18</v>
      </c>
      <c r="E172" s="4">
        <v>419</v>
      </c>
      <c r="F172" s="4"/>
      <c r="G172" s="4">
        <v>8.3800000000000008</v>
      </c>
      <c r="H172" s="4">
        <v>7.32</v>
      </c>
    </row>
    <row r="173" spans="1:8" x14ac:dyDescent="0.25">
      <c r="A173" s="1"/>
      <c r="B173" s="2">
        <v>702228008</v>
      </c>
      <c r="C173" s="1" t="s">
        <v>237</v>
      </c>
      <c r="D173" s="1" t="s">
        <v>31</v>
      </c>
      <c r="E173" s="4">
        <v>419</v>
      </c>
      <c r="F173" s="4"/>
      <c r="G173" s="4">
        <v>6.29</v>
      </c>
      <c r="H173" s="4"/>
    </row>
    <row r="174" spans="1:8" x14ac:dyDescent="0.25">
      <c r="A174" s="1"/>
      <c r="B174" s="2">
        <v>703167510</v>
      </c>
      <c r="C174" s="1" t="s">
        <v>238</v>
      </c>
      <c r="D174" s="1" t="s">
        <v>6</v>
      </c>
      <c r="E174" s="4">
        <v>461</v>
      </c>
      <c r="F174" s="4"/>
      <c r="G174" s="4">
        <v>9.2200000000000006</v>
      </c>
      <c r="H174" s="4">
        <v>10.98</v>
      </c>
    </row>
    <row r="175" spans="1:8" x14ac:dyDescent="0.25">
      <c r="A175" s="1"/>
      <c r="B175" s="2">
        <v>704093160</v>
      </c>
      <c r="C175" s="1" t="s">
        <v>239</v>
      </c>
      <c r="D175" s="1" t="s">
        <v>6</v>
      </c>
      <c r="E175" s="4">
        <v>461</v>
      </c>
      <c r="F175" s="4"/>
      <c r="G175" s="4">
        <v>8.07</v>
      </c>
      <c r="H175" s="4">
        <v>7.32</v>
      </c>
    </row>
    <row r="176" spans="1:8" x14ac:dyDescent="0.25">
      <c r="A176" s="1"/>
      <c r="B176" s="2">
        <v>1703624674</v>
      </c>
      <c r="C176" s="1" t="s">
        <v>240</v>
      </c>
      <c r="D176" s="1" t="s">
        <v>25</v>
      </c>
      <c r="E176" s="4">
        <v>559</v>
      </c>
      <c r="F176" s="4"/>
      <c r="G176" s="4">
        <v>11.18</v>
      </c>
      <c r="H176" s="4">
        <v>3.66</v>
      </c>
    </row>
    <row r="177" spans="1:8" x14ac:dyDescent="0.25">
      <c r="A177" s="1"/>
      <c r="B177" s="2">
        <v>704059682</v>
      </c>
      <c r="C177" s="1" t="s">
        <v>241</v>
      </c>
      <c r="D177" s="1" t="s">
        <v>25</v>
      </c>
      <c r="E177" s="4">
        <v>559</v>
      </c>
      <c r="F177" s="4"/>
      <c r="G177" s="4">
        <v>9.7799999999999994</v>
      </c>
      <c r="H177" s="4">
        <v>3.66</v>
      </c>
    </row>
    <row r="178" spans="1:8" x14ac:dyDescent="0.25">
      <c r="A178" s="1"/>
      <c r="B178" s="2">
        <v>1600051609</v>
      </c>
      <c r="C178" s="1" t="s">
        <v>242</v>
      </c>
      <c r="D178" s="1" t="s">
        <v>25</v>
      </c>
      <c r="E178" s="4">
        <v>559</v>
      </c>
      <c r="F178" s="4"/>
      <c r="G178" s="4">
        <v>11.18</v>
      </c>
      <c r="H178" s="4">
        <v>3.66</v>
      </c>
    </row>
    <row r="179" spans="1:8" x14ac:dyDescent="0.25">
      <c r="A179" s="1"/>
      <c r="B179" s="2">
        <v>701207375</v>
      </c>
      <c r="C179" s="1" t="s">
        <v>244</v>
      </c>
      <c r="D179" s="1" t="s">
        <v>6</v>
      </c>
      <c r="E179" s="4">
        <v>629.66999999999996</v>
      </c>
      <c r="F179" s="4"/>
      <c r="G179" s="4">
        <v>18.89</v>
      </c>
      <c r="H179" s="4">
        <v>7.32</v>
      </c>
    </row>
    <row r="180" spans="1:8" x14ac:dyDescent="0.25">
      <c r="A180" s="1"/>
      <c r="B180" s="2">
        <v>701377699</v>
      </c>
      <c r="C180" s="1" t="s">
        <v>247</v>
      </c>
      <c r="D180" s="1" t="s">
        <v>25</v>
      </c>
      <c r="E180" s="4">
        <v>559</v>
      </c>
      <c r="F180" s="4"/>
      <c r="G180" s="4">
        <v>11.18</v>
      </c>
      <c r="H180" s="4"/>
    </row>
    <row r="181" spans="1:8" x14ac:dyDescent="0.25">
      <c r="A181" s="1"/>
      <c r="B181" s="2">
        <v>800645061</v>
      </c>
      <c r="C181" s="1" t="s">
        <v>250</v>
      </c>
      <c r="D181" s="1" t="s">
        <v>18</v>
      </c>
      <c r="E181" s="4">
        <v>419</v>
      </c>
      <c r="F181" s="4"/>
      <c r="G181" s="4">
        <v>8.3800000000000008</v>
      </c>
      <c r="H181" s="4">
        <v>3.66</v>
      </c>
    </row>
    <row r="182" spans="1:8" x14ac:dyDescent="0.25">
      <c r="A182" s="1"/>
      <c r="B182" s="2">
        <v>1103905996</v>
      </c>
      <c r="C182" s="1" t="s">
        <v>254</v>
      </c>
      <c r="D182" s="1" t="s">
        <v>25</v>
      </c>
      <c r="E182" s="4">
        <v>559</v>
      </c>
      <c r="F182" s="4"/>
      <c r="G182" s="4">
        <v>8.39</v>
      </c>
      <c r="H182" s="4"/>
    </row>
    <row r="183" spans="1:8" x14ac:dyDescent="0.25">
      <c r="A183" s="1"/>
      <c r="B183" s="2">
        <v>602906273</v>
      </c>
      <c r="C183" s="1" t="s">
        <v>258</v>
      </c>
      <c r="D183" s="1" t="s">
        <v>6</v>
      </c>
      <c r="E183" s="4">
        <v>461</v>
      </c>
      <c r="F183" s="4"/>
      <c r="G183" s="4">
        <v>8.07</v>
      </c>
      <c r="H183" s="4"/>
    </row>
    <row r="184" spans="1:8" x14ac:dyDescent="0.25">
      <c r="A184" s="1"/>
      <c r="B184" s="2">
        <v>700948219</v>
      </c>
      <c r="C184" s="1" t="s">
        <v>260</v>
      </c>
      <c r="D184" s="1" t="s">
        <v>25</v>
      </c>
      <c r="E184" s="4">
        <v>559</v>
      </c>
      <c r="F184" s="4"/>
      <c r="G184" s="4">
        <v>11.18</v>
      </c>
      <c r="H184" s="4"/>
    </row>
    <row r="185" spans="1:8" x14ac:dyDescent="0.25">
      <c r="A185" s="1"/>
      <c r="B185" s="2">
        <v>702460064</v>
      </c>
      <c r="C185" s="1" t="s">
        <v>262</v>
      </c>
      <c r="D185" s="1" t="s">
        <v>6</v>
      </c>
      <c r="E185" s="4">
        <v>461</v>
      </c>
      <c r="F185" s="4"/>
      <c r="G185" s="4">
        <v>3.46</v>
      </c>
      <c r="H185" s="4"/>
    </row>
    <row r="186" spans="1:8" x14ac:dyDescent="0.25">
      <c r="A186" s="1"/>
      <c r="B186" s="2">
        <v>700465875</v>
      </c>
      <c r="C186" s="1" t="s">
        <v>263</v>
      </c>
      <c r="D186" s="1" t="s">
        <v>25</v>
      </c>
      <c r="E186" s="4">
        <v>559</v>
      </c>
      <c r="F186" s="4"/>
      <c r="G186" s="4">
        <v>11.18</v>
      </c>
      <c r="H186" s="4"/>
    </row>
    <row r="187" spans="1:8" x14ac:dyDescent="0.25">
      <c r="A187" s="1"/>
      <c r="B187" s="2">
        <v>701653966</v>
      </c>
      <c r="C187" s="1" t="s">
        <v>265</v>
      </c>
      <c r="D187" s="1" t="s">
        <v>25</v>
      </c>
      <c r="E187" s="4">
        <v>559</v>
      </c>
      <c r="F187" s="4"/>
      <c r="G187" s="4">
        <v>8.39</v>
      </c>
      <c r="H187" s="4"/>
    </row>
    <row r="188" spans="1:8" x14ac:dyDescent="0.25">
      <c r="A188" s="1"/>
      <c r="B188" s="2">
        <v>703059790</v>
      </c>
      <c r="C188" s="1" t="s">
        <v>266</v>
      </c>
      <c r="D188" s="1" t="s">
        <v>13</v>
      </c>
      <c r="E188" s="4">
        <v>419</v>
      </c>
      <c r="F188" s="4"/>
      <c r="G188" s="4">
        <v>1.05</v>
      </c>
      <c r="H188" s="4"/>
    </row>
    <row r="189" spans="1:8" x14ac:dyDescent="0.25">
      <c r="A189" s="1"/>
      <c r="B189" s="2">
        <v>700663305</v>
      </c>
      <c r="C189" s="1" t="s">
        <v>268</v>
      </c>
      <c r="D189" s="1" t="s">
        <v>25</v>
      </c>
      <c r="E189" s="4">
        <v>559</v>
      </c>
      <c r="F189" s="4"/>
      <c r="G189" s="4">
        <v>11.18</v>
      </c>
      <c r="H189" s="4"/>
    </row>
    <row r="190" spans="1:8" x14ac:dyDescent="0.25">
      <c r="A190" s="1"/>
      <c r="B190" s="2">
        <v>703577916</v>
      </c>
      <c r="C190" s="1" t="s">
        <v>269</v>
      </c>
      <c r="D190" s="1" t="s">
        <v>25</v>
      </c>
      <c r="E190" s="4">
        <v>559</v>
      </c>
      <c r="F190" s="4"/>
      <c r="G190" s="4">
        <v>11.18</v>
      </c>
      <c r="H190" s="4">
        <v>7.32</v>
      </c>
    </row>
    <row r="191" spans="1:8" x14ac:dyDescent="0.25">
      <c r="A191" s="1"/>
      <c r="B191" s="2">
        <v>701716490</v>
      </c>
      <c r="C191" s="1" t="s">
        <v>271</v>
      </c>
      <c r="D191" s="1" t="s">
        <v>25</v>
      </c>
      <c r="E191" s="4">
        <v>586.51</v>
      </c>
      <c r="F191" s="4"/>
      <c r="G191" s="4">
        <v>17.600000000000001</v>
      </c>
      <c r="H191" s="4"/>
    </row>
    <row r="192" spans="1:8" x14ac:dyDescent="0.25">
      <c r="A192" s="1"/>
      <c r="B192" s="2">
        <v>702590852</v>
      </c>
      <c r="C192" s="1" t="s">
        <v>274</v>
      </c>
      <c r="D192" s="1" t="s">
        <v>38</v>
      </c>
      <c r="E192" s="4">
        <v>447</v>
      </c>
      <c r="F192" s="4"/>
      <c r="G192" s="4">
        <v>8.94</v>
      </c>
      <c r="H192" s="4">
        <v>3.66</v>
      </c>
    </row>
    <row r="193" spans="1:8" x14ac:dyDescent="0.25">
      <c r="A193" s="1"/>
      <c r="B193" s="2">
        <v>703324178</v>
      </c>
      <c r="C193" s="1" t="s">
        <v>275</v>
      </c>
      <c r="D193" s="1" t="s">
        <v>166</v>
      </c>
      <c r="E193" s="4">
        <v>600</v>
      </c>
      <c r="F193" s="4"/>
      <c r="G193" s="4">
        <v>4.5</v>
      </c>
      <c r="H193" s="4"/>
    </row>
    <row r="194" spans="1:8" x14ac:dyDescent="0.25">
      <c r="A194" s="1"/>
      <c r="B194" s="2">
        <v>705915825</v>
      </c>
      <c r="C194" s="1" t="s">
        <v>276</v>
      </c>
      <c r="D194" s="1" t="s">
        <v>25</v>
      </c>
      <c r="E194" s="4">
        <v>559</v>
      </c>
      <c r="F194" s="4"/>
      <c r="G194" s="4">
        <v>11.18</v>
      </c>
      <c r="H194" s="4"/>
    </row>
    <row r="195" spans="1:8" x14ac:dyDescent="0.25">
      <c r="A195" s="1"/>
      <c r="B195" s="2">
        <v>703164756</v>
      </c>
      <c r="C195" s="1" t="s">
        <v>280</v>
      </c>
      <c r="D195" s="1" t="s">
        <v>25</v>
      </c>
      <c r="E195" s="4">
        <v>559</v>
      </c>
      <c r="F195" s="4"/>
      <c r="G195" s="4">
        <v>11.18</v>
      </c>
      <c r="H195" s="4"/>
    </row>
    <row r="196" spans="1:8" x14ac:dyDescent="0.25">
      <c r="A196" s="1"/>
      <c r="B196" s="2">
        <v>701116386</v>
      </c>
      <c r="C196" s="1" t="s">
        <v>283</v>
      </c>
      <c r="D196" s="1" t="s">
        <v>47</v>
      </c>
      <c r="E196" s="4">
        <v>419</v>
      </c>
      <c r="F196" s="4"/>
      <c r="G196" s="4">
        <v>8.3800000000000008</v>
      </c>
      <c r="H196" s="4">
        <v>3.66</v>
      </c>
    </row>
    <row r="197" spans="1:8" x14ac:dyDescent="0.25">
      <c r="A197" s="1"/>
      <c r="B197" s="2">
        <v>703257337</v>
      </c>
      <c r="C197" s="1" t="s">
        <v>285</v>
      </c>
      <c r="D197" s="1" t="s">
        <v>66</v>
      </c>
      <c r="E197" s="4">
        <v>419</v>
      </c>
      <c r="F197" s="4"/>
      <c r="G197" s="4">
        <v>8.3800000000000008</v>
      </c>
      <c r="H197" s="4"/>
    </row>
    <row r="198" spans="1:8" x14ac:dyDescent="0.25">
      <c r="A198" s="1"/>
      <c r="B198" s="2">
        <v>703057398</v>
      </c>
      <c r="C198" s="1" t="s">
        <v>286</v>
      </c>
      <c r="D198" s="1" t="s">
        <v>31</v>
      </c>
      <c r="E198" s="4">
        <v>419</v>
      </c>
      <c r="F198" s="4"/>
      <c r="G198" s="4">
        <v>8.3800000000000008</v>
      </c>
      <c r="H198" s="4">
        <v>7.32</v>
      </c>
    </row>
    <row r="199" spans="1:8" x14ac:dyDescent="0.25">
      <c r="A199" s="1"/>
      <c r="B199" s="2">
        <v>704454693</v>
      </c>
      <c r="C199" s="1" t="s">
        <v>288</v>
      </c>
      <c r="D199" s="1" t="s">
        <v>25</v>
      </c>
      <c r="E199" s="4">
        <v>559</v>
      </c>
      <c r="F199" s="4"/>
      <c r="G199" s="4">
        <v>11.18</v>
      </c>
      <c r="H199" s="4">
        <v>3.66</v>
      </c>
    </row>
    <row r="200" spans="1:8" x14ac:dyDescent="0.25">
      <c r="A200" s="1"/>
      <c r="B200" s="2">
        <v>704743350</v>
      </c>
      <c r="C200" s="1" t="s">
        <v>289</v>
      </c>
      <c r="D200" s="1" t="s">
        <v>66</v>
      </c>
      <c r="E200" s="4">
        <v>419</v>
      </c>
      <c r="F200" s="4"/>
      <c r="G200" s="4">
        <v>8.3800000000000008</v>
      </c>
      <c r="H200" s="4"/>
    </row>
    <row r="201" spans="1:8" x14ac:dyDescent="0.25">
      <c r="A201" s="1"/>
      <c r="B201" s="2">
        <v>701966897</v>
      </c>
      <c r="C201" s="1" t="s">
        <v>292</v>
      </c>
      <c r="D201" s="1" t="s">
        <v>171</v>
      </c>
      <c r="E201" s="4">
        <v>535.61</v>
      </c>
      <c r="F201" s="4"/>
      <c r="G201" s="4">
        <v>16.07</v>
      </c>
      <c r="H201" s="4"/>
    </row>
    <row r="202" spans="1:8" x14ac:dyDescent="0.25">
      <c r="A202" s="1"/>
      <c r="B202" s="2">
        <v>704702265</v>
      </c>
      <c r="C202" s="1" t="s">
        <v>293</v>
      </c>
      <c r="D202" s="1" t="s">
        <v>66</v>
      </c>
      <c r="E202" s="4">
        <v>419</v>
      </c>
      <c r="F202" s="4"/>
      <c r="G202" s="4">
        <v>6.29</v>
      </c>
      <c r="H202" s="4"/>
    </row>
    <row r="203" spans="1:8" x14ac:dyDescent="0.25">
      <c r="A203" s="1"/>
      <c r="B203" s="2">
        <v>702885682</v>
      </c>
      <c r="C203" s="1" t="s">
        <v>295</v>
      </c>
      <c r="D203" s="1" t="s">
        <v>25</v>
      </c>
      <c r="E203" s="4">
        <v>559</v>
      </c>
      <c r="F203" s="4"/>
      <c r="G203" s="4">
        <v>9.7799999999999994</v>
      </c>
      <c r="H203" s="4"/>
    </row>
    <row r="204" spans="1:8" x14ac:dyDescent="0.25">
      <c r="A204" s="1"/>
      <c r="B204" s="2">
        <v>702222902</v>
      </c>
      <c r="C204" s="1" t="s">
        <v>296</v>
      </c>
      <c r="D204" s="1" t="s">
        <v>6</v>
      </c>
      <c r="E204" s="4">
        <v>461</v>
      </c>
      <c r="F204" s="4"/>
      <c r="G204" s="4">
        <v>9.2200000000000006</v>
      </c>
      <c r="H204" s="4"/>
    </row>
    <row r="205" spans="1:8" x14ac:dyDescent="0.25">
      <c r="A205" s="1"/>
      <c r="B205" s="2">
        <v>704495092</v>
      </c>
      <c r="C205" s="1" t="s">
        <v>299</v>
      </c>
      <c r="D205" s="1" t="s">
        <v>38</v>
      </c>
      <c r="E205" s="4">
        <v>419</v>
      </c>
      <c r="F205" s="4"/>
      <c r="G205" s="4">
        <v>8.3800000000000008</v>
      </c>
      <c r="H205" s="4">
        <v>7.32</v>
      </c>
    </row>
    <row r="206" spans="1:8" x14ac:dyDescent="0.25">
      <c r="A206" s="1"/>
      <c r="B206" s="2">
        <v>705152502</v>
      </c>
      <c r="C206" s="1" t="s">
        <v>300</v>
      </c>
      <c r="D206" s="1" t="s">
        <v>25</v>
      </c>
      <c r="E206" s="4">
        <v>559</v>
      </c>
      <c r="F206" s="4"/>
      <c r="G206" s="4">
        <v>9.7799999999999994</v>
      </c>
      <c r="H206" s="4"/>
    </row>
    <row r="207" spans="1:8" x14ac:dyDescent="0.25">
      <c r="A207" s="1"/>
      <c r="B207" s="2">
        <v>702835117</v>
      </c>
      <c r="C207" s="1" t="s">
        <v>301</v>
      </c>
      <c r="D207" s="1" t="s">
        <v>25</v>
      </c>
      <c r="E207" s="4">
        <v>559</v>
      </c>
      <c r="F207" s="4"/>
      <c r="G207" s="4">
        <v>9.7799999999999994</v>
      </c>
      <c r="H207" s="4">
        <v>7.32</v>
      </c>
    </row>
    <row r="208" spans="1:8" x14ac:dyDescent="0.25">
      <c r="A208" s="1"/>
      <c r="B208" s="2">
        <v>704528181</v>
      </c>
      <c r="C208" s="1" t="s">
        <v>303</v>
      </c>
      <c r="D208" s="1" t="s">
        <v>6</v>
      </c>
      <c r="E208" s="4">
        <v>461</v>
      </c>
      <c r="F208" s="4"/>
      <c r="G208" s="4">
        <v>4.6100000000000003</v>
      </c>
      <c r="H208" s="4">
        <v>7.32</v>
      </c>
    </row>
    <row r="209" spans="1:8" x14ac:dyDescent="0.25">
      <c r="A209" s="1"/>
      <c r="B209" s="2">
        <v>703465559</v>
      </c>
      <c r="C209" s="1" t="s">
        <v>305</v>
      </c>
      <c r="D209" s="1" t="s">
        <v>25</v>
      </c>
      <c r="E209" s="4">
        <v>559</v>
      </c>
      <c r="F209" s="4"/>
      <c r="G209" s="4">
        <v>11.18</v>
      </c>
      <c r="H209" s="4">
        <v>7.32</v>
      </c>
    </row>
    <row r="210" spans="1:8" x14ac:dyDescent="0.25">
      <c r="A210" s="1"/>
      <c r="B210" s="2">
        <v>701023285</v>
      </c>
      <c r="C210" s="1" t="s">
        <v>306</v>
      </c>
      <c r="D210" s="1" t="s">
        <v>25</v>
      </c>
      <c r="E210" s="4">
        <v>559</v>
      </c>
      <c r="F210" s="4"/>
      <c r="G210" s="4">
        <v>11.18</v>
      </c>
      <c r="H210" s="4"/>
    </row>
    <row r="211" spans="1:8" x14ac:dyDescent="0.25">
      <c r="A211" s="1"/>
      <c r="B211" s="2">
        <v>702990292</v>
      </c>
      <c r="C211" s="1" t="s">
        <v>309</v>
      </c>
      <c r="D211" s="1" t="s">
        <v>6</v>
      </c>
      <c r="E211" s="4">
        <v>461</v>
      </c>
      <c r="F211" s="4"/>
      <c r="G211" s="4">
        <v>3.46</v>
      </c>
      <c r="H211" s="4"/>
    </row>
    <row r="212" spans="1:8" x14ac:dyDescent="0.25">
      <c r="A212" s="1"/>
      <c r="B212" s="2">
        <v>705137883</v>
      </c>
      <c r="C212" s="1" t="s">
        <v>312</v>
      </c>
      <c r="D212" s="1" t="s">
        <v>31</v>
      </c>
      <c r="E212" s="4">
        <v>419</v>
      </c>
      <c r="F212" s="4"/>
      <c r="G212" s="4">
        <v>6.29</v>
      </c>
      <c r="H212" s="4">
        <v>3.66</v>
      </c>
    </row>
    <row r="213" spans="1:8" x14ac:dyDescent="0.25">
      <c r="A213" s="1"/>
      <c r="B213" s="2">
        <v>704804590</v>
      </c>
      <c r="C213" s="1" t="s">
        <v>313</v>
      </c>
      <c r="D213" s="1" t="s">
        <v>31</v>
      </c>
      <c r="E213" s="4">
        <v>419</v>
      </c>
      <c r="F213" s="4"/>
      <c r="G213" s="4">
        <v>6.29</v>
      </c>
      <c r="H213" s="4"/>
    </row>
    <row r="214" spans="1:8" x14ac:dyDescent="0.25">
      <c r="A214" s="1"/>
      <c r="B214" s="2">
        <v>704707991</v>
      </c>
      <c r="C214" s="1" t="s">
        <v>314</v>
      </c>
      <c r="D214" s="1" t="s">
        <v>94</v>
      </c>
      <c r="E214" s="4">
        <v>419</v>
      </c>
      <c r="F214" s="4"/>
      <c r="G214" s="4">
        <v>4.1900000000000004</v>
      </c>
      <c r="H214" s="4">
        <v>7.32</v>
      </c>
    </row>
    <row r="215" spans="1:8" x14ac:dyDescent="0.25">
      <c r="A215" s="1"/>
      <c r="B215" s="2">
        <v>702482001</v>
      </c>
      <c r="C215" s="1" t="s">
        <v>315</v>
      </c>
      <c r="D215" s="1" t="s">
        <v>25</v>
      </c>
      <c r="E215" s="4">
        <v>559</v>
      </c>
      <c r="F215" s="4"/>
      <c r="G215" s="4">
        <v>11.18</v>
      </c>
      <c r="H215" s="4">
        <v>3.66</v>
      </c>
    </row>
    <row r="216" spans="1:8" x14ac:dyDescent="0.25">
      <c r="A216" s="1"/>
      <c r="B216" s="2">
        <v>701045239</v>
      </c>
      <c r="C216" s="1" t="s">
        <v>317</v>
      </c>
      <c r="D216" s="1" t="s">
        <v>6</v>
      </c>
      <c r="E216" s="4">
        <v>461</v>
      </c>
      <c r="F216" s="4"/>
      <c r="G216" s="4">
        <v>9.2200000000000006</v>
      </c>
      <c r="H216" s="4"/>
    </row>
    <row r="217" spans="1:8" x14ac:dyDescent="0.25">
      <c r="A217" s="1"/>
      <c r="B217" s="2">
        <v>701280190</v>
      </c>
      <c r="C217" s="1" t="s">
        <v>319</v>
      </c>
      <c r="D217" s="1" t="s">
        <v>31</v>
      </c>
      <c r="E217" s="4">
        <v>419</v>
      </c>
      <c r="F217" s="4"/>
      <c r="G217" s="4">
        <v>7.33</v>
      </c>
      <c r="H217" s="4"/>
    </row>
    <row r="218" spans="1:8" x14ac:dyDescent="0.25">
      <c r="A218" s="1"/>
      <c r="B218" s="2">
        <v>703035410</v>
      </c>
      <c r="C218" s="1" t="s">
        <v>320</v>
      </c>
      <c r="D218" s="1" t="s">
        <v>6</v>
      </c>
      <c r="E218" s="4">
        <v>461</v>
      </c>
      <c r="F218" s="4"/>
      <c r="G218" s="4">
        <v>4.6100000000000003</v>
      </c>
      <c r="H218" s="4"/>
    </row>
    <row r="219" spans="1:8" x14ac:dyDescent="0.25">
      <c r="A219" s="1"/>
      <c r="B219" s="2">
        <v>704085521</v>
      </c>
      <c r="C219" s="1" t="s">
        <v>321</v>
      </c>
      <c r="D219" s="1" t="s">
        <v>322</v>
      </c>
      <c r="E219" s="4">
        <v>419</v>
      </c>
      <c r="F219" s="4"/>
      <c r="G219" s="4">
        <v>7.33</v>
      </c>
      <c r="H219" s="4">
        <v>10.98</v>
      </c>
    </row>
    <row r="220" spans="1:8" x14ac:dyDescent="0.25">
      <c r="A220" s="1"/>
      <c r="B220" s="2">
        <v>700600372</v>
      </c>
      <c r="C220" s="1" t="s">
        <v>323</v>
      </c>
      <c r="D220" s="1" t="s">
        <v>6</v>
      </c>
      <c r="E220" s="4">
        <v>461</v>
      </c>
      <c r="F220" s="4"/>
      <c r="G220" s="4">
        <v>9.2200000000000006</v>
      </c>
      <c r="H220" s="4"/>
    </row>
    <row r="221" spans="1:8" x14ac:dyDescent="0.25">
      <c r="A221" s="1"/>
      <c r="B221" s="2">
        <v>705283778</v>
      </c>
      <c r="C221" s="1" t="s">
        <v>328</v>
      </c>
      <c r="D221" s="1" t="s">
        <v>329</v>
      </c>
      <c r="E221" s="4">
        <v>419</v>
      </c>
      <c r="F221" s="4"/>
      <c r="G221" s="4">
        <v>3.14</v>
      </c>
      <c r="H221" s="4"/>
    </row>
    <row r="222" spans="1:8" x14ac:dyDescent="0.25">
      <c r="A222" s="1"/>
      <c r="B222" s="2">
        <v>704582386</v>
      </c>
      <c r="C222" s="1" t="s">
        <v>330</v>
      </c>
      <c r="D222" s="1" t="s">
        <v>31</v>
      </c>
      <c r="E222" s="4">
        <v>419</v>
      </c>
      <c r="F222" s="4"/>
      <c r="G222" s="4">
        <v>3.14</v>
      </c>
      <c r="H222" s="4"/>
    </row>
    <row r="223" spans="1:8" x14ac:dyDescent="0.25">
      <c r="A223" s="1"/>
      <c r="B223" s="2">
        <v>700928138</v>
      </c>
      <c r="C223" s="1" t="s">
        <v>332</v>
      </c>
      <c r="D223" s="1" t="s">
        <v>6</v>
      </c>
      <c r="E223" s="4">
        <v>461</v>
      </c>
      <c r="F223" s="4"/>
      <c r="G223" s="4">
        <v>9.2200000000000006</v>
      </c>
      <c r="H223" s="4">
        <v>3.66</v>
      </c>
    </row>
    <row r="224" spans="1:8" x14ac:dyDescent="0.25">
      <c r="A224" s="1"/>
      <c r="B224" s="2">
        <v>701950248</v>
      </c>
      <c r="C224" s="1" t="s">
        <v>334</v>
      </c>
      <c r="D224" s="1" t="s">
        <v>6</v>
      </c>
      <c r="E224" s="4">
        <v>558.85</v>
      </c>
      <c r="F224" s="4"/>
      <c r="G224" s="4">
        <v>16.77</v>
      </c>
      <c r="H224" s="4">
        <v>7.32</v>
      </c>
    </row>
    <row r="225" spans="1:8" x14ac:dyDescent="0.25">
      <c r="A225" s="1"/>
      <c r="B225" s="2">
        <v>702401951</v>
      </c>
      <c r="C225" s="1" t="s">
        <v>338</v>
      </c>
      <c r="D225" s="1" t="s">
        <v>6</v>
      </c>
      <c r="E225" s="4">
        <v>461</v>
      </c>
      <c r="F225" s="4"/>
      <c r="G225" s="4">
        <v>8.07</v>
      </c>
      <c r="H225" s="4">
        <v>3.66</v>
      </c>
    </row>
    <row r="226" spans="1:8" x14ac:dyDescent="0.25">
      <c r="A226" s="1"/>
      <c r="B226" s="2">
        <v>703246645</v>
      </c>
      <c r="C226" s="1" t="s">
        <v>341</v>
      </c>
      <c r="D226" s="1" t="s">
        <v>25</v>
      </c>
      <c r="E226" s="4">
        <v>559</v>
      </c>
      <c r="F226" s="4"/>
      <c r="G226" s="4">
        <v>11.18</v>
      </c>
      <c r="H226" s="4">
        <v>10.98</v>
      </c>
    </row>
    <row r="227" spans="1:8" x14ac:dyDescent="0.25">
      <c r="A227" s="1"/>
      <c r="B227" s="2">
        <v>701643199</v>
      </c>
      <c r="C227" s="1" t="s">
        <v>343</v>
      </c>
      <c r="D227" s="1" t="s">
        <v>6</v>
      </c>
      <c r="E227" s="4">
        <v>461</v>
      </c>
      <c r="F227" s="4"/>
      <c r="G227" s="4">
        <v>9.2200000000000006</v>
      </c>
      <c r="H227" s="4"/>
    </row>
    <row r="228" spans="1:8" x14ac:dyDescent="0.25">
      <c r="A228" s="1"/>
      <c r="B228" s="2">
        <v>701801631</v>
      </c>
      <c r="C228" s="1" t="s">
        <v>347</v>
      </c>
      <c r="D228" s="1" t="s">
        <v>166</v>
      </c>
      <c r="E228" s="4">
        <v>700</v>
      </c>
      <c r="F228" s="4"/>
      <c r="G228" s="4">
        <v>21</v>
      </c>
      <c r="H228" s="4"/>
    </row>
    <row r="229" spans="1:8" x14ac:dyDescent="0.25">
      <c r="A229" s="1"/>
      <c r="B229" s="2">
        <v>801287467</v>
      </c>
      <c r="C229" s="1" t="s">
        <v>352</v>
      </c>
      <c r="D229" s="1" t="s">
        <v>18</v>
      </c>
      <c r="E229" s="4">
        <v>419</v>
      </c>
      <c r="F229" s="4"/>
      <c r="G229" s="4">
        <v>8.3800000000000008</v>
      </c>
      <c r="H229" s="4">
        <v>7.32</v>
      </c>
    </row>
    <row r="230" spans="1:8" x14ac:dyDescent="0.25">
      <c r="A230" s="1"/>
      <c r="B230" s="2">
        <v>700905979</v>
      </c>
      <c r="C230" s="1" t="s">
        <v>355</v>
      </c>
      <c r="D230" s="1" t="s">
        <v>18</v>
      </c>
      <c r="E230" s="4">
        <v>419</v>
      </c>
      <c r="F230" s="4"/>
      <c r="G230" s="4">
        <v>8.3800000000000008</v>
      </c>
      <c r="H230" s="4"/>
    </row>
    <row r="231" spans="1:8" x14ac:dyDescent="0.25">
      <c r="A231" s="1"/>
      <c r="B231" s="2">
        <v>702569435</v>
      </c>
      <c r="C231" s="1" t="s">
        <v>358</v>
      </c>
      <c r="D231" s="1" t="s">
        <v>6</v>
      </c>
      <c r="E231" s="4">
        <v>245.87</v>
      </c>
      <c r="F231" s="4"/>
      <c r="G231" s="4">
        <v>4.3</v>
      </c>
      <c r="H231" s="4"/>
    </row>
    <row r="232" spans="1:8" x14ac:dyDescent="0.25">
      <c r="A232" s="1"/>
      <c r="B232" s="2">
        <v>700687551</v>
      </c>
      <c r="C232" s="1" t="s">
        <v>359</v>
      </c>
      <c r="D232" s="1" t="s">
        <v>171</v>
      </c>
      <c r="E232" s="4">
        <v>419</v>
      </c>
      <c r="F232" s="4"/>
      <c r="G232" s="4">
        <v>8.3800000000000008</v>
      </c>
      <c r="H232" s="4"/>
    </row>
    <row r="233" spans="1:8" x14ac:dyDescent="0.25">
      <c r="A233" s="1"/>
      <c r="B233" s="2">
        <v>701535833</v>
      </c>
      <c r="C233" s="1" t="s">
        <v>362</v>
      </c>
      <c r="D233" s="1" t="s">
        <v>171</v>
      </c>
      <c r="E233" s="4">
        <v>419</v>
      </c>
      <c r="F233" s="4"/>
      <c r="G233" s="4">
        <v>8.3800000000000008</v>
      </c>
      <c r="H233" s="4"/>
    </row>
    <row r="234" spans="1:8" x14ac:dyDescent="0.25">
      <c r="A234" s="1"/>
      <c r="B234" s="2">
        <v>702822271</v>
      </c>
      <c r="C234" s="1" t="s">
        <v>363</v>
      </c>
      <c r="D234" s="1" t="s">
        <v>31</v>
      </c>
      <c r="E234" s="4">
        <v>419</v>
      </c>
      <c r="F234" s="4"/>
      <c r="G234" s="4">
        <v>7.33</v>
      </c>
      <c r="H234" s="4"/>
    </row>
    <row r="235" spans="1:8" x14ac:dyDescent="0.25">
      <c r="A235" s="1"/>
      <c r="B235" s="2">
        <v>701010092</v>
      </c>
      <c r="C235" s="1" t="s">
        <v>368</v>
      </c>
      <c r="D235" s="1" t="s">
        <v>2</v>
      </c>
      <c r="E235" s="4">
        <v>523.44000000000005</v>
      </c>
      <c r="F235" s="4"/>
      <c r="G235" s="4">
        <v>15.7</v>
      </c>
      <c r="H235" s="4"/>
    </row>
    <row r="236" spans="1:8" x14ac:dyDescent="0.25">
      <c r="A236" s="1"/>
      <c r="B236" s="2">
        <v>705176857</v>
      </c>
      <c r="C236" s="1" t="s">
        <v>3</v>
      </c>
      <c r="D236" s="1" t="s">
        <v>4</v>
      </c>
      <c r="E236" s="4">
        <v>500</v>
      </c>
      <c r="F236" s="4"/>
      <c r="G236" s="4">
        <v>2.5</v>
      </c>
      <c r="H236" s="4"/>
    </row>
    <row r="237" spans="1:8" x14ac:dyDescent="0.25">
      <c r="A237" s="1"/>
      <c r="B237" s="2">
        <v>700590367</v>
      </c>
      <c r="C237" s="1" t="s">
        <v>7</v>
      </c>
      <c r="D237" s="1" t="s">
        <v>4</v>
      </c>
      <c r="E237" s="4">
        <v>500</v>
      </c>
      <c r="F237" s="4"/>
      <c r="G237" s="4">
        <v>2.5</v>
      </c>
      <c r="H237" s="4"/>
    </row>
    <row r="238" spans="1:8" x14ac:dyDescent="0.25">
      <c r="A238" s="1"/>
      <c r="B238" s="2">
        <v>705191369</v>
      </c>
      <c r="C238" s="1" t="s">
        <v>278</v>
      </c>
      <c r="D238" s="1" t="s">
        <v>279</v>
      </c>
      <c r="E238" s="4">
        <v>559</v>
      </c>
      <c r="F238" s="4"/>
      <c r="G238" s="4">
        <v>4.1900000000000004</v>
      </c>
      <c r="H238" s="4"/>
    </row>
    <row r="239" spans="1:8" x14ac:dyDescent="0.25">
      <c r="A239" s="1"/>
      <c r="B239" s="2">
        <v>705741122</v>
      </c>
      <c r="C239" s="1" t="s">
        <v>287</v>
      </c>
      <c r="D239" s="1" t="s">
        <v>40</v>
      </c>
      <c r="E239" s="4">
        <v>419</v>
      </c>
      <c r="F239" s="4"/>
      <c r="G239" s="4">
        <v>2.1</v>
      </c>
      <c r="H239" s="4"/>
    </row>
    <row r="240" spans="1:8" x14ac:dyDescent="0.25">
      <c r="A240" s="1"/>
      <c r="B240" s="2">
        <v>704458793</v>
      </c>
      <c r="C240" s="1" t="s">
        <v>327</v>
      </c>
      <c r="D240" s="1" t="s">
        <v>4</v>
      </c>
      <c r="E240" s="4">
        <v>419</v>
      </c>
      <c r="F240" s="4"/>
      <c r="G240" s="4">
        <v>2.1</v>
      </c>
      <c r="H240" s="4"/>
    </row>
    <row r="241" spans="1:8" x14ac:dyDescent="0.25">
      <c r="A241" s="1"/>
      <c r="B241" s="2">
        <v>701670515</v>
      </c>
      <c r="C241" s="1" t="s">
        <v>344</v>
      </c>
      <c r="D241" s="1" t="s">
        <v>40</v>
      </c>
      <c r="E241" s="4">
        <v>500</v>
      </c>
      <c r="F241" s="4"/>
      <c r="G241" s="4">
        <v>2.5</v>
      </c>
      <c r="H241" s="4"/>
    </row>
    <row r="242" spans="1:8" x14ac:dyDescent="0.25">
      <c r="A242" s="1"/>
      <c r="B242" s="2">
        <v>703664037</v>
      </c>
      <c r="C242" s="1" t="s">
        <v>360</v>
      </c>
      <c r="D242" s="1" t="s">
        <v>40</v>
      </c>
      <c r="E242" s="4">
        <v>500</v>
      </c>
      <c r="F242" s="4"/>
      <c r="G242" s="4">
        <v>2.5</v>
      </c>
      <c r="H242" s="4"/>
    </row>
    <row r="243" spans="1:8" x14ac:dyDescent="0.25">
      <c r="A243" s="1"/>
      <c r="B243" s="2">
        <v>703704130</v>
      </c>
      <c r="C243" s="1" t="s">
        <v>126</v>
      </c>
      <c r="D243" s="1" t="s">
        <v>25</v>
      </c>
      <c r="E243" s="4">
        <v>559</v>
      </c>
      <c r="F243" s="4"/>
      <c r="G243" s="4">
        <v>11.18</v>
      </c>
      <c r="H243" s="4">
        <v>3.66</v>
      </c>
    </row>
    <row r="244" spans="1:8" x14ac:dyDescent="0.25">
      <c r="A244" s="1"/>
      <c r="B244" s="2">
        <v>703175620</v>
      </c>
      <c r="C244" s="1" t="s">
        <v>174</v>
      </c>
      <c r="D244" s="1" t="s">
        <v>52</v>
      </c>
      <c r="E244" s="4">
        <v>419</v>
      </c>
      <c r="F244" s="4"/>
      <c r="G244" s="4">
        <v>8.3800000000000008</v>
      </c>
      <c r="H244" s="4"/>
    </row>
    <row r="245" spans="1:8" x14ac:dyDescent="0.25">
      <c r="A245" s="1"/>
      <c r="B245" s="2">
        <v>701143299</v>
      </c>
      <c r="C245" s="1" t="s">
        <v>264</v>
      </c>
      <c r="D245" s="1" t="s">
        <v>171</v>
      </c>
      <c r="E245" s="4">
        <v>419</v>
      </c>
      <c r="F245" s="4"/>
      <c r="G245" s="4">
        <v>8.3800000000000008</v>
      </c>
      <c r="H245" s="4">
        <v>3.66</v>
      </c>
    </row>
    <row r="246" spans="1:8" x14ac:dyDescent="0.25">
      <c r="A246" s="1"/>
      <c r="B246" s="2">
        <v>703298885</v>
      </c>
      <c r="C246" s="1" t="s">
        <v>326</v>
      </c>
      <c r="D246" s="1" t="s">
        <v>25</v>
      </c>
      <c r="E246" s="4">
        <v>559</v>
      </c>
      <c r="F246" s="4"/>
      <c r="G246" s="4">
        <v>11.18</v>
      </c>
      <c r="H246" s="4"/>
    </row>
    <row r="247" spans="1:8" x14ac:dyDescent="0.25">
      <c r="A247" s="1"/>
      <c r="B247" s="2">
        <v>702134115</v>
      </c>
      <c r="C247" s="1" t="s">
        <v>351</v>
      </c>
      <c r="D247" s="1" t="s">
        <v>52</v>
      </c>
      <c r="E247" s="4">
        <v>419</v>
      </c>
      <c r="F247" s="4"/>
      <c r="G247" s="4">
        <v>8.3800000000000008</v>
      </c>
      <c r="H247" s="4"/>
    </row>
    <row r="248" spans="1:8" x14ac:dyDescent="0.25">
      <c r="A248" s="1"/>
      <c r="B248" s="2">
        <v>701393969</v>
      </c>
      <c r="C248" s="1" t="s">
        <v>104</v>
      </c>
      <c r="D248" s="1" t="s">
        <v>38</v>
      </c>
      <c r="E248" s="4">
        <v>572.12</v>
      </c>
      <c r="F248" s="4"/>
      <c r="G248" s="4">
        <v>17.16</v>
      </c>
      <c r="H248" s="4"/>
    </row>
    <row r="249" spans="1:8" x14ac:dyDescent="0.25">
      <c r="A249" s="1"/>
      <c r="B249" s="2">
        <v>703143388</v>
      </c>
      <c r="C249" s="1" t="s">
        <v>187</v>
      </c>
      <c r="D249" s="1" t="s">
        <v>188</v>
      </c>
      <c r="E249" s="4">
        <v>531</v>
      </c>
      <c r="F249" s="4"/>
      <c r="G249" s="4">
        <v>10.62</v>
      </c>
      <c r="H249" s="4"/>
    </row>
    <row r="250" spans="1:8" x14ac:dyDescent="0.25">
      <c r="A250" s="1"/>
      <c r="B250" s="2">
        <v>703614636</v>
      </c>
      <c r="C250" s="1" t="s">
        <v>282</v>
      </c>
      <c r="D250" s="1" t="s">
        <v>188</v>
      </c>
      <c r="E250" s="4">
        <v>531</v>
      </c>
      <c r="F250" s="4"/>
      <c r="G250" s="4">
        <v>10.62</v>
      </c>
      <c r="H250" s="4"/>
    </row>
    <row r="251" spans="1:8" x14ac:dyDescent="0.25">
      <c r="A251" s="1"/>
      <c r="B251" s="2">
        <v>704608561</v>
      </c>
      <c r="C251" s="1" t="s">
        <v>71</v>
      </c>
      <c r="D251" s="1" t="s">
        <v>72</v>
      </c>
      <c r="E251" s="4">
        <v>600</v>
      </c>
      <c r="F251" s="4"/>
      <c r="G251" s="4">
        <v>6</v>
      </c>
      <c r="H251" s="4"/>
    </row>
    <row r="252" spans="1:8" x14ac:dyDescent="0.25">
      <c r="A252" s="1"/>
      <c r="B252" s="2">
        <v>703072645</v>
      </c>
      <c r="C252" s="1" t="s">
        <v>139</v>
      </c>
      <c r="D252" s="1" t="s">
        <v>94</v>
      </c>
      <c r="E252" s="4">
        <v>293.3</v>
      </c>
      <c r="F252" s="4"/>
      <c r="G252" s="4">
        <v>4.4000000000000004</v>
      </c>
      <c r="H252" s="4"/>
    </row>
    <row r="253" spans="1:8" x14ac:dyDescent="0.25">
      <c r="A253" s="1"/>
      <c r="B253" s="2">
        <v>705613255</v>
      </c>
      <c r="C253" s="1" t="s">
        <v>168</v>
      </c>
      <c r="D253" s="1" t="s">
        <v>94</v>
      </c>
      <c r="E253" s="4">
        <v>419</v>
      </c>
      <c r="F253" s="4"/>
      <c r="G253" s="4">
        <v>4.1900000000000004</v>
      </c>
      <c r="H253" s="4"/>
    </row>
    <row r="254" spans="1:8" x14ac:dyDescent="0.25">
      <c r="A254" s="1"/>
      <c r="B254" s="2">
        <v>704931187</v>
      </c>
      <c r="C254" s="1" t="s">
        <v>172</v>
      </c>
      <c r="D254" s="1" t="s">
        <v>94</v>
      </c>
      <c r="E254" s="4">
        <v>419</v>
      </c>
      <c r="F254" s="4"/>
      <c r="G254" s="4">
        <v>3.14</v>
      </c>
      <c r="H254" s="4"/>
    </row>
    <row r="255" spans="1:8" x14ac:dyDescent="0.25">
      <c r="A255" s="1"/>
      <c r="B255" s="2">
        <v>706295490</v>
      </c>
      <c r="C255" s="1" t="s">
        <v>201</v>
      </c>
      <c r="D255" s="1" t="s">
        <v>94</v>
      </c>
      <c r="E255" s="4">
        <v>419</v>
      </c>
      <c r="F255" s="4"/>
      <c r="G255" s="4">
        <v>4.1900000000000004</v>
      </c>
      <c r="H255" s="4"/>
    </row>
    <row r="256" spans="1:8" x14ac:dyDescent="0.25">
      <c r="A256" s="1"/>
      <c r="B256" s="2">
        <v>704636877</v>
      </c>
      <c r="C256" s="1" t="s">
        <v>216</v>
      </c>
      <c r="D256" s="1" t="s">
        <v>94</v>
      </c>
      <c r="E256" s="4">
        <v>419</v>
      </c>
      <c r="F256" s="4"/>
      <c r="G256" s="4">
        <v>4.1900000000000004</v>
      </c>
      <c r="H256" s="4"/>
    </row>
    <row r="257" spans="1:8" x14ac:dyDescent="0.25">
      <c r="A257" s="1"/>
      <c r="B257" s="2">
        <v>705617983</v>
      </c>
      <c r="C257" s="1" t="s">
        <v>217</v>
      </c>
      <c r="D257" s="1" t="s">
        <v>94</v>
      </c>
      <c r="E257" s="4">
        <v>419</v>
      </c>
      <c r="F257" s="4"/>
      <c r="G257" s="4">
        <v>3.14</v>
      </c>
      <c r="H257" s="4"/>
    </row>
    <row r="258" spans="1:8" x14ac:dyDescent="0.25">
      <c r="A258" s="1"/>
      <c r="B258" s="2">
        <v>705925220</v>
      </c>
      <c r="C258" s="1" t="s">
        <v>291</v>
      </c>
      <c r="D258" s="1" t="s">
        <v>94</v>
      </c>
      <c r="E258" s="4">
        <v>419</v>
      </c>
      <c r="F258" s="4"/>
      <c r="G258" s="4">
        <v>2.1</v>
      </c>
      <c r="H258" s="4"/>
    </row>
    <row r="259" spans="1:8" x14ac:dyDescent="0.25">
      <c r="A259" s="1"/>
      <c r="B259" s="2">
        <v>704031020</v>
      </c>
      <c r="C259" s="1" t="s">
        <v>311</v>
      </c>
      <c r="D259" s="1" t="s">
        <v>94</v>
      </c>
      <c r="E259" s="4">
        <v>419</v>
      </c>
      <c r="F259" s="4"/>
      <c r="G259" s="4">
        <v>4.1900000000000004</v>
      </c>
      <c r="H259" s="4"/>
    </row>
    <row r="260" spans="1:8" x14ac:dyDescent="0.25">
      <c r="A260" s="1"/>
      <c r="B260" s="2">
        <v>705819514</v>
      </c>
      <c r="C260" s="1" t="s">
        <v>316</v>
      </c>
      <c r="D260" s="1" t="s">
        <v>94</v>
      </c>
      <c r="E260" s="4">
        <v>419</v>
      </c>
      <c r="F260" s="4"/>
      <c r="G260" s="4">
        <v>5.24</v>
      </c>
      <c r="H260" s="4"/>
    </row>
    <row r="261" spans="1:8" x14ac:dyDescent="0.25">
      <c r="A261" s="1"/>
      <c r="B261" s="2">
        <v>701176687</v>
      </c>
      <c r="C261" s="1" t="s">
        <v>68</v>
      </c>
      <c r="D261" s="1" t="s">
        <v>9</v>
      </c>
      <c r="E261" s="4">
        <v>588.73</v>
      </c>
      <c r="F261" s="4"/>
      <c r="G261" s="4">
        <v>17.66</v>
      </c>
      <c r="H261" s="4"/>
    </row>
    <row r="262" spans="1:8" x14ac:dyDescent="0.25">
      <c r="A262" s="1"/>
      <c r="B262" s="2">
        <v>703887620</v>
      </c>
      <c r="C262" s="1" t="s">
        <v>80</v>
      </c>
      <c r="D262" s="1" t="s">
        <v>81</v>
      </c>
      <c r="E262" s="4">
        <v>419</v>
      </c>
      <c r="F262" s="4"/>
      <c r="G262" s="4">
        <v>8.3800000000000008</v>
      </c>
      <c r="H262" s="4">
        <v>3.66</v>
      </c>
    </row>
    <row r="263" spans="1:8" x14ac:dyDescent="0.25">
      <c r="A263" s="1"/>
      <c r="B263" s="2">
        <v>701031700</v>
      </c>
      <c r="C263" s="1" t="s">
        <v>86</v>
      </c>
      <c r="D263" s="1" t="s">
        <v>9</v>
      </c>
      <c r="E263" s="4">
        <v>587</v>
      </c>
      <c r="F263" s="4"/>
      <c r="G263" s="4">
        <v>17.61</v>
      </c>
      <c r="H263" s="4"/>
    </row>
    <row r="264" spans="1:8" x14ac:dyDescent="0.25">
      <c r="A264" s="1"/>
      <c r="B264" s="2">
        <v>703843961</v>
      </c>
      <c r="C264" s="1" t="s">
        <v>89</v>
      </c>
      <c r="D264" s="1" t="s">
        <v>9</v>
      </c>
      <c r="E264" s="4">
        <v>588.73</v>
      </c>
      <c r="F264" s="4"/>
      <c r="G264" s="4">
        <v>1.47</v>
      </c>
      <c r="H264" s="4"/>
    </row>
    <row r="265" spans="1:8" x14ac:dyDescent="0.25">
      <c r="A265" s="1"/>
      <c r="B265" s="2">
        <v>701452500</v>
      </c>
      <c r="C265" s="1" t="s">
        <v>95</v>
      </c>
      <c r="D265" s="1" t="s">
        <v>9</v>
      </c>
      <c r="E265" s="4">
        <v>603.12</v>
      </c>
      <c r="F265" s="4"/>
      <c r="G265" s="4">
        <v>18.09</v>
      </c>
      <c r="H265" s="4"/>
    </row>
    <row r="266" spans="1:8" x14ac:dyDescent="0.25">
      <c r="A266" s="1"/>
      <c r="B266" s="2">
        <v>701899031</v>
      </c>
      <c r="C266" s="1" t="s">
        <v>133</v>
      </c>
      <c r="D266" s="1" t="s">
        <v>9</v>
      </c>
      <c r="E266" s="4">
        <v>603.12</v>
      </c>
      <c r="F266" s="4"/>
      <c r="G266" s="4">
        <v>18.09</v>
      </c>
      <c r="H266" s="4">
        <v>3.66</v>
      </c>
    </row>
    <row r="267" spans="1:8" x14ac:dyDescent="0.25">
      <c r="A267" s="1"/>
      <c r="B267" s="2">
        <v>705068864</v>
      </c>
      <c r="C267" s="1" t="s">
        <v>148</v>
      </c>
      <c r="D267" s="1" t="s">
        <v>9</v>
      </c>
      <c r="E267" s="4">
        <v>594</v>
      </c>
      <c r="F267" s="4"/>
      <c r="G267" s="4">
        <v>1.49</v>
      </c>
      <c r="H267" s="4"/>
    </row>
    <row r="268" spans="1:8" x14ac:dyDescent="0.25">
      <c r="A268" s="1"/>
      <c r="B268" s="2">
        <v>701181968</v>
      </c>
      <c r="C268" s="1" t="s">
        <v>156</v>
      </c>
      <c r="D268" s="1" t="s">
        <v>9</v>
      </c>
      <c r="E268" s="4">
        <v>602</v>
      </c>
      <c r="F268" s="4"/>
      <c r="G268" s="4">
        <v>18.059999999999999</v>
      </c>
      <c r="H268" s="4"/>
    </row>
    <row r="269" spans="1:8" x14ac:dyDescent="0.25">
      <c r="A269" s="1"/>
      <c r="B269" s="2">
        <v>702054453</v>
      </c>
      <c r="C269" s="1" t="s">
        <v>165</v>
      </c>
      <c r="D269" s="1" t="s">
        <v>166</v>
      </c>
      <c r="E269" s="4">
        <v>675</v>
      </c>
      <c r="F269" s="4"/>
      <c r="G269" s="4">
        <v>13.5</v>
      </c>
      <c r="H269" s="4">
        <v>3.66</v>
      </c>
    </row>
    <row r="270" spans="1:8" x14ac:dyDescent="0.25">
      <c r="A270" s="1"/>
      <c r="B270" s="2">
        <v>701147043</v>
      </c>
      <c r="C270" s="1" t="s">
        <v>173</v>
      </c>
      <c r="D270" s="1" t="s">
        <v>38</v>
      </c>
      <c r="E270" s="4">
        <v>603.12</v>
      </c>
      <c r="F270" s="4"/>
      <c r="G270" s="4">
        <v>18.09</v>
      </c>
      <c r="H270" s="4"/>
    </row>
    <row r="271" spans="1:8" x14ac:dyDescent="0.25">
      <c r="A271" s="1"/>
      <c r="B271" s="2">
        <v>700985161</v>
      </c>
      <c r="C271" s="1" t="s">
        <v>199</v>
      </c>
      <c r="D271" s="1" t="s">
        <v>9</v>
      </c>
      <c r="E271" s="4">
        <v>569.91999999999996</v>
      </c>
      <c r="F271" s="4"/>
      <c r="G271" s="4">
        <v>17.100000000000001</v>
      </c>
      <c r="H271" s="4"/>
    </row>
    <row r="272" spans="1:8" x14ac:dyDescent="0.25">
      <c r="A272" s="1"/>
      <c r="B272" s="2">
        <v>701642183</v>
      </c>
      <c r="C272" s="1" t="s">
        <v>213</v>
      </c>
      <c r="D272" s="1" t="s">
        <v>9</v>
      </c>
      <c r="E272" s="4">
        <v>563.28</v>
      </c>
      <c r="F272" s="4"/>
      <c r="G272" s="4">
        <v>16.899999999999999</v>
      </c>
      <c r="H272" s="4">
        <v>7.32</v>
      </c>
    </row>
    <row r="273" spans="1:8" x14ac:dyDescent="0.25">
      <c r="A273" s="1"/>
      <c r="B273" s="2">
        <v>701260606</v>
      </c>
      <c r="C273" s="1" t="s">
        <v>249</v>
      </c>
      <c r="D273" s="1" t="s">
        <v>9</v>
      </c>
      <c r="E273" s="4">
        <v>579.88</v>
      </c>
      <c r="F273" s="4"/>
      <c r="G273" s="4">
        <v>17.399999999999999</v>
      </c>
      <c r="H273" s="4"/>
    </row>
    <row r="274" spans="1:8" x14ac:dyDescent="0.25">
      <c r="A274" s="1"/>
      <c r="B274" s="2">
        <v>701300238</v>
      </c>
      <c r="C274" s="1" t="s">
        <v>307</v>
      </c>
      <c r="D274" s="1" t="s">
        <v>9</v>
      </c>
      <c r="E274" s="4">
        <v>556.63</v>
      </c>
      <c r="F274" s="4"/>
      <c r="G274" s="4">
        <v>16.7</v>
      </c>
      <c r="H274" s="4"/>
    </row>
    <row r="275" spans="1:8" x14ac:dyDescent="0.25">
      <c r="A275" s="1"/>
      <c r="B275" s="2">
        <v>701089427</v>
      </c>
      <c r="C275" s="1" t="s">
        <v>346</v>
      </c>
      <c r="D275" s="1" t="s">
        <v>9</v>
      </c>
      <c r="E275" s="4">
        <v>572.12</v>
      </c>
      <c r="F275" s="4"/>
      <c r="G275" s="4">
        <v>17.16</v>
      </c>
      <c r="H275" s="4"/>
    </row>
    <row r="276" spans="1:8" x14ac:dyDescent="0.25">
      <c r="A276" s="1"/>
      <c r="B276" s="2">
        <v>702597097</v>
      </c>
      <c r="C276" s="1" t="s">
        <v>349</v>
      </c>
      <c r="D276" s="1" t="s">
        <v>9</v>
      </c>
      <c r="E276" s="4">
        <v>602</v>
      </c>
      <c r="F276" s="4"/>
      <c r="G276" s="4">
        <v>12.04</v>
      </c>
      <c r="H276" s="4"/>
    </row>
    <row r="277" spans="1:8" x14ac:dyDescent="0.25">
      <c r="A277" s="1"/>
      <c r="B277" s="2">
        <v>701780603</v>
      </c>
      <c r="C277" s="1" t="s">
        <v>361</v>
      </c>
      <c r="D277" s="1" t="s">
        <v>9</v>
      </c>
      <c r="E277" s="4">
        <v>587</v>
      </c>
      <c r="F277" s="4"/>
      <c r="G277" s="4">
        <v>17.61</v>
      </c>
      <c r="H277" s="4">
        <v>3.66</v>
      </c>
    </row>
    <row r="278" spans="1:8" x14ac:dyDescent="0.25">
      <c r="A278" s="1"/>
      <c r="B278" s="2">
        <v>705058865</v>
      </c>
      <c r="C278" s="1" t="s">
        <v>15</v>
      </c>
      <c r="D278" s="1" t="s">
        <v>16</v>
      </c>
      <c r="E278" s="4">
        <v>559</v>
      </c>
      <c r="F278" s="4"/>
      <c r="G278" s="4">
        <v>4.1900000000000004</v>
      </c>
      <c r="H278" s="4"/>
    </row>
    <row r="279" spans="1:8" x14ac:dyDescent="0.25">
      <c r="A279" s="1"/>
      <c r="B279" s="2">
        <v>702829425</v>
      </c>
      <c r="C279" s="1" t="s">
        <v>17</v>
      </c>
      <c r="D279" s="1" t="s">
        <v>18</v>
      </c>
      <c r="E279" s="4">
        <v>447</v>
      </c>
      <c r="F279" s="4"/>
      <c r="G279" s="4">
        <v>1.1200000000000001</v>
      </c>
      <c r="H279" s="4"/>
    </row>
    <row r="280" spans="1:8" x14ac:dyDescent="0.25">
      <c r="A280" s="1"/>
      <c r="B280" s="2">
        <v>702749854</v>
      </c>
      <c r="C280" s="1" t="s">
        <v>54</v>
      </c>
      <c r="D280" s="1" t="s">
        <v>16</v>
      </c>
      <c r="E280" s="4">
        <v>559</v>
      </c>
      <c r="F280" s="4"/>
      <c r="G280" s="4">
        <v>1.4</v>
      </c>
      <c r="H280" s="4"/>
    </row>
    <row r="281" spans="1:8" x14ac:dyDescent="0.25">
      <c r="A281" s="1"/>
      <c r="B281" s="2">
        <v>702638933</v>
      </c>
      <c r="C281" s="1" t="s">
        <v>56</v>
      </c>
      <c r="D281" s="1" t="s">
        <v>9</v>
      </c>
      <c r="E281" s="4">
        <v>556.63</v>
      </c>
      <c r="F281" s="4"/>
      <c r="G281" s="4">
        <v>8.35</v>
      </c>
      <c r="H281" s="4"/>
    </row>
    <row r="282" spans="1:8" x14ac:dyDescent="0.25">
      <c r="A282" s="1"/>
      <c r="B282" s="2">
        <v>705843498</v>
      </c>
      <c r="C282" s="1" t="s">
        <v>84</v>
      </c>
      <c r="D282" s="1" t="s">
        <v>9</v>
      </c>
      <c r="E282" s="4">
        <v>563.28</v>
      </c>
      <c r="F282" s="4"/>
      <c r="G282" s="4">
        <v>4.22</v>
      </c>
      <c r="H282" s="4"/>
    </row>
    <row r="283" spans="1:8" x14ac:dyDescent="0.25">
      <c r="A283" s="1"/>
      <c r="B283" s="2">
        <v>704781707</v>
      </c>
      <c r="C283" s="1" t="s">
        <v>90</v>
      </c>
      <c r="D283" s="1" t="s">
        <v>47</v>
      </c>
      <c r="E283" s="4">
        <v>419</v>
      </c>
      <c r="F283" s="4"/>
      <c r="G283" s="4">
        <v>7.33</v>
      </c>
      <c r="H283" s="4"/>
    </row>
    <row r="284" spans="1:8" x14ac:dyDescent="0.25">
      <c r="A284" s="1"/>
      <c r="B284" s="2">
        <v>703581231</v>
      </c>
      <c r="C284" s="1" t="s">
        <v>111</v>
      </c>
      <c r="D284" s="1" t="s">
        <v>9</v>
      </c>
      <c r="E284" s="4">
        <v>563.28</v>
      </c>
      <c r="F284" s="4"/>
      <c r="G284" s="4">
        <v>1.41</v>
      </c>
      <c r="H284" s="4"/>
    </row>
    <row r="285" spans="1:8" x14ac:dyDescent="0.25">
      <c r="A285" s="1"/>
      <c r="B285" s="2">
        <v>703949487</v>
      </c>
      <c r="C285" s="1" t="s">
        <v>112</v>
      </c>
      <c r="D285" s="1" t="s">
        <v>113</v>
      </c>
      <c r="E285" s="4">
        <v>559</v>
      </c>
      <c r="F285" s="4"/>
      <c r="G285" s="4">
        <v>4.1900000000000004</v>
      </c>
      <c r="H285" s="4"/>
    </row>
    <row r="286" spans="1:8" x14ac:dyDescent="0.25">
      <c r="A286" s="1"/>
      <c r="B286" s="2">
        <v>1104056922</v>
      </c>
      <c r="C286" s="1" t="s">
        <v>115</v>
      </c>
      <c r="D286" s="1" t="s">
        <v>113</v>
      </c>
      <c r="E286" s="4">
        <v>559</v>
      </c>
      <c r="F286" s="4"/>
      <c r="G286" s="4">
        <v>4.1900000000000004</v>
      </c>
      <c r="H286" s="4"/>
    </row>
    <row r="287" spans="1:8" x14ac:dyDescent="0.25">
      <c r="A287" s="1"/>
      <c r="B287" s="2">
        <v>702115965</v>
      </c>
      <c r="C287" s="1" t="s">
        <v>118</v>
      </c>
      <c r="D287" s="1" t="s">
        <v>119</v>
      </c>
      <c r="E287" s="4">
        <v>561</v>
      </c>
      <c r="F287" s="4"/>
      <c r="G287" s="4">
        <v>4.21</v>
      </c>
      <c r="H287" s="4"/>
    </row>
    <row r="288" spans="1:8" x14ac:dyDescent="0.25">
      <c r="A288" s="1"/>
      <c r="B288" s="2">
        <v>702586660</v>
      </c>
      <c r="C288" s="1" t="s">
        <v>136</v>
      </c>
      <c r="D288" s="1" t="s">
        <v>38</v>
      </c>
      <c r="E288" s="4">
        <v>447</v>
      </c>
      <c r="F288" s="4"/>
      <c r="G288" s="4">
        <v>1.1200000000000001</v>
      </c>
      <c r="H288" s="4"/>
    </row>
    <row r="289" spans="1:8" x14ac:dyDescent="0.25">
      <c r="A289" s="1"/>
      <c r="B289" s="2">
        <v>703712869</v>
      </c>
      <c r="C289" s="1" t="s">
        <v>155</v>
      </c>
      <c r="D289" s="1" t="s">
        <v>16</v>
      </c>
      <c r="E289" s="4">
        <v>559</v>
      </c>
      <c r="F289" s="4"/>
      <c r="G289" s="4">
        <v>4.1900000000000004</v>
      </c>
      <c r="H289" s="4"/>
    </row>
    <row r="290" spans="1:8" x14ac:dyDescent="0.25">
      <c r="A290" s="1"/>
      <c r="B290" s="2">
        <v>702987868</v>
      </c>
      <c r="C290" s="1" t="s">
        <v>160</v>
      </c>
      <c r="D290" s="1" t="s">
        <v>16</v>
      </c>
      <c r="E290" s="4">
        <v>559</v>
      </c>
      <c r="F290" s="4"/>
      <c r="G290" s="4">
        <v>4.1900000000000004</v>
      </c>
      <c r="H290" s="4"/>
    </row>
    <row r="291" spans="1:8" x14ac:dyDescent="0.25">
      <c r="A291" s="1"/>
      <c r="B291" s="2">
        <v>703199745</v>
      </c>
      <c r="C291" s="1" t="s">
        <v>161</v>
      </c>
      <c r="D291" s="1" t="s">
        <v>16</v>
      </c>
      <c r="E291" s="4">
        <v>559</v>
      </c>
      <c r="F291" s="4"/>
      <c r="G291" s="4">
        <v>9.7799999999999994</v>
      </c>
      <c r="H291" s="4"/>
    </row>
    <row r="292" spans="1:8" x14ac:dyDescent="0.25">
      <c r="A292" s="1"/>
      <c r="B292" s="2">
        <v>702685074</v>
      </c>
      <c r="C292" s="1" t="s">
        <v>167</v>
      </c>
      <c r="D292" s="1" t="s">
        <v>16</v>
      </c>
      <c r="E292" s="4">
        <v>559</v>
      </c>
      <c r="F292" s="4"/>
      <c r="G292" s="4">
        <v>4.1900000000000004</v>
      </c>
      <c r="H292" s="4"/>
    </row>
    <row r="293" spans="1:8" x14ac:dyDescent="0.25">
      <c r="A293" s="1"/>
      <c r="B293" s="2">
        <v>1200818530</v>
      </c>
      <c r="C293" s="1" t="s">
        <v>189</v>
      </c>
      <c r="D293" s="1" t="s">
        <v>18</v>
      </c>
      <c r="E293" s="4">
        <v>419</v>
      </c>
      <c r="F293" s="4"/>
      <c r="G293" s="4">
        <v>2.1</v>
      </c>
      <c r="H293" s="4"/>
    </row>
    <row r="294" spans="1:8" x14ac:dyDescent="0.25">
      <c r="A294" s="1"/>
      <c r="B294" s="2">
        <v>704742279</v>
      </c>
      <c r="C294" s="1" t="s">
        <v>192</v>
      </c>
      <c r="D294" s="1" t="s">
        <v>9</v>
      </c>
      <c r="E294" s="4">
        <v>556.63</v>
      </c>
      <c r="F294" s="4"/>
      <c r="G294" s="4">
        <v>8.35</v>
      </c>
      <c r="H294" s="4"/>
    </row>
    <row r="295" spans="1:8" x14ac:dyDescent="0.25">
      <c r="A295" s="1"/>
      <c r="B295" s="2">
        <v>702426784</v>
      </c>
      <c r="C295" s="1" t="s">
        <v>255</v>
      </c>
      <c r="D295" s="1" t="s">
        <v>38</v>
      </c>
      <c r="E295" s="4">
        <v>447</v>
      </c>
      <c r="F295" s="4"/>
      <c r="G295" s="4">
        <v>1.1200000000000001</v>
      </c>
      <c r="H295" s="4"/>
    </row>
    <row r="296" spans="1:8" x14ac:dyDescent="0.25">
      <c r="A296" s="1"/>
      <c r="B296" s="2">
        <v>703108944</v>
      </c>
      <c r="C296" s="1" t="s">
        <v>272</v>
      </c>
      <c r="D296" s="1" t="s">
        <v>9</v>
      </c>
      <c r="E296" s="4">
        <v>587</v>
      </c>
      <c r="F296" s="4"/>
      <c r="G296" s="4">
        <v>1.47</v>
      </c>
      <c r="H296" s="4"/>
    </row>
    <row r="297" spans="1:8" x14ac:dyDescent="0.25">
      <c r="A297" s="1"/>
      <c r="B297" s="2">
        <v>703897306</v>
      </c>
      <c r="C297" s="1" t="s">
        <v>281</v>
      </c>
      <c r="D297" s="1" t="s">
        <v>38</v>
      </c>
      <c r="E297" s="4">
        <v>447</v>
      </c>
      <c r="F297" s="4"/>
      <c r="G297" s="4">
        <v>1.1200000000000001</v>
      </c>
      <c r="H297" s="4"/>
    </row>
    <row r="298" spans="1:8" x14ac:dyDescent="0.25">
      <c r="A298" s="1"/>
      <c r="B298" s="2">
        <v>702736844</v>
      </c>
      <c r="C298" s="1" t="s">
        <v>290</v>
      </c>
      <c r="D298" s="1" t="s">
        <v>9</v>
      </c>
      <c r="E298" s="4">
        <v>556.63</v>
      </c>
      <c r="F298" s="4"/>
      <c r="G298" s="4">
        <v>9.74</v>
      </c>
      <c r="H298" s="4"/>
    </row>
    <row r="299" spans="1:8" x14ac:dyDescent="0.25">
      <c r="A299" s="1"/>
      <c r="B299" s="2">
        <v>1104465412</v>
      </c>
      <c r="C299" s="1" t="s">
        <v>297</v>
      </c>
      <c r="D299" s="1" t="s">
        <v>16</v>
      </c>
      <c r="E299" s="4">
        <v>559</v>
      </c>
      <c r="F299" s="4"/>
      <c r="G299" s="4">
        <v>4.1900000000000004</v>
      </c>
      <c r="H299" s="4"/>
    </row>
    <row r="300" spans="1:8" x14ac:dyDescent="0.25">
      <c r="A300" s="1"/>
      <c r="B300" s="2">
        <v>702552969</v>
      </c>
      <c r="C300" s="1" t="s">
        <v>298</v>
      </c>
      <c r="D300" s="1" t="s">
        <v>38</v>
      </c>
      <c r="E300" s="4">
        <v>419</v>
      </c>
      <c r="F300" s="4"/>
      <c r="G300" s="4">
        <v>1.05</v>
      </c>
      <c r="H300" s="4"/>
    </row>
    <row r="301" spans="1:8" x14ac:dyDescent="0.25">
      <c r="A301" s="1"/>
      <c r="B301" s="2">
        <v>703779520</v>
      </c>
      <c r="C301" s="1" t="s">
        <v>302</v>
      </c>
      <c r="D301" s="1" t="s">
        <v>9</v>
      </c>
      <c r="E301" s="4">
        <v>572.12</v>
      </c>
      <c r="F301" s="4"/>
      <c r="G301" s="4">
        <v>8.58</v>
      </c>
      <c r="H301" s="4">
        <v>7.32</v>
      </c>
    </row>
    <row r="302" spans="1:8" x14ac:dyDescent="0.25">
      <c r="A302" s="1"/>
      <c r="B302" s="2">
        <v>703907634</v>
      </c>
      <c r="C302" s="1" t="s">
        <v>325</v>
      </c>
      <c r="D302" s="1" t="s">
        <v>9</v>
      </c>
      <c r="E302" s="4">
        <v>556.63</v>
      </c>
      <c r="F302" s="4"/>
      <c r="G302" s="4">
        <v>8.35</v>
      </c>
      <c r="H302" s="4">
        <v>10.98</v>
      </c>
    </row>
    <row r="303" spans="1:8" x14ac:dyDescent="0.25">
      <c r="A303" s="1"/>
      <c r="B303" s="2">
        <v>703421230</v>
      </c>
      <c r="C303" s="1" t="s">
        <v>340</v>
      </c>
      <c r="D303" s="1" t="s">
        <v>38</v>
      </c>
      <c r="E303" s="4">
        <v>447</v>
      </c>
      <c r="F303" s="4"/>
      <c r="G303" s="4">
        <v>8.94</v>
      </c>
      <c r="H303" s="4">
        <v>7.32</v>
      </c>
    </row>
    <row r="304" spans="1:8" x14ac:dyDescent="0.25">
      <c r="A304" s="1"/>
      <c r="B304" s="2">
        <v>707085882</v>
      </c>
      <c r="C304" s="1" t="s">
        <v>366</v>
      </c>
      <c r="D304" s="1" t="s">
        <v>18</v>
      </c>
      <c r="E304" s="4">
        <v>419</v>
      </c>
      <c r="F304" s="4"/>
      <c r="G304" s="4">
        <v>4.1900000000000004</v>
      </c>
      <c r="H304" s="4"/>
    </row>
    <row r="305" spans="1:8" x14ac:dyDescent="0.25">
      <c r="A305" s="1"/>
      <c r="B305" s="2">
        <v>702583352</v>
      </c>
      <c r="C305" s="1" t="s">
        <v>46</v>
      </c>
      <c r="D305" s="1" t="s">
        <v>47</v>
      </c>
      <c r="E305" s="4">
        <v>419</v>
      </c>
      <c r="F305" s="4"/>
      <c r="G305" s="4">
        <v>8.3800000000000008</v>
      </c>
      <c r="H305" s="4">
        <v>3.66</v>
      </c>
    </row>
    <row r="306" spans="1:8" x14ac:dyDescent="0.25">
      <c r="A306" s="1"/>
      <c r="B306" s="2">
        <v>704436948</v>
      </c>
      <c r="C306" s="1" t="s">
        <v>129</v>
      </c>
      <c r="D306" s="1" t="s">
        <v>130</v>
      </c>
      <c r="E306" s="4">
        <v>578</v>
      </c>
      <c r="F306" s="4"/>
      <c r="G306" s="4">
        <v>1.45</v>
      </c>
      <c r="H306" s="4"/>
    </row>
    <row r="307" spans="1:8" x14ac:dyDescent="0.25">
      <c r="A307" s="1"/>
      <c r="B307" s="2">
        <v>704533785</v>
      </c>
      <c r="C307" s="1" t="s">
        <v>228</v>
      </c>
      <c r="D307" s="1" t="s">
        <v>229</v>
      </c>
      <c r="E307" s="4">
        <v>733</v>
      </c>
      <c r="F307" s="4"/>
      <c r="G307" s="4">
        <v>1.83</v>
      </c>
      <c r="H307" s="4"/>
    </row>
    <row r="308" spans="1:8" x14ac:dyDescent="0.25">
      <c r="A308" s="1"/>
      <c r="B308" s="2">
        <v>705239762</v>
      </c>
      <c r="C308" s="1" t="s">
        <v>353</v>
      </c>
      <c r="D308" s="1" t="s">
        <v>47</v>
      </c>
      <c r="E308" s="4">
        <v>419</v>
      </c>
      <c r="F308" s="4"/>
      <c r="G308" s="4">
        <v>1.05</v>
      </c>
      <c r="H308" s="4"/>
    </row>
    <row r="309" spans="1:8" x14ac:dyDescent="0.25">
      <c r="A309" s="1"/>
      <c r="B309" s="2">
        <v>702402116</v>
      </c>
      <c r="C309" s="1" t="s">
        <v>20</v>
      </c>
      <c r="D309" s="1" t="s">
        <v>6</v>
      </c>
      <c r="E309" s="4">
        <v>461</v>
      </c>
      <c r="F309" s="4"/>
      <c r="G309" s="4">
        <v>8.07</v>
      </c>
      <c r="H309" s="4">
        <v>10.98</v>
      </c>
    </row>
    <row r="310" spans="1:8" x14ac:dyDescent="0.25">
      <c r="A310" s="1"/>
      <c r="B310" s="2">
        <v>701046658</v>
      </c>
      <c r="C310" s="1" t="s">
        <v>26</v>
      </c>
      <c r="D310" s="1" t="s">
        <v>27</v>
      </c>
      <c r="E310" s="4">
        <v>675</v>
      </c>
      <c r="F310" s="4"/>
      <c r="G310" s="4">
        <v>13.5</v>
      </c>
      <c r="H310" s="4"/>
    </row>
    <row r="311" spans="1:8" x14ac:dyDescent="0.25">
      <c r="A311" s="1"/>
      <c r="B311" s="2">
        <v>702218033</v>
      </c>
      <c r="C311" s="1" t="s">
        <v>82</v>
      </c>
      <c r="D311" s="1" t="s">
        <v>83</v>
      </c>
      <c r="E311" s="4">
        <v>775</v>
      </c>
      <c r="F311" s="4"/>
      <c r="G311" s="4">
        <v>15.5</v>
      </c>
      <c r="H311" s="4"/>
    </row>
    <row r="312" spans="1:8" x14ac:dyDescent="0.25">
      <c r="A312" s="1"/>
      <c r="B312" s="2">
        <v>702239773</v>
      </c>
      <c r="C312" s="1" t="s">
        <v>124</v>
      </c>
      <c r="D312" s="1" t="s">
        <v>6</v>
      </c>
      <c r="E312" s="4">
        <v>612</v>
      </c>
      <c r="F312" s="4"/>
      <c r="G312" s="4">
        <v>18.36</v>
      </c>
      <c r="H312" s="4"/>
    </row>
    <row r="313" spans="1:8" x14ac:dyDescent="0.25">
      <c r="A313" s="1"/>
      <c r="B313" s="2">
        <v>800624801</v>
      </c>
      <c r="C313" s="1" t="s">
        <v>137</v>
      </c>
      <c r="D313" s="1" t="s">
        <v>47</v>
      </c>
      <c r="E313" s="4">
        <v>419</v>
      </c>
      <c r="F313" s="4"/>
      <c r="G313" s="4">
        <v>8.3800000000000008</v>
      </c>
      <c r="H313" s="4">
        <v>3.66</v>
      </c>
    </row>
    <row r="314" spans="1:8" x14ac:dyDescent="0.25">
      <c r="A314" s="1"/>
      <c r="B314" s="2">
        <v>702578881</v>
      </c>
      <c r="C314" s="1" t="s">
        <v>143</v>
      </c>
      <c r="D314" s="1" t="s">
        <v>144</v>
      </c>
      <c r="E314" s="4">
        <v>555</v>
      </c>
      <c r="F314" s="4"/>
      <c r="G314" s="4">
        <v>16.649999999999999</v>
      </c>
      <c r="H314" s="4"/>
    </row>
    <row r="315" spans="1:8" x14ac:dyDescent="0.25">
      <c r="A315" s="1"/>
      <c r="B315" s="2">
        <v>702777749</v>
      </c>
      <c r="C315" s="1" t="s">
        <v>184</v>
      </c>
      <c r="D315" s="1" t="s">
        <v>83</v>
      </c>
      <c r="E315" s="4">
        <v>675</v>
      </c>
      <c r="F315" s="4"/>
      <c r="G315" s="4">
        <v>13.5</v>
      </c>
      <c r="H315" s="4">
        <v>7.32</v>
      </c>
    </row>
    <row r="316" spans="1:8" x14ac:dyDescent="0.25">
      <c r="A316" s="1"/>
      <c r="B316" s="2">
        <v>701528598</v>
      </c>
      <c r="C316" s="1" t="s">
        <v>218</v>
      </c>
      <c r="D316" s="1" t="s">
        <v>6</v>
      </c>
      <c r="E316" s="4">
        <v>603.12</v>
      </c>
      <c r="F316" s="4"/>
      <c r="G316" s="4">
        <v>18.09</v>
      </c>
      <c r="H316" s="4"/>
    </row>
    <row r="317" spans="1:8" x14ac:dyDescent="0.25">
      <c r="A317" s="1"/>
      <c r="B317" s="2">
        <v>702746736</v>
      </c>
      <c r="C317" s="1" t="s">
        <v>222</v>
      </c>
      <c r="D317" s="1" t="s">
        <v>223</v>
      </c>
      <c r="E317" s="4">
        <v>675</v>
      </c>
      <c r="F317" s="4"/>
      <c r="G317" s="4">
        <v>13.5</v>
      </c>
      <c r="H317" s="4"/>
    </row>
    <row r="318" spans="1:8" x14ac:dyDescent="0.25">
      <c r="A318" s="1"/>
      <c r="B318" s="2">
        <v>704026483</v>
      </c>
      <c r="C318" s="1" t="s">
        <v>243</v>
      </c>
      <c r="D318" s="1" t="s">
        <v>38</v>
      </c>
      <c r="E318" s="4">
        <v>550</v>
      </c>
      <c r="F318" s="4"/>
      <c r="G318" s="4">
        <v>5.5</v>
      </c>
      <c r="H318" s="4"/>
    </row>
    <row r="319" spans="1:8" x14ac:dyDescent="0.25">
      <c r="A319" s="1"/>
      <c r="B319" s="2">
        <v>703646026</v>
      </c>
      <c r="C319" s="1" t="s">
        <v>245</v>
      </c>
      <c r="D319" s="1" t="s">
        <v>246</v>
      </c>
      <c r="E319" s="4">
        <v>700</v>
      </c>
      <c r="F319" s="4"/>
      <c r="G319" s="4">
        <v>21</v>
      </c>
      <c r="H319" s="4">
        <v>3.66</v>
      </c>
    </row>
    <row r="320" spans="1:8" x14ac:dyDescent="0.25">
      <c r="A320" s="1"/>
      <c r="B320" s="2">
        <v>703159871</v>
      </c>
      <c r="C320" s="1" t="s">
        <v>333</v>
      </c>
      <c r="D320" s="1" t="s">
        <v>246</v>
      </c>
      <c r="E320" s="4">
        <v>700</v>
      </c>
      <c r="F320" s="4"/>
      <c r="G320" s="4">
        <v>21</v>
      </c>
      <c r="H320" s="4"/>
    </row>
    <row r="321" spans="1:8" x14ac:dyDescent="0.25">
      <c r="A321" s="1"/>
      <c r="B321" s="2">
        <v>703366823</v>
      </c>
      <c r="C321" s="1" t="s">
        <v>356</v>
      </c>
      <c r="D321" s="1" t="s">
        <v>357</v>
      </c>
      <c r="E321" s="4">
        <v>612</v>
      </c>
      <c r="F321" s="4"/>
      <c r="G321" s="4">
        <v>1.53</v>
      </c>
      <c r="H321" s="4"/>
    </row>
    <row r="322" spans="1:8" x14ac:dyDescent="0.25">
      <c r="A322" s="1"/>
      <c r="B322" s="2">
        <v>702622127</v>
      </c>
      <c r="C322" s="1" t="s">
        <v>365</v>
      </c>
      <c r="D322" s="1" t="s">
        <v>144</v>
      </c>
      <c r="E322" s="4">
        <v>555</v>
      </c>
      <c r="F322" s="4"/>
      <c r="G322" s="4">
        <v>16.649999999999999</v>
      </c>
      <c r="H322" s="4"/>
    </row>
    <row r="323" spans="1:8" x14ac:dyDescent="0.25">
      <c r="A323" s="1"/>
      <c r="B323" s="2"/>
      <c r="C323" s="1"/>
      <c r="D323" s="1"/>
      <c r="E323" s="4"/>
      <c r="F323" s="4"/>
      <c r="G323" s="4"/>
      <c r="H323" s="4"/>
    </row>
    <row r="324" spans="1:8" x14ac:dyDescent="0.25">
      <c r="A324" s="1"/>
      <c r="B324" s="2"/>
      <c r="C324" s="1" t="s">
        <v>374</v>
      </c>
      <c r="D324" s="1">
        <v>-321</v>
      </c>
      <c r="E324" s="4">
        <v>160435.10999999999</v>
      </c>
      <c r="F324" s="4"/>
      <c r="G324" s="4">
        <v>2782.15</v>
      </c>
      <c r="H324" s="4">
        <v>673.44</v>
      </c>
    </row>
    <row r="325" spans="1:8" x14ac:dyDescent="0.25">
      <c r="A325" s="1"/>
      <c r="B325" s="2"/>
      <c r="C325" s="1"/>
      <c r="D325" s="1"/>
      <c r="E325" s="4"/>
      <c r="F325" s="4"/>
      <c r="G325" s="4"/>
      <c r="H325" s="4"/>
    </row>
    <row r="326" spans="1:8" x14ac:dyDescent="0.25">
      <c r="A326" s="1"/>
      <c r="B326" s="2"/>
      <c r="C326" s="1"/>
      <c r="D326" s="1"/>
      <c r="E326" s="4"/>
      <c r="F326" s="4"/>
      <c r="G326" s="4"/>
      <c r="H326" s="4"/>
    </row>
    <row r="327" spans="1:8" x14ac:dyDescent="0.25">
      <c r="A327" s="1"/>
      <c r="B327" s="2"/>
      <c r="C327" s="1"/>
      <c r="D327" s="1"/>
      <c r="E327" s="4"/>
      <c r="F327" s="4"/>
      <c r="G327" s="4"/>
      <c r="H327" s="4"/>
    </row>
    <row r="328" spans="1:8" x14ac:dyDescent="0.25">
      <c r="A328" s="1"/>
      <c r="B328" s="2"/>
      <c r="C328" s="1"/>
      <c r="D328" s="1"/>
      <c r="E328" s="4"/>
      <c r="F328" s="4"/>
      <c r="G328" s="4"/>
      <c r="H328" s="4"/>
    </row>
    <row r="329" spans="1:8" x14ac:dyDescent="0.25">
      <c r="A329" s="1"/>
      <c r="B329" s="2"/>
      <c r="C329" s="1"/>
      <c r="D329" s="1"/>
      <c r="E329" s="4"/>
      <c r="F329" s="4"/>
      <c r="G329" s="4"/>
      <c r="H329" s="4"/>
    </row>
    <row r="330" spans="1:8" x14ac:dyDescent="0.25">
      <c r="A330" s="1"/>
      <c r="B330" s="2"/>
      <c r="C330" s="1"/>
      <c r="D330" s="1"/>
      <c r="E330" s="4"/>
      <c r="F330" s="4"/>
      <c r="G330" s="4"/>
      <c r="H330" s="4"/>
    </row>
    <row r="331" spans="1:8" x14ac:dyDescent="0.25">
      <c r="A331" s="1"/>
      <c r="B331" s="2"/>
      <c r="C331" s="1"/>
      <c r="D331" s="1"/>
      <c r="E331" s="4"/>
      <c r="F331" s="4"/>
      <c r="G331" s="4"/>
      <c r="H331" s="4"/>
    </row>
    <row r="332" spans="1:8" x14ac:dyDescent="0.25">
      <c r="A332" s="1"/>
      <c r="B332" s="2"/>
      <c r="C332" s="1"/>
      <c r="D332" s="1"/>
      <c r="E332" s="4"/>
      <c r="F332" s="4"/>
      <c r="G332" s="4"/>
      <c r="H332" s="4"/>
    </row>
    <row r="333" spans="1:8" x14ac:dyDescent="0.25">
      <c r="A333" s="1"/>
      <c r="B333" s="2"/>
      <c r="C333" s="1"/>
      <c r="D333" s="1"/>
      <c r="E333" s="4"/>
      <c r="F333" s="4"/>
      <c r="G333" s="4"/>
      <c r="H333" s="4"/>
    </row>
    <row r="334" spans="1:8" x14ac:dyDescent="0.25">
      <c r="A334" s="1"/>
      <c r="B334" s="2"/>
      <c r="C334" s="1"/>
      <c r="D334" s="1"/>
      <c r="E334" s="4"/>
      <c r="F334" s="4"/>
      <c r="G334" s="4"/>
      <c r="H334" s="4"/>
    </row>
    <row r="335" spans="1:8" x14ac:dyDescent="0.25">
      <c r="A335" s="1"/>
      <c r="B335" s="2"/>
      <c r="C335" s="1"/>
      <c r="D335" s="1"/>
      <c r="E335" s="4"/>
      <c r="F335" s="4"/>
      <c r="G335" s="4"/>
      <c r="H335" s="4"/>
    </row>
    <row r="336" spans="1:8" x14ac:dyDescent="0.25">
      <c r="A336" s="1"/>
      <c r="B336" s="2"/>
      <c r="C336" s="1"/>
      <c r="D336" s="1"/>
      <c r="E336" s="4"/>
      <c r="F336" s="4"/>
      <c r="G336" s="4"/>
      <c r="H336" s="4"/>
    </row>
    <row r="337" spans="1:8" x14ac:dyDescent="0.25">
      <c r="A337" s="1"/>
      <c r="B337" s="2"/>
      <c r="C337" s="1"/>
      <c r="D337" s="1"/>
      <c r="E337" s="4"/>
      <c r="F337" s="4"/>
      <c r="G337" s="4"/>
      <c r="H337" s="4"/>
    </row>
    <row r="338" spans="1:8" x14ac:dyDescent="0.25">
      <c r="A338" s="1"/>
      <c r="B338" s="2"/>
      <c r="C338" s="1"/>
      <c r="D338" s="1"/>
      <c r="E338" s="4"/>
      <c r="F338" s="4"/>
      <c r="G338" s="4"/>
      <c r="H338" s="4"/>
    </row>
    <row r="339" spans="1:8" x14ac:dyDescent="0.25">
      <c r="A339" s="1"/>
      <c r="B339" s="2"/>
      <c r="C339" s="1"/>
      <c r="D339" s="1"/>
      <c r="E339" s="4"/>
      <c r="F339" s="4"/>
      <c r="G339" s="4"/>
      <c r="H339" s="4"/>
    </row>
    <row r="340" spans="1:8" x14ac:dyDescent="0.25">
      <c r="A340" s="1"/>
      <c r="B340" s="2"/>
      <c r="C340" s="1"/>
      <c r="D340" s="1"/>
      <c r="E340" s="4"/>
      <c r="F340" s="4"/>
      <c r="G340" s="4"/>
      <c r="H340" s="4"/>
    </row>
    <row r="341" spans="1:8" x14ac:dyDescent="0.25">
      <c r="A341" s="1"/>
      <c r="B341" s="2"/>
      <c r="C341" s="1"/>
      <c r="D341" s="1"/>
      <c r="E341" s="4"/>
      <c r="F341" s="4"/>
      <c r="G341" s="4"/>
      <c r="H341" s="4"/>
    </row>
    <row r="342" spans="1:8" x14ac:dyDescent="0.25">
      <c r="A342" s="1"/>
      <c r="B342" s="2"/>
      <c r="C342" s="1"/>
      <c r="D342" s="1"/>
      <c r="E342" s="4"/>
      <c r="F342" s="4"/>
      <c r="G342" s="4"/>
      <c r="H342" s="4"/>
    </row>
    <row r="343" spans="1:8" x14ac:dyDescent="0.25">
      <c r="A343" s="1"/>
      <c r="B343" s="2"/>
      <c r="C343" s="1"/>
      <c r="D343" s="1"/>
      <c r="E343" s="4"/>
      <c r="F343" s="4"/>
      <c r="G343" s="4"/>
      <c r="H343" s="4"/>
    </row>
    <row r="344" spans="1:8" x14ac:dyDescent="0.25">
      <c r="A344" s="1"/>
      <c r="B344" s="2"/>
      <c r="C344" s="1"/>
      <c r="D344" s="1"/>
      <c r="E344" s="4"/>
      <c r="F344" s="4"/>
      <c r="G344" s="4"/>
      <c r="H344" s="4"/>
    </row>
    <row r="345" spans="1:8" x14ac:dyDescent="0.25">
      <c r="A345" s="1"/>
      <c r="B345" s="2"/>
      <c r="C345" s="1"/>
      <c r="D345" s="1"/>
      <c r="E345" s="4"/>
      <c r="F345" s="4"/>
      <c r="G345" s="4"/>
      <c r="H345" s="4"/>
    </row>
    <row r="346" spans="1:8" x14ac:dyDescent="0.25">
      <c r="A346" s="1"/>
      <c r="B346" s="2"/>
      <c r="C346" s="1"/>
      <c r="D346" s="1"/>
      <c r="E346" s="4"/>
      <c r="F346" s="4"/>
      <c r="G346" s="4"/>
      <c r="H346" s="4"/>
    </row>
    <row r="347" spans="1:8" x14ac:dyDescent="0.25">
      <c r="A347" s="1"/>
      <c r="B347" s="2"/>
      <c r="C347" s="1"/>
      <c r="D347" s="1"/>
      <c r="E347" s="4"/>
      <c r="F347" s="4"/>
      <c r="G347" s="4"/>
      <c r="H347" s="4"/>
    </row>
    <row r="348" spans="1:8" x14ac:dyDescent="0.25">
      <c r="A348" s="1"/>
      <c r="B348" s="2"/>
      <c r="C348" s="1"/>
      <c r="D348" s="1"/>
      <c r="E348" s="4"/>
      <c r="F348" s="4"/>
      <c r="G348" s="4"/>
      <c r="H348" s="4"/>
    </row>
    <row r="349" spans="1:8" x14ac:dyDescent="0.25">
      <c r="A349" s="1"/>
      <c r="B349" s="2"/>
      <c r="C349" s="1"/>
      <c r="D349" s="1"/>
      <c r="E349" s="4"/>
      <c r="F349" s="4"/>
      <c r="G349" s="4"/>
      <c r="H349" s="4"/>
    </row>
    <row r="350" spans="1:8" x14ac:dyDescent="0.25">
      <c r="A350" s="1"/>
      <c r="B350" s="2"/>
      <c r="C350" s="1"/>
      <c r="D350" s="1"/>
      <c r="E350" s="4"/>
      <c r="F350" s="4"/>
      <c r="G350" s="4"/>
      <c r="H350" s="4"/>
    </row>
    <row r="351" spans="1:8" x14ac:dyDescent="0.25">
      <c r="A351" s="1"/>
      <c r="B351" s="2"/>
      <c r="C351" s="1"/>
      <c r="D351" s="1"/>
      <c r="E351" s="4"/>
      <c r="F351" s="4"/>
      <c r="G351" s="4"/>
      <c r="H351" s="4"/>
    </row>
    <row r="352" spans="1:8" x14ac:dyDescent="0.25">
      <c r="A352" s="1"/>
      <c r="B352" s="2"/>
      <c r="C352" s="1"/>
      <c r="D352" s="1"/>
      <c r="E352" s="4"/>
      <c r="F352" s="4"/>
      <c r="G352" s="4"/>
      <c r="H352" s="4"/>
    </row>
    <row r="353" spans="1:8" x14ac:dyDescent="0.25">
      <c r="A353" s="1"/>
      <c r="B353" s="2"/>
      <c r="C353" s="1"/>
      <c r="D353" s="1"/>
      <c r="E353" s="4"/>
      <c r="F353" s="4"/>
      <c r="G353" s="4"/>
      <c r="H353" s="4"/>
    </row>
    <row r="354" spans="1:8" x14ac:dyDescent="0.25">
      <c r="A354" s="1"/>
      <c r="B354" s="2"/>
      <c r="C354" s="1"/>
      <c r="D354" s="1"/>
      <c r="E354" s="4"/>
      <c r="F354" s="4"/>
      <c r="G354" s="4"/>
      <c r="H354" s="4"/>
    </row>
    <row r="355" spans="1:8" x14ac:dyDescent="0.25">
      <c r="A355" s="1"/>
      <c r="B355" s="2"/>
      <c r="C355" s="1"/>
      <c r="D355" s="1"/>
      <c r="E355" s="4"/>
      <c r="F355" s="4"/>
      <c r="G355" s="4"/>
      <c r="H355" s="4"/>
    </row>
    <row r="356" spans="1:8" x14ac:dyDescent="0.25">
      <c r="A356" s="1"/>
      <c r="B356" s="2"/>
      <c r="C356" s="1"/>
      <c r="D356" s="1"/>
      <c r="E356" s="4"/>
      <c r="F356" s="4"/>
      <c r="G356" s="4"/>
      <c r="H356" s="4"/>
    </row>
    <row r="357" spans="1:8" x14ac:dyDescent="0.25">
      <c r="A357" s="1"/>
      <c r="B357" s="2"/>
      <c r="C357" s="1"/>
      <c r="D357" s="1"/>
      <c r="E357" s="4"/>
      <c r="F357" s="4"/>
      <c r="G357" s="4"/>
      <c r="H357" s="4"/>
    </row>
    <row r="358" spans="1:8" x14ac:dyDescent="0.25">
      <c r="A358" s="1"/>
      <c r="B358" s="2"/>
      <c r="C358" s="1"/>
      <c r="D358" s="1"/>
      <c r="E358" s="4"/>
      <c r="F358" s="4"/>
      <c r="G358" s="4"/>
      <c r="H358" s="4"/>
    </row>
    <row r="359" spans="1:8" x14ac:dyDescent="0.25">
      <c r="A359" s="1"/>
      <c r="B359" s="2"/>
      <c r="C359" s="1"/>
      <c r="D359" s="1"/>
      <c r="E359" s="4"/>
      <c r="F359" s="4"/>
      <c r="G359" s="4"/>
      <c r="H359" s="4"/>
    </row>
    <row r="360" spans="1:8" x14ac:dyDescent="0.25">
      <c r="A360" s="1"/>
      <c r="B360" s="2"/>
      <c r="C360" s="1"/>
      <c r="D360" s="1"/>
      <c r="E360" s="4"/>
      <c r="F360" s="4"/>
      <c r="G360" s="4"/>
      <c r="H360" s="4"/>
    </row>
    <row r="361" spans="1:8" x14ac:dyDescent="0.25">
      <c r="A361" s="1"/>
      <c r="B361" s="2"/>
      <c r="C361" s="1"/>
      <c r="D361" s="1"/>
      <c r="E361" s="4"/>
      <c r="F361" s="4"/>
      <c r="G361" s="4"/>
      <c r="H361" s="4"/>
    </row>
    <row r="362" spans="1:8" x14ac:dyDescent="0.25">
      <c r="A362" s="1"/>
      <c r="B362" s="2"/>
      <c r="C362" s="1"/>
      <c r="D362" s="1"/>
      <c r="E362" s="4"/>
      <c r="F362" s="4"/>
      <c r="G362" s="4"/>
      <c r="H362" s="4"/>
    </row>
    <row r="363" spans="1:8" x14ac:dyDescent="0.25">
      <c r="A363" s="1"/>
      <c r="B363" s="2"/>
      <c r="C363" s="1"/>
      <c r="D363" s="1"/>
      <c r="E363" s="4"/>
      <c r="F363" s="4"/>
      <c r="G363" s="4"/>
      <c r="H363" s="4"/>
    </row>
    <row r="364" spans="1:8" x14ac:dyDescent="0.25">
      <c r="A364" s="1"/>
      <c r="B364" s="2"/>
      <c r="C364" s="1"/>
      <c r="D364" s="1"/>
      <c r="E364" s="4"/>
      <c r="F364" s="4"/>
      <c r="G364" s="4"/>
      <c r="H364" s="4"/>
    </row>
    <row r="365" spans="1:8" x14ac:dyDescent="0.25">
      <c r="A365" s="1"/>
      <c r="B365" s="2"/>
      <c r="C365" s="1"/>
      <c r="D365" s="1"/>
      <c r="E365" s="4"/>
      <c r="F365" s="4"/>
      <c r="G365" s="4"/>
      <c r="H365" s="4"/>
    </row>
    <row r="366" spans="1:8" x14ac:dyDescent="0.25">
      <c r="A366" s="1"/>
      <c r="B366" s="2"/>
      <c r="C366" s="1"/>
      <c r="D366" s="1"/>
      <c r="E366" s="4"/>
      <c r="F366" s="4"/>
      <c r="G366" s="4"/>
      <c r="H366" s="4"/>
    </row>
    <row r="367" spans="1:8" x14ac:dyDescent="0.25">
      <c r="A367" s="1"/>
      <c r="B367" s="2"/>
      <c r="C367" s="1"/>
      <c r="D367" s="1"/>
      <c r="E367" s="4"/>
      <c r="F367" s="4"/>
      <c r="G367" s="4"/>
      <c r="H367" s="4"/>
    </row>
    <row r="368" spans="1:8" x14ac:dyDescent="0.25">
      <c r="A368" s="1"/>
      <c r="B368" s="2"/>
      <c r="C368" s="1"/>
      <c r="D368" s="1"/>
      <c r="E368" s="4"/>
      <c r="F368" s="4"/>
      <c r="G368" s="4"/>
      <c r="H368" s="4"/>
    </row>
    <row r="369" spans="1:8" x14ac:dyDescent="0.25">
      <c r="A369" s="1"/>
      <c r="B369" s="2"/>
      <c r="C369" s="1"/>
      <c r="D369" s="1"/>
      <c r="E369" s="4"/>
      <c r="F369" s="4"/>
      <c r="G369" s="4"/>
      <c r="H369" s="4"/>
    </row>
    <row r="370" spans="1:8" x14ac:dyDescent="0.25">
      <c r="A370" s="1"/>
      <c r="B370" s="2"/>
      <c r="C370" s="1"/>
      <c r="D370" s="1"/>
      <c r="E370" s="4"/>
      <c r="F370" s="4"/>
      <c r="G370" s="4"/>
      <c r="H370" s="4"/>
    </row>
    <row r="371" spans="1:8" x14ac:dyDescent="0.25">
      <c r="A371" s="1"/>
      <c r="B371" s="2"/>
      <c r="C371" s="1"/>
      <c r="D371" s="1"/>
      <c r="E371" s="4"/>
      <c r="F371" s="4"/>
      <c r="G371" s="4"/>
      <c r="H371" s="4"/>
    </row>
    <row r="372" spans="1:8" x14ac:dyDescent="0.25">
      <c r="A372" s="1"/>
      <c r="B372" s="2"/>
      <c r="C372" s="1"/>
      <c r="D372" s="1"/>
      <c r="E372" s="4"/>
      <c r="F372" s="4"/>
      <c r="G372" s="4"/>
      <c r="H372" s="4"/>
    </row>
    <row r="373" spans="1:8" x14ac:dyDescent="0.25">
      <c r="A373" s="1"/>
      <c r="B373" s="2"/>
      <c r="C373" s="1"/>
      <c r="D373" s="1"/>
      <c r="E373" s="4"/>
      <c r="F373" s="4"/>
      <c r="G373" s="4"/>
      <c r="H373" s="4"/>
    </row>
    <row r="374" spans="1:8" x14ac:dyDescent="0.25">
      <c r="A374" s="1"/>
      <c r="B374" s="2"/>
      <c r="C374" s="1"/>
      <c r="D374" s="1"/>
      <c r="E374" s="4"/>
      <c r="F374" s="4"/>
      <c r="G374" s="4"/>
      <c r="H374" s="4"/>
    </row>
    <row r="375" spans="1:8" x14ac:dyDescent="0.25">
      <c r="A375" s="1"/>
      <c r="B375" s="2"/>
      <c r="C375" s="1"/>
      <c r="D375" s="1"/>
      <c r="E375" s="4"/>
      <c r="F375" s="4"/>
      <c r="G375" s="4"/>
      <c r="H375" s="4"/>
    </row>
    <row r="376" spans="1:8" x14ac:dyDescent="0.25">
      <c r="A376" s="1"/>
      <c r="B376" s="2"/>
      <c r="C376" s="1"/>
      <c r="D376" s="1"/>
      <c r="E376" s="4"/>
      <c r="F376" s="4"/>
      <c r="G376" s="4"/>
      <c r="H376" s="4"/>
    </row>
    <row r="377" spans="1:8" x14ac:dyDescent="0.25">
      <c r="A377" s="1"/>
      <c r="B377" s="2"/>
      <c r="C377" s="1"/>
      <c r="D377" s="1"/>
      <c r="E377" s="4"/>
      <c r="F377" s="4"/>
      <c r="G377" s="4"/>
      <c r="H377" s="4"/>
    </row>
    <row r="378" spans="1:8" x14ac:dyDescent="0.25">
      <c r="A378" s="1"/>
      <c r="B378" s="2"/>
      <c r="C378" s="1"/>
      <c r="D378" s="1"/>
      <c r="E378" s="4"/>
      <c r="F378" s="4"/>
      <c r="G378" s="4"/>
      <c r="H378" s="4"/>
    </row>
    <row r="379" spans="1:8" x14ac:dyDescent="0.25">
      <c r="A379" s="1"/>
      <c r="B379" s="2"/>
      <c r="C379" s="1"/>
      <c r="D379" s="1"/>
      <c r="E379" s="4"/>
      <c r="F379" s="4"/>
      <c r="G379" s="4"/>
      <c r="H379" s="4"/>
    </row>
    <row r="380" spans="1:8" x14ac:dyDescent="0.25">
      <c r="A380" s="1"/>
      <c r="B380" s="2"/>
      <c r="C380" s="1"/>
      <c r="D380" s="1"/>
      <c r="E380" s="4"/>
      <c r="F380" s="4"/>
      <c r="G380" s="4"/>
      <c r="H380" s="4"/>
    </row>
    <row r="381" spans="1:8" x14ac:dyDescent="0.25">
      <c r="A381" s="1"/>
      <c r="B381" s="2"/>
      <c r="C381" s="1"/>
      <c r="D381" s="1"/>
      <c r="E381" s="4"/>
      <c r="F381" s="4"/>
      <c r="G381" s="4"/>
      <c r="H381" s="4"/>
    </row>
    <row r="382" spans="1:8" x14ac:dyDescent="0.25">
      <c r="A382" s="1"/>
      <c r="B382" s="2"/>
      <c r="C382" s="1"/>
      <c r="D382" s="1"/>
      <c r="E382" s="4"/>
      <c r="F382" s="4"/>
      <c r="G382" s="4"/>
      <c r="H382" s="4"/>
    </row>
    <row r="383" spans="1:8" x14ac:dyDescent="0.25">
      <c r="A383" s="1"/>
      <c r="B383" s="2"/>
      <c r="C383" s="1"/>
      <c r="D383" s="1"/>
      <c r="E383" s="4"/>
      <c r="F383" s="4"/>
      <c r="G383" s="4"/>
      <c r="H383" s="4"/>
    </row>
    <row r="384" spans="1:8" x14ac:dyDescent="0.25">
      <c r="A384" s="1"/>
      <c r="B384" s="2"/>
      <c r="C384" s="1"/>
      <c r="D384" s="1"/>
      <c r="E384" s="4"/>
      <c r="F384" s="4"/>
      <c r="G384" s="4"/>
      <c r="H384" s="4"/>
    </row>
    <row r="385" spans="1:8" x14ac:dyDescent="0.25">
      <c r="A385" s="1"/>
      <c r="B385" s="2"/>
      <c r="C385" s="1"/>
      <c r="D385" s="1"/>
      <c r="E385" s="4"/>
      <c r="F385" s="4"/>
      <c r="G385" s="4"/>
      <c r="H385" s="4"/>
    </row>
    <row r="386" spans="1:8" x14ac:dyDescent="0.25">
      <c r="A386" s="1"/>
      <c r="B386" s="2"/>
      <c r="C386" s="1"/>
      <c r="D386" s="1"/>
      <c r="E386" s="4"/>
      <c r="F386" s="4"/>
      <c r="G386" s="4"/>
      <c r="H386" s="4"/>
    </row>
    <row r="387" spans="1:8" x14ac:dyDescent="0.25">
      <c r="A387" s="1"/>
      <c r="B387" s="2"/>
      <c r="C387" s="1"/>
      <c r="D387" s="1"/>
      <c r="E387" s="4"/>
      <c r="F387" s="4"/>
      <c r="G387" s="4"/>
      <c r="H387" s="4"/>
    </row>
    <row r="388" spans="1:8" x14ac:dyDescent="0.25">
      <c r="A388" s="1"/>
      <c r="B388" s="2"/>
      <c r="C388" s="1"/>
      <c r="D388" s="1"/>
      <c r="E388" s="4"/>
      <c r="F388" s="4"/>
      <c r="G388" s="4"/>
      <c r="H388" s="4"/>
    </row>
    <row r="389" spans="1:8" x14ac:dyDescent="0.25">
      <c r="A389" s="1"/>
      <c r="B389" s="2"/>
      <c r="C389" s="1"/>
      <c r="D389" s="1"/>
      <c r="E389" s="4"/>
      <c r="F389" s="4"/>
      <c r="G389" s="4"/>
      <c r="H389" s="4"/>
    </row>
    <row r="390" spans="1:8" x14ac:dyDescent="0.25">
      <c r="A390" s="1"/>
      <c r="B390" s="2"/>
      <c r="C390" s="1"/>
      <c r="D390" s="1"/>
      <c r="E390" s="4"/>
      <c r="F390" s="4"/>
      <c r="G390" s="4"/>
      <c r="H390" s="4"/>
    </row>
    <row r="391" spans="1:8" x14ac:dyDescent="0.25">
      <c r="A391" s="1"/>
      <c r="B391" s="2"/>
      <c r="C391" s="1"/>
      <c r="D391" s="1"/>
      <c r="E391" s="4"/>
      <c r="F391" s="4"/>
      <c r="G391" s="4"/>
      <c r="H391" s="4"/>
    </row>
    <row r="392" spans="1:8" x14ac:dyDescent="0.25">
      <c r="A392" s="1"/>
      <c r="B392" s="2"/>
      <c r="C392" s="1"/>
      <c r="D392" s="1"/>
      <c r="E392" s="4"/>
      <c r="F392" s="4"/>
      <c r="G392" s="4"/>
      <c r="H392" s="4"/>
    </row>
    <row r="393" spans="1:8" x14ac:dyDescent="0.25">
      <c r="A393" s="1"/>
      <c r="B393" s="2"/>
      <c r="C393" s="1"/>
      <c r="D393" s="1"/>
      <c r="E393" s="4"/>
      <c r="F393" s="4"/>
      <c r="G393" s="4"/>
      <c r="H393" s="4"/>
    </row>
    <row r="394" spans="1:8" x14ac:dyDescent="0.25">
      <c r="A394" s="1"/>
      <c r="B394" s="2"/>
      <c r="C394" s="1"/>
      <c r="D394" s="1"/>
      <c r="E394" s="4"/>
      <c r="F394" s="4"/>
      <c r="G394" s="4"/>
      <c r="H39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V340"/>
  <sheetViews>
    <sheetView tabSelected="1" workbookViewId="0">
      <pane xSplit="2" ySplit="3" topLeftCell="O4" activePane="bottomRight" state="frozen"/>
      <selection pane="topRight" activeCell="C1" sqref="C1"/>
      <selection pane="bottomLeft" activeCell="A3" sqref="A3"/>
      <selection pane="bottomRight" activeCell="S21" sqref="S21"/>
    </sheetView>
  </sheetViews>
  <sheetFormatPr baseColWidth="10" defaultRowHeight="11.25" x14ac:dyDescent="0.2"/>
  <cols>
    <col min="1" max="1" width="5.28515625" style="9" customWidth="1"/>
    <col min="2" max="2" width="27.85546875" style="6" customWidth="1"/>
    <col min="3" max="3" width="13.28515625" style="7" customWidth="1"/>
    <col min="4" max="4" width="9.28515625" style="6" customWidth="1"/>
    <col min="5" max="5" width="30.28515625" style="6" customWidth="1"/>
    <col min="6" max="6" width="40" style="6" customWidth="1"/>
    <col min="7" max="7" width="15" style="6" customWidth="1"/>
    <col min="8" max="8" width="4.7109375" style="9" customWidth="1"/>
    <col min="9" max="9" width="15" style="10" customWidth="1"/>
    <col min="10" max="12" width="11.42578125" style="6" customWidth="1"/>
    <col min="13" max="13" width="8.42578125" style="8" customWidth="1"/>
    <col min="14" max="14" width="34.5703125" style="6" customWidth="1"/>
    <col min="15" max="15" width="9.85546875" style="8" customWidth="1"/>
    <col min="16" max="16" width="11.42578125" style="8" customWidth="1"/>
    <col min="17" max="17" width="9.28515625" style="8" customWidth="1"/>
    <col min="18" max="18" width="11.42578125" style="13" customWidth="1"/>
    <col min="19" max="19" width="11.42578125" style="13"/>
    <col min="20" max="22" width="11.42578125" style="13" customWidth="1"/>
    <col min="23" max="23" width="11.42578125" style="8" customWidth="1"/>
    <col min="24" max="25" width="11.42578125" style="13" customWidth="1"/>
    <col min="26" max="26" width="4.28515625" style="30" customWidth="1"/>
    <col min="27" max="27" width="4.7109375" style="12" customWidth="1"/>
    <col min="28" max="31" width="11.42578125" style="13"/>
    <col min="32" max="16384" width="11.42578125" style="14"/>
  </cols>
  <sheetData>
    <row r="1" spans="1:31" x14ac:dyDescent="0.2">
      <c r="P1" s="8" t="s">
        <v>427</v>
      </c>
      <c r="Q1" s="12"/>
    </row>
    <row r="2" spans="1:31" ht="43.5" customHeight="1" x14ac:dyDescent="0.2">
      <c r="A2" s="20" t="s">
        <v>423</v>
      </c>
      <c r="B2" s="20" t="s">
        <v>424</v>
      </c>
      <c r="C2" s="37" t="s">
        <v>425</v>
      </c>
      <c r="D2" s="35" t="s">
        <v>375</v>
      </c>
      <c r="E2" s="20" t="s">
        <v>0</v>
      </c>
      <c r="F2" s="20" t="s">
        <v>379</v>
      </c>
      <c r="G2" s="35" t="s">
        <v>376</v>
      </c>
      <c r="H2" s="35" t="s">
        <v>377</v>
      </c>
      <c r="I2" s="33" t="s">
        <v>378</v>
      </c>
      <c r="J2" s="35" t="s">
        <v>380</v>
      </c>
      <c r="K2" s="20" t="s">
        <v>381</v>
      </c>
      <c r="L2" s="35" t="s">
        <v>382</v>
      </c>
      <c r="M2" s="21" t="s">
        <v>426</v>
      </c>
      <c r="N2" s="20" t="s">
        <v>430</v>
      </c>
      <c r="O2" s="21" t="s">
        <v>450</v>
      </c>
      <c r="P2" s="21" t="s">
        <v>428</v>
      </c>
      <c r="Q2" s="21" t="s">
        <v>429</v>
      </c>
      <c r="R2" s="22" t="s">
        <v>449</v>
      </c>
      <c r="S2" s="23" t="s">
        <v>442</v>
      </c>
      <c r="T2" s="24" t="s">
        <v>443</v>
      </c>
      <c r="U2" s="24" t="s">
        <v>444</v>
      </c>
      <c r="V2" s="24" t="s">
        <v>445</v>
      </c>
      <c r="W2" s="24" t="s">
        <v>446</v>
      </c>
      <c r="X2" s="24" t="s">
        <v>447</v>
      </c>
      <c r="Y2" s="69" t="s">
        <v>448</v>
      </c>
      <c r="Z2" s="71" t="s">
        <v>453</v>
      </c>
      <c r="AA2" s="73" t="s">
        <v>454</v>
      </c>
    </row>
    <row r="3" spans="1:31" s="16" customFormat="1" x14ac:dyDescent="0.25">
      <c r="A3" s="20"/>
      <c r="B3" s="20"/>
      <c r="C3" s="38"/>
      <c r="D3" s="36"/>
      <c r="E3" s="20"/>
      <c r="F3" s="20"/>
      <c r="G3" s="36"/>
      <c r="H3" s="36"/>
      <c r="I3" s="34"/>
      <c r="J3" s="36"/>
      <c r="K3" s="20"/>
      <c r="L3" s="36"/>
      <c r="M3" s="21"/>
      <c r="N3" s="20"/>
      <c r="O3" s="21"/>
      <c r="P3" s="21"/>
      <c r="Q3" s="21"/>
      <c r="R3" s="22"/>
      <c r="S3" s="23">
        <v>366</v>
      </c>
      <c r="T3" s="25">
        <v>2.5000000000000001E-3</v>
      </c>
      <c r="U3" s="23">
        <v>0.5</v>
      </c>
      <c r="V3" s="23">
        <v>4</v>
      </c>
      <c r="W3" s="23">
        <v>4</v>
      </c>
      <c r="X3" s="23">
        <v>169</v>
      </c>
      <c r="Y3" s="70"/>
      <c r="Z3" s="72"/>
      <c r="AA3" s="74"/>
      <c r="AB3" s="15"/>
      <c r="AC3" s="15"/>
      <c r="AD3" s="15"/>
      <c r="AE3" s="15"/>
    </row>
    <row r="4" spans="1:31" s="18" customFormat="1" ht="16.5" customHeight="1" x14ac:dyDescent="0.2">
      <c r="A4" s="39">
        <v>1</v>
      </c>
      <c r="B4" s="40" t="s">
        <v>206</v>
      </c>
      <c r="C4" s="41">
        <v>703641654</v>
      </c>
      <c r="D4" s="42">
        <v>29844</v>
      </c>
      <c r="E4" s="40" t="s">
        <v>207</v>
      </c>
      <c r="F4" s="40" t="s">
        <v>394</v>
      </c>
      <c r="G4" s="40" t="s">
        <v>386</v>
      </c>
      <c r="H4" s="39" t="s">
        <v>383</v>
      </c>
      <c r="I4" s="43">
        <v>5133965100</v>
      </c>
      <c r="J4" s="42">
        <v>41640</v>
      </c>
      <c r="K4" s="42"/>
      <c r="L4" s="42">
        <v>41640</v>
      </c>
      <c r="M4" s="44">
        <v>773</v>
      </c>
      <c r="N4" s="40" t="s">
        <v>166</v>
      </c>
      <c r="O4" s="44">
        <v>773</v>
      </c>
      <c r="P4" s="44">
        <v>773</v>
      </c>
      <c r="Q4" s="44">
        <f>P4-M4</f>
        <v>0</v>
      </c>
      <c r="R4" s="29">
        <f>Q4*12</f>
        <v>0</v>
      </c>
      <c r="S4" s="29">
        <f>$S$3*1%*Z4*12</f>
        <v>0</v>
      </c>
      <c r="T4" s="65">
        <f ca="1">P4*$T$3*AA4*12</f>
        <v>46.38</v>
      </c>
      <c r="U4" s="29">
        <f>$U$3*20*12</f>
        <v>120</v>
      </c>
      <c r="V4" s="29">
        <f>$V$3*20*12</f>
        <v>960</v>
      </c>
      <c r="W4" s="44">
        <f>$W$3*12</f>
        <v>48</v>
      </c>
      <c r="X4" s="29">
        <f>$X$3</f>
        <v>169</v>
      </c>
      <c r="Y4" s="29">
        <f ca="1">SUM(Q4:X4)</f>
        <v>1343.38</v>
      </c>
      <c r="Z4" s="31"/>
      <c r="AA4" s="66">
        <f ca="1">IF(YEAR(L4)&gt;2003,(YEAR(TODAY())-YEAR(L4)),12)</f>
        <v>2</v>
      </c>
      <c r="AB4" s="19"/>
      <c r="AC4" s="19"/>
      <c r="AD4" s="19"/>
      <c r="AE4" s="19"/>
    </row>
    <row r="5" spans="1:31" s="18" customFormat="1" ht="16.5" customHeight="1" x14ac:dyDescent="0.2">
      <c r="A5" s="39">
        <f>A4+1</f>
        <v>2</v>
      </c>
      <c r="B5" s="40" t="s">
        <v>82</v>
      </c>
      <c r="C5" s="41">
        <v>702218033</v>
      </c>
      <c r="D5" s="42">
        <v>24621</v>
      </c>
      <c r="E5" s="40" t="s">
        <v>83</v>
      </c>
      <c r="F5" s="40" t="s">
        <v>392</v>
      </c>
      <c r="G5" s="40" t="s">
        <v>397</v>
      </c>
      <c r="H5" s="39" t="s">
        <v>383</v>
      </c>
      <c r="I5" s="43">
        <v>1049345702</v>
      </c>
      <c r="J5" s="42">
        <v>39723</v>
      </c>
      <c r="K5" s="42"/>
      <c r="L5" s="42">
        <v>41640</v>
      </c>
      <c r="M5" s="44">
        <v>775</v>
      </c>
      <c r="N5" s="40" t="s">
        <v>83</v>
      </c>
      <c r="O5" s="44">
        <v>805</v>
      </c>
      <c r="P5" s="44">
        <v>805</v>
      </c>
      <c r="Q5" s="44">
        <f>P5-M5</f>
        <v>30</v>
      </c>
      <c r="R5" s="29">
        <f t="shared" ref="R5:R68" si="0">Q5*12</f>
        <v>360</v>
      </c>
      <c r="S5" s="29">
        <f>$S$3*1%*Z5*12</f>
        <v>0</v>
      </c>
      <c r="T5" s="65">
        <f t="shared" ref="T5:T68" ca="1" si="1">P5*$T$3*AA5*12</f>
        <v>48.300000000000004</v>
      </c>
      <c r="U5" s="29">
        <f>$U$3*20*12</f>
        <v>120</v>
      </c>
      <c r="V5" s="29">
        <f>$V$3*20*12</f>
        <v>960</v>
      </c>
      <c r="W5" s="44">
        <f>$W$3*12</f>
        <v>48</v>
      </c>
      <c r="X5" s="29">
        <f t="shared" ref="X5:X68" si="2">$X$3</f>
        <v>169</v>
      </c>
      <c r="Y5" s="29">
        <f t="shared" ref="Y5:Y68" ca="1" si="3">SUM(Q5:X5)</f>
        <v>1735.3</v>
      </c>
      <c r="Z5" s="75"/>
      <c r="AA5" s="66">
        <f t="shared" ref="AA5:AA68" ca="1" si="4">IF(YEAR(L5)&gt;2003,(YEAR(TODAY())-YEAR(L5)),12)</f>
        <v>2</v>
      </c>
      <c r="AB5" s="19"/>
      <c r="AC5" s="19"/>
      <c r="AD5" s="19"/>
      <c r="AE5" s="19"/>
    </row>
    <row r="6" spans="1:31" s="18" customFormat="1" ht="16.5" customHeight="1" x14ac:dyDescent="0.2">
      <c r="A6" s="39">
        <f t="shared" ref="A6:A70" si="5">A5+1</f>
        <v>3</v>
      </c>
      <c r="B6" s="40" t="s">
        <v>184</v>
      </c>
      <c r="C6" s="41">
        <v>702777749</v>
      </c>
      <c r="D6" s="42">
        <v>26081</v>
      </c>
      <c r="E6" s="40" t="s">
        <v>83</v>
      </c>
      <c r="F6" s="40" t="s">
        <v>392</v>
      </c>
      <c r="G6" s="40" t="s">
        <v>384</v>
      </c>
      <c r="H6" s="39" t="s">
        <v>383</v>
      </c>
      <c r="I6" s="43">
        <v>1010731883</v>
      </c>
      <c r="J6" s="42">
        <v>39569</v>
      </c>
      <c r="K6" s="42"/>
      <c r="L6" s="42">
        <v>39569</v>
      </c>
      <c r="M6" s="44">
        <v>675</v>
      </c>
      <c r="N6" s="40" t="s">
        <v>83</v>
      </c>
      <c r="O6" s="44">
        <v>805</v>
      </c>
      <c r="P6" s="44">
        <v>805</v>
      </c>
      <c r="Q6" s="44">
        <f>P6-M6</f>
        <v>130</v>
      </c>
      <c r="R6" s="29">
        <f t="shared" si="0"/>
        <v>1560</v>
      </c>
      <c r="S6" s="29">
        <f>$S$3*1%*Z6*12</f>
        <v>87.84</v>
      </c>
      <c r="T6" s="65">
        <f t="shared" ca="1" si="1"/>
        <v>193.20000000000002</v>
      </c>
      <c r="U6" s="29">
        <f>$U$3*20*12</f>
        <v>120</v>
      </c>
      <c r="V6" s="29">
        <f>$V$3*20*12</f>
        <v>960</v>
      </c>
      <c r="W6" s="44">
        <f>$W$3*12</f>
        <v>48</v>
      </c>
      <c r="X6" s="29">
        <f t="shared" si="2"/>
        <v>169</v>
      </c>
      <c r="Y6" s="29">
        <f t="shared" ca="1" si="3"/>
        <v>3268.04</v>
      </c>
      <c r="Z6" s="75">
        <v>2</v>
      </c>
      <c r="AA6" s="66">
        <f t="shared" ca="1" si="4"/>
        <v>8</v>
      </c>
      <c r="AB6" s="19"/>
      <c r="AC6" s="19"/>
      <c r="AD6" s="19"/>
      <c r="AE6" s="19"/>
    </row>
    <row r="7" spans="1:31" s="18" customFormat="1" ht="16.5" customHeight="1" x14ac:dyDescent="0.2">
      <c r="A7" s="39">
        <f t="shared" si="5"/>
        <v>4</v>
      </c>
      <c r="B7" s="40" t="s">
        <v>333</v>
      </c>
      <c r="C7" s="41">
        <v>703159871</v>
      </c>
      <c r="D7" s="42">
        <v>28026</v>
      </c>
      <c r="E7" s="40" t="s">
        <v>246</v>
      </c>
      <c r="F7" s="40" t="s">
        <v>392</v>
      </c>
      <c r="G7" s="40" t="s">
        <v>384</v>
      </c>
      <c r="H7" s="39" t="s">
        <v>383</v>
      </c>
      <c r="I7" s="43">
        <v>1010048741</v>
      </c>
      <c r="J7" s="42">
        <v>34824</v>
      </c>
      <c r="K7" s="42"/>
      <c r="L7" s="42">
        <v>34824</v>
      </c>
      <c r="M7" s="44">
        <v>700</v>
      </c>
      <c r="N7" s="40" t="s">
        <v>246</v>
      </c>
      <c r="O7" s="44">
        <v>805</v>
      </c>
      <c r="P7" s="44">
        <v>805</v>
      </c>
      <c r="Q7" s="44">
        <f>P7-M7</f>
        <v>105</v>
      </c>
      <c r="R7" s="29">
        <f t="shared" si="0"/>
        <v>1260</v>
      </c>
      <c r="S7" s="29">
        <f t="shared" ref="S7:S70" si="6">$S$3*1%*Z7*12</f>
        <v>0</v>
      </c>
      <c r="T7" s="65">
        <f t="shared" ca="1" si="1"/>
        <v>289.8</v>
      </c>
      <c r="U7" s="29">
        <f>$U$3*20*12</f>
        <v>120</v>
      </c>
      <c r="V7" s="29">
        <f>$V$3*20*12</f>
        <v>960</v>
      </c>
      <c r="W7" s="44">
        <f>$W$3*12</f>
        <v>48</v>
      </c>
      <c r="X7" s="29">
        <f t="shared" si="2"/>
        <v>169</v>
      </c>
      <c r="Y7" s="29">
        <f t="shared" ca="1" si="3"/>
        <v>2951.8</v>
      </c>
      <c r="Z7" s="75"/>
      <c r="AA7" s="66">
        <f t="shared" ca="1" si="4"/>
        <v>12</v>
      </c>
      <c r="AB7" s="19"/>
      <c r="AC7" s="19"/>
      <c r="AD7" s="19"/>
      <c r="AE7" s="19"/>
    </row>
    <row r="8" spans="1:31" s="18" customFormat="1" ht="16.5" customHeight="1" x14ac:dyDescent="0.2">
      <c r="A8" s="39">
        <f t="shared" si="5"/>
        <v>5</v>
      </c>
      <c r="B8" s="40" t="s">
        <v>245</v>
      </c>
      <c r="C8" s="41">
        <v>703646026</v>
      </c>
      <c r="D8" s="42">
        <v>28297</v>
      </c>
      <c r="E8" s="40" t="s">
        <v>246</v>
      </c>
      <c r="F8" s="40" t="s">
        <v>392</v>
      </c>
      <c r="G8" s="40" t="s">
        <v>384</v>
      </c>
      <c r="H8" s="39" t="s">
        <v>383</v>
      </c>
      <c r="I8" s="43">
        <v>1010177339</v>
      </c>
      <c r="J8" s="42">
        <v>35370</v>
      </c>
      <c r="K8" s="42"/>
      <c r="L8" s="42">
        <v>35370</v>
      </c>
      <c r="M8" s="44">
        <v>700</v>
      </c>
      <c r="N8" s="40" t="s">
        <v>246</v>
      </c>
      <c r="O8" s="44">
        <v>805</v>
      </c>
      <c r="P8" s="44">
        <v>805</v>
      </c>
      <c r="Q8" s="44">
        <f>P8-M8</f>
        <v>105</v>
      </c>
      <c r="R8" s="29">
        <f t="shared" si="0"/>
        <v>1260</v>
      </c>
      <c r="S8" s="29">
        <f t="shared" si="6"/>
        <v>43.92</v>
      </c>
      <c r="T8" s="65">
        <f t="shared" ca="1" si="1"/>
        <v>289.8</v>
      </c>
      <c r="U8" s="29">
        <f>$U$3*20*12</f>
        <v>120</v>
      </c>
      <c r="V8" s="29">
        <f>$V$3*20*12</f>
        <v>960</v>
      </c>
      <c r="W8" s="44">
        <f>$W$3*12</f>
        <v>48</v>
      </c>
      <c r="X8" s="29">
        <f t="shared" si="2"/>
        <v>169</v>
      </c>
      <c r="Y8" s="29">
        <f t="shared" ca="1" si="3"/>
        <v>2995.7200000000003</v>
      </c>
      <c r="Z8" s="75">
        <v>1</v>
      </c>
      <c r="AA8" s="66">
        <f t="shared" ca="1" si="4"/>
        <v>12</v>
      </c>
      <c r="AB8" s="19"/>
      <c r="AC8" s="19"/>
      <c r="AD8" s="19"/>
      <c r="AE8" s="19"/>
    </row>
    <row r="9" spans="1:31" s="18" customFormat="1" ht="16.5" customHeight="1" x14ac:dyDescent="0.2">
      <c r="A9" s="39">
        <f t="shared" si="5"/>
        <v>6</v>
      </c>
      <c r="B9" s="40" t="s">
        <v>165</v>
      </c>
      <c r="C9" s="41">
        <v>702054453</v>
      </c>
      <c r="D9" s="42">
        <v>22434</v>
      </c>
      <c r="E9" s="40" t="s">
        <v>166</v>
      </c>
      <c r="F9" s="40" t="s">
        <v>387</v>
      </c>
      <c r="G9" s="40" t="s">
        <v>417</v>
      </c>
      <c r="H9" s="39" t="s">
        <v>383</v>
      </c>
      <c r="I9" s="43">
        <v>406077424608</v>
      </c>
      <c r="J9" s="42">
        <v>39569</v>
      </c>
      <c r="K9" s="42"/>
      <c r="L9" s="42">
        <v>39937</v>
      </c>
      <c r="M9" s="44">
        <v>675</v>
      </c>
      <c r="N9" s="40" t="s">
        <v>166</v>
      </c>
      <c r="O9" s="44">
        <v>773</v>
      </c>
      <c r="P9" s="44">
        <v>773</v>
      </c>
      <c r="Q9" s="44">
        <f>P9-M9</f>
        <v>98</v>
      </c>
      <c r="R9" s="29">
        <f t="shared" si="0"/>
        <v>1176</v>
      </c>
      <c r="S9" s="29">
        <f t="shared" si="6"/>
        <v>43.92</v>
      </c>
      <c r="T9" s="65">
        <f t="shared" ca="1" si="1"/>
        <v>162.32999999999998</v>
      </c>
      <c r="U9" s="29">
        <f>$U$3*20*12</f>
        <v>120</v>
      </c>
      <c r="V9" s="29">
        <f>$V$3*20*12</f>
        <v>960</v>
      </c>
      <c r="W9" s="44">
        <f>$W$3*12</f>
        <v>48</v>
      </c>
      <c r="X9" s="29">
        <f t="shared" si="2"/>
        <v>169</v>
      </c>
      <c r="Y9" s="29">
        <f t="shared" ca="1" si="3"/>
        <v>2777.25</v>
      </c>
      <c r="Z9" s="75">
        <v>1</v>
      </c>
      <c r="AA9" s="66">
        <f t="shared" ca="1" si="4"/>
        <v>7</v>
      </c>
      <c r="AB9" s="19"/>
      <c r="AC9" s="19"/>
      <c r="AD9" s="19"/>
      <c r="AE9" s="19"/>
    </row>
    <row r="10" spans="1:31" s="18" customFormat="1" ht="16.5" customHeight="1" x14ac:dyDescent="0.2">
      <c r="A10" s="39">
        <f t="shared" si="5"/>
        <v>7</v>
      </c>
      <c r="B10" s="40" t="s">
        <v>205</v>
      </c>
      <c r="C10" s="41">
        <v>704037696</v>
      </c>
      <c r="D10" s="42">
        <v>30365</v>
      </c>
      <c r="E10" s="40" t="s">
        <v>166</v>
      </c>
      <c r="F10" s="40" t="s">
        <v>405</v>
      </c>
      <c r="G10" s="40" t="s">
        <v>384</v>
      </c>
      <c r="H10" s="39" t="s">
        <v>383</v>
      </c>
      <c r="I10" s="43">
        <v>1010537912</v>
      </c>
      <c r="J10" s="42">
        <v>39449</v>
      </c>
      <c r="K10" s="42"/>
      <c r="L10" s="42">
        <v>39449</v>
      </c>
      <c r="M10" s="44">
        <v>733</v>
      </c>
      <c r="N10" s="40" t="s">
        <v>166</v>
      </c>
      <c r="O10" s="44">
        <v>773</v>
      </c>
      <c r="P10" s="44">
        <v>773</v>
      </c>
      <c r="Q10" s="44">
        <f>P10-M10</f>
        <v>40</v>
      </c>
      <c r="R10" s="29">
        <f t="shared" si="0"/>
        <v>480</v>
      </c>
      <c r="S10" s="29">
        <f t="shared" si="6"/>
        <v>87.84</v>
      </c>
      <c r="T10" s="65">
        <f t="shared" ca="1" si="1"/>
        <v>185.52</v>
      </c>
      <c r="U10" s="29">
        <f>$U$3*20*12</f>
        <v>120</v>
      </c>
      <c r="V10" s="29">
        <f>$V$3*20*12</f>
        <v>960</v>
      </c>
      <c r="W10" s="44">
        <f>$W$3*12</f>
        <v>48</v>
      </c>
      <c r="X10" s="29">
        <f t="shared" si="2"/>
        <v>169</v>
      </c>
      <c r="Y10" s="29">
        <f t="shared" ca="1" si="3"/>
        <v>2090.36</v>
      </c>
      <c r="Z10" s="75">
        <v>2</v>
      </c>
      <c r="AA10" s="66">
        <f t="shared" ca="1" si="4"/>
        <v>8</v>
      </c>
      <c r="AB10" s="19"/>
      <c r="AC10" s="19"/>
      <c r="AD10" s="19"/>
      <c r="AE10" s="19"/>
    </row>
    <row r="11" spans="1:31" s="18" customFormat="1" ht="16.5" customHeight="1" x14ac:dyDescent="0.2">
      <c r="A11" s="39">
        <f t="shared" si="5"/>
        <v>8</v>
      </c>
      <c r="B11" s="40" t="s">
        <v>261</v>
      </c>
      <c r="C11" s="41">
        <v>703959155</v>
      </c>
      <c r="D11" s="42">
        <v>30138</v>
      </c>
      <c r="E11" s="40" t="s">
        <v>166</v>
      </c>
      <c r="F11" s="40" t="s">
        <v>394</v>
      </c>
      <c r="G11" s="40" t="s">
        <v>384</v>
      </c>
      <c r="H11" s="39" t="s">
        <v>383</v>
      </c>
      <c r="I11" s="43">
        <v>1010697448</v>
      </c>
      <c r="J11" s="42">
        <v>42079</v>
      </c>
      <c r="K11" s="42"/>
      <c r="L11" s="42">
        <v>42079</v>
      </c>
      <c r="M11" s="44">
        <v>773</v>
      </c>
      <c r="N11" s="40" t="s">
        <v>166</v>
      </c>
      <c r="O11" s="44">
        <v>773</v>
      </c>
      <c r="P11" s="44">
        <v>773</v>
      </c>
      <c r="Q11" s="44">
        <f>P11-M11</f>
        <v>0</v>
      </c>
      <c r="R11" s="29">
        <f t="shared" si="0"/>
        <v>0</v>
      </c>
      <c r="S11" s="29">
        <f t="shared" si="6"/>
        <v>0</v>
      </c>
      <c r="T11" s="65">
        <f t="shared" ca="1" si="1"/>
        <v>23.19</v>
      </c>
      <c r="U11" s="29">
        <f>$U$3*20*12</f>
        <v>120</v>
      </c>
      <c r="V11" s="29">
        <f>$V$3*20*12</f>
        <v>960</v>
      </c>
      <c r="W11" s="44">
        <f>$W$3*12</f>
        <v>48</v>
      </c>
      <c r="X11" s="29">
        <f t="shared" si="2"/>
        <v>169</v>
      </c>
      <c r="Y11" s="29">
        <f t="shared" ca="1" si="3"/>
        <v>1320.19</v>
      </c>
      <c r="Z11" s="75"/>
      <c r="AA11" s="66">
        <f t="shared" ca="1" si="4"/>
        <v>1</v>
      </c>
      <c r="AB11" s="19"/>
      <c r="AC11" s="19"/>
      <c r="AD11" s="19"/>
      <c r="AE11" s="19"/>
    </row>
    <row r="12" spans="1:31" s="18" customFormat="1" ht="16.5" customHeight="1" x14ac:dyDescent="0.2">
      <c r="A12" s="39">
        <f t="shared" si="5"/>
        <v>9</v>
      </c>
      <c r="B12" s="40" t="s">
        <v>270</v>
      </c>
      <c r="C12" s="41">
        <v>704185594</v>
      </c>
      <c r="D12" s="42">
        <v>29813</v>
      </c>
      <c r="E12" s="40" t="s">
        <v>166</v>
      </c>
      <c r="F12" s="40" t="s">
        <v>405</v>
      </c>
      <c r="G12" s="40" t="s">
        <v>384</v>
      </c>
      <c r="H12" s="39" t="s">
        <v>383</v>
      </c>
      <c r="I12" s="43">
        <v>1010841166</v>
      </c>
      <c r="J12" s="42">
        <v>40634</v>
      </c>
      <c r="K12" s="42"/>
      <c r="L12" s="42">
        <v>40634</v>
      </c>
      <c r="M12" s="44">
        <v>733</v>
      </c>
      <c r="N12" s="40" t="s">
        <v>166</v>
      </c>
      <c r="O12" s="44">
        <v>773</v>
      </c>
      <c r="P12" s="44">
        <v>773</v>
      </c>
      <c r="Q12" s="44">
        <f>P12-M12</f>
        <v>40</v>
      </c>
      <c r="R12" s="29">
        <f t="shared" si="0"/>
        <v>480</v>
      </c>
      <c r="S12" s="29">
        <f t="shared" si="6"/>
        <v>0</v>
      </c>
      <c r="T12" s="65">
        <f t="shared" ca="1" si="1"/>
        <v>115.95000000000002</v>
      </c>
      <c r="U12" s="29">
        <f>$U$3*20*12</f>
        <v>120</v>
      </c>
      <c r="V12" s="29">
        <f>$V$3*20*12</f>
        <v>960</v>
      </c>
      <c r="W12" s="44">
        <f>$W$3*12</f>
        <v>48</v>
      </c>
      <c r="X12" s="29">
        <f t="shared" si="2"/>
        <v>169</v>
      </c>
      <c r="Y12" s="29">
        <f t="shared" ca="1" si="3"/>
        <v>1932.95</v>
      </c>
      <c r="Z12" s="75"/>
      <c r="AA12" s="66">
        <f t="shared" ca="1" si="4"/>
        <v>5</v>
      </c>
      <c r="AB12" s="19"/>
      <c r="AC12" s="19"/>
      <c r="AD12" s="19"/>
      <c r="AE12" s="19"/>
    </row>
    <row r="13" spans="1:31" s="18" customFormat="1" ht="16.5" customHeight="1" x14ac:dyDescent="0.2">
      <c r="A13" s="39">
        <f t="shared" si="5"/>
        <v>10</v>
      </c>
      <c r="B13" s="40" t="s">
        <v>275</v>
      </c>
      <c r="C13" s="41">
        <v>703324178</v>
      </c>
      <c r="D13" s="42">
        <v>29960</v>
      </c>
      <c r="E13" s="40" t="s">
        <v>166</v>
      </c>
      <c r="F13" s="40" t="s">
        <v>385</v>
      </c>
      <c r="G13" s="40" t="s">
        <v>397</v>
      </c>
      <c r="H13" s="39" t="s">
        <v>383</v>
      </c>
      <c r="I13" s="43">
        <v>1012317896</v>
      </c>
      <c r="J13" s="42">
        <v>41430</v>
      </c>
      <c r="K13" s="42"/>
      <c r="L13" s="42">
        <v>41430</v>
      </c>
      <c r="M13" s="44">
        <v>600</v>
      </c>
      <c r="N13" s="40" t="s">
        <v>166</v>
      </c>
      <c r="O13" s="44">
        <v>773</v>
      </c>
      <c r="P13" s="44">
        <v>773</v>
      </c>
      <c r="Q13" s="44">
        <f>P13-M13</f>
        <v>173</v>
      </c>
      <c r="R13" s="29">
        <f t="shared" si="0"/>
        <v>2076</v>
      </c>
      <c r="S13" s="29">
        <f t="shared" si="6"/>
        <v>0</v>
      </c>
      <c r="T13" s="65">
        <f t="shared" ca="1" si="1"/>
        <v>69.570000000000007</v>
      </c>
      <c r="U13" s="29">
        <f>$U$3*20*12</f>
        <v>120</v>
      </c>
      <c r="V13" s="29">
        <f>$V$3*20*12</f>
        <v>960</v>
      </c>
      <c r="W13" s="44">
        <f>$W$3*12</f>
        <v>48</v>
      </c>
      <c r="X13" s="29">
        <f t="shared" si="2"/>
        <v>169</v>
      </c>
      <c r="Y13" s="29">
        <f t="shared" ca="1" si="3"/>
        <v>3615.57</v>
      </c>
      <c r="Z13" s="75"/>
      <c r="AA13" s="66">
        <f t="shared" ca="1" si="4"/>
        <v>3</v>
      </c>
      <c r="AB13" s="19"/>
      <c r="AC13" s="19"/>
      <c r="AD13" s="19"/>
      <c r="AE13" s="19"/>
    </row>
    <row r="14" spans="1:31" s="18" customFormat="1" ht="16.5" customHeight="1" x14ac:dyDescent="0.2">
      <c r="A14" s="39">
        <f t="shared" si="5"/>
        <v>11</v>
      </c>
      <c r="B14" s="40" t="s">
        <v>347</v>
      </c>
      <c r="C14" s="41">
        <v>701801631</v>
      </c>
      <c r="D14" s="42">
        <v>23079</v>
      </c>
      <c r="E14" s="40" t="s">
        <v>166</v>
      </c>
      <c r="F14" s="40" t="s">
        <v>385</v>
      </c>
      <c r="G14" s="40" t="s">
        <v>384</v>
      </c>
      <c r="H14" s="39" t="s">
        <v>383</v>
      </c>
      <c r="I14" s="43">
        <v>1100023640</v>
      </c>
      <c r="J14" s="42">
        <v>30018</v>
      </c>
      <c r="K14" s="42"/>
      <c r="L14" s="42">
        <v>30018</v>
      </c>
      <c r="M14" s="44">
        <v>700</v>
      </c>
      <c r="N14" s="40" t="s">
        <v>166</v>
      </c>
      <c r="O14" s="44">
        <v>773</v>
      </c>
      <c r="P14" s="44">
        <v>773</v>
      </c>
      <c r="Q14" s="44">
        <f>P14-M14</f>
        <v>73</v>
      </c>
      <c r="R14" s="29">
        <f t="shared" si="0"/>
        <v>876</v>
      </c>
      <c r="S14" s="29">
        <f t="shared" si="6"/>
        <v>0</v>
      </c>
      <c r="T14" s="65">
        <f t="shared" ca="1" si="1"/>
        <v>278.28000000000003</v>
      </c>
      <c r="U14" s="29">
        <f>$U$3*20*12</f>
        <v>120</v>
      </c>
      <c r="V14" s="29">
        <f>$V$3*20*12</f>
        <v>960</v>
      </c>
      <c r="W14" s="44">
        <f>$W$3*12</f>
        <v>48</v>
      </c>
      <c r="X14" s="29">
        <f t="shared" si="2"/>
        <v>169</v>
      </c>
      <c r="Y14" s="29">
        <f t="shared" ca="1" si="3"/>
        <v>2524.2799999999997</v>
      </c>
      <c r="Z14" s="75"/>
      <c r="AA14" s="66">
        <f t="shared" ca="1" si="4"/>
        <v>12</v>
      </c>
      <c r="AB14" s="19"/>
      <c r="AC14" s="19"/>
      <c r="AD14" s="19"/>
      <c r="AE14" s="19"/>
    </row>
    <row r="15" spans="1:31" s="18" customFormat="1" ht="16.5" customHeight="1" x14ac:dyDescent="0.2">
      <c r="A15" s="39">
        <f t="shared" si="5"/>
        <v>12</v>
      </c>
      <c r="B15" s="40" t="s">
        <v>222</v>
      </c>
      <c r="C15" s="41">
        <v>702746736</v>
      </c>
      <c r="D15" s="42">
        <v>27258</v>
      </c>
      <c r="E15" s="40" t="s">
        <v>223</v>
      </c>
      <c r="F15" s="40" t="s">
        <v>392</v>
      </c>
      <c r="G15" s="40" t="s">
        <v>393</v>
      </c>
      <c r="H15" s="39" t="s">
        <v>383</v>
      </c>
      <c r="I15" s="43">
        <v>8138405500</v>
      </c>
      <c r="J15" s="42">
        <v>39569</v>
      </c>
      <c r="K15" s="42"/>
      <c r="L15" s="42">
        <v>39569</v>
      </c>
      <c r="M15" s="44">
        <v>675</v>
      </c>
      <c r="N15" s="40" t="s">
        <v>223</v>
      </c>
      <c r="O15" s="44">
        <v>805</v>
      </c>
      <c r="P15" s="44">
        <v>805</v>
      </c>
      <c r="Q15" s="44">
        <f>P15-M15</f>
        <v>130</v>
      </c>
      <c r="R15" s="29">
        <f t="shared" si="0"/>
        <v>1560</v>
      </c>
      <c r="S15" s="29">
        <f t="shared" si="6"/>
        <v>43.92</v>
      </c>
      <c r="T15" s="65">
        <f t="shared" ca="1" si="1"/>
        <v>193.20000000000002</v>
      </c>
      <c r="U15" s="29">
        <f>$U$3*20*12</f>
        <v>120</v>
      </c>
      <c r="V15" s="29">
        <f>$V$3*20*12</f>
        <v>960</v>
      </c>
      <c r="W15" s="44">
        <f>$W$3*12</f>
        <v>48</v>
      </c>
      <c r="X15" s="29">
        <f t="shared" si="2"/>
        <v>169</v>
      </c>
      <c r="Y15" s="29">
        <f t="shared" ca="1" si="3"/>
        <v>3224.12</v>
      </c>
      <c r="Z15" s="75">
        <v>1</v>
      </c>
      <c r="AA15" s="66">
        <f t="shared" ca="1" si="4"/>
        <v>8</v>
      </c>
      <c r="AB15" s="19"/>
      <c r="AC15" s="19"/>
      <c r="AD15" s="19"/>
      <c r="AE15" s="19"/>
    </row>
    <row r="16" spans="1:31" s="18" customFormat="1" ht="16.5" customHeight="1" x14ac:dyDescent="0.2">
      <c r="A16" s="39">
        <f t="shared" si="5"/>
        <v>13</v>
      </c>
      <c r="B16" s="40" t="s">
        <v>26</v>
      </c>
      <c r="C16" s="41">
        <v>701046658</v>
      </c>
      <c r="D16" s="42">
        <v>20425</v>
      </c>
      <c r="E16" s="40" t="s">
        <v>27</v>
      </c>
      <c r="F16" s="40" t="s">
        <v>392</v>
      </c>
      <c r="G16" s="40" t="s">
        <v>384</v>
      </c>
      <c r="H16" s="39" t="s">
        <v>383</v>
      </c>
      <c r="I16" s="43">
        <v>1010563441</v>
      </c>
      <c r="J16" s="42">
        <v>39569</v>
      </c>
      <c r="K16" s="42"/>
      <c r="L16" s="42">
        <v>39569</v>
      </c>
      <c r="M16" s="44">
        <v>675</v>
      </c>
      <c r="N16" s="40" t="s">
        <v>27</v>
      </c>
      <c r="O16" s="44">
        <v>805</v>
      </c>
      <c r="P16" s="44">
        <v>805</v>
      </c>
      <c r="Q16" s="44">
        <f>P16-M16</f>
        <v>130</v>
      </c>
      <c r="R16" s="29">
        <f t="shared" si="0"/>
        <v>1560</v>
      </c>
      <c r="S16" s="29">
        <f t="shared" si="6"/>
        <v>0</v>
      </c>
      <c r="T16" s="65">
        <f t="shared" ca="1" si="1"/>
        <v>193.20000000000002</v>
      </c>
      <c r="U16" s="29">
        <f>$U$3*20*12</f>
        <v>120</v>
      </c>
      <c r="V16" s="29">
        <f>$V$3*20*12</f>
        <v>960</v>
      </c>
      <c r="W16" s="44">
        <f>$W$3*12</f>
        <v>48</v>
      </c>
      <c r="X16" s="29">
        <f t="shared" si="2"/>
        <v>169</v>
      </c>
      <c r="Y16" s="29">
        <f t="shared" ca="1" si="3"/>
        <v>3180.2</v>
      </c>
      <c r="Z16" s="75"/>
      <c r="AA16" s="66">
        <f t="shared" ca="1" si="4"/>
        <v>8</v>
      </c>
      <c r="AB16" s="19"/>
      <c r="AC16" s="19"/>
      <c r="AD16" s="19"/>
      <c r="AE16" s="19"/>
    </row>
    <row r="17" spans="1:31" s="18" customFormat="1" ht="16.5" customHeight="1" x14ac:dyDescent="0.2">
      <c r="A17" s="39">
        <f t="shared" si="5"/>
        <v>14</v>
      </c>
      <c r="B17" s="40" t="s">
        <v>46</v>
      </c>
      <c r="C17" s="41">
        <v>702583352</v>
      </c>
      <c r="D17" s="42">
        <v>25638</v>
      </c>
      <c r="E17" s="40" t="s">
        <v>47</v>
      </c>
      <c r="F17" s="40" t="s">
        <v>392</v>
      </c>
      <c r="G17" s="40" t="s">
        <v>384</v>
      </c>
      <c r="H17" s="39" t="s">
        <v>383</v>
      </c>
      <c r="I17" s="43">
        <v>1220075059</v>
      </c>
      <c r="J17" s="42">
        <v>39569</v>
      </c>
      <c r="K17" s="42"/>
      <c r="L17" s="42">
        <v>39569</v>
      </c>
      <c r="M17" s="44">
        <v>419</v>
      </c>
      <c r="N17" s="40" t="s">
        <v>47</v>
      </c>
      <c r="O17" s="44">
        <v>561</v>
      </c>
      <c r="P17" s="44">
        <v>561</v>
      </c>
      <c r="Q17" s="44">
        <f>P17-M17</f>
        <v>142</v>
      </c>
      <c r="R17" s="29">
        <f t="shared" si="0"/>
        <v>1704</v>
      </c>
      <c r="S17" s="29">
        <f t="shared" si="6"/>
        <v>43.92</v>
      </c>
      <c r="T17" s="65">
        <f t="shared" ca="1" si="1"/>
        <v>134.64000000000001</v>
      </c>
      <c r="U17" s="29">
        <f>$U$3*20*12</f>
        <v>120</v>
      </c>
      <c r="V17" s="29">
        <f>$V$3*20*12</f>
        <v>960</v>
      </c>
      <c r="W17" s="44">
        <f>$W$3*12</f>
        <v>48</v>
      </c>
      <c r="X17" s="29">
        <f t="shared" si="2"/>
        <v>169</v>
      </c>
      <c r="Y17" s="29">
        <f t="shared" ca="1" si="3"/>
        <v>3321.5600000000004</v>
      </c>
      <c r="Z17" s="75">
        <v>1</v>
      </c>
      <c r="AA17" s="66">
        <f t="shared" ca="1" si="4"/>
        <v>8</v>
      </c>
      <c r="AB17" s="19"/>
      <c r="AC17" s="19"/>
      <c r="AD17" s="19"/>
      <c r="AE17" s="19"/>
    </row>
    <row r="18" spans="1:31" s="18" customFormat="1" ht="16.5" customHeight="1" x14ac:dyDescent="0.2">
      <c r="A18" s="39">
        <f t="shared" si="5"/>
        <v>15</v>
      </c>
      <c r="B18" s="40" t="s">
        <v>90</v>
      </c>
      <c r="C18" s="41">
        <v>704781707</v>
      </c>
      <c r="D18" s="42">
        <v>31620</v>
      </c>
      <c r="E18" s="40" t="s">
        <v>47</v>
      </c>
      <c r="F18" s="40" t="s">
        <v>387</v>
      </c>
      <c r="G18" s="40" t="s">
        <v>384</v>
      </c>
      <c r="H18" s="39" t="s">
        <v>383</v>
      </c>
      <c r="I18" s="43">
        <v>1040657971</v>
      </c>
      <c r="J18" s="42">
        <v>39873</v>
      </c>
      <c r="K18" s="42"/>
      <c r="L18" s="42">
        <v>39873</v>
      </c>
      <c r="M18" s="44">
        <v>419</v>
      </c>
      <c r="N18" s="40" t="s">
        <v>47</v>
      </c>
      <c r="O18" s="44">
        <v>561</v>
      </c>
      <c r="P18" s="44">
        <v>561</v>
      </c>
      <c r="Q18" s="44">
        <f>P18-M18</f>
        <v>142</v>
      </c>
      <c r="R18" s="29">
        <f t="shared" si="0"/>
        <v>1704</v>
      </c>
      <c r="S18" s="29">
        <f t="shared" si="6"/>
        <v>0</v>
      </c>
      <c r="T18" s="65">
        <f t="shared" ca="1" si="1"/>
        <v>117.81</v>
      </c>
      <c r="U18" s="29">
        <f>$U$3*20*12</f>
        <v>120</v>
      </c>
      <c r="V18" s="29">
        <f>$V$3*20*12</f>
        <v>960</v>
      </c>
      <c r="W18" s="44">
        <f>$W$3*12</f>
        <v>48</v>
      </c>
      <c r="X18" s="29">
        <f t="shared" si="2"/>
        <v>169</v>
      </c>
      <c r="Y18" s="29">
        <f t="shared" ca="1" si="3"/>
        <v>3260.81</v>
      </c>
      <c r="Z18" s="75"/>
      <c r="AA18" s="66">
        <f t="shared" ca="1" si="4"/>
        <v>7</v>
      </c>
      <c r="AB18" s="19"/>
      <c r="AC18" s="19"/>
      <c r="AD18" s="19"/>
      <c r="AE18" s="19"/>
    </row>
    <row r="19" spans="1:31" s="18" customFormat="1" ht="16.5" customHeight="1" x14ac:dyDescent="0.2">
      <c r="A19" s="39">
        <f t="shared" si="5"/>
        <v>16</v>
      </c>
      <c r="B19" s="40" t="s">
        <v>116</v>
      </c>
      <c r="C19" s="41">
        <v>701736654</v>
      </c>
      <c r="D19" s="42">
        <v>23822</v>
      </c>
      <c r="E19" s="40" t="s">
        <v>47</v>
      </c>
      <c r="F19" s="40" t="s">
        <v>389</v>
      </c>
      <c r="G19" s="40" t="s">
        <v>384</v>
      </c>
      <c r="H19" s="39" t="s">
        <v>383</v>
      </c>
      <c r="I19" s="43">
        <v>1010959973</v>
      </c>
      <c r="J19" s="42">
        <v>41730</v>
      </c>
      <c r="K19" s="42"/>
      <c r="L19" s="42">
        <v>41730</v>
      </c>
      <c r="M19" s="44">
        <v>419</v>
      </c>
      <c r="N19" s="40" t="s">
        <v>47</v>
      </c>
      <c r="O19" s="44">
        <v>561</v>
      </c>
      <c r="P19" s="44">
        <v>561</v>
      </c>
      <c r="Q19" s="44">
        <f>P19-M19</f>
        <v>142</v>
      </c>
      <c r="R19" s="29">
        <f t="shared" si="0"/>
        <v>1704</v>
      </c>
      <c r="S19" s="29">
        <f t="shared" si="6"/>
        <v>0</v>
      </c>
      <c r="T19" s="65">
        <f t="shared" ca="1" si="1"/>
        <v>33.660000000000004</v>
      </c>
      <c r="U19" s="29">
        <f>$U$3*20*12</f>
        <v>120</v>
      </c>
      <c r="V19" s="29">
        <f>$V$3*20*12</f>
        <v>960</v>
      </c>
      <c r="W19" s="44">
        <f>$W$3*12</f>
        <v>48</v>
      </c>
      <c r="X19" s="29">
        <f t="shared" si="2"/>
        <v>169</v>
      </c>
      <c r="Y19" s="29">
        <f t="shared" ca="1" si="3"/>
        <v>3176.66</v>
      </c>
      <c r="Z19" s="75"/>
      <c r="AA19" s="66">
        <f t="shared" ca="1" si="4"/>
        <v>2</v>
      </c>
      <c r="AB19" s="19"/>
      <c r="AC19" s="19"/>
      <c r="AD19" s="19"/>
      <c r="AE19" s="19"/>
    </row>
    <row r="20" spans="1:31" s="18" customFormat="1" ht="16.5" customHeight="1" x14ac:dyDescent="0.2">
      <c r="A20" s="39">
        <f t="shared" si="5"/>
        <v>17</v>
      </c>
      <c r="B20" s="40" t="s">
        <v>117</v>
      </c>
      <c r="C20" s="41">
        <v>800857229</v>
      </c>
      <c r="D20" s="42">
        <v>23134</v>
      </c>
      <c r="E20" s="40" t="s">
        <v>47</v>
      </c>
      <c r="F20" s="40" t="s">
        <v>422</v>
      </c>
      <c r="G20" s="40" t="s">
        <v>397</v>
      </c>
      <c r="H20" s="39" t="s">
        <v>383</v>
      </c>
      <c r="I20" s="43">
        <v>1049312308</v>
      </c>
      <c r="J20" s="42">
        <v>36923</v>
      </c>
      <c r="K20" s="42"/>
      <c r="L20" s="42">
        <v>36923</v>
      </c>
      <c r="M20" s="44">
        <v>555</v>
      </c>
      <c r="N20" s="40" t="s">
        <v>47</v>
      </c>
      <c r="O20" s="44">
        <v>561</v>
      </c>
      <c r="P20" s="44">
        <v>561</v>
      </c>
      <c r="Q20" s="44">
        <f>P20-M20</f>
        <v>6</v>
      </c>
      <c r="R20" s="29">
        <f t="shared" si="0"/>
        <v>72</v>
      </c>
      <c r="S20" s="29">
        <f t="shared" si="6"/>
        <v>0</v>
      </c>
      <c r="T20" s="65">
        <f t="shared" ca="1" si="1"/>
        <v>201.96000000000004</v>
      </c>
      <c r="U20" s="29">
        <f>$U$3*20*12</f>
        <v>120</v>
      </c>
      <c r="V20" s="29">
        <f>$V$3*20*12</f>
        <v>960</v>
      </c>
      <c r="W20" s="44">
        <f>$W$3*12</f>
        <v>48</v>
      </c>
      <c r="X20" s="29">
        <f t="shared" si="2"/>
        <v>169</v>
      </c>
      <c r="Y20" s="29">
        <f t="shared" ca="1" si="3"/>
        <v>1576.96</v>
      </c>
      <c r="Z20" s="75"/>
      <c r="AA20" s="66">
        <f t="shared" ca="1" si="4"/>
        <v>12</v>
      </c>
      <c r="AB20" s="19"/>
      <c r="AC20" s="19"/>
      <c r="AD20" s="19"/>
      <c r="AE20" s="19"/>
    </row>
    <row r="21" spans="1:31" s="18" customFormat="1" ht="16.5" customHeight="1" x14ac:dyDescent="0.2">
      <c r="A21" s="39">
        <f t="shared" si="5"/>
        <v>18</v>
      </c>
      <c r="B21" s="40" t="s">
        <v>137</v>
      </c>
      <c r="C21" s="41">
        <v>800624801</v>
      </c>
      <c r="D21" s="42">
        <v>21544</v>
      </c>
      <c r="E21" s="40" t="s">
        <v>47</v>
      </c>
      <c r="F21" s="40" t="s">
        <v>392</v>
      </c>
      <c r="G21" s="40" t="s">
        <v>384</v>
      </c>
      <c r="H21" s="39" t="s">
        <v>383</v>
      </c>
      <c r="I21" s="43">
        <v>1010534530</v>
      </c>
      <c r="J21" s="42">
        <v>39569</v>
      </c>
      <c r="K21" s="42"/>
      <c r="L21" s="42">
        <v>39569</v>
      </c>
      <c r="M21" s="44">
        <v>419</v>
      </c>
      <c r="N21" s="40" t="s">
        <v>47</v>
      </c>
      <c r="O21" s="44">
        <v>561</v>
      </c>
      <c r="P21" s="44">
        <v>561</v>
      </c>
      <c r="Q21" s="44">
        <f>P21-M21</f>
        <v>142</v>
      </c>
      <c r="R21" s="29">
        <f t="shared" si="0"/>
        <v>1704</v>
      </c>
      <c r="S21" s="29">
        <f t="shared" si="6"/>
        <v>43.92</v>
      </c>
      <c r="T21" s="65">
        <f t="shared" ca="1" si="1"/>
        <v>134.64000000000001</v>
      </c>
      <c r="U21" s="29">
        <f>$U$3*20*12</f>
        <v>120</v>
      </c>
      <c r="V21" s="29">
        <f>$V$3*20*12</f>
        <v>960</v>
      </c>
      <c r="W21" s="44">
        <f>$W$3*12</f>
        <v>48</v>
      </c>
      <c r="X21" s="29">
        <f t="shared" si="2"/>
        <v>169</v>
      </c>
      <c r="Y21" s="29">
        <f t="shared" ca="1" si="3"/>
        <v>3321.5600000000004</v>
      </c>
      <c r="Z21" s="75">
        <v>1</v>
      </c>
      <c r="AA21" s="66">
        <f t="shared" ca="1" si="4"/>
        <v>8</v>
      </c>
      <c r="AB21" s="19"/>
      <c r="AC21" s="19"/>
      <c r="AD21" s="19"/>
      <c r="AE21" s="19"/>
    </row>
    <row r="22" spans="1:31" s="18" customFormat="1" ht="16.5" customHeight="1" x14ac:dyDescent="0.2">
      <c r="A22" s="39">
        <f t="shared" si="5"/>
        <v>19</v>
      </c>
      <c r="B22" s="40" t="s">
        <v>140</v>
      </c>
      <c r="C22" s="41">
        <v>706226818</v>
      </c>
      <c r="D22" s="42">
        <v>33012</v>
      </c>
      <c r="E22" s="40" t="s">
        <v>47</v>
      </c>
      <c r="F22" s="40" t="s">
        <v>385</v>
      </c>
      <c r="G22" s="40" t="s">
        <v>418</v>
      </c>
      <c r="H22" s="39" t="s">
        <v>383</v>
      </c>
      <c r="I22" s="43">
        <v>380301008414</v>
      </c>
      <c r="J22" s="42">
        <v>41614</v>
      </c>
      <c r="K22" s="42"/>
      <c r="L22" s="42">
        <v>41614</v>
      </c>
      <c r="M22" s="44">
        <v>419</v>
      </c>
      <c r="N22" s="40" t="s">
        <v>47</v>
      </c>
      <c r="O22" s="44">
        <v>561</v>
      </c>
      <c r="P22" s="44">
        <v>561</v>
      </c>
      <c r="Q22" s="44">
        <f>P22-M22</f>
        <v>142</v>
      </c>
      <c r="R22" s="29">
        <f t="shared" si="0"/>
        <v>1704</v>
      </c>
      <c r="S22" s="29">
        <f t="shared" si="6"/>
        <v>0</v>
      </c>
      <c r="T22" s="65">
        <f t="shared" ca="1" si="1"/>
        <v>50.490000000000009</v>
      </c>
      <c r="U22" s="29">
        <f>$U$3*20*12</f>
        <v>120</v>
      </c>
      <c r="V22" s="29">
        <f>$V$3*20*12</f>
        <v>960</v>
      </c>
      <c r="W22" s="44">
        <f>$W$3*12</f>
        <v>48</v>
      </c>
      <c r="X22" s="29">
        <f t="shared" si="2"/>
        <v>169</v>
      </c>
      <c r="Y22" s="29">
        <f t="shared" ca="1" si="3"/>
        <v>3193.49</v>
      </c>
      <c r="Z22" s="75"/>
      <c r="AA22" s="66">
        <f t="shared" ca="1" si="4"/>
        <v>3</v>
      </c>
      <c r="AB22" s="19"/>
      <c r="AC22" s="19"/>
      <c r="AD22" s="19"/>
      <c r="AE22" s="19"/>
    </row>
    <row r="23" spans="1:31" s="18" customFormat="1" ht="16.5" customHeight="1" x14ac:dyDescent="0.2">
      <c r="A23" s="39">
        <f t="shared" si="5"/>
        <v>20</v>
      </c>
      <c r="B23" s="40" t="s">
        <v>215</v>
      </c>
      <c r="C23" s="41">
        <v>702334590</v>
      </c>
      <c r="D23" s="42">
        <v>24893</v>
      </c>
      <c r="E23" s="40" t="s">
        <v>47</v>
      </c>
      <c r="F23" s="40" t="s">
        <v>389</v>
      </c>
      <c r="G23" s="40" t="s">
        <v>393</v>
      </c>
      <c r="H23" s="39" t="s">
        <v>383</v>
      </c>
      <c r="I23" s="43">
        <v>8147183300</v>
      </c>
      <c r="J23" s="42">
        <v>40269</v>
      </c>
      <c r="K23" s="42"/>
      <c r="L23" s="42">
        <v>40269</v>
      </c>
      <c r="M23" s="44">
        <v>419</v>
      </c>
      <c r="N23" s="40" t="s">
        <v>47</v>
      </c>
      <c r="O23" s="44">
        <v>561</v>
      </c>
      <c r="P23" s="44">
        <v>561</v>
      </c>
      <c r="Q23" s="44">
        <f>P23-M23</f>
        <v>142</v>
      </c>
      <c r="R23" s="29">
        <f t="shared" si="0"/>
        <v>1704</v>
      </c>
      <c r="S23" s="29">
        <f t="shared" si="6"/>
        <v>0</v>
      </c>
      <c r="T23" s="65">
        <f t="shared" ca="1" si="1"/>
        <v>100.98000000000002</v>
      </c>
      <c r="U23" s="29">
        <f>$U$3*20*12</f>
        <v>120</v>
      </c>
      <c r="V23" s="29">
        <f>$V$3*20*12</f>
        <v>960</v>
      </c>
      <c r="W23" s="44">
        <f>$W$3*12</f>
        <v>48</v>
      </c>
      <c r="X23" s="29">
        <f t="shared" si="2"/>
        <v>169</v>
      </c>
      <c r="Y23" s="29">
        <f t="shared" ca="1" si="3"/>
        <v>3243.98</v>
      </c>
      <c r="Z23" s="75"/>
      <c r="AA23" s="66">
        <f t="shared" ca="1" si="4"/>
        <v>6</v>
      </c>
      <c r="AB23" s="19"/>
      <c r="AC23" s="19"/>
      <c r="AD23" s="19"/>
      <c r="AE23" s="19"/>
    </row>
    <row r="24" spans="1:31" s="18" customFormat="1" ht="16.5" customHeight="1" x14ac:dyDescent="0.2">
      <c r="A24" s="39">
        <f t="shared" si="5"/>
        <v>21</v>
      </c>
      <c r="B24" s="40" t="s">
        <v>220</v>
      </c>
      <c r="C24" s="41">
        <v>704925775</v>
      </c>
      <c r="D24" s="42">
        <v>31085</v>
      </c>
      <c r="E24" s="40" t="s">
        <v>47</v>
      </c>
      <c r="F24" s="40" t="s">
        <v>422</v>
      </c>
      <c r="G24" s="40" t="s">
        <v>393</v>
      </c>
      <c r="H24" s="39" t="s">
        <v>383</v>
      </c>
      <c r="I24" s="43">
        <v>8147093200</v>
      </c>
      <c r="J24" s="42">
        <v>39968</v>
      </c>
      <c r="K24" s="42"/>
      <c r="L24" s="42">
        <v>39968</v>
      </c>
      <c r="M24" s="44">
        <v>419</v>
      </c>
      <c r="N24" s="40" t="s">
        <v>47</v>
      </c>
      <c r="O24" s="44">
        <v>561</v>
      </c>
      <c r="P24" s="44">
        <v>561</v>
      </c>
      <c r="Q24" s="44">
        <f>P24-M24</f>
        <v>142</v>
      </c>
      <c r="R24" s="29">
        <f t="shared" si="0"/>
        <v>1704</v>
      </c>
      <c r="S24" s="29">
        <f t="shared" si="6"/>
        <v>0</v>
      </c>
      <c r="T24" s="65">
        <f t="shared" ca="1" si="1"/>
        <v>117.81</v>
      </c>
      <c r="U24" s="29">
        <f>$U$3*20*12</f>
        <v>120</v>
      </c>
      <c r="V24" s="29">
        <f>$V$3*20*12</f>
        <v>960</v>
      </c>
      <c r="W24" s="44">
        <f>$W$3*12</f>
        <v>48</v>
      </c>
      <c r="X24" s="29">
        <f t="shared" si="2"/>
        <v>169</v>
      </c>
      <c r="Y24" s="29">
        <f t="shared" ca="1" si="3"/>
        <v>3260.81</v>
      </c>
      <c r="Z24" s="75"/>
      <c r="AA24" s="66">
        <f t="shared" ca="1" si="4"/>
        <v>7</v>
      </c>
      <c r="AB24" s="19"/>
      <c r="AC24" s="19"/>
      <c r="AD24" s="19"/>
      <c r="AE24" s="19"/>
    </row>
    <row r="25" spans="1:31" s="18" customFormat="1" ht="16.5" customHeight="1" x14ac:dyDescent="0.2">
      <c r="A25" s="39">
        <f t="shared" si="5"/>
        <v>22</v>
      </c>
      <c r="B25" s="40" t="s">
        <v>283</v>
      </c>
      <c r="C25" s="41">
        <v>701116386</v>
      </c>
      <c r="D25" s="42">
        <v>22267</v>
      </c>
      <c r="E25" s="40" t="s">
        <v>47</v>
      </c>
      <c r="F25" s="40" t="s">
        <v>389</v>
      </c>
      <c r="G25" s="40" t="s">
        <v>384</v>
      </c>
      <c r="H25" s="39" t="s">
        <v>383</v>
      </c>
      <c r="I25" s="43">
        <v>1010730232</v>
      </c>
      <c r="J25" s="42">
        <v>39569</v>
      </c>
      <c r="K25" s="42"/>
      <c r="L25" s="42">
        <v>39569</v>
      </c>
      <c r="M25" s="44">
        <v>419</v>
      </c>
      <c r="N25" s="40" t="s">
        <v>47</v>
      </c>
      <c r="O25" s="44">
        <v>561</v>
      </c>
      <c r="P25" s="44">
        <v>561</v>
      </c>
      <c r="Q25" s="44">
        <f>P25-M25</f>
        <v>142</v>
      </c>
      <c r="R25" s="29">
        <f t="shared" si="0"/>
        <v>1704</v>
      </c>
      <c r="S25" s="29">
        <f t="shared" si="6"/>
        <v>43.92</v>
      </c>
      <c r="T25" s="65">
        <f t="shared" ca="1" si="1"/>
        <v>134.64000000000001</v>
      </c>
      <c r="U25" s="29">
        <f>$U$3*20*12</f>
        <v>120</v>
      </c>
      <c r="V25" s="29">
        <f>$V$3*20*12</f>
        <v>960</v>
      </c>
      <c r="W25" s="44">
        <f>$W$3*12</f>
        <v>48</v>
      </c>
      <c r="X25" s="29">
        <f t="shared" si="2"/>
        <v>169</v>
      </c>
      <c r="Y25" s="29">
        <f t="shared" ca="1" si="3"/>
        <v>3321.5600000000004</v>
      </c>
      <c r="Z25" s="75">
        <v>1</v>
      </c>
      <c r="AA25" s="66">
        <f t="shared" ca="1" si="4"/>
        <v>8</v>
      </c>
      <c r="AB25" s="19"/>
      <c r="AC25" s="19"/>
      <c r="AD25" s="19"/>
      <c r="AE25" s="19"/>
    </row>
    <row r="26" spans="1:31" s="18" customFormat="1" ht="16.5" customHeight="1" x14ac:dyDescent="0.2">
      <c r="A26" s="39">
        <f t="shared" si="5"/>
        <v>23</v>
      </c>
      <c r="B26" s="40" t="s">
        <v>353</v>
      </c>
      <c r="C26" s="41">
        <v>705239762</v>
      </c>
      <c r="D26" s="42">
        <v>32255</v>
      </c>
      <c r="E26" s="40" t="s">
        <v>47</v>
      </c>
      <c r="F26" s="40" t="s">
        <v>392</v>
      </c>
      <c r="G26" s="40" t="s">
        <v>386</v>
      </c>
      <c r="H26" s="39" t="s">
        <v>383</v>
      </c>
      <c r="I26" s="43">
        <v>2201188728</v>
      </c>
      <c r="J26" s="42">
        <v>42044</v>
      </c>
      <c r="K26" s="42"/>
      <c r="L26" s="42">
        <v>42044</v>
      </c>
      <c r="M26" s="44">
        <v>419</v>
      </c>
      <c r="N26" s="40" t="s">
        <v>47</v>
      </c>
      <c r="O26" s="44">
        <v>561</v>
      </c>
      <c r="P26" s="44">
        <v>561</v>
      </c>
      <c r="Q26" s="44">
        <f>P26-M26</f>
        <v>142</v>
      </c>
      <c r="R26" s="29">
        <f t="shared" si="0"/>
        <v>1704</v>
      </c>
      <c r="S26" s="29">
        <f t="shared" si="6"/>
        <v>0</v>
      </c>
      <c r="T26" s="65">
        <f t="shared" ca="1" si="1"/>
        <v>16.830000000000002</v>
      </c>
      <c r="U26" s="29">
        <f>$U$3*20*12</f>
        <v>120</v>
      </c>
      <c r="V26" s="29">
        <f>$V$3*20*12</f>
        <v>960</v>
      </c>
      <c r="W26" s="44">
        <f>$W$3*12</f>
        <v>48</v>
      </c>
      <c r="X26" s="29">
        <f t="shared" si="2"/>
        <v>169</v>
      </c>
      <c r="Y26" s="29">
        <f t="shared" ca="1" si="3"/>
        <v>3159.83</v>
      </c>
      <c r="Z26" s="75"/>
      <c r="AA26" s="66">
        <f t="shared" ca="1" si="4"/>
        <v>1</v>
      </c>
      <c r="AB26" s="19"/>
      <c r="AC26" s="19"/>
      <c r="AD26" s="19"/>
      <c r="AE26" s="19"/>
    </row>
    <row r="27" spans="1:31" s="18" customFormat="1" ht="16.5" customHeight="1" x14ac:dyDescent="0.2">
      <c r="A27" s="45">
        <f t="shared" si="5"/>
        <v>24</v>
      </c>
      <c r="B27" s="46" t="s">
        <v>1</v>
      </c>
      <c r="C27" s="47">
        <v>704446715</v>
      </c>
      <c r="D27" s="48">
        <v>29957</v>
      </c>
      <c r="E27" s="46" t="s">
        <v>2</v>
      </c>
      <c r="F27" s="46" t="s">
        <v>385</v>
      </c>
      <c r="G27" s="46" t="s">
        <v>417</v>
      </c>
      <c r="H27" s="45" t="s">
        <v>383</v>
      </c>
      <c r="I27" s="49">
        <v>406033856004</v>
      </c>
      <c r="J27" s="48">
        <v>40273</v>
      </c>
      <c r="K27" s="48"/>
      <c r="L27" s="48">
        <v>41061</v>
      </c>
      <c r="M27" s="50">
        <v>419</v>
      </c>
      <c r="N27" s="46" t="s">
        <v>438</v>
      </c>
      <c r="O27" s="50">
        <v>561</v>
      </c>
      <c r="P27" s="50">
        <v>561</v>
      </c>
      <c r="Q27" s="50">
        <v>561</v>
      </c>
      <c r="R27" s="50">
        <f t="shared" si="0"/>
        <v>6732</v>
      </c>
      <c r="S27" s="50">
        <f t="shared" si="6"/>
        <v>0</v>
      </c>
      <c r="T27" s="76">
        <f t="shared" ca="1" si="1"/>
        <v>67.320000000000007</v>
      </c>
      <c r="U27" s="50">
        <f>$U$3*20*12</f>
        <v>120</v>
      </c>
      <c r="V27" s="50">
        <f>$V$3*20*12</f>
        <v>960</v>
      </c>
      <c r="W27" s="50">
        <f>$W$3*12</f>
        <v>48</v>
      </c>
      <c r="X27" s="50">
        <f t="shared" si="2"/>
        <v>169</v>
      </c>
      <c r="Y27" s="50">
        <f t="shared" ca="1" si="3"/>
        <v>8657.32</v>
      </c>
      <c r="Z27" s="77"/>
      <c r="AA27" s="66">
        <f t="shared" ca="1" si="4"/>
        <v>4</v>
      </c>
      <c r="AB27" s="19"/>
      <c r="AC27" s="19"/>
      <c r="AD27" s="19"/>
      <c r="AE27" s="19"/>
    </row>
    <row r="28" spans="1:31" s="18" customFormat="1" ht="16.5" customHeight="1" x14ac:dyDescent="0.2">
      <c r="A28" s="45">
        <f t="shared" si="5"/>
        <v>25</v>
      </c>
      <c r="B28" s="46" t="s">
        <v>77</v>
      </c>
      <c r="C28" s="47">
        <v>703643049</v>
      </c>
      <c r="D28" s="48">
        <v>28325</v>
      </c>
      <c r="E28" s="46" t="s">
        <v>2</v>
      </c>
      <c r="F28" s="46" t="s">
        <v>385</v>
      </c>
      <c r="G28" s="46" t="s">
        <v>384</v>
      </c>
      <c r="H28" s="45" t="s">
        <v>383</v>
      </c>
      <c r="I28" s="49">
        <v>1010408403</v>
      </c>
      <c r="J28" s="48">
        <v>39569</v>
      </c>
      <c r="K28" s="48"/>
      <c r="L28" s="48">
        <v>40486</v>
      </c>
      <c r="M28" s="50">
        <v>419</v>
      </c>
      <c r="N28" s="46" t="s">
        <v>438</v>
      </c>
      <c r="O28" s="50">
        <v>561</v>
      </c>
      <c r="P28" s="50">
        <v>561</v>
      </c>
      <c r="Q28" s="50">
        <f>P28-M28</f>
        <v>142</v>
      </c>
      <c r="R28" s="50">
        <f t="shared" si="0"/>
        <v>1704</v>
      </c>
      <c r="S28" s="50">
        <f t="shared" si="6"/>
        <v>175.68</v>
      </c>
      <c r="T28" s="76">
        <f t="shared" ca="1" si="1"/>
        <v>100.98000000000002</v>
      </c>
      <c r="U28" s="50">
        <f>$U$3*20*12</f>
        <v>120</v>
      </c>
      <c r="V28" s="50">
        <f>$V$3*20*12</f>
        <v>960</v>
      </c>
      <c r="W28" s="50">
        <f>$W$3*12</f>
        <v>48</v>
      </c>
      <c r="X28" s="50">
        <f t="shared" si="2"/>
        <v>169</v>
      </c>
      <c r="Y28" s="50">
        <f t="shared" ca="1" si="3"/>
        <v>3419.66</v>
      </c>
      <c r="Z28" s="77">
        <v>4</v>
      </c>
      <c r="AA28" s="66">
        <f t="shared" ca="1" si="4"/>
        <v>6</v>
      </c>
      <c r="AB28" s="19"/>
      <c r="AC28" s="19"/>
      <c r="AD28" s="19"/>
      <c r="AE28" s="19"/>
    </row>
    <row r="29" spans="1:31" s="18" customFormat="1" ht="16.5" customHeight="1" x14ac:dyDescent="0.2">
      <c r="A29" s="45">
        <f t="shared" si="5"/>
        <v>26</v>
      </c>
      <c r="B29" s="46" t="s">
        <v>154</v>
      </c>
      <c r="C29" s="47">
        <v>1101909693</v>
      </c>
      <c r="D29" s="48">
        <v>20986</v>
      </c>
      <c r="E29" s="46" t="s">
        <v>2</v>
      </c>
      <c r="F29" s="46" t="s">
        <v>385</v>
      </c>
      <c r="G29" s="46" t="s">
        <v>384</v>
      </c>
      <c r="H29" s="45" t="s">
        <v>383</v>
      </c>
      <c r="I29" s="49">
        <v>1010176421</v>
      </c>
      <c r="J29" s="48">
        <v>30333</v>
      </c>
      <c r="K29" s="48"/>
      <c r="L29" s="48">
        <v>30333</v>
      </c>
      <c r="M29" s="50">
        <v>571.02</v>
      </c>
      <c r="N29" s="46" t="s">
        <v>438</v>
      </c>
      <c r="O29" s="50">
        <v>561</v>
      </c>
      <c r="P29" s="50">
        <v>571.02</v>
      </c>
      <c r="Q29" s="50">
        <f>P29-M29</f>
        <v>0</v>
      </c>
      <c r="R29" s="50">
        <f t="shared" si="0"/>
        <v>0</v>
      </c>
      <c r="S29" s="50">
        <f t="shared" si="6"/>
        <v>43.92</v>
      </c>
      <c r="T29" s="76">
        <f t="shared" ca="1" si="1"/>
        <v>205.56719999999996</v>
      </c>
      <c r="U29" s="50">
        <f>$U$3*20*12</f>
        <v>120</v>
      </c>
      <c r="V29" s="50">
        <f>$V$3*20*12</f>
        <v>960</v>
      </c>
      <c r="W29" s="50">
        <f>$W$3*12</f>
        <v>48</v>
      </c>
      <c r="X29" s="50">
        <f t="shared" si="2"/>
        <v>169</v>
      </c>
      <c r="Y29" s="50">
        <f t="shared" ca="1" si="3"/>
        <v>1546.4872</v>
      </c>
      <c r="Z29" s="77">
        <v>1</v>
      </c>
      <c r="AA29" s="66">
        <f t="shared" ca="1" si="4"/>
        <v>12</v>
      </c>
      <c r="AB29" s="19"/>
      <c r="AC29" s="19"/>
      <c r="AD29" s="19"/>
      <c r="AE29" s="19"/>
    </row>
    <row r="30" spans="1:31" s="18" customFormat="1" ht="16.5" customHeight="1" x14ac:dyDescent="0.2">
      <c r="A30" s="45">
        <f t="shared" si="5"/>
        <v>27</v>
      </c>
      <c r="B30" s="46" t="s">
        <v>368</v>
      </c>
      <c r="C30" s="47">
        <v>701010092</v>
      </c>
      <c r="D30" s="48">
        <v>20210</v>
      </c>
      <c r="E30" s="46" t="s">
        <v>2</v>
      </c>
      <c r="F30" s="46" t="s">
        <v>385</v>
      </c>
      <c r="G30" s="46" t="s">
        <v>417</v>
      </c>
      <c r="H30" s="45" t="s">
        <v>383</v>
      </c>
      <c r="I30" s="49">
        <v>406064786608</v>
      </c>
      <c r="J30" s="48">
        <v>32143</v>
      </c>
      <c r="K30" s="48"/>
      <c r="L30" s="48">
        <v>32143</v>
      </c>
      <c r="M30" s="50">
        <v>523.44000000000005</v>
      </c>
      <c r="N30" s="46" t="s">
        <v>438</v>
      </c>
      <c r="O30" s="50">
        <v>561</v>
      </c>
      <c r="P30" s="50">
        <v>561</v>
      </c>
      <c r="Q30" s="50">
        <f>P30-M30</f>
        <v>37.559999999999945</v>
      </c>
      <c r="R30" s="50">
        <f t="shared" si="0"/>
        <v>450.71999999999935</v>
      </c>
      <c r="S30" s="50">
        <f t="shared" si="6"/>
        <v>0</v>
      </c>
      <c r="T30" s="76">
        <f t="shared" ca="1" si="1"/>
        <v>201.96000000000004</v>
      </c>
      <c r="U30" s="50">
        <f>$U$3*20*12</f>
        <v>120</v>
      </c>
      <c r="V30" s="50">
        <f>$V$3*20*12</f>
        <v>960</v>
      </c>
      <c r="W30" s="50">
        <f>$W$3*12</f>
        <v>48</v>
      </c>
      <c r="X30" s="50">
        <f t="shared" si="2"/>
        <v>169</v>
      </c>
      <c r="Y30" s="50">
        <f t="shared" ca="1" si="3"/>
        <v>1987.2399999999993</v>
      </c>
      <c r="Z30" s="77"/>
      <c r="AA30" s="66">
        <f t="shared" ca="1" si="4"/>
        <v>12</v>
      </c>
      <c r="AB30" s="19"/>
      <c r="AC30" s="19"/>
      <c r="AD30" s="19"/>
      <c r="AE30" s="19"/>
    </row>
    <row r="31" spans="1:31" s="18" customFormat="1" ht="16.5" customHeight="1" x14ac:dyDescent="0.2">
      <c r="A31" s="45">
        <f t="shared" si="5"/>
        <v>28</v>
      </c>
      <c r="B31" s="46" t="s">
        <v>308</v>
      </c>
      <c r="C31" s="47">
        <v>705867729</v>
      </c>
      <c r="D31" s="48">
        <v>32894</v>
      </c>
      <c r="E31" s="46" t="s">
        <v>202</v>
      </c>
      <c r="F31" s="46" t="s">
        <v>389</v>
      </c>
      <c r="G31" s="46" t="s">
        <v>397</v>
      </c>
      <c r="H31" s="45" t="s">
        <v>383</v>
      </c>
      <c r="I31" s="49">
        <v>1050419487</v>
      </c>
      <c r="J31" s="48">
        <v>40544</v>
      </c>
      <c r="K31" s="48"/>
      <c r="L31" s="48">
        <v>40544</v>
      </c>
      <c r="M31" s="50">
        <v>561</v>
      </c>
      <c r="N31" s="46" t="s">
        <v>202</v>
      </c>
      <c r="O31" s="50">
        <v>561</v>
      </c>
      <c r="P31" s="50">
        <v>561</v>
      </c>
      <c r="Q31" s="50">
        <f>P31-M31</f>
        <v>0</v>
      </c>
      <c r="R31" s="50">
        <f t="shared" si="0"/>
        <v>0</v>
      </c>
      <c r="S31" s="50">
        <f t="shared" si="6"/>
        <v>0</v>
      </c>
      <c r="T31" s="76">
        <f t="shared" ca="1" si="1"/>
        <v>84.15</v>
      </c>
      <c r="U31" s="50">
        <f>$U$3*20*12</f>
        <v>120</v>
      </c>
      <c r="V31" s="50">
        <f>$V$3*20*12</f>
        <v>960</v>
      </c>
      <c r="W31" s="50">
        <f>$W$3*12</f>
        <v>48</v>
      </c>
      <c r="X31" s="50">
        <f t="shared" si="2"/>
        <v>169</v>
      </c>
      <c r="Y31" s="50">
        <f t="shared" ca="1" si="3"/>
        <v>1381.15</v>
      </c>
      <c r="Z31" s="77"/>
      <c r="AA31" s="66">
        <f t="shared" ca="1" si="4"/>
        <v>5</v>
      </c>
      <c r="AB31" s="19"/>
      <c r="AC31" s="19"/>
      <c r="AD31" s="19"/>
      <c r="AE31" s="19"/>
    </row>
    <row r="32" spans="1:31" s="18" customFormat="1" ht="16.5" customHeight="1" x14ac:dyDescent="0.2">
      <c r="A32" s="45">
        <f t="shared" si="5"/>
        <v>29</v>
      </c>
      <c r="B32" s="46" t="s">
        <v>328</v>
      </c>
      <c r="C32" s="47">
        <v>705283778</v>
      </c>
      <c r="D32" s="48">
        <v>31874</v>
      </c>
      <c r="E32" s="46" t="s">
        <v>329</v>
      </c>
      <c r="F32" s="46" t="s">
        <v>385</v>
      </c>
      <c r="G32" s="46" t="s">
        <v>417</v>
      </c>
      <c r="H32" s="45" t="s">
        <v>383</v>
      </c>
      <c r="I32" s="49">
        <v>406042943300</v>
      </c>
      <c r="J32" s="48">
        <v>41367</v>
      </c>
      <c r="K32" s="48"/>
      <c r="L32" s="48">
        <v>41367</v>
      </c>
      <c r="M32" s="50">
        <v>419</v>
      </c>
      <c r="N32" s="46" t="s">
        <v>439</v>
      </c>
      <c r="O32" s="50">
        <v>561</v>
      </c>
      <c r="P32" s="50">
        <v>561</v>
      </c>
      <c r="Q32" s="50">
        <f>P32-M32</f>
        <v>142</v>
      </c>
      <c r="R32" s="50">
        <f t="shared" si="0"/>
        <v>1704</v>
      </c>
      <c r="S32" s="50">
        <f t="shared" si="6"/>
        <v>0</v>
      </c>
      <c r="T32" s="76">
        <f t="shared" ca="1" si="1"/>
        <v>50.490000000000009</v>
      </c>
      <c r="U32" s="50">
        <f>$U$3*20*12</f>
        <v>120</v>
      </c>
      <c r="V32" s="50">
        <f>$V$3*20*12</f>
        <v>960</v>
      </c>
      <c r="W32" s="50">
        <f>$W$3*12</f>
        <v>48</v>
      </c>
      <c r="X32" s="50">
        <f t="shared" si="2"/>
        <v>169</v>
      </c>
      <c r="Y32" s="50">
        <f t="shared" ca="1" si="3"/>
        <v>3193.49</v>
      </c>
      <c r="Z32" s="77"/>
      <c r="AA32" s="66">
        <f t="shared" ca="1" si="4"/>
        <v>3</v>
      </c>
      <c r="AB32" s="19"/>
      <c r="AC32" s="19"/>
      <c r="AD32" s="19"/>
      <c r="AE32" s="19"/>
    </row>
    <row r="33" spans="1:31 16376:16376" s="18" customFormat="1" ht="16.5" customHeight="1" x14ac:dyDescent="0.2">
      <c r="A33" s="45">
        <f t="shared" si="5"/>
        <v>30</v>
      </c>
      <c r="B33" s="46" t="s">
        <v>30</v>
      </c>
      <c r="C33" s="47">
        <v>701815565</v>
      </c>
      <c r="D33" s="48">
        <v>22300</v>
      </c>
      <c r="E33" s="46" t="s">
        <v>31</v>
      </c>
      <c r="F33" s="46" t="s">
        <v>385</v>
      </c>
      <c r="G33" s="46" t="s">
        <v>384</v>
      </c>
      <c r="H33" s="45" t="s">
        <v>383</v>
      </c>
      <c r="I33" s="49">
        <v>1010667905</v>
      </c>
      <c r="J33" s="48">
        <v>39569</v>
      </c>
      <c r="K33" s="48"/>
      <c r="L33" s="48">
        <v>39569</v>
      </c>
      <c r="M33" s="50">
        <v>419</v>
      </c>
      <c r="N33" s="46" t="s">
        <v>437</v>
      </c>
      <c r="O33" s="50">
        <v>561</v>
      </c>
      <c r="P33" s="50">
        <v>561</v>
      </c>
      <c r="Q33" s="50">
        <f>P33-M33</f>
        <v>142</v>
      </c>
      <c r="R33" s="50">
        <f t="shared" si="0"/>
        <v>1704</v>
      </c>
      <c r="S33" s="50">
        <f t="shared" si="6"/>
        <v>0</v>
      </c>
      <c r="T33" s="76">
        <f t="shared" ca="1" si="1"/>
        <v>134.64000000000001</v>
      </c>
      <c r="U33" s="50">
        <f>$U$3*20*12</f>
        <v>120</v>
      </c>
      <c r="V33" s="50">
        <f>$V$3*20*12</f>
        <v>960</v>
      </c>
      <c r="W33" s="50">
        <f>$W$3*12</f>
        <v>48</v>
      </c>
      <c r="X33" s="50">
        <f t="shared" si="2"/>
        <v>169</v>
      </c>
      <c r="Y33" s="50">
        <f t="shared" ca="1" si="3"/>
        <v>3277.6400000000003</v>
      </c>
      <c r="Z33" s="77"/>
      <c r="AA33" s="66">
        <f t="shared" ca="1" si="4"/>
        <v>8</v>
      </c>
      <c r="AB33" s="19"/>
      <c r="AC33" s="19"/>
      <c r="AD33" s="19"/>
      <c r="AE33" s="19"/>
    </row>
    <row r="34" spans="1:31 16376:16376" s="18" customFormat="1" ht="16.5" customHeight="1" x14ac:dyDescent="0.2">
      <c r="A34" s="45">
        <f t="shared" si="5"/>
        <v>31</v>
      </c>
      <c r="B34" s="46" t="s">
        <v>225</v>
      </c>
      <c r="C34" s="46">
        <v>702544289</v>
      </c>
      <c r="D34" s="50">
        <v>26493</v>
      </c>
      <c r="E34" s="46" t="s">
        <v>31</v>
      </c>
      <c r="F34" s="46" t="s">
        <v>385</v>
      </c>
      <c r="G34" s="50" t="s">
        <v>384</v>
      </c>
      <c r="H34" s="63" t="s">
        <v>383</v>
      </c>
      <c r="I34" s="51">
        <v>1010810309</v>
      </c>
      <c r="J34" s="46">
        <v>40273</v>
      </c>
      <c r="K34" s="46"/>
      <c r="L34" s="46">
        <v>41061</v>
      </c>
      <c r="M34" s="50">
        <v>419</v>
      </c>
      <c r="N34" s="46" t="s">
        <v>437</v>
      </c>
      <c r="O34" s="50">
        <v>561</v>
      </c>
      <c r="P34" s="50">
        <v>561</v>
      </c>
      <c r="Q34" s="50">
        <f>P34-M34</f>
        <v>142</v>
      </c>
      <c r="R34" s="50">
        <f t="shared" si="0"/>
        <v>1704</v>
      </c>
      <c r="S34" s="50">
        <f t="shared" si="6"/>
        <v>0</v>
      </c>
      <c r="T34" s="76">
        <f t="shared" ca="1" si="1"/>
        <v>67.320000000000007</v>
      </c>
      <c r="U34" s="50">
        <f>$U$3*20*12</f>
        <v>120</v>
      </c>
      <c r="V34" s="50">
        <f>$V$3*20*12</f>
        <v>960</v>
      </c>
      <c r="W34" s="50">
        <f>$W$3*12</f>
        <v>48</v>
      </c>
      <c r="X34" s="50">
        <f t="shared" si="2"/>
        <v>169</v>
      </c>
      <c r="Y34" s="50">
        <f t="shared" ca="1" si="3"/>
        <v>3210.3199999999997</v>
      </c>
      <c r="Z34" s="77"/>
      <c r="AA34" s="66">
        <f t="shared" ca="1" si="4"/>
        <v>4</v>
      </c>
      <c r="AB34" s="19"/>
      <c r="AC34" s="19"/>
      <c r="AD34" s="19"/>
      <c r="AE34" s="19"/>
    </row>
    <row r="35" spans="1:31 16376:16376" s="18" customFormat="1" ht="16.5" customHeight="1" x14ac:dyDescent="0.2">
      <c r="A35" s="45">
        <f t="shared" si="5"/>
        <v>32</v>
      </c>
      <c r="B35" s="46" t="s">
        <v>237</v>
      </c>
      <c r="C35" s="46">
        <v>702228008</v>
      </c>
      <c r="D35" s="46">
        <v>24582</v>
      </c>
      <c r="E35" s="46" t="s">
        <v>31</v>
      </c>
      <c r="F35" s="46" t="s">
        <v>385</v>
      </c>
      <c r="G35" s="46" t="s">
        <v>384</v>
      </c>
      <c r="H35" s="45" t="s">
        <v>383</v>
      </c>
      <c r="I35" s="49">
        <v>1010810023</v>
      </c>
      <c r="J35" s="46">
        <v>40273</v>
      </c>
      <c r="K35" s="46"/>
      <c r="L35" s="46">
        <v>41061</v>
      </c>
      <c r="M35" s="50">
        <v>419</v>
      </c>
      <c r="N35" s="46" t="s">
        <v>437</v>
      </c>
      <c r="O35" s="50">
        <v>561</v>
      </c>
      <c r="P35" s="50">
        <v>561</v>
      </c>
      <c r="Q35" s="50">
        <f>P35-M35</f>
        <v>142</v>
      </c>
      <c r="R35" s="50">
        <f t="shared" si="0"/>
        <v>1704</v>
      </c>
      <c r="S35" s="50">
        <f t="shared" si="6"/>
        <v>0</v>
      </c>
      <c r="T35" s="76">
        <f t="shared" ca="1" si="1"/>
        <v>67.320000000000007</v>
      </c>
      <c r="U35" s="50">
        <f>$U$3*20*12</f>
        <v>120</v>
      </c>
      <c r="V35" s="50">
        <f>$V$3*20*12</f>
        <v>960</v>
      </c>
      <c r="W35" s="50">
        <f>$W$3*12</f>
        <v>48</v>
      </c>
      <c r="X35" s="50">
        <f t="shared" si="2"/>
        <v>169</v>
      </c>
      <c r="Y35" s="50">
        <f t="shared" ca="1" si="3"/>
        <v>3210.3199999999997</v>
      </c>
      <c r="Z35" s="77"/>
      <c r="AA35" s="66">
        <f t="shared" ca="1" si="4"/>
        <v>4</v>
      </c>
      <c r="AB35" s="19"/>
      <c r="AC35" s="19"/>
      <c r="AD35" s="19"/>
      <c r="AE35" s="19"/>
    </row>
    <row r="36" spans="1:31 16376:16376" s="18" customFormat="1" ht="16.5" customHeight="1" x14ac:dyDescent="0.2">
      <c r="A36" s="45">
        <f t="shared" si="5"/>
        <v>33</v>
      </c>
      <c r="B36" s="46" t="s">
        <v>251</v>
      </c>
      <c r="C36" s="46">
        <v>702452210</v>
      </c>
      <c r="D36" s="46">
        <v>26207</v>
      </c>
      <c r="E36" s="46" t="s">
        <v>31</v>
      </c>
      <c r="F36" s="46" t="s">
        <v>395</v>
      </c>
      <c r="G36" s="46" t="s">
        <v>393</v>
      </c>
      <c r="H36" s="45" t="s">
        <v>383</v>
      </c>
      <c r="I36" s="49">
        <v>8213809500</v>
      </c>
      <c r="J36" s="46">
        <v>40183</v>
      </c>
      <c r="K36" s="46"/>
      <c r="L36" s="46">
        <v>40183</v>
      </c>
      <c r="M36" s="50">
        <v>419</v>
      </c>
      <c r="N36" s="46" t="s">
        <v>437</v>
      </c>
      <c r="O36" s="50">
        <v>561</v>
      </c>
      <c r="P36" s="50">
        <v>561</v>
      </c>
      <c r="Q36" s="50">
        <f>P36-M36</f>
        <v>142</v>
      </c>
      <c r="R36" s="50">
        <f t="shared" si="0"/>
        <v>1704</v>
      </c>
      <c r="S36" s="50">
        <f t="shared" si="6"/>
        <v>87.84</v>
      </c>
      <c r="T36" s="76">
        <f t="shared" ca="1" si="1"/>
        <v>100.98000000000002</v>
      </c>
      <c r="U36" s="50">
        <f>$U$3*20*12</f>
        <v>120</v>
      </c>
      <c r="V36" s="50">
        <f>$V$3*20*12</f>
        <v>960</v>
      </c>
      <c r="W36" s="50">
        <f>$W$3*12</f>
        <v>48</v>
      </c>
      <c r="X36" s="50">
        <f t="shared" si="2"/>
        <v>169</v>
      </c>
      <c r="Y36" s="50">
        <f t="shared" ca="1" si="3"/>
        <v>3331.8199999999997</v>
      </c>
      <c r="Z36" s="77">
        <v>2</v>
      </c>
      <c r="AA36" s="66">
        <f t="shared" ca="1" si="4"/>
        <v>6</v>
      </c>
      <c r="AB36" s="19"/>
      <c r="AC36" s="19"/>
      <c r="AD36" s="19"/>
      <c r="AE36" s="19"/>
    </row>
    <row r="37" spans="1:31 16376:16376" s="18" customFormat="1" ht="16.5" customHeight="1" x14ac:dyDescent="0.2">
      <c r="A37" s="45">
        <f t="shared" si="5"/>
        <v>34</v>
      </c>
      <c r="B37" s="46" t="s">
        <v>286</v>
      </c>
      <c r="C37" s="46">
        <v>703057398</v>
      </c>
      <c r="D37" s="46">
        <v>27032</v>
      </c>
      <c r="E37" s="46" t="s">
        <v>31</v>
      </c>
      <c r="F37" s="46" t="s">
        <v>385</v>
      </c>
      <c r="G37" s="46" t="s">
        <v>384</v>
      </c>
      <c r="H37" s="45" t="s">
        <v>383</v>
      </c>
      <c r="I37" s="49">
        <v>1040555567</v>
      </c>
      <c r="J37" s="46">
        <v>39569</v>
      </c>
      <c r="K37" s="46"/>
      <c r="L37" s="46">
        <v>39569</v>
      </c>
      <c r="M37" s="50">
        <v>419</v>
      </c>
      <c r="N37" s="46" t="s">
        <v>437</v>
      </c>
      <c r="O37" s="50">
        <v>561</v>
      </c>
      <c r="P37" s="50">
        <v>561</v>
      </c>
      <c r="Q37" s="50">
        <f>P37-M37</f>
        <v>142</v>
      </c>
      <c r="R37" s="50">
        <f t="shared" si="0"/>
        <v>1704</v>
      </c>
      <c r="S37" s="50">
        <f t="shared" si="6"/>
        <v>87.84</v>
      </c>
      <c r="T37" s="76">
        <f t="shared" ca="1" si="1"/>
        <v>134.64000000000001</v>
      </c>
      <c r="U37" s="50">
        <f>$U$3*20*12</f>
        <v>120</v>
      </c>
      <c r="V37" s="50">
        <f>$V$3*20*12</f>
        <v>960</v>
      </c>
      <c r="W37" s="50">
        <f>$W$3*12</f>
        <v>48</v>
      </c>
      <c r="X37" s="50">
        <f t="shared" si="2"/>
        <v>169</v>
      </c>
      <c r="Y37" s="50">
        <f t="shared" ca="1" si="3"/>
        <v>3365.48</v>
      </c>
      <c r="Z37" s="77">
        <v>2</v>
      </c>
      <c r="AA37" s="66">
        <f t="shared" ca="1" si="4"/>
        <v>8</v>
      </c>
      <c r="AB37" s="19"/>
      <c r="AC37" s="19"/>
      <c r="AD37" s="19"/>
      <c r="AE37" s="19"/>
    </row>
    <row r="38" spans="1:31 16376:16376" s="18" customFormat="1" ht="16.5" customHeight="1" x14ac:dyDescent="0.2">
      <c r="A38" s="45">
        <f t="shared" si="5"/>
        <v>35</v>
      </c>
      <c r="B38" s="46" t="s">
        <v>312</v>
      </c>
      <c r="C38" s="46">
        <v>705137883</v>
      </c>
      <c r="D38" s="46">
        <v>31566</v>
      </c>
      <c r="E38" s="46" t="s">
        <v>31</v>
      </c>
      <c r="F38" s="46" t="s">
        <v>385</v>
      </c>
      <c r="G38" s="46" t="s">
        <v>384</v>
      </c>
      <c r="H38" s="45" t="s">
        <v>383</v>
      </c>
      <c r="I38" s="49">
        <v>1010810155</v>
      </c>
      <c r="J38" s="46">
        <v>40273</v>
      </c>
      <c r="K38" s="46"/>
      <c r="L38" s="46">
        <v>40330</v>
      </c>
      <c r="M38" s="50">
        <v>419</v>
      </c>
      <c r="N38" s="46" t="s">
        <v>437</v>
      </c>
      <c r="O38" s="50">
        <v>561</v>
      </c>
      <c r="P38" s="50">
        <v>561</v>
      </c>
      <c r="Q38" s="50">
        <f>P38-M38</f>
        <v>142</v>
      </c>
      <c r="R38" s="50">
        <f t="shared" si="0"/>
        <v>1704</v>
      </c>
      <c r="S38" s="50">
        <f t="shared" si="6"/>
        <v>43.92</v>
      </c>
      <c r="T38" s="76">
        <f t="shared" ca="1" si="1"/>
        <v>100.98000000000002</v>
      </c>
      <c r="U38" s="50">
        <f>$U$3*20*12</f>
        <v>120</v>
      </c>
      <c r="V38" s="50">
        <f>$V$3*20*12</f>
        <v>960</v>
      </c>
      <c r="W38" s="50">
        <f>$W$3*12</f>
        <v>48</v>
      </c>
      <c r="X38" s="50">
        <f t="shared" si="2"/>
        <v>169</v>
      </c>
      <c r="Y38" s="50">
        <f t="shared" ca="1" si="3"/>
        <v>3287.9</v>
      </c>
      <c r="Z38" s="77">
        <v>1</v>
      </c>
      <c r="AA38" s="66">
        <f t="shared" ca="1" si="4"/>
        <v>6</v>
      </c>
      <c r="AB38" s="19"/>
      <c r="AC38" s="19"/>
      <c r="AD38" s="19"/>
      <c r="AE38" s="19"/>
    </row>
    <row r="39" spans="1:31 16376:16376" s="18" customFormat="1" ht="16.5" customHeight="1" x14ac:dyDescent="0.2">
      <c r="A39" s="45">
        <f t="shared" si="5"/>
        <v>36</v>
      </c>
      <c r="B39" s="46" t="s">
        <v>313</v>
      </c>
      <c r="C39" s="46">
        <v>704804590</v>
      </c>
      <c r="D39" s="46">
        <v>31331</v>
      </c>
      <c r="E39" s="46" t="s">
        <v>31</v>
      </c>
      <c r="F39" s="46" t="s">
        <v>385</v>
      </c>
      <c r="G39" s="46" t="s">
        <v>417</v>
      </c>
      <c r="H39" s="45" t="s">
        <v>383</v>
      </c>
      <c r="I39" s="49">
        <v>406013996306</v>
      </c>
      <c r="J39" s="46">
        <v>40301</v>
      </c>
      <c r="K39" s="46"/>
      <c r="L39" s="46">
        <v>41061</v>
      </c>
      <c r="M39" s="50">
        <v>419</v>
      </c>
      <c r="N39" s="46" t="s">
        <v>437</v>
      </c>
      <c r="O39" s="50">
        <v>561</v>
      </c>
      <c r="P39" s="50">
        <v>561</v>
      </c>
      <c r="Q39" s="50">
        <f>P39-M39</f>
        <v>142</v>
      </c>
      <c r="R39" s="50">
        <f t="shared" si="0"/>
        <v>1704</v>
      </c>
      <c r="S39" s="50">
        <f t="shared" si="6"/>
        <v>0</v>
      </c>
      <c r="T39" s="76">
        <f t="shared" ca="1" si="1"/>
        <v>67.320000000000007</v>
      </c>
      <c r="U39" s="50">
        <f>$U$3*20*12</f>
        <v>120</v>
      </c>
      <c r="V39" s="50">
        <f>$V$3*20*12</f>
        <v>960</v>
      </c>
      <c r="W39" s="50">
        <f>$W$3*12</f>
        <v>48</v>
      </c>
      <c r="X39" s="50">
        <f t="shared" si="2"/>
        <v>169</v>
      </c>
      <c r="Y39" s="50">
        <f t="shared" ca="1" si="3"/>
        <v>3210.3199999999997</v>
      </c>
      <c r="Z39" s="77"/>
      <c r="AA39" s="66">
        <f t="shared" ca="1" si="4"/>
        <v>4</v>
      </c>
      <c r="AB39" s="19"/>
      <c r="AC39" s="19"/>
      <c r="AD39" s="19"/>
      <c r="AE39" s="19"/>
    </row>
    <row r="40" spans="1:31 16376:16376" s="18" customFormat="1" ht="16.5" customHeight="1" x14ac:dyDescent="0.2">
      <c r="A40" s="45">
        <f t="shared" si="5"/>
        <v>37</v>
      </c>
      <c r="B40" s="46" t="s">
        <v>319</v>
      </c>
      <c r="C40" s="46">
        <v>701280190</v>
      </c>
      <c r="D40" s="46">
        <v>20963</v>
      </c>
      <c r="E40" s="46" t="s">
        <v>31</v>
      </c>
      <c r="F40" s="46" t="s">
        <v>385</v>
      </c>
      <c r="G40" s="46" t="s">
        <v>393</v>
      </c>
      <c r="H40" s="45" t="s">
        <v>383</v>
      </c>
      <c r="I40" s="49">
        <v>8201255300</v>
      </c>
      <c r="J40" s="46">
        <v>39947</v>
      </c>
      <c r="K40" s="46"/>
      <c r="L40" s="46">
        <v>41061</v>
      </c>
      <c r="M40" s="50">
        <v>419</v>
      </c>
      <c r="N40" s="46" t="s">
        <v>437</v>
      </c>
      <c r="O40" s="50">
        <v>561</v>
      </c>
      <c r="P40" s="50">
        <v>561</v>
      </c>
      <c r="Q40" s="50">
        <f>P40-M40</f>
        <v>142</v>
      </c>
      <c r="R40" s="50">
        <f t="shared" si="0"/>
        <v>1704</v>
      </c>
      <c r="S40" s="50">
        <f t="shared" si="6"/>
        <v>0</v>
      </c>
      <c r="T40" s="76">
        <f t="shared" ca="1" si="1"/>
        <v>67.320000000000007</v>
      </c>
      <c r="U40" s="50">
        <f>$U$3*20*12</f>
        <v>120</v>
      </c>
      <c r="V40" s="50">
        <f>$V$3*20*12</f>
        <v>960</v>
      </c>
      <c r="W40" s="50">
        <f>$W$3*12</f>
        <v>48</v>
      </c>
      <c r="X40" s="50">
        <f t="shared" si="2"/>
        <v>169</v>
      </c>
      <c r="Y40" s="50">
        <f t="shared" ca="1" si="3"/>
        <v>3210.3199999999997</v>
      </c>
      <c r="Z40" s="77"/>
      <c r="AA40" s="66">
        <f t="shared" ca="1" si="4"/>
        <v>4</v>
      </c>
      <c r="AB40" s="19"/>
      <c r="AC40" s="19"/>
      <c r="AD40" s="19"/>
      <c r="AE40" s="19"/>
    </row>
    <row r="41" spans="1:31 16376:16376" s="18" customFormat="1" ht="16.5" customHeight="1" x14ac:dyDescent="0.2">
      <c r="A41" s="45">
        <f t="shared" si="5"/>
        <v>38</v>
      </c>
      <c r="B41" s="46" t="s">
        <v>330</v>
      </c>
      <c r="C41" s="46">
        <v>704582386</v>
      </c>
      <c r="D41" s="46">
        <v>30505</v>
      </c>
      <c r="E41" s="46" t="s">
        <v>31</v>
      </c>
      <c r="F41" s="46" t="s">
        <v>385</v>
      </c>
      <c r="G41" s="46" t="s">
        <v>417</v>
      </c>
      <c r="H41" s="45" t="s">
        <v>383</v>
      </c>
      <c r="I41" s="49">
        <v>406030035905</v>
      </c>
      <c r="J41" s="46">
        <v>41375</v>
      </c>
      <c r="K41" s="46"/>
      <c r="L41" s="46">
        <v>41375</v>
      </c>
      <c r="M41" s="50">
        <v>419</v>
      </c>
      <c r="N41" s="46" t="s">
        <v>437</v>
      </c>
      <c r="O41" s="50">
        <v>561</v>
      </c>
      <c r="P41" s="50">
        <v>561</v>
      </c>
      <c r="Q41" s="50">
        <f>P41-M41</f>
        <v>142</v>
      </c>
      <c r="R41" s="50">
        <f t="shared" si="0"/>
        <v>1704</v>
      </c>
      <c r="S41" s="50">
        <f t="shared" si="6"/>
        <v>0</v>
      </c>
      <c r="T41" s="76">
        <f t="shared" ca="1" si="1"/>
        <v>50.490000000000009</v>
      </c>
      <c r="U41" s="50">
        <f>$U$3*20*12</f>
        <v>120</v>
      </c>
      <c r="V41" s="50">
        <f>$V$3*20*12</f>
        <v>960</v>
      </c>
      <c r="W41" s="50">
        <f>$W$3*12</f>
        <v>48</v>
      </c>
      <c r="X41" s="50">
        <f t="shared" si="2"/>
        <v>169</v>
      </c>
      <c r="Y41" s="50">
        <f t="shared" ca="1" si="3"/>
        <v>3193.49</v>
      </c>
      <c r="Z41" s="77"/>
      <c r="AA41" s="66">
        <f t="shared" ca="1" si="4"/>
        <v>3</v>
      </c>
      <c r="AB41" s="19"/>
      <c r="AC41" s="19"/>
      <c r="AD41" s="19"/>
      <c r="AE41" s="19"/>
    </row>
    <row r="42" spans="1:31 16376:16376" s="18" customFormat="1" ht="16.5" customHeight="1" x14ac:dyDescent="0.2">
      <c r="A42" s="45">
        <f t="shared" si="5"/>
        <v>39</v>
      </c>
      <c r="B42" s="46" t="s">
        <v>363</v>
      </c>
      <c r="C42" s="46">
        <v>702822271</v>
      </c>
      <c r="D42" s="46">
        <v>26579</v>
      </c>
      <c r="E42" s="46" t="s">
        <v>31</v>
      </c>
      <c r="F42" s="46" t="s">
        <v>385</v>
      </c>
      <c r="G42" s="46" t="s">
        <v>384</v>
      </c>
      <c r="H42" s="45" t="s">
        <v>383</v>
      </c>
      <c r="I42" s="49">
        <v>1030099113</v>
      </c>
      <c r="J42" s="46">
        <v>39947</v>
      </c>
      <c r="K42" s="46"/>
      <c r="L42" s="46">
        <v>41061</v>
      </c>
      <c r="M42" s="50">
        <v>419</v>
      </c>
      <c r="N42" s="46" t="s">
        <v>437</v>
      </c>
      <c r="O42" s="50">
        <v>561</v>
      </c>
      <c r="P42" s="50">
        <v>561</v>
      </c>
      <c r="Q42" s="50">
        <f>P42-M42</f>
        <v>142</v>
      </c>
      <c r="R42" s="50">
        <f t="shared" si="0"/>
        <v>1704</v>
      </c>
      <c r="S42" s="50">
        <f t="shared" si="6"/>
        <v>0</v>
      </c>
      <c r="T42" s="76">
        <f t="shared" ca="1" si="1"/>
        <v>67.320000000000007</v>
      </c>
      <c r="U42" s="50">
        <f>$U$3*20*12</f>
        <v>120</v>
      </c>
      <c r="V42" s="50">
        <f>$V$3*20*12</f>
        <v>960</v>
      </c>
      <c r="W42" s="50">
        <f>$W$3*12</f>
        <v>48</v>
      </c>
      <c r="X42" s="50">
        <f t="shared" si="2"/>
        <v>169</v>
      </c>
      <c r="Y42" s="50">
        <f t="shared" ca="1" si="3"/>
        <v>3210.3199999999997</v>
      </c>
      <c r="Z42" s="77"/>
      <c r="AA42" s="66">
        <f t="shared" ca="1" si="4"/>
        <v>4</v>
      </c>
      <c r="AB42" s="19"/>
      <c r="AC42" s="19"/>
      <c r="AD42" s="19"/>
      <c r="AE42" s="19"/>
    </row>
    <row r="43" spans="1:31 16376:16376" s="18" customFormat="1" ht="16.5" customHeight="1" x14ac:dyDescent="0.2">
      <c r="A43" s="45">
        <f t="shared" si="5"/>
        <v>40</v>
      </c>
      <c r="B43" s="46" t="s">
        <v>80</v>
      </c>
      <c r="C43" s="46">
        <v>703887620</v>
      </c>
      <c r="D43" s="50">
        <v>28407</v>
      </c>
      <c r="E43" s="46" t="s">
        <v>81</v>
      </c>
      <c r="F43" s="46" t="s">
        <v>387</v>
      </c>
      <c r="G43" s="50" t="s">
        <v>384</v>
      </c>
      <c r="H43" s="63" t="s">
        <v>383</v>
      </c>
      <c r="I43" s="51">
        <v>1010730259</v>
      </c>
      <c r="J43" s="46">
        <v>39569</v>
      </c>
      <c r="K43" s="46"/>
      <c r="L43" s="46">
        <v>39569</v>
      </c>
      <c r="M43" s="50">
        <v>419</v>
      </c>
      <c r="N43" s="46" t="s">
        <v>437</v>
      </c>
      <c r="O43" s="50">
        <v>561</v>
      </c>
      <c r="P43" s="50">
        <v>561</v>
      </c>
      <c r="Q43" s="50">
        <f>P43-M43</f>
        <v>142</v>
      </c>
      <c r="R43" s="50">
        <f t="shared" si="0"/>
        <v>1704</v>
      </c>
      <c r="S43" s="50">
        <f t="shared" si="6"/>
        <v>43.92</v>
      </c>
      <c r="T43" s="76">
        <f t="shared" ca="1" si="1"/>
        <v>134.64000000000001</v>
      </c>
      <c r="U43" s="50">
        <f>$U$3*20*12</f>
        <v>120</v>
      </c>
      <c r="V43" s="50">
        <f>$V$3*20*12</f>
        <v>960</v>
      </c>
      <c r="W43" s="50">
        <f>$W$3*12</f>
        <v>48</v>
      </c>
      <c r="X43" s="50">
        <f t="shared" si="2"/>
        <v>169</v>
      </c>
      <c r="Y43" s="50">
        <f t="shared" ca="1" si="3"/>
        <v>3321.5600000000004</v>
      </c>
      <c r="Z43" s="77">
        <v>1</v>
      </c>
      <c r="AA43" s="66">
        <f t="shared" ca="1" si="4"/>
        <v>8</v>
      </c>
      <c r="AB43" s="19"/>
      <c r="AC43" s="19"/>
      <c r="AD43" s="19"/>
      <c r="AE43" s="19"/>
    </row>
    <row r="44" spans="1:31 16376:16376" s="18" customFormat="1" ht="16.5" customHeight="1" x14ac:dyDescent="0.2">
      <c r="A44" s="39">
        <f t="shared" si="5"/>
        <v>41</v>
      </c>
      <c r="B44" s="40" t="s">
        <v>336</v>
      </c>
      <c r="C44" s="41">
        <v>704278720</v>
      </c>
      <c r="D44" s="42">
        <v>32248</v>
      </c>
      <c r="E44" s="40" t="s">
        <v>337</v>
      </c>
      <c r="F44" s="40" t="s">
        <v>394</v>
      </c>
      <c r="G44" s="40" t="s">
        <v>384</v>
      </c>
      <c r="H44" s="39" t="s">
        <v>383</v>
      </c>
      <c r="I44" s="43">
        <v>1160051112</v>
      </c>
      <c r="J44" s="42">
        <v>41061</v>
      </c>
      <c r="K44" s="42"/>
      <c r="L44" s="42">
        <v>42036</v>
      </c>
      <c r="M44" s="44">
        <v>773</v>
      </c>
      <c r="N44" s="40" t="s">
        <v>166</v>
      </c>
      <c r="O44" s="44">
        <v>773</v>
      </c>
      <c r="P44" s="44">
        <v>773</v>
      </c>
      <c r="Q44" s="44">
        <f>P44-M44</f>
        <v>0</v>
      </c>
      <c r="R44" s="29">
        <f t="shared" si="0"/>
        <v>0</v>
      </c>
      <c r="S44" s="29">
        <f t="shared" si="6"/>
        <v>0</v>
      </c>
      <c r="T44" s="65">
        <f t="shared" ca="1" si="1"/>
        <v>23.19</v>
      </c>
      <c r="U44" s="29">
        <f>$U$3*20*12</f>
        <v>120</v>
      </c>
      <c r="V44" s="29">
        <f>$V$3*20*12</f>
        <v>960</v>
      </c>
      <c r="W44" s="44">
        <f>$W$3*12</f>
        <v>48</v>
      </c>
      <c r="X44" s="29">
        <f t="shared" si="2"/>
        <v>169</v>
      </c>
      <c r="Y44" s="29">
        <f t="shared" ca="1" si="3"/>
        <v>1320.19</v>
      </c>
      <c r="Z44" s="75"/>
      <c r="AA44" s="66">
        <f t="shared" ca="1" si="4"/>
        <v>1</v>
      </c>
      <c r="AB44" s="19"/>
      <c r="AC44" s="19"/>
      <c r="AD44" s="19"/>
      <c r="AE44" s="19"/>
      <c r="XEV44" s="17"/>
    </row>
    <row r="45" spans="1:31 16376:16376" s="18" customFormat="1" ht="16.5" customHeight="1" x14ac:dyDescent="0.2">
      <c r="A45" s="45">
        <f t="shared" si="5"/>
        <v>42</v>
      </c>
      <c r="B45" s="46" t="s">
        <v>406</v>
      </c>
      <c r="C45" s="47">
        <v>702331596</v>
      </c>
      <c r="D45" s="48">
        <v>24222</v>
      </c>
      <c r="E45" s="46" t="s">
        <v>144</v>
      </c>
      <c r="F45" s="46" t="s">
        <v>392</v>
      </c>
      <c r="G45" s="46" t="s">
        <v>384</v>
      </c>
      <c r="H45" s="45" t="s">
        <v>383</v>
      </c>
      <c r="I45" s="49">
        <v>1010187792</v>
      </c>
      <c r="J45" s="48">
        <v>35643</v>
      </c>
      <c r="K45" s="48">
        <v>42664</v>
      </c>
      <c r="L45" s="48">
        <v>35643</v>
      </c>
      <c r="M45" s="50">
        <v>555</v>
      </c>
      <c r="N45" s="46"/>
      <c r="O45" s="50"/>
      <c r="P45" s="50">
        <v>555</v>
      </c>
      <c r="Q45" s="50">
        <f>P45-M45</f>
        <v>0</v>
      </c>
      <c r="R45" s="50">
        <f t="shared" si="0"/>
        <v>0</v>
      </c>
      <c r="S45" s="50">
        <f t="shared" si="6"/>
        <v>0</v>
      </c>
      <c r="T45" s="76">
        <f t="shared" ca="1" si="1"/>
        <v>199.79999999999998</v>
      </c>
      <c r="U45" s="50">
        <f>$U$3*20*10</f>
        <v>100</v>
      </c>
      <c r="V45" s="50">
        <f>$V$3*20*10</f>
        <v>800</v>
      </c>
      <c r="W45" s="50">
        <f>$W$3*10</f>
        <v>40</v>
      </c>
      <c r="X45" s="50">
        <f t="shared" si="2"/>
        <v>169</v>
      </c>
      <c r="Y45" s="50">
        <f t="shared" ca="1" si="3"/>
        <v>1308.8</v>
      </c>
      <c r="Z45" s="77"/>
      <c r="AA45" s="66">
        <f t="shared" ca="1" si="4"/>
        <v>12</v>
      </c>
      <c r="AB45" s="19"/>
      <c r="AC45" s="19"/>
      <c r="AD45" s="19"/>
      <c r="AE45" s="19"/>
    </row>
    <row r="46" spans="1:31 16376:16376" s="18" customFormat="1" ht="16.5" customHeight="1" x14ac:dyDescent="0.2">
      <c r="A46" s="45">
        <f t="shared" si="5"/>
        <v>43</v>
      </c>
      <c r="B46" s="46" t="s">
        <v>143</v>
      </c>
      <c r="C46" s="47">
        <v>702578881</v>
      </c>
      <c r="D46" s="48">
        <v>26435</v>
      </c>
      <c r="E46" s="46" t="s">
        <v>144</v>
      </c>
      <c r="F46" s="46" t="s">
        <v>392</v>
      </c>
      <c r="G46" s="46" t="s">
        <v>384</v>
      </c>
      <c r="H46" s="45" t="s">
        <v>383</v>
      </c>
      <c r="I46" s="49">
        <v>1010187776</v>
      </c>
      <c r="J46" s="48">
        <v>35643</v>
      </c>
      <c r="K46" s="48"/>
      <c r="L46" s="48">
        <v>35643</v>
      </c>
      <c r="M46" s="50">
        <v>555</v>
      </c>
      <c r="N46" s="46"/>
      <c r="O46" s="50"/>
      <c r="P46" s="50">
        <v>555</v>
      </c>
      <c r="Q46" s="50">
        <f>P46-M46</f>
        <v>0</v>
      </c>
      <c r="R46" s="50">
        <f t="shared" si="0"/>
        <v>0</v>
      </c>
      <c r="S46" s="50">
        <f t="shared" si="6"/>
        <v>0</v>
      </c>
      <c r="T46" s="76">
        <f t="shared" ca="1" si="1"/>
        <v>199.79999999999998</v>
      </c>
      <c r="U46" s="50">
        <f>$U$3*20*12</f>
        <v>120</v>
      </c>
      <c r="V46" s="50">
        <f>$V$3*20*12</f>
        <v>960</v>
      </c>
      <c r="W46" s="50">
        <f>$W$3*12</f>
        <v>48</v>
      </c>
      <c r="X46" s="50">
        <f t="shared" si="2"/>
        <v>169</v>
      </c>
      <c r="Y46" s="50">
        <f t="shared" ca="1" si="3"/>
        <v>1496.8</v>
      </c>
      <c r="Z46" s="77"/>
      <c r="AA46" s="66">
        <f t="shared" ca="1" si="4"/>
        <v>12</v>
      </c>
      <c r="AB46" s="19"/>
      <c r="AC46" s="19"/>
      <c r="AD46" s="19"/>
      <c r="AE46" s="19"/>
    </row>
    <row r="47" spans="1:31 16376:16376" s="18" customFormat="1" ht="16.5" customHeight="1" x14ac:dyDescent="0.2">
      <c r="A47" s="45">
        <f t="shared" si="5"/>
        <v>44</v>
      </c>
      <c r="B47" s="46" t="s">
        <v>365</v>
      </c>
      <c r="C47" s="47">
        <v>702622127</v>
      </c>
      <c r="D47" s="48">
        <v>26593</v>
      </c>
      <c r="E47" s="46" t="s">
        <v>144</v>
      </c>
      <c r="F47" s="46" t="s">
        <v>392</v>
      </c>
      <c r="G47" s="46" t="s">
        <v>384</v>
      </c>
      <c r="H47" s="45" t="s">
        <v>383</v>
      </c>
      <c r="I47" s="49">
        <v>1010267923</v>
      </c>
      <c r="J47" s="48">
        <v>36472</v>
      </c>
      <c r="K47" s="48"/>
      <c r="L47" s="48">
        <v>36472</v>
      </c>
      <c r="M47" s="50">
        <v>555</v>
      </c>
      <c r="N47" s="46"/>
      <c r="O47" s="50"/>
      <c r="P47" s="50">
        <v>555</v>
      </c>
      <c r="Q47" s="50">
        <f>P47-M47</f>
        <v>0</v>
      </c>
      <c r="R47" s="50">
        <f t="shared" si="0"/>
        <v>0</v>
      </c>
      <c r="S47" s="50">
        <f t="shared" si="6"/>
        <v>0</v>
      </c>
      <c r="T47" s="76">
        <f t="shared" ca="1" si="1"/>
        <v>199.79999999999998</v>
      </c>
      <c r="U47" s="50">
        <f>$U$3*20*12</f>
        <v>120</v>
      </c>
      <c r="V47" s="50">
        <f>$V$3*20*12</f>
        <v>960</v>
      </c>
      <c r="W47" s="50">
        <f>$W$3*12</f>
        <v>48</v>
      </c>
      <c r="X47" s="50">
        <f t="shared" si="2"/>
        <v>169</v>
      </c>
      <c r="Y47" s="50">
        <f t="shared" ca="1" si="3"/>
        <v>1496.8</v>
      </c>
      <c r="Z47" s="77"/>
      <c r="AA47" s="66">
        <f t="shared" ca="1" si="4"/>
        <v>12</v>
      </c>
      <c r="AB47" s="19"/>
      <c r="AC47" s="19"/>
      <c r="AD47" s="19"/>
      <c r="AE47" s="19"/>
    </row>
    <row r="48" spans="1:31 16376:16376" s="18" customFormat="1" ht="16.5" customHeight="1" x14ac:dyDescent="0.2">
      <c r="A48" s="39">
        <f t="shared" si="5"/>
        <v>45</v>
      </c>
      <c r="B48" s="40" t="s">
        <v>345</v>
      </c>
      <c r="C48" s="41">
        <v>702317843</v>
      </c>
      <c r="D48" s="42">
        <v>24580</v>
      </c>
      <c r="E48" s="40" t="s">
        <v>209</v>
      </c>
      <c r="F48" s="40" t="s">
        <v>422</v>
      </c>
      <c r="G48" s="40" t="s">
        <v>384</v>
      </c>
      <c r="H48" s="39" t="s">
        <v>383</v>
      </c>
      <c r="I48" s="43">
        <v>1020368353</v>
      </c>
      <c r="J48" s="42">
        <v>39569</v>
      </c>
      <c r="K48" s="42"/>
      <c r="L48" s="42">
        <v>39965</v>
      </c>
      <c r="M48" s="44">
        <v>419</v>
      </c>
      <c r="N48" s="40" t="s">
        <v>209</v>
      </c>
      <c r="O48" s="44">
        <v>561</v>
      </c>
      <c r="P48" s="44">
        <v>561</v>
      </c>
      <c r="Q48" s="44">
        <f>P48-M48</f>
        <v>142</v>
      </c>
      <c r="R48" s="29">
        <f t="shared" si="0"/>
        <v>1704</v>
      </c>
      <c r="S48" s="29">
        <f t="shared" si="6"/>
        <v>0</v>
      </c>
      <c r="T48" s="65">
        <f t="shared" ca="1" si="1"/>
        <v>117.81</v>
      </c>
      <c r="U48" s="29">
        <f>$U$3*20*12</f>
        <v>120</v>
      </c>
      <c r="V48" s="29">
        <f>$V$3*20*12</f>
        <v>960</v>
      </c>
      <c r="W48" s="44">
        <f>$W$3*12</f>
        <v>48</v>
      </c>
      <c r="X48" s="29">
        <f t="shared" si="2"/>
        <v>169</v>
      </c>
      <c r="Y48" s="29">
        <f t="shared" ca="1" si="3"/>
        <v>3260.81</v>
      </c>
      <c r="Z48" s="75"/>
      <c r="AA48" s="66">
        <f t="shared" ca="1" si="4"/>
        <v>7</v>
      </c>
      <c r="AB48" s="19"/>
      <c r="AC48" s="19"/>
      <c r="AD48" s="19"/>
      <c r="AE48" s="19"/>
    </row>
    <row r="49" spans="1:31" s="18" customFormat="1" ht="16.5" customHeight="1" x14ac:dyDescent="0.2">
      <c r="A49" s="39">
        <f t="shared" si="5"/>
        <v>46</v>
      </c>
      <c r="B49" s="40" t="s">
        <v>42</v>
      </c>
      <c r="C49" s="41">
        <v>702906025</v>
      </c>
      <c r="D49" s="42">
        <v>27575</v>
      </c>
      <c r="E49" s="40" t="s">
        <v>43</v>
      </c>
      <c r="F49" s="40" t="s">
        <v>422</v>
      </c>
      <c r="G49" s="40" t="s">
        <v>417</v>
      </c>
      <c r="H49" s="39" t="s">
        <v>383</v>
      </c>
      <c r="I49" s="43">
        <v>406032965004</v>
      </c>
      <c r="J49" s="42">
        <v>41699</v>
      </c>
      <c r="K49" s="42"/>
      <c r="L49" s="42">
        <v>41699</v>
      </c>
      <c r="M49" s="44">
        <v>419</v>
      </c>
      <c r="N49" s="40" t="s">
        <v>43</v>
      </c>
      <c r="O49" s="44">
        <v>561</v>
      </c>
      <c r="P49" s="44">
        <v>561</v>
      </c>
      <c r="Q49" s="44">
        <f>P49-M49</f>
        <v>142</v>
      </c>
      <c r="R49" s="29">
        <f t="shared" si="0"/>
        <v>1704</v>
      </c>
      <c r="S49" s="29">
        <f t="shared" si="6"/>
        <v>131.76</v>
      </c>
      <c r="T49" s="65">
        <f t="shared" ca="1" si="1"/>
        <v>33.660000000000004</v>
      </c>
      <c r="U49" s="29">
        <f>$U$3*20*12</f>
        <v>120</v>
      </c>
      <c r="V49" s="29">
        <f>$V$3*20*12</f>
        <v>960</v>
      </c>
      <c r="W49" s="44">
        <f>$W$3*12</f>
        <v>48</v>
      </c>
      <c r="X49" s="29">
        <f t="shared" si="2"/>
        <v>169</v>
      </c>
      <c r="Y49" s="29">
        <f t="shared" ca="1" si="3"/>
        <v>3308.42</v>
      </c>
      <c r="Z49" s="75">
        <v>3</v>
      </c>
      <c r="AA49" s="66">
        <f t="shared" ca="1" si="4"/>
        <v>2</v>
      </c>
      <c r="AB49" s="19"/>
      <c r="AC49" s="19"/>
      <c r="AD49" s="19"/>
      <c r="AE49" s="19"/>
    </row>
    <row r="50" spans="1:31" s="18" customFormat="1" ht="16.5" customHeight="1" x14ac:dyDescent="0.2">
      <c r="A50" s="39">
        <f t="shared" si="5"/>
        <v>47</v>
      </c>
      <c r="B50" s="40" t="s">
        <v>105</v>
      </c>
      <c r="C50" s="41">
        <v>704644657</v>
      </c>
      <c r="D50" s="42">
        <v>32497</v>
      </c>
      <c r="E50" s="40" t="s">
        <v>43</v>
      </c>
      <c r="F50" s="40" t="s">
        <v>422</v>
      </c>
      <c r="G50" s="40" t="s">
        <v>393</v>
      </c>
      <c r="H50" s="39" t="s">
        <v>383</v>
      </c>
      <c r="I50" s="43">
        <v>8197730600</v>
      </c>
      <c r="J50" s="42">
        <v>39941</v>
      </c>
      <c r="K50" s="42"/>
      <c r="L50" s="42">
        <v>39941</v>
      </c>
      <c r="M50" s="44">
        <v>419</v>
      </c>
      <c r="N50" s="40" t="s">
        <v>43</v>
      </c>
      <c r="O50" s="44">
        <v>561</v>
      </c>
      <c r="P50" s="44">
        <v>561</v>
      </c>
      <c r="Q50" s="44">
        <f>P50-M50</f>
        <v>142</v>
      </c>
      <c r="R50" s="29">
        <f t="shared" si="0"/>
        <v>1704</v>
      </c>
      <c r="S50" s="29">
        <f t="shared" si="6"/>
        <v>0</v>
      </c>
      <c r="T50" s="65">
        <f t="shared" ca="1" si="1"/>
        <v>117.81</v>
      </c>
      <c r="U50" s="29">
        <f>$U$3*20*12</f>
        <v>120</v>
      </c>
      <c r="V50" s="29">
        <f>$V$3*20*12</f>
        <v>960</v>
      </c>
      <c r="W50" s="44">
        <f>$W$3*12</f>
        <v>48</v>
      </c>
      <c r="X50" s="29">
        <f t="shared" si="2"/>
        <v>169</v>
      </c>
      <c r="Y50" s="29">
        <f t="shared" ca="1" si="3"/>
        <v>3260.81</v>
      </c>
      <c r="Z50" s="75"/>
      <c r="AA50" s="66">
        <f t="shared" ca="1" si="4"/>
        <v>7</v>
      </c>
      <c r="AB50" s="19"/>
      <c r="AC50" s="19"/>
      <c r="AD50" s="19"/>
      <c r="AE50" s="19"/>
    </row>
    <row r="51" spans="1:31" s="18" customFormat="1" ht="16.5" customHeight="1" x14ac:dyDescent="0.2">
      <c r="A51" s="39">
        <f t="shared" si="5"/>
        <v>48</v>
      </c>
      <c r="B51" s="40" t="s">
        <v>123</v>
      </c>
      <c r="C51" s="41">
        <v>923976005</v>
      </c>
      <c r="D51" s="42">
        <v>31340</v>
      </c>
      <c r="E51" s="40" t="s">
        <v>43</v>
      </c>
      <c r="F51" s="40" t="s">
        <v>422</v>
      </c>
      <c r="G51" s="40" t="s">
        <v>397</v>
      </c>
      <c r="H51" s="39" t="s">
        <v>383</v>
      </c>
      <c r="I51" s="43">
        <v>1038798662</v>
      </c>
      <c r="J51" s="42">
        <v>39940</v>
      </c>
      <c r="K51" s="42"/>
      <c r="L51" s="42">
        <v>39940</v>
      </c>
      <c r="M51" s="44">
        <v>419</v>
      </c>
      <c r="N51" s="40" t="s">
        <v>43</v>
      </c>
      <c r="O51" s="44">
        <v>561</v>
      </c>
      <c r="P51" s="44">
        <v>561</v>
      </c>
      <c r="Q51" s="44">
        <f>P51-M51</f>
        <v>142</v>
      </c>
      <c r="R51" s="29">
        <f t="shared" si="0"/>
        <v>1704</v>
      </c>
      <c r="S51" s="29">
        <f t="shared" si="6"/>
        <v>43.92</v>
      </c>
      <c r="T51" s="65">
        <f t="shared" ca="1" si="1"/>
        <v>117.81</v>
      </c>
      <c r="U51" s="29">
        <f>$U$3*20*12</f>
        <v>120</v>
      </c>
      <c r="V51" s="29">
        <f>$V$3*20*12</f>
        <v>960</v>
      </c>
      <c r="W51" s="44">
        <f>$W$3*12</f>
        <v>48</v>
      </c>
      <c r="X51" s="29">
        <f t="shared" si="2"/>
        <v>169</v>
      </c>
      <c r="Y51" s="29">
        <f t="shared" ca="1" si="3"/>
        <v>3304.73</v>
      </c>
      <c r="Z51" s="75">
        <v>1</v>
      </c>
      <c r="AA51" s="66">
        <f t="shared" ca="1" si="4"/>
        <v>7</v>
      </c>
      <c r="AB51" s="19"/>
      <c r="AC51" s="19"/>
      <c r="AD51" s="19"/>
      <c r="AE51" s="19"/>
    </row>
    <row r="52" spans="1:31" s="18" customFormat="1" ht="16.5" customHeight="1" x14ac:dyDescent="0.2">
      <c r="A52" s="39">
        <f t="shared" si="5"/>
        <v>49</v>
      </c>
      <c r="B52" s="40" t="s">
        <v>294</v>
      </c>
      <c r="C52" s="41">
        <v>702678608</v>
      </c>
      <c r="D52" s="42">
        <v>25258</v>
      </c>
      <c r="E52" s="40" t="s">
        <v>43</v>
      </c>
      <c r="F52" s="40" t="s">
        <v>422</v>
      </c>
      <c r="G52" s="40" t="s">
        <v>397</v>
      </c>
      <c r="H52" s="39" t="s">
        <v>383</v>
      </c>
      <c r="I52" s="43">
        <v>1050220136</v>
      </c>
      <c r="J52" s="42">
        <v>41061</v>
      </c>
      <c r="K52" s="42"/>
      <c r="L52" s="42">
        <v>41061</v>
      </c>
      <c r="M52" s="44">
        <v>500</v>
      </c>
      <c r="N52" s="40" t="s">
        <v>43</v>
      </c>
      <c r="O52" s="44">
        <v>561</v>
      </c>
      <c r="P52" s="44">
        <v>561</v>
      </c>
      <c r="Q52" s="44">
        <f>P52-M52</f>
        <v>61</v>
      </c>
      <c r="R52" s="29">
        <f t="shared" si="0"/>
        <v>732</v>
      </c>
      <c r="S52" s="29">
        <f t="shared" si="6"/>
        <v>87.84</v>
      </c>
      <c r="T52" s="65">
        <f t="shared" ca="1" si="1"/>
        <v>67.320000000000007</v>
      </c>
      <c r="U52" s="29">
        <f>$U$3*20*12</f>
        <v>120</v>
      </c>
      <c r="V52" s="29">
        <f>$V$3*20*12</f>
        <v>960</v>
      </c>
      <c r="W52" s="44">
        <f>$W$3*12</f>
        <v>48</v>
      </c>
      <c r="X52" s="29">
        <f t="shared" si="2"/>
        <v>169</v>
      </c>
      <c r="Y52" s="29">
        <f t="shared" ca="1" si="3"/>
        <v>2245.16</v>
      </c>
      <c r="Z52" s="75">
        <v>2</v>
      </c>
      <c r="AA52" s="66">
        <f t="shared" ca="1" si="4"/>
        <v>4</v>
      </c>
      <c r="AB52" s="19"/>
      <c r="AC52" s="19"/>
      <c r="AD52" s="19"/>
      <c r="AE52" s="19"/>
    </row>
    <row r="53" spans="1:31" s="18" customFormat="1" ht="16.5" customHeight="1" x14ac:dyDescent="0.2">
      <c r="A53" s="39">
        <f t="shared" si="5"/>
        <v>50</v>
      </c>
      <c r="B53" s="40" t="s">
        <v>17</v>
      </c>
      <c r="C53" s="41">
        <v>702829425</v>
      </c>
      <c r="D53" s="42">
        <v>26372</v>
      </c>
      <c r="E53" s="40" t="s">
        <v>18</v>
      </c>
      <c r="F53" s="40" t="s">
        <v>387</v>
      </c>
      <c r="G53" s="40" t="s">
        <v>391</v>
      </c>
      <c r="H53" s="39" t="s">
        <v>383</v>
      </c>
      <c r="I53" s="43">
        <v>13056816</v>
      </c>
      <c r="J53" s="42">
        <v>42138</v>
      </c>
      <c r="K53" s="42"/>
      <c r="L53" s="42">
        <v>42138</v>
      </c>
      <c r="M53" s="44">
        <v>447</v>
      </c>
      <c r="N53" s="40" t="s">
        <v>436</v>
      </c>
      <c r="O53" s="44">
        <v>561</v>
      </c>
      <c r="P53" s="44">
        <v>561</v>
      </c>
      <c r="Q53" s="44">
        <f>P53-M53</f>
        <v>114</v>
      </c>
      <c r="R53" s="29">
        <f t="shared" si="0"/>
        <v>1368</v>
      </c>
      <c r="S53" s="29">
        <f t="shared" si="6"/>
        <v>0</v>
      </c>
      <c r="T53" s="65">
        <f t="shared" ca="1" si="1"/>
        <v>16.830000000000002</v>
      </c>
      <c r="U53" s="29">
        <f>$U$3*20*12</f>
        <v>120</v>
      </c>
      <c r="V53" s="29">
        <f>$V$3*20*12</f>
        <v>960</v>
      </c>
      <c r="W53" s="44">
        <f>$W$3*12</f>
        <v>48</v>
      </c>
      <c r="X53" s="29">
        <f t="shared" si="2"/>
        <v>169</v>
      </c>
      <c r="Y53" s="29">
        <f t="shared" ca="1" si="3"/>
        <v>2795.83</v>
      </c>
      <c r="Z53" s="75"/>
      <c r="AA53" s="66">
        <f t="shared" ca="1" si="4"/>
        <v>1</v>
      </c>
      <c r="AB53" s="19"/>
      <c r="AC53" s="19"/>
      <c r="AD53" s="19"/>
      <c r="AE53" s="19"/>
    </row>
    <row r="54" spans="1:31" s="18" customFormat="1" ht="16.5" customHeight="1" x14ac:dyDescent="0.2">
      <c r="A54" s="39">
        <f t="shared" si="5"/>
        <v>51</v>
      </c>
      <c r="B54" s="40" t="s">
        <v>21</v>
      </c>
      <c r="C54" s="41">
        <v>702500893</v>
      </c>
      <c r="D54" s="42">
        <v>25403</v>
      </c>
      <c r="E54" s="40" t="s">
        <v>18</v>
      </c>
      <c r="F54" s="40" t="s">
        <v>385</v>
      </c>
      <c r="G54" s="40" t="s">
        <v>393</v>
      </c>
      <c r="H54" s="39" t="s">
        <v>383</v>
      </c>
      <c r="I54" s="43">
        <v>8200854100</v>
      </c>
      <c r="J54" s="42">
        <v>39946</v>
      </c>
      <c r="K54" s="42"/>
      <c r="L54" s="42">
        <v>41061</v>
      </c>
      <c r="M54" s="44">
        <v>419</v>
      </c>
      <c r="N54" s="40" t="s">
        <v>436</v>
      </c>
      <c r="O54" s="44">
        <v>561</v>
      </c>
      <c r="P54" s="44">
        <v>561</v>
      </c>
      <c r="Q54" s="44">
        <f>P54-M54</f>
        <v>142</v>
      </c>
      <c r="R54" s="29">
        <f t="shared" si="0"/>
        <v>1704</v>
      </c>
      <c r="S54" s="29">
        <f t="shared" si="6"/>
        <v>43.92</v>
      </c>
      <c r="T54" s="65">
        <f t="shared" ca="1" si="1"/>
        <v>67.320000000000007</v>
      </c>
      <c r="U54" s="29">
        <f>$U$3*20*12</f>
        <v>120</v>
      </c>
      <c r="V54" s="29">
        <f>$V$3*20*12</f>
        <v>960</v>
      </c>
      <c r="W54" s="44">
        <f>$W$3*12</f>
        <v>48</v>
      </c>
      <c r="X54" s="29">
        <f t="shared" si="2"/>
        <v>169</v>
      </c>
      <c r="Y54" s="29">
        <f t="shared" ca="1" si="3"/>
        <v>3254.24</v>
      </c>
      <c r="Z54" s="75">
        <v>1</v>
      </c>
      <c r="AA54" s="66">
        <f t="shared" ca="1" si="4"/>
        <v>4</v>
      </c>
      <c r="AB54" s="19"/>
      <c r="AC54" s="19"/>
      <c r="AD54" s="19"/>
      <c r="AE54" s="19"/>
    </row>
    <row r="55" spans="1:31" s="18" customFormat="1" ht="16.5" customHeight="1" x14ac:dyDescent="0.2">
      <c r="A55" s="39">
        <f t="shared" si="5"/>
        <v>52</v>
      </c>
      <c r="B55" s="40" t="s">
        <v>34</v>
      </c>
      <c r="C55" s="41">
        <v>701203184</v>
      </c>
      <c r="D55" s="42">
        <v>21676</v>
      </c>
      <c r="E55" s="40" t="s">
        <v>18</v>
      </c>
      <c r="F55" s="40" t="s">
        <v>385</v>
      </c>
      <c r="G55" s="40" t="s">
        <v>384</v>
      </c>
      <c r="H55" s="39" t="s">
        <v>383</v>
      </c>
      <c r="I55" s="43">
        <v>1010176065</v>
      </c>
      <c r="J55" s="42">
        <v>31062</v>
      </c>
      <c r="K55" s="42"/>
      <c r="L55" s="42">
        <v>31062</v>
      </c>
      <c r="M55" s="44">
        <v>562.16999999999996</v>
      </c>
      <c r="N55" s="40" t="s">
        <v>436</v>
      </c>
      <c r="O55" s="44">
        <v>561</v>
      </c>
      <c r="P55" s="44">
        <v>561</v>
      </c>
      <c r="Q55" s="44">
        <f>P55-M55</f>
        <v>-1.1699999999999591</v>
      </c>
      <c r="R55" s="29">
        <f t="shared" si="0"/>
        <v>-14.039999999999509</v>
      </c>
      <c r="S55" s="29">
        <f t="shared" si="6"/>
        <v>87.84</v>
      </c>
      <c r="T55" s="65">
        <f t="shared" ca="1" si="1"/>
        <v>201.96000000000004</v>
      </c>
      <c r="U55" s="29">
        <f>$U$3*20*12</f>
        <v>120</v>
      </c>
      <c r="V55" s="29">
        <f>$V$3*20*12</f>
        <v>960</v>
      </c>
      <c r="W55" s="44">
        <f>$W$3*12</f>
        <v>48</v>
      </c>
      <c r="X55" s="29">
        <f t="shared" si="2"/>
        <v>169</v>
      </c>
      <c r="Y55" s="29">
        <f t="shared" ca="1" si="3"/>
        <v>1571.5900000000006</v>
      </c>
      <c r="Z55" s="75">
        <v>2</v>
      </c>
      <c r="AA55" s="66">
        <f t="shared" ca="1" si="4"/>
        <v>12</v>
      </c>
      <c r="AB55" s="19"/>
      <c r="AC55" s="19"/>
      <c r="AD55" s="19"/>
      <c r="AE55" s="19"/>
    </row>
    <row r="56" spans="1:31" s="18" customFormat="1" ht="16.5" customHeight="1" x14ac:dyDescent="0.2">
      <c r="A56" s="39">
        <f t="shared" si="5"/>
        <v>53</v>
      </c>
      <c r="B56" s="40" t="s">
        <v>76</v>
      </c>
      <c r="C56" s="41">
        <v>705199016</v>
      </c>
      <c r="D56" s="42">
        <v>31867</v>
      </c>
      <c r="E56" s="40" t="s">
        <v>18</v>
      </c>
      <c r="F56" s="40" t="s">
        <v>385</v>
      </c>
      <c r="G56" s="40" t="s">
        <v>384</v>
      </c>
      <c r="H56" s="39" t="s">
        <v>383</v>
      </c>
      <c r="I56" s="43">
        <v>1010823214</v>
      </c>
      <c r="J56" s="42">
        <v>41078</v>
      </c>
      <c r="K56" s="42"/>
      <c r="L56" s="42">
        <v>41078</v>
      </c>
      <c r="M56" s="44">
        <v>419</v>
      </c>
      <c r="N56" s="40" t="s">
        <v>436</v>
      </c>
      <c r="O56" s="44">
        <v>561</v>
      </c>
      <c r="P56" s="44">
        <v>561</v>
      </c>
      <c r="Q56" s="44">
        <f>P56-M56</f>
        <v>142</v>
      </c>
      <c r="R56" s="29">
        <f t="shared" si="0"/>
        <v>1704</v>
      </c>
      <c r="S56" s="29">
        <f t="shared" si="6"/>
        <v>0</v>
      </c>
      <c r="T56" s="65">
        <f t="shared" ca="1" si="1"/>
        <v>67.320000000000007</v>
      </c>
      <c r="U56" s="29">
        <f>$U$3*20*12</f>
        <v>120</v>
      </c>
      <c r="V56" s="29">
        <f>$V$3*20*12</f>
        <v>960</v>
      </c>
      <c r="W56" s="44">
        <f>$W$3*12</f>
        <v>48</v>
      </c>
      <c r="X56" s="29">
        <f t="shared" si="2"/>
        <v>169</v>
      </c>
      <c r="Y56" s="29">
        <f t="shared" ca="1" si="3"/>
        <v>3210.3199999999997</v>
      </c>
      <c r="Z56" s="75"/>
      <c r="AA56" s="66">
        <f t="shared" ca="1" si="4"/>
        <v>4</v>
      </c>
      <c r="AB56" s="19"/>
      <c r="AC56" s="19"/>
      <c r="AD56" s="19"/>
      <c r="AE56" s="19"/>
    </row>
    <row r="57" spans="1:31" s="18" customFormat="1" ht="16.5" customHeight="1" x14ac:dyDescent="0.2">
      <c r="A57" s="39">
        <f t="shared" si="5"/>
        <v>54</v>
      </c>
      <c r="B57" s="40" t="s">
        <v>164</v>
      </c>
      <c r="C57" s="41">
        <v>702612938</v>
      </c>
      <c r="D57" s="42">
        <v>26614</v>
      </c>
      <c r="E57" s="40" t="s">
        <v>18</v>
      </c>
      <c r="F57" s="40" t="s">
        <v>385</v>
      </c>
      <c r="G57" s="40" t="s">
        <v>384</v>
      </c>
      <c r="H57" s="39" t="s">
        <v>383</v>
      </c>
      <c r="I57" s="43">
        <v>1010729870</v>
      </c>
      <c r="J57" s="42">
        <v>39569</v>
      </c>
      <c r="K57" s="42"/>
      <c r="L57" s="42">
        <v>39569</v>
      </c>
      <c r="M57" s="44">
        <v>419</v>
      </c>
      <c r="N57" s="40" t="s">
        <v>436</v>
      </c>
      <c r="O57" s="44">
        <v>561</v>
      </c>
      <c r="P57" s="44">
        <v>561</v>
      </c>
      <c r="Q57" s="44">
        <f>P57-M57</f>
        <v>142</v>
      </c>
      <c r="R57" s="29">
        <f t="shared" si="0"/>
        <v>1704</v>
      </c>
      <c r="S57" s="29">
        <f t="shared" si="6"/>
        <v>43.92</v>
      </c>
      <c r="T57" s="65">
        <f t="shared" ca="1" si="1"/>
        <v>134.64000000000001</v>
      </c>
      <c r="U57" s="29">
        <f>$U$3*20*12</f>
        <v>120</v>
      </c>
      <c r="V57" s="29">
        <f>$V$3*20*12</f>
        <v>960</v>
      </c>
      <c r="W57" s="44">
        <f>$W$3*12</f>
        <v>48</v>
      </c>
      <c r="X57" s="29">
        <f t="shared" si="2"/>
        <v>169</v>
      </c>
      <c r="Y57" s="29">
        <f t="shared" ca="1" si="3"/>
        <v>3321.5600000000004</v>
      </c>
      <c r="Z57" s="75">
        <v>1</v>
      </c>
      <c r="AA57" s="66">
        <f t="shared" ca="1" si="4"/>
        <v>8</v>
      </c>
      <c r="AB57" s="19"/>
      <c r="AC57" s="19"/>
      <c r="AD57" s="19"/>
      <c r="AE57" s="19"/>
    </row>
    <row r="58" spans="1:31" s="18" customFormat="1" ht="16.5" customHeight="1" x14ac:dyDescent="0.2">
      <c r="A58" s="39">
        <f t="shared" si="5"/>
        <v>55</v>
      </c>
      <c r="B58" s="40" t="s">
        <v>189</v>
      </c>
      <c r="C58" s="41">
        <v>1200818530</v>
      </c>
      <c r="D58" s="42">
        <v>15341</v>
      </c>
      <c r="E58" s="40" t="s">
        <v>18</v>
      </c>
      <c r="F58" s="40" t="s">
        <v>387</v>
      </c>
      <c r="G58" s="40" t="s">
        <v>398</v>
      </c>
      <c r="H58" s="39" t="s">
        <v>383</v>
      </c>
      <c r="I58" s="43">
        <v>4005808980</v>
      </c>
      <c r="J58" s="42">
        <v>41792</v>
      </c>
      <c r="K58" s="42"/>
      <c r="L58" s="42">
        <v>41792</v>
      </c>
      <c r="M58" s="44">
        <v>419</v>
      </c>
      <c r="N58" s="40" t="s">
        <v>436</v>
      </c>
      <c r="O58" s="44">
        <v>561</v>
      </c>
      <c r="P58" s="44">
        <v>561</v>
      </c>
      <c r="Q58" s="44">
        <f>P58-M58</f>
        <v>142</v>
      </c>
      <c r="R58" s="29">
        <f t="shared" si="0"/>
        <v>1704</v>
      </c>
      <c r="S58" s="29">
        <f t="shared" si="6"/>
        <v>0</v>
      </c>
      <c r="T58" s="65">
        <f t="shared" ca="1" si="1"/>
        <v>33.660000000000004</v>
      </c>
      <c r="U58" s="29">
        <f>$U$3*20*12</f>
        <v>120</v>
      </c>
      <c r="V58" s="29">
        <f>$V$3*20*12</f>
        <v>960</v>
      </c>
      <c r="W58" s="44">
        <f>$W$3*12</f>
        <v>48</v>
      </c>
      <c r="X58" s="29">
        <f t="shared" si="2"/>
        <v>169</v>
      </c>
      <c r="Y58" s="29">
        <f t="shared" ca="1" si="3"/>
        <v>3176.66</v>
      </c>
      <c r="Z58" s="75"/>
      <c r="AA58" s="66">
        <f t="shared" ca="1" si="4"/>
        <v>2</v>
      </c>
      <c r="AB58" s="19"/>
      <c r="AC58" s="19"/>
      <c r="AD58" s="19"/>
      <c r="AE58" s="19"/>
    </row>
    <row r="59" spans="1:31" s="18" customFormat="1" ht="16.5" customHeight="1" x14ac:dyDescent="0.2">
      <c r="A59" s="39">
        <f t="shared" si="5"/>
        <v>56</v>
      </c>
      <c r="B59" s="40" t="s">
        <v>236</v>
      </c>
      <c r="C59" s="41">
        <v>1103542500</v>
      </c>
      <c r="D59" s="42">
        <v>28442</v>
      </c>
      <c r="E59" s="40" t="s">
        <v>18</v>
      </c>
      <c r="F59" s="40" t="s">
        <v>385</v>
      </c>
      <c r="G59" s="40" t="s">
        <v>384</v>
      </c>
      <c r="H59" s="39" t="s">
        <v>383</v>
      </c>
      <c r="I59" s="43">
        <v>1010729943</v>
      </c>
      <c r="J59" s="42">
        <v>39569</v>
      </c>
      <c r="K59" s="42"/>
      <c r="L59" s="42">
        <v>39569</v>
      </c>
      <c r="M59" s="44">
        <v>419</v>
      </c>
      <c r="N59" s="40" t="s">
        <v>436</v>
      </c>
      <c r="O59" s="44">
        <v>561</v>
      </c>
      <c r="P59" s="44">
        <v>561</v>
      </c>
      <c r="Q59" s="44">
        <f>P59-M59</f>
        <v>142</v>
      </c>
      <c r="R59" s="29">
        <f t="shared" si="0"/>
        <v>1704</v>
      </c>
      <c r="S59" s="29">
        <f t="shared" si="6"/>
        <v>87.84</v>
      </c>
      <c r="T59" s="65">
        <f t="shared" ca="1" si="1"/>
        <v>134.64000000000001</v>
      </c>
      <c r="U59" s="29">
        <f>$U$3*20*12</f>
        <v>120</v>
      </c>
      <c r="V59" s="29">
        <f>$V$3*20*12</f>
        <v>960</v>
      </c>
      <c r="W59" s="44">
        <f>$W$3*12</f>
        <v>48</v>
      </c>
      <c r="X59" s="29">
        <f t="shared" si="2"/>
        <v>169</v>
      </c>
      <c r="Y59" s="29">
        <f t="shared" ca="1" si="3"/>
        <v>3365.48</v>
      </c>
      <c r="Z59" s="75">
        <v>2</v>
      </c>
      <c r="AA59" s="66">
        <f t="shared" ca="1" si="4"/>
        <v>8</v>
      </c>
      <c r="AB59" s="19"/>
      <c r="AC59" s="19"/>
      <c r="AD59" s="19"/>
      <c r="AE59" s="19"/>
    </row>
    <row r="60" spans="1:31" s="18" customFormat="1" ht="16.5" customHeight="1" x14ac:dyDescent="0.2">
      <c r="A60" s="39">
        <f t="shared" si="5"/>
        <v>57</v>
      </c>
      <c r="B60" s="40" t="s">
        <v>250</v>
      </c>
      <c r="C60" s="41">
        <v>800645061</v>
      </c>
      <c r="D60" s="42">
        <v>22182</v>
      </c>
      <c r="E60" s="40" t="s">
        <v>18</v>
      </c>
      <c r="F60" s="40" t="s">
        <v>385</v>
      </c>
      <c r="G60" s="40" t="s">
        <v>386</v>
      </c>
      <c r="H60" s="39" t="s">
        <v>383</v>
      </c>
      <c r="I60" s="43">
        <v>4756476100</v>
      </c>
      <c r="J60" s="42">
        <v>39569</v>
      </c>
      <c r="K60" s="42"/>
      <c r="L60" s="42">
        <v>39569</v>
      </c>
      <c r="M60" s="44">
        <v>419</v>
      </c>
      <c r="N60" s="40" t="s">
        <v>436</v>
      </c>
      <c r="O60" s="44">
        <v>561</v>
      </c>
      <c r="P60" s="44">
        <v>561</v>
      </c>
      <c r="Q60" s="44">
        <f>P60-M60</f>
        <v>142</v>
      </c>
      <c r="R60" s="29">
        <f t="shared" si="0"/>
        <v>1704</v>
      </c>
      <c r="S60" s="29">
        <f t="shared" si="6"/>
        <v>43.92</v>
      </c>
      <c r="T60" s="65">
        <f t="shared" ca="1" si="1"/>
        <v>134.64000000000001</v>
      </c>
      <c r="U60" s="29">
        <f>$U$3*20*12</f>
        <v>120</v>
      </c>
      <c r="V60" s="29">
        <f>$V$3*20*12</f>
        <v>960</v>
      </c>
      <c r="W60" s="44">
        <f>$W$3*12</f>
        <v>48</v>
      </c>
      <c r="X60" s="29">
        <f t="shared" si="2"/>
        <v>169</v>
      </c>
      <c r="Y60" s="29">
        <f t="shared" ca="1" si="3"/>
        <v>3321.5600000000004</v>
      </c>
      <c r="Z60" s="75">
        <v>1</v>
      </c>
      <c r="AA60" s="66">
        <f t="shared" ca="1" si="4"/>
        <v>8</v>
      </c>
      <c r="AB60" s="19"/>
      <c r="AC60" s="19"/>
      <c r="AD60" s="19"/>
      <c r="AE60" s="19"/>
    </row>
    <row r="61" spans="1:31" s="18" customFormat="1" ht="16.5" customHeight="1" x14ac:dyDescent="0.2">
      <c r="A61" s="39">
        <f t="shared" si="5"/>
        <v>58</v>
      </c>
      <c r="B61" s="40" t="s">
        <v>352</v>
      </c>
      <c r="C61" s="41">
        <v>801287467</v>
      </c>
      <c r="D61" s="42">
        <v>25712</v>
      </c>
      <c r="E61" s="40" t="s">
        <v>18</v>
      </c>
      <c r="F61" s="40" t="s">
        <v>385</v>
      </c>
      <c r="G61" s="40" t="s">
        <v>384</v>
      </c>
      <c r="H61" s="39" t="s">
        <v>383</v>
      </c>
      <c r="I61" s="43">
        <v>1010729862</v>
      </c>
      <c r="J61" s="42">
        <v>39569</v>
      </c>
      <c r="K61" s="42"/>
      <c r="L61" s="42">
        <v>39569</v>
      </c>
      <c r="M61" s="44">
        <v>419</v>
      </c>
      <c r="N61" s="40" t="s">
        <v>436</v>
      </c>
      <c r="O61" s="44">
        <v>561</v>
      </c>
      <c r="P61" s="44">
        <v>561</v>
      </c>
      <c r="Q61" s="44">
        <f>P61-M61</f>
        <v>142</v>
      </c>
      <c r="R61" s="29">
        <f t="shared" si="0"/>
        <v>1704</v>
      </c>
      <c r="S61" s="29">
        <f t="shared" si="6"/>
        <v>87.84</v>
      </c>
      <c r="T61" s="65">
        <f t="shared" ca="1" si="1"/>
        <v>134.64000000000001</v>
      </c>
      <c r="U61" s="29">
        <f>$U$3*20*12</f>
        <v>120</v>
      </c>
      <c r="V61" s="29">
        <f>$V$3*20*12</f>
        <v>960</v>
      </c>
      <c r="W61" s="44">
        <f>$W$3*12</f>
        <v>48</v>
      </c>
      <c r="X61" s="29">
        <f t="shared" si="2"/>
        <v>169</v>
      </c>
      <c r="Y61" s="29">
        <f t="shared" ca="1" si="3"/>
        <v>3365.48</v>
      </c>
      <c r="Z61" s="75">
        <v>2</v>
      </c>
      <c r="AA61" s="66">
        <f t="shared" ca="1" si="4"/>
        <v>8</v>
      </c>
      <c r="AB61" s="19"/>
      <c r="AC61" s="19"/>
      <c r="AD61" s="19"/>
      <c r="AE61" s="19"/>
    </row>
    <row r="62" spans="1:31" s="18" customFormat="1" ht="16.5" customHeight="1" x14ac:dyDescent="0.2">
      <c r="A62" s="39">
        <f t="shared" si="5"/>
        <v>59</v>
      </c>
      <c r="B62" s="40" t="s">
        <v>355</v>
      </c>
      <c r="C62" s="41">
        <v>700905979</v>
      </c>
      <c r="D62" s="42">
        <v>19246</v>
      </c>
      <c r="E62" s="40" t="s">
        <v>18</v>
      </c>
      <c r="F62" s="40" t="s">
        <v>385</v>
      </c>
      <c r="G62" s="40" t="s">
        <v>384</v>
      </c>
      <c r="H62" s="39" t="s">
        <v>383</v>
      </c>
      <c r="I62" s="43">
        <v>1010249348</v>
      </c>
      <c r="J62" s="42">
        <v>39569</v>
      </c>
      <c r="K62" s="42"/>
      <c r="L62" s="42">
        <v>39569</v>
      </c>
      <c r="M62" s="44">
        <v>419</v>
      </c>
      <c r="N62" s="40" t="s">
        <v>436</v>
      </c>
      <c r="O62" s="44">
        <v>561</v>
      </c>
      <c r="P62" s="44">
        <v>561</v>
      </c>
      <c r="Q62" s="44">
        <f>P62-M62</f>
        <v>142</v>
      </c>
      <c r="R62" s="29">
        <f t="shared" si="0"/>
        <v>1704</v>
      </c>
      <c r="S62" s="29">
        <f t="shared" si="6"/>
        <v>0</v>
      </c>
      <c r="T62" s="65">
        <f t="shared" ca="1" si="1"/>
        <v>134.64000000000001</v>
      </c>
      <c r="U62" s="29">
        <f>$U$3*20*12</f>
        <v>120</v>
      </c>
      <c r="V62" s="29">
        <f>$V$3*20*12</f>
        <v>960</v>
      </c>
      <c r="W62" s="44">
        <f>$W$3*12</f>
        <v>48</v>
      </c>
      <c r="X62" s="29">
        <f t="shared" si="2"/>
        <v>169</v>
      </c>
      <c r="Y62" s="29">
        <f t="shared" ca="1" si="3"/>
        <v>3277.6400000000003</v>
      </c>
      <c r="Z62" s="75"/>
      <c r="AA62" s="66">
        <f t="shared" ca="1" si="4"/>
        <v>8</v>
      </c>
      <c r="AB62" s="19"/>
      <c r="AC62" s="19"/>
      <c r="AD62" s="19"/>
      <c r="AE62" s="19"/>
    </row>
    <row r="63" spans="1:31" s="18" customFormat="1" ht="16.5" customHeight="1" x14ac:dyDescent="0.2">
      <c r="A63" s="39">
        <f t="shared" si="5"/>
        <v>60</v>
      </c>
      <c r="B63" s="40" t="s">
        <v>366</v>
      </c>
      <c r="C63" s="41">
        <v>707085882</v>
      </c>
      <c r="D63" s="42">
        <v>30674</v>
      </c>
      <c r="E63" s="40" t="s">
        <v>18</v>
      </c>
      <c r="F63" s="40" t="s">
        <v>387</v>
      </c>
      <c r="G63" s="40" t="s">
        <v>420</v>
      </c>
      <c r="H63" s="39" t="s">
        <v>383</v>
      </c>
      <c r="I63" s="43">
        <v>10201018937</v>
      </c>
      <c r="J63" s="42">
        <v>40969</v>
      </c>
      <c r="K63" s="42"/>
      <c r="L63" s="42">
        <v>40969</v>
      </c>
      <c r="M63" s="44">
        <v>419</v>
      </c>
      <c r="N63" s="40" t="s">
        <v>436</v>
      </c>
      <c r="O63" s="44">
        <v>561</v>
      </c>
      <c r="P63" s="44">
        <v>561</v>
      </c>
      <c r="Q63" s="44">
        <f>P63-M63</f>
        <v>142</v>
      </c>
      <c r="R63" s="29">
        <f t="shared" si="0"/>
        <v>1704</v>
      </c>
      <c r="S63" s="29">
        <f t="shared" si="6"/>
        <v>0</v>
      </c>
      <c r="T63" s="65">
        <f t="shared" ca="1" si="1"/>
        <v>67.320000000000007</v>
      </c>
      <c r="U63" s="29">
        <f>$U$3*20*12</f>
        <v>120</v>
      </c>
      <c r="V63" s="29">
        <f>$V$3*20*12</f>
        <v>960</v>
      </c>
      <c r="W63" s="44">
        <f>$W$3*12</f>
        <v>48</v>
      </c>
      <c r="X63" s="29">
        <f t="shared" si="2"/>
        <v>169</v>
      </c>
      <c r="Y63" s="29">
        <f t="shared" ca="1" si="3"/>
        <v>3210.3199999999997</v>
      </c>
      <c r="Z63" s="75"/>
      <c r="AA63" s="66">
        <f t="shared" ca="1" si="4"/>
        <v>4</v>
      </c>
      <c r="AB63" s="19"/>
      <c r="AC63" s="19"/>
      <c r="AD63" s="19"/>
      <c r="AE63" s="19"/>
    </row>
    <row r="64" spans="1:31" s="18" customFormat="1" ht="16.5" customHeight="1" x14ac:dyDescent="0.2">
      <c r="A64" s="45">
        <f t="shared" si="5"/>
        <v>61</v>
      </c>
      <c r="B64" s="46" t="s">
        <v>39</v>
      </c>
      <c r="C64" s="46">
        <v>702166422</v>
      </c>
      <c r="D64" s="50">
        <v>24415</v>
      </c>
      <c r="E64" s="46" t="s">
        <v>40</v>
      </c>
      <c r="F64" s="46" t="s">
        <v>385</v>
      </c>
      <c r="G64" s="50" t="s">
        <v>384</v>
      </c>
      <c r="H64" s="63" t="s">
        <v>383</v>
      </c>
      <c r="I64" s="51">
        <v>1010093399</v>
      </c>
      <c r="J64" s="46">
        <v>33573</v>
      </c>
      <c r="K64" s="46"/>
      <c r="L64" s="46">
        <v>33573</v>
      </c>
      <c r="M64" s="46">
        <v>526.75</v>
      </c>
      <c r="N64" s="46" t="s">
        <v>435</v>
      </c>
      <c r="O64" s="50">
        <v>561</v>
      </c>
      <c r="P64" s="50">
        <v>561</v>
      </c>
      <c r="Q64" s="50">
        <f>P64-M64</f>
        <v>34.25</v>
      </c>
      <c r="R64" s="50">
        <f t="shared" si="0"/>
        <v>411</v>
      </c>
      <c r="S64" s="29">
        <f t="shared" si="6"/>
        <v>131.76</v>
      </c>
      <c r="T64" s="65">
        <f t="shared" ca="1" si="1"/>
        <v>201.96000000000004</v>
      </c>
      <c r="U64" s="50">
        <f>$U$3*20*12</f>
        <v>120</v>
      </c>
      <c r="V64" s="50">
        <f>$V$3*20*12</f>
        <v>960</v>
      </c>
      <c r="W64" s="50">
        <f>$W$3*12</f>
        <v>48</v>
      </c>
      <c r="X64" s="50">
        <f t="shared" si="2"/>
        <v>169</v>
      </c>
      <c r="Y64" s="50">
        <f t="shared" ca="1" si="3"/>
        <v>2075.9700000000003</v>
      </c>
      <c r="Z64" s="77">
        <v>3</v>
      </c>
      <c r="AA64" s="66">
        <f t="shared" ca="1" si="4"/>
        <v>12</v>
      </c>
      <c r="AB64" s="19"/>
      <c r="AC64" s="19"/>
      <c r="AD64" s="19"/>
      <c r="AE64" s="19"/>
    </row>
    <row r="65" spans="1:31 16376:16376" s="18" customFormat="1" ht="16.5" customHeight="1" x14ac:dyDescent="0.2">
      <c r="A65" s="45">
        <f t="shared" si="5"/>
        <v>62</v>
      </c>
      <c r="B65" s="46" t="s">
        <v>287</v>
      </c>
      <c r="C65" s="46">
        <v>705741122</v>
      </c>
      <c r="D65" s="50">
        <v>34888</v>
      </c>
      <c r="E65" s="46" t="s">
        <v>40</v>
      </c>
      <c r="F65" s="46" t="s">
        <v>385</v>
      </c>
      <c r="G65" s="50" t="s">
        <v>386</v>
      </c>
      <c r="H65" s="63" t="s">
        <v>383</v>
      </c>
      <c r="I65" s="51">
        <v>2200849348</v>
      </c>
      <c r="J65" s="46">
        <v>41614</v>
      </c>
      <c r="K65" s="46"/>
      <c r="L65" s="46">
        <v>41614</v>
      </c>
      <c r="M65" s="50">
        <v>419</v>
      </c>
      <c r="N65" s="46" t="s">
        <v>435</v>
      </c>
      <c r="O65" s="50">
        <v>561</v>
      </c>
      <c r="P65" s="50">
        <v>561</v>
      </c>
      <c r="Q65" s="50">
        <f>P65-M65</f>
        <v>142</v>
      </c>
      <c r="R65" s="50">
        <f t="shared" si="0"/>
        <v>1704</v>
      </c>
      <c r="S65" s="29">
        <f t="shared" si="6"/>
        <v>0</v>
      </c>
      <c r="T65" s="65">
        <f t="shared" ca="1" si="1"/>
        <v>50.490000000000009</v>
      </c>
      <c r="U65" s="50">
        <f>$U$3*20*12</f>
        <v>120</v>
      </c>
      <c r="V65" s="50">
        <f>$V$3*20*12</f>
        <v>960</v>
      </c>
      <c r="W65" s="50">
        <f>$W$3*12</f>
        <v>48</v>
      </c>
      <c r="X65" s="50">
        <f t="shared" si="2"/>
        <v>169</v>
      </c>
      <c r="Y65" s="50">
        <f t="shared" ca="1" si="3"/>
        <v>3193.49</v>
      </c>
      <c r="Z65" s="77"/>
      <c r="AA65" s="66">
        <f t="shared" ca="1" si="4"/>
        <v>3</v>
      </c>
      <c r="AB65" s="19"/>
      <c r="AC65" s="19"/>
      <c r="AD65" s="19"/>
      <c r="AE65" s="19"/>
    </row>
    <row r="66" spans="1:31 16376:16376" s="18" customFormat="1" ht="16.5" customHeight="1" x14ac:dyDescent="0.2">
      <c r="A66" s="45">
        <f t="shared" si="5"/>
        <v>63</v>
      </c>
      <c r="B66" s="46" t="s">
        <v>344</v>
      </c>
      <c r="C66" s="46">
        <v>701670515</v>
      </c>
      <c r="D66" s="50">
        <v>21985</v>
      </c>
      <c r="E66" s="46" t="s">
        <v>40</v>
      </c>
      <c r="F66" s="46" t="s">
        <v>385</v>
      </c>
      <c r="G66" s="50" t="s">
        <v>384</v>
      </c>
      <c r="H66" s="63" t="s">
        <v>383</v>
      </c>
      <c r="I66" s="51">
        <v>1020098364</v>
      </c>
      <c r="J66" s="46">
        <v>41883</v>
      </c>
      <c r="K66" s="46"/>
      <c r="L66" s="46">
        <v>41883</v>
      </c>
      <c r="M66" s="50">
        <v>500</v>
      </c>
      <c r="N66" s="46" t="s">
        <v>435</v>
      </c>
      <c r="O66" s="50">
        <v>561</v>
      </c>
      <c r="P66" s="50">
        <v>561</v>
      </c>
      <c r="Q66" s="50">
        <f>P66-M66</f>
        <v>61</v>
      </c>
      <c r="R66" s="50">
        <f t="shared" si="0"/>
        <v>732</v>
      </c>
      <c r="S66" s="29">
        <f t="shared" si="6"/>
        <v>0</v>
      </c>
      <c r="T66" s="65">
        <f t="shared" ca="1" si="1"/>
        <v>33.660000000000004</v>
      </c>
      <c r="U66" s="50">
        <f>$U$3*20*12</f>
        <v>120</v>
      </c>
      <c r="V66" s="50">
        <f>$V$3*20*12</f>
        <v>960</v>
      </c>
      <c r="W66" s="50">
        <f>$W$3*12</f>
        <v>48</v>
      </c>
      <c r="X66" s="50">
        <f t="shared" si="2"/>
        <v>169</v>
      </c>
      <c r="Y66" s="50">
        <f t="shared" ca="1" si="3"/>
        <v>2123.66</v>
      </c>
      <c r="Z66" s="77"/>
      <c r="AA66" s="66">
        <f t="shared" ca="1" si="4"/>
        <v>2</v>
      </c>
      <c r="AB66" s="19"/>
      <c r="AC66" s="19"/>
      <c r="AD66" s="19"/>
      <c r="AE66" s="19"/>
    </row>
    <row r="67" spans="1:31 16376:16376" s="18" customFormat="1" ht="16.5" customHeight="1" x14ac:dyDescent="0.2">
      <c r="A67" s="45">
        <f t="shared" si="5"/>
        <v>64</v>
      </c>
      <c r="B67" s="46" t="s">
        <v>360</v>
      </c>
      <c r="C67" s="46">
        <v>703664037</v>
      </c>
      <c r="D67" s="50">
        <v>31278</v>
      </c>
      <c r="E67" s="46" t="s">
        <v>40</v>
      </c>
      <c r="F67" s="46" t="s">
        <v>385</v>
      </c>
      <c r="G67" s="50" t="s">
        <v>384</v>
      </c>
      <c r="H67" s="63" t="s">
        <v>383</v>
      </c>
      <c r="I67" s="51">
        <v>1040665931</v>
      </c>
      <c r="J67" s="46">
        <v>41883</v>
      </c>
      <c r="K67" s="46"/>
      <c r="L67" s="46">
        <v>41883</v>
      </c>
      <c r="M67" s="50">
        <v>500</v>
      </c>
      <c r="N67" s="46" t="s">
        <v>435</v>
      </c>
      <c r="O67" s="50">
        <v>561</v>
      </c>
      <c r="P67" s="50">
        <v>561</v>
      </c>
      <c r="Q67" s="50">
        <f>P67-M67</f>
        <v>61</v>
      </c>
      <c r="R67" s="50">
        <f t="shared" si="0"/>
        <v>732</v>
      </c>
      <c r="S67" s="29">
        <f t="shared" si="6"/>
        <v>0</v>
      </c>
      <c r="T67" s="65">
        <f t="shared" ca="1" si="1"/>
        <v>33.660000000000004</v>
      </c>
      <c r="U67" s="50">
        <f>$U$3*20*12</f>
        <v>120</v>
      </c>
      <c r="V67" s="50">
        <f>$V$3*20*12</f>
        <v>960</v>
      </c>
      <c r="W67" s="50">
        <f>$W$3*12</f>
        <v>48</v>
      </c>
      <c r="X67" s="50">
        <f t="shared" si="2"/>
        <v>169</v>
      </c>
      <c r="Y67" s="50">
        <f t="shared" ca="1" si="3"/>
        <v>2123.66</v>
      </c>
      <c r="Z67" s="77"/>
      <c r="AA67" s="66">
        <f t="shared" ca="1" si="4"/>
        <v>2</v>
      </c>
      <c r="AB67" s="19"/>
      <c r="AC67" s="19"/>
      <c r="AD67" s="19"/>
      <c r="AE67" s="19"/>
    </row>
    <row r="68" spans="1:31 16376:16376" s="18" customFormat="1" ht="16.5" customHeight="1" x14ac:dyDescent="0.2">
      <c r="A68" s="39">
        <f t="shared" si="5"/>
        <v>65</v>
      </c>
      <c r="B68" s="40" t="s">
        <v>175</v>
      </c>
      <c r="C68" s="41">
        <v>701567067</v>
      </c>
      <c r="D68" s="42">
        <v>22529</v>
      </c>
      <c r="E68" s="40" t="s">
        <v>176</v>
      </c>
      <c r="F68" s="40" t="s">
        <v>388</v>
      </c>
      <c r="G68" s="40" t="s">
        <v>417</v>
      </c>
      <c r="H68" s="39" t="s">
        <v>383</v>
      </c>
      <c r="I68" s="43">
        <v>406039504606</v>
      </c>
      <c r="J68" s="42">
        <v>37018</v>
      </c>
      <c r="K68" s="42"/>
      <c r="L68" s="42">
        <v>37018</v>
      </c>
      <c r="M68" s="44">
        <v>525</v>
      </c>
      <c r="N68" s="40" t="s">
        <v>176</v>
      </c>
      <c r="O68" s="44">
        <v>561</v>
      </c>
      <c r="P68" s="44">
        <v>561</v>
      </c>
      <c r="Q68" s="44">
        <f>P68-M68</f>
        <v>36</v>
      </c>
      <c r="R68" s="29">
        <f t="shared" si="0"/>
        <v>432</v>
      </c>
      <c r="S68" s="29">
        <f t="shared" si="6"/>
        <v>0</v>
      </c>
      <c r="T68" s="65">
        <f t="shared" ca="1" si="1"/>
        <v>201.96000000000004</v>
      </c>
      <c r="U68" s="29">
        <f>$U$3*20*12</f>
        <v>120</v>
      </c>
      <c r="V68" s="29">
        <f>$V$3*20*12</f>
        <v>960</v>
      </c>
      <c r="W68" s="44">
        <f>$W$3*12</f>
        <v>48</v>
      </c>
      <c r="X68" s="29">
        <f t="shared" si="2"/>
        <v>169</v>
      </c>
      <c r="Y68" s="29">
        <f t="shared" ca="1" si="3"/>
        <v>1966.96</v>
      </c>
      <c r="Z68" s="75"/>
      <c r="AA68" s="66">
        <f t="shared" ca="1" si="4"/>
        <v>12</v>
      </c>
      <c r="AB68" s="19"/>
      <c r="AC68" s="19"/>
      <c r="AD68" s="19"/>
      <c r="AE68" s="19"/>
    </row>
    <row r="69" spans="1:31 16376:16376" s="18" customFormat="1" ht="16.5" customHeight="1" x14ac:dyDescent="0.2">
      <c r="A69" s="39">
        <f t="shared" si="5"/>
        <v>66</v>
      </c>
      <c r="B69" s="40" t="s">
        <v>310</v>
      </c>
      <c r="C69" s="41">
        <v>704777788</v>
      </c>
      <c r="D69" s="42">
        <v>31347</v>
      </c>
      <c r="E69" s="40" t="s">
        <v>176</v>
      </c>
      <c r="F69" s="40" t="s">
        <v>422</v>
      </c>
      <c r="G69" s="40" t="s">
        <v>391</v>
      </c>
      <c r="H69" s="39" t="s">
        <v>383</v>
      </c>
      <c r="I69" s="43">
        <v>13081586</v>
      </c>
      <c r="J69" s="42">
        <v>40725</v>
      </c>
      <c r="K69" s="42"/>
      <c r="L69" s="42">
        <v>40725</v>
      </c>
      <c r="M69" s="44">
        <v>587</v>
      </c>
      <c r="N69" s="40" t="s">
        <v>176</v>
      </c>
      <c r="O69" s="44">
        <v>561</v>
      </c>
      <c r="P69" s="44">
        <v>587</v>
      </c>
      <c r="Q69" s="44">
        <f>P69-M69</f>
        <v>0</v>
      </c>
      <c r="R69" s="29">
        <f t="shared" ref="R69:R132" si="7">Q69*12</f>
        <v>0</v>
      </c>
      <c r="S69" s="29">
        <f t="shared" si="6"/>
        <v>0</v>
      </c>
      <c r="T69" s="65">
        <f t="shared" ref="T69:T132" ca="1" si="8">P69*$T$3*AA69*12</f>
        <v>88.050000000000011</v>
      </c>
      <c r="U69" s="29">
        <f t="shared" ref="U69:U132" si="9">$U$3*20*12</f>
        <v>120</v>
      </c>
      <c r="V69" s="29">
        <f t="shared" ref="V69:V132" si="10">$V$3*20*12</f>
        <v>960</v>
      </c>
      <c r="W69" s="44">
        <f t="shared" ref="W69:W132" si="11">$W$3*12</f>
        <v>48</v>
      </c>
      <c r="X69" s="29">
        <f t="shared" ref="X69:X132" si="12">$X$3</f>
        <v>169</v>
      </c>
      <c r="Y69" s="29">
        <f t="shared" ref="Y69:Y132" ca="1" si="13">SUM(Q69:X69)</f>
        <v>1385.05</v>
      </c>
      <c r="Z69" s="75"/>
      <c r="AA69" s="66">
        <f t="shared" ref="AA69:AA132" ca="1" si="14">IF(YEAR(L69)&gt;2003,(YEAR(TODAY())-YEAR(L69)),12)</f>
        <v>5</v>
      </c>
      <c r="AB69" s="19"/>
      <c r="AC69" s="19"/>
      <c r="AD69" s="19"/>
      <c r="AE69" s="19"/>
    </row>
    <row r="70" spans="1:31 16376:16376" s="18" customFormat="1" ht="16.5" customHeight="1" x14ac:dyDescent="0.2">
      <c r="A70" s="45">
        <f t="shared" si="5"/>
        <v>67</v>
      </c>
      <c r="B70" s="46" t="s">
        <v>321</v>
      </c>
      <c r="C70" s="46">
        <v>704085521</v>
      </c>
      <c r="D70" s="50">
        <v>29633</v>
      </c>
      <c r="E70" s="46" t="s">
        <v>322</v>
      </c>
      <c r="F70" s="46" t="s">
        <v>385</v>
      </c>
      <c r="G70" s="50" t="s">
        <v>393</v>
      </c>
      <c r="H70" s="63" t="s">
        <v>383</v>
      </c>
      <c r="I70" s="51">
        <v>8201150000</v>
      </c>
      <c r="J70" s="46">
        <v>39979</v>
      </c>
      <c r="K70" s="46"/>
      <c r="L70" s="46">
        <v>41061</v>
      </c>
      <c r="M70" s="50">
        <v>419</v>
      </c>
      <c r="N70" s="46" t="s">
        <v>440</v>
      </c>
      <c r="O70" s="50">
        <v>561</v>
      </c>
      <c r="P70" s="50">
        <v>561</v>
      </c>
      <c r="Q70" s="50">
        <f>P70-M70</f>
        <v>142</v>
      </c>
      <c r="R70" s="50">
        <f t="shared" si="7"/>
        <v>1704</v>
      </c>
      <c r="S70" s="29">
        <f t="shared" si="6"/>
        <v>131.76</v>
      </c>
      <c r="T70" s="65">
        <f t="shared" ca="1" si="8"/>
        <v>67.320000000000007</v>
      </c>
      <c r="U70" s="50">
        <f t="shared" si="9"/>
        <v>120</v>
      </c>
      <c r="V70" s="50">
        <f t="shared" si="10"/>
        <v>960</v>
      </c>
      <c r="W70" s="50">
        <f t="shared" si="11"/>
        <v>48</v>
      </c>
      <c r="X70" s="50">
        <f t="shared" si="12"/>
        <v>169</v>
      </c>
      <c r="Y70" s="50">
        <f t="shared" ca="1" si="13"/>
        <v>3342.08</v>
      </c>
      <c r="Z70" s="75">
        <v>3</v>
      </c>
      <c r="AA70" s="66">
        <f t="shared" ca="1" si="14"/>
        <v>4</v>
      </c>
      <c r="AB70" s="19"/>
      <c r="AC70" s="19"/>
      <c r="AD70" s="19"/>
      <c r="AE70" s="19"/>
    </row>
    <row r="71" spans="1:31 16376:16376" s="18" customFormat="1" ht="16.5" customHeight="1" x14ac:dyDescent="0.2">
      <c r="A71" s="39">
        <f t="shared" ref="A71:A134" si="15">A70+1</f>
        <v>68</v>
      </c>
      <c r="B71" s="40" t="s">
        <v>59</v>
      </c>
      <c r="C71" s="41">
        <v>704945120</v>
      </c>
      <c r="D71" s="42">
        <v>32749</v>
      </c>
      <c r="E71" s="40" t="s">
        <v>60</v>
      </c>
      <c r="F71" s="40" t="s">
        <v>422</v>
      </c>
      <c r="G71" s="40" t="s">
        <v>393</v>
      </c>
      <c r="H71" s="39" t="s">
        <v>383</v>
      </c>
      <c r="I71" s="43">
        <v>8201886500</v>
      </c>
      <c r="J71" s="42">
        <v>39994</v>
      </c>
      <c r="K71" s="42"/>
      <c r="L71" s="42">
        <v>39994</v>
      </c>
      <c r="M71" s="44">
        <v>419</v>
      </c>
      <c r="N71" s="40" t="s">
        <v>60</v>
      </c>
      <c r="O71" s="44">
        <v>561</v>
      </c>
      <c r="P71" s="44">
        <v>561</v>
      </c>
      <c r="Q71" s="44">
        <f>P71-M71</f>
        <v>142</v>
      </c>
      <c r="R71" s="29">
        <f t="shared" si="7"/>
        <v>1704</v>
      </c>
      <c r="S71" s="29">
        <f t="shared" ref="S71:S134" si="16">$S$3*1%*Z71*12</f>
        <v>0</v>
      </c>
      <c r="T71" s="65">
        <f t="shared" ca="1" si="8"/>
        <v>117.81</v>
      </c>
      <c r="U71" s="29">
        <f t="shared" si="9"/>
        <v>120</v>
      </c>
      <c r="V71" s="29">
        <f t="shared" si="10"/>
        <v>960</v>
      </c>
      <c r="W71" s="44">
        <f t="shared" si="11"/>
        <v>48</v>
      </c>
      <c r="X71" s="29">
        <f t="shared" si="12"/>
        <v>169</v>
      </c>
      <c r="Y71" s="29">
        <f t="shared" ca="1" si="13"/>
        <v>3260.81</v>
      </c>
      <c r="Z71" s="75"/>
      <c r="AA71" s="66">
        <f t="shared" ca="1" si="14"/>
        <v>7</v>
      </c>
      <c r="AB71" s="19"/>
      <c r="AC71" s="19"/>
      <c r="AD71" s="19"/>
      <c r="AE71" s="19"/>
    </row>
    <row r="72" spans="1:31 16376:16376" s="18" customFormat="1" ht="16.5" customHeight="1" x14ac:dyDescent="0.2">
      <c r="A72" s="39">
        <f t="shared" si="15"/>
        <v>69</v>
      </c>
      <c r="B72" s="40" t="s">
        <v>210</v>
      </c>
      <c r="C72" s="41">
        <v>702916479</v>
      </c>
      <c r="D72" s="42">
        <v>28558</v>
      </c>
      <c r="E72" s="40" t="s">
        <v>60</v>
      </c>
      <c r="F72" s="40" t="s">
        <v>422</v>
      </c>
      <c r="G72" s="40" t="s">
        <v>417</v>
      </c>
      <c r="H72" s="39" t="s">
        <v>383</v>
      </c>
      <c r="I72" s="43">
        <v>406033556108</v>
      </c>
      <c r="J72" s="42">
        <v>40969</v>
      </c>
      <c r="K72" s="42"/>
      <c r="L72" s="42">
        <v>40969</v>
      </c>
      <c r="M72" s="44">
        <v>419</v>
      </c>
      <c r="N72" s="40" t="s">
        <v>60</v>
      </c>
      <c r="O72" s="44">
        <v>561</v>
      </c>
      <c r="P72" s="44">
        <v>561</v>
      </c>
      <c r="Q72" s="44">
        <f>P72-M72</f>
        <v>142</v>
      </c>
      <c r="R72" s="29">
        <f t="shared" si="7"/>
        <v>1704</v>
      </c>
      <c r="S72" s="29">
        <f t="shared" si="16"/>
        <v>0</v>
      </c>
      <c r="T72" s="65">
        <f t="shared" ca="1" si="8"/>
        <v>67.320000000000007</v>
      </c>
      <c r="U72" s="29">
        <f t="shared" si="9"/>
        <v>120</v>
      </c>
      <c r="V72" s="29">
        <f t="shared" si="10"/>
        <v>960</v>
      </c>
      <c r="W72" s="44">
        <f t="shared" si="11"/>
        <v>48</v>
      </c>
      <c r="X72" s="29">
        <f t="shared" si="12"/>
        <v>169</v>
      </c>
      <c r="Y72" s="29">
        <f t="shared" ca="1" si="13"/>
        <v>3210.3199999999997</v>
      </c>
      <c r="Z72" s="75"/>
      <c r="AA72" s="66">
        <f t="shared" ca="1" si="14"/>
        <v>4</v>
      </c>
      <c r="AB72" s="19"/>
      <c r="AC72" s="19"/>
      <c r="AD72" s="19"/>
      <c r="AE72" s="19"/>
    </row>
    <row r="73" spans="1:31 16376:16376" s="18" customFormat="1" ht="16.5" customHeight="1" x14ac:dyDescent="0.2">
      <c r="A73" s="39">
        <f t="shared" si="15"/>
        <v>70</v>
      </c>
      <c r="B73" s="40" t="s">
        <v>211</v>
      </c>
      <c r="C73" s="41">
        <v>911820488</v>
      </c>
      <c r="D73" s="42">
        <v>25036</v>
      </c>
      <c r="E73" s="40" t="s">
        <v>60</v>
      </c>
      <c r="F73" s="40" t="s">
        <v>422</v>
      </c>
      <c r="G73" s="40" t="s">
        <v>384</v>
      </c>
      <c r="H73" s="39" t="s">
        <v>383</v>
      </c>
      <c r="I73" s="43">
        <v>1010730135</v>
      </c>
      <c r="J73" s="42">
        <v>39569</v>
      </c>
      <c r="K73" s="42"/>
      <c r="L73" s="42">
        <v>39569</v>
      </c>
      <c r="M73" s="44">
        <v>419</v>
      </c>
      <c r="N73" s="40" t="s">
        <v>60</v>
      </c>
      <c r="O73" s="44">
        <v>561</v>
      </c>
      <c r="P73" s="44">
        <v>561</v>
      </c>
      <c r="Q73" s="44">
        <f>P73-M73</f>
        <v>142</v>
      </c>
      <c r="R73" s="29">
        <f t="shared" si="7"/>
        <v>1704</v>
      </c>
      <c r="S73" s="29">
        <f t="shared" si="16"/>
        <v>87.84</v>
      </c>
      <c r="T73" s="65">
        <f t="shared" ca="1" si="8"/>
        <v>134.64000000000001</v>
      </c>
      <c r="U73" s="29">
        <f t="shared" si="9"/>
        <v>120</v>
      </c>
      <c r="V73" s="29">
        <f t="shared" si="10"/>
        <v>960</v>
      </c>
      <c r="W73" s="44">
        <f t="shared" si="11"/>
        <v>48</v>
      </c>
      <c r="X73" s="29">
        <f t="shared" si="12"/>
        <v>169</v>
      </c>
      <c r="Y73" s="29">
        <f t="shared" ca="1" si="13"/>
        <v>3365.48</v>
      </c>
      <c r="Z73" s="75">
        <v>2</v>
      </c>
      <c r="AA73" s="66">
        <f t="shared" ca="1" si="14"/>
        <v>8</v>
      </c>
      <c r="AB73" s="19"/>
      <c r="AC73" s="19"/>
      <c r="AD73" s="19"/>
      <c r="AE73" s="19"/>
    </row>
    <row r="74" spans="1:31 16376:16376" s="18" customFormat="1" ht="16.5" customHeight="1" x14ac:dyDescent="0.2">
      <c r="A74" s="45">
        <f t="shared" si="15"/>
        <v>71</v>
      </c>
      <c r="B74" s="46" t="s">
        <v>51</v>
      </c>
      <c r="C74" s="47">
        <v>956005573</v>
      </c>
      <c r="D74" s="48">
        <v>34294</v>
      </c>
      <c r="E74" s="46" t="s">
        <v>52</v>
      </c>
      <c r="F74" s="46" t="s">
        <v>385</v>
      </c>
      <c r="G74" s="46" t="s">
        <v>417</v>
      </c>
      <c r="H74" s="45" t="s">
        <v>383</v>
      </c>
      <c r="I74" s="49">
        <v>406067472000</v>
      </c>
      <c r="J74" s="48">
        <v>42328</v>
      </c>
      <c r="K74" s="48"/>
      <c r="L74" s="48">
        <v>42328</v>
      </c>
      <c r="M74" s="50">
        <v>419</v>
      </c>
      <c r="N74" s="46" t="s">
        <v>437</v>
      </c>
      <c r="O74" s="50">
        <v>561</v>
      </c>
      <c r="P74" s="50">
        <v>561</v>
      </c>
      <c r="Q74" s="50">
        <f>P74-M74</f>
        <v>142</v>
      </c>
      <c r="R74" s="50">
        <f t="shared" si="7"/>
        <v>1704</v>
      </c>
      <c r="S74" s="29">
        <f t="shared" si="16"/>
        <v>0</v>
      </c>
      <c r="T74" s="65">
        <f t="shared" ca="1" si="8"/>
        <v>16.830000000000002</v>
      </c>
      <c r="U74" s="50">
        <f t="shared" si="9"/>
        <v>120</v>
      </c>
      <c r="V74" s="50">
        <f t="shared" si="10"/>
        <v>960</v>
      </c>
      <c r="W74" s="50">
        <f t="shared" si="11"/>
        <v>48</v>
      </c>
      <c r="X74" s="50">
        <f t="shared" si="12"/>
        <v>169</v>
      </c>
      <c r="Y74" s="50">
        <f t="shared" ca="1" si="13"/>
        <v>3159.83</v>
      </c>
      <c r="Z74" s="75"/>
      <c r="AA74" s="66">
        <f t="shared" ca="1" si="14"/>
        <v>1</v>
      </c>
      <c r="AB74" s="19"/>
      <c r="AC74" s="19"/>
      <c r="AD74" s="19"/>
      <c r="AE74" s="19"/>
    </row>
    <row r="75" spans="1:31 16376:16376" s="18" customFormat="1" ht="16.5" customHeight="1" x14ac:dyDescent="0.2">
      <c r="A75" s="45">
        <f t="shared" si="15"/>
        <v>72</v>
      </c>
      <c r="B75" s="46" t="s">
        <v>174</v>
      </c>
      <c r="C75" s="47">
        <v>703175620</v>
      </c>
      <c r="D75" s="48">
        <v>26892</v>
      </c>
      <c r="E75" s="46" t="s">
        <v>52</v>
      </c>
      <c r="F75" s="46" t="s">
        <v>385</v>
      </c>
      <c r="G75" s="46" t="s">
        <v>384</v>
      </c>
      <c r="H75" s="45" t="s">
        <v>383</v>
      </c>
      <c r="I75" s="49">
        <v>1010730682</v>
      </c>
      <c r="J75" s="48">
        <v>39569</v>
      </c>
      <c r="K75" s="48"/>
      <c r="L75" s="48">
        <v>41061</v>
      </c>
      <c r="M75" s="50">
        <v>419</v>
      </c>
      <c r="N75" s="46" t="s">
        <v>437</v>
      </c>
      <c r="O75" s="50">
        <v>561</v>
      </c>
      <c r="P75" s="50">
        <v>561</v>
      </c>
      <c r="Q75" s="50">
        <f>P75-M75</f>
        <v>142</v>
      </c>
      <c r="R75" s="50">
        <f t="shared" si="7"/>
        <v>1704</v>
      </c>
      <c r="S75" s="29">
        <f t="shared" si="16"/>
        <v>0</v>
      </c>
      <c r="T75" s="65">
        <f t="shared" ca="1" si="8"/>
        <v>67.320000000000007</v>
      </c>
      <c r="U75" s="50">
        <f t="shared" si="9"/>
        <v>120</v>
      </c>
      <c r="V75" s="50">
        <f t="shared" si="10"/>
        <v>960</v>
      </c>
      <c r="W75" s="50">
        <f t="shared" si="11"/>
        <v>48</v>
      </c>
      <c r="X75" s="50">
        <f t="shared" si="12"/>
        <v>169</v>
      </c>
      <c r="Y75" s="50">
        <f t="shared" ca="1" si="13"/>
        <v>3210.3199999999997</v>
      </c>
      <c r="Z75" s="75"/>
      <c r="AA75" s="66">
        <f t="shared" ca="1" si="14"/>
        <v>4</v>
      </c>
      <c r="AB75" s="19"/>
      <c r="AC75" s="19"/>
      <c r="AD75" s="19"/>
      <c r="AE75" s="19"/>
    </row>
    <row r="76" spans="1:31 16376:16376" s="18" customFormat="1" ht="16.5" customHeight="1" x14ac:dyDescent="0.2">
      <c r="A76" s="45">
        <f t="shared" si="15"/>
        <v>73</v>
      </c>
      <c r="B76" s="46" t="s">
        <v>178</v>
      </c>
      <c r="C76" s="47">
        <v>702887282</v>
      </c>
      <c r="D76" s="48">
        <v>26344</v>
      </c>
      <c r="E76" s="46" t="s">
        <v>52</v>
      </c>
      <c r="F76" s="46" t="s">
        <v>385</v>
      </c>
      <c r="G76" s="46" t="s">
        <v>417</v>
      </c>
      <c r="H76" s="45" t="s">
        <v>383</v>
      </c>
      <c r="I76" s="49">
        <v>406031840305</v>
      </c>
      <c r="J76" s="48">
        <v>41614</v>
      </c>
      <c r="K76" s="48"/>
      <c r="L76" s="48">
        <v>41614</v>
      </c>
      <c r="M76" s="50">
        <v>419</v>
      </c>
      <c r="N76" s="46" t="s">
        <v>437</v>
      </c>
      <c r="O76" s="50">
        <v>561</v>
      </c>
      <c r="P76" s="50">
        <v>561</v>
      </c>
      <c r="Q76" s="50">
        <f>P76-M76</f>
        <v>142</v>
      </c>
      <c r="R76" s="50">
        <f t="shared" si="7"/>
        <v>1704</v>
      </c>
      <c r="S76" s="29">
        <f t="shared" si="16"/>
        <v>0</v>
      </c>
      <c r="T76" s="65">
        <f t="shared" ca="1" si="8"/>
        <v>50.490000000000009</v>
      </c>
      <c r="U76" s="50">
        <f t="shared" si="9"/>
        <v>120</v>
      </c>
      <c r="V76" s="50">
        <f t="shared" si="10"/>
        <v>960</v>
      </c>
      <c r="W76" s="50">
        <f t="shared" si="11"/>
        <v>48</v>
      </c>
      <c r="X76" s="50">
        <f t="shared" si="12"/>
        <v>169</v>
      </c>
      <c r="Y76" s="50">
        <f t="shared" ca="1" si="13"/>
        <v>3193.49</v>
      </c>
      <c r="Z76" s="75"/>
      <c r="AA76" s="66">
        <f t="shared" ca="1" si="14"/>
        <v>3</v>
      </c>
      <c r="AB76" s="19"/>
      <c r="AC76" s="19"/>
      <c r="AD76" s="19"/>
      <c r="AE76" s="19"/>
    </row>
    <row r="77" spans="1:31 16376:16376" s="18" customFormat="1" ht="16.5" customHeight="1" x14ac:dyDescent="0.2">
      <c r="A77" s="45">
        <f t="shared" si="15"/>
        <v>74</v>
      </c>
      <c r="B77" s="46" t="s">
        <v>351</v>
      </c>
      <c r="C77" s="47">
        <v>702134115</v>
      </c>
      <c r="D77" s="48">
        <v>24600</v>
      </c>
      <c r="E77" s="46" t="s">
        <v>52</v>
      </c>
      <c r="F77" s="46" t="s">
        <v>385</v>
      </c>
      <c r="G77" s="46" t="s">
        <v>393</v>
      </c>
      <c r="H77" s="45" t="s">
        <v>383</v>
      </c>
      <c r="I77" s="49">
        <v>8160768000</v>
      </c>
      <c r="J77" s="48">
        <v>39569</v>
      </c>
      <c r="K77" s="48"/>
      <c r="L77" s="48">
        <v>39569</v>
      </c>
      <c r="M77" s="50">
        <v>419</v>
      </c>
      <c r="N77" s="46" t="s">
        <v>437</v>
      </c>
      <c r="O77" s="50">
        <v>561</v>
      </c>
      <c r="P77" s="50">
        <v>561</v>
      </c>
      <c r="Q77" s="50">
        <f>P77-M77</f>
        <v>142</v>
      </c>
      <c r="R77" s="50">
        <f t="shared" si="7"/>
        <v>1704</v>
      </c>
      <c r="S77" s="29">
        <f t="shared" si="16"/>
        <v>0</v>
      </c>
      <c r="T77" s="65">
        <f t="shared" ca="1" si="8"/>
        <v>134.64000000000001</v>
      </c>
      <c r="U77" s="50">
        <f t="shared" si="9"/>
        <v>120</v>
      </c>
      <c r="V77" s="50">
        <f t="shared" si="10"/>
        <v>960</v>
      </c>
      <c r="W77" s="50">
        <f t="shared" si="11"/>
        <v>48</v>
      </c>
      <c r="X77" s="50">
        <f t="shared" si="12"/>
        <v>169</v>
      </c>
      <c r="Y77" s="50">
        <f t="shared" ca="1" si="13"/>
        <v>3277.6400000000003</v>
      </c>
      <c r="Z77" s="75"/>
      <c r="AA77" s="66">
        <f t="shared" ca="1" si="14"/>
        <v>8</v>
      </c>
      <c r="AB77" s="19"/>
      <c r="AC77" s="19"/>
      <c r="AD77" s="19"/>
      <c r="AE77" s="19"/>
      <c r="XEV77" s="17"/>
    </row>
    <row r="78" spans="1:31 16376:16376" s="18" customFormat="1" ht="16.5" customHeight="1" x14ac:dyDescent="0.2">
      <c r="A78" s="45">
        <f t="shared" si="15"/>
        <v>75</v>
      </c>
      <c r="B78" s="46" t="s">
        <v>3</v>
      </c>
      <c r="C78" s="47">
        <v>705176857</v>
      </c>
      <c r="D78" s="48">
        <v>30189</v>
      </c>
      <c r="E78" s="46" t="s">
        <v>4</v>
      </c>
      <c r="F78" s="46" t="s">
        <v>385</v>
      </c>
      <c r="G78" s="46" t="s">
        <v>384</v>
      </c>
      <c r="H78" s="45" t="s">
        <v>383</v>
      </c>
      <c r="I78" s="49">
        <v>1020571183</v>
      </c>
      <c r="J78" s="48">
        <v>41883</v>
      </c>
      <c r="K78" s="48"/>
      <c r="L78" s="48">
        <v>41883</v>
      </c>
      <c r="M78" s="50">
        <v>500</v>
      </c>
      <c r="N78" s="46" t="s">
        <v>435</v>
      </c>
      <c r="O78" s="50">
        <v>561</v>
      </c>
      <c r="P78" s="50">
        <v>561</v>
      </c>
      <c r="Q78" s="50">
        <f>P78-M78</f>
        <v>61</v>
      </c>
      <c r="R78" s="50">
        <f t="shared" si="7"/>
        <v>732</v>
      </c>
      <c r="S78" s="29">
        <f t="shared" si="16"/>
        <v>0</v>
      </c>
      <c r="T78" s="65">
        <f t="shared" ca="1" si="8"/>
        <v>33.660000000000004</v>
      </c>
      <c r="U78" s="50">
        <f t="shared" si="9"/>
        <v>120</v>
      </c>
      <c r="V78" s="50">
        <f t="shared" si="10"/>
        <v>960</v>
      </c>
      <c r="W78" s="50">
        <f t="shared" si="11"/>
        <v>48</v>
      </c>
      <c r="X78" s="50">
        <f t="shared" si="12"/>
        <v>169</v>
      </c>
      <c r="Y78" s="50">
        <f t="shared" ca="1" si="13"/>
        <v>2123.66</v>
      </c>
      <c r="Z78" s="75"/>
      <c r="AA78" s="66">
        <f t="shared" ca="1" si="14"/>
        <v>2</v>
      </c>
      <c r="AB78" s="19"/>
      <c r="AC78" s="19"/>
      <c r="AD78" s="19"/>
      <c r="AE78" s="19"/>
    </row>
    <row r="79" spans="1:31 16376:16376" s="18" customFormat="1" ht="16.5" customHeight="1" x14ac:dyDescent="0.2">
      <c r="A79" s="45">
        <f t="shared" si="15"/>
        <v>76</v>
      </c>
      <c r="B79" s="46" t="s">
        <v>7</v>
      </c>
      <c r="C79" s="47">
        <v>700590367</v>
      </c>
      <c r="D79" s="48">
        <v>18053</v>
      </c>
      <c r="E79" s="46" t="s">
        <v>4</v>
      </c>
      <c r="F79" s="46" t="s">
        <v>385</v>
      </c>
      <c r="G79" s="46" t="s">
        <v>384</v>
      </c>
      <c r="H79" s="45" t="s">
        <v>383</v>
      </c>
      <c r="I79" s="49">
        <v>1020571213</v>
      </c>
      <c r="J79" s="48">
        <v>41883</v>
      </c>
      <c r="K79" s="48"/>
      <c r="L79" s="48">
        <v>41883</v>
      </c>
      <c r="M79" s="50">
        <v>500</v>
      </c>
      <c r="N79" s="46" t="s">
        <v>435</v>
      </c>
      <c r="O79" s="50">
        <v>561</v>
      </c>
      <c r="P79" s="50">
        <v>561</v>
      </c>
      <c r="Q79" s="50">
        <f>P79-M79</f>
        <v>61</v>
      </c>
      <c r="R79" s="50">
        <f t="shared" si="7"/>
        <v>732</v>
      </c>
      <c r="S79" s="29">
        <f t="shared" si="16"/>
        <v>0</v>
      </c>
      <c r="T79" s="65">
        <f t="shared" ca="1" si="8"/>
        <v>33.660000000000004</v>
      </c>
      <c r="U79" s="50">
        <f t="shared" si="9"/>
        <v>120</v>
      </c>
      <c r="V79" s="50">
        <f t="shared" si="10"/>
        <v>960</v>
      </c>
      <c r="W79" s="50">
        <f t="shared" si="11"/>
        <v>48</v>
      </c>
      <c r="X79" s="50">
        <f t="shared" si="12"/>
        <v>169</v>
      </c>
      <c r="Y79" s="50">
        <f t="shared" ca="1" si="13"/>
        <v>2123.66</v>
      </c>
      <c r="Z79" s="75"/>
      <c r="AA79" s="66">
        <f t="shared" ca="1" si="14"/>
        <v>2</v>
      </c>
      <c r="AB79" s="19"/>
      <c r="AC79" s="19"/>
      <c r="AD79" s="19"/>
      <c r="AE79" s="19"/>
    </row>
    <row r="80" spans="1:31 16376:16376" s="18" customFormat="1" ht="16.5" customHeight="1" x14ac:dyDescent="0.2">
      <c r="A80" s="45">
        <f t="shared" si="15"/>
        <v>77</v>
      </c>
      <c r="B80" s="46" t="s">
        <v>327</v>
      </c>
      <c r="C80" s="47">
        <v>704458793</v>
      </c>
      <c r="D80" s="48">
        <v>34064</v>
      </c>
      <c r="E80" s="46" t="s">
        <v>4</v>
      </c>
      <c r="F80" s="46" t="s">
        <v>385</v>
      </c>
      <c r="G80" s="46" t="s">
        <v>386</v>
      </c>
      <c r="H80" s="45" t="s">
        <v>383</v>
      </c>
      <c r="I80" s="49">
        <v>2200896031</v>
      </c>
      <c r="J80" s="48">
        <v>41614</v>
      </c>
      <c r="K80" s="48"/>
      <c r="L80" s="48">
        <v>41614</v>
      </c>
      <c r="M80" s="50">
        <v>419</v>
      </c>
      <c r="N80" s="46" t="s">
        <v>435</v>
      </c>
      <c r="O80" s="50">
        <v>561</v>
      </c>
      <c r="P80" s="50">
        <v>561</v>
      </c>
      <c r="Q80" s="50">
        <f>P80-M80</f>
        <v>142</v>
      </c>
      <c r="R80" s="50">
        <f t="shared" si="7"/>
        <v>1704</v>
      </c>
      <c r="S80" s="29">
        <f t="shared" si="16"/>
        <v>0</v>
      </c>
      <c r="T80" s="65">
        <f t="shared" ca="1" si="8"/>
        <v>50.490000000000009</v>
      </c>
      <c r="U80" s="50">
        <f t="shared" si="9"/>
        <v>120</v>
      </c>
      <c r="V80" s="50">
        <f t="shared" si="10"/>
        <v>960</v>
      </c>
      <c r="W80" s="50">
        <f t="shared" si="11"/>
        <v>48</v>
      </c>
      <c r="X80" s="50">
        <f t="shared" si="12"/>
        <v>169</v>
      </c>
      <c r="Y80" s="50">
        <f t="shared" ca="1" si="13"/>
        <v>3193.49</v>
      </c>
      <c r="Z80" s="75"/>
      <c r="AA80" s="66">
        <f t="shared" ca="1" si="14"/>
        <v>3</v>
      </c>
      <c r="AB80" s="19"/>
      <c r="AC80" s="19"/>
      <c r="AD80" s="19"/>
      <c r="AE80" s="19"/>
    </row>
    <row r="81" spans="1:31" s="18" customFormat="1" ht="16.5" customHeight="1" x14ac:dyDescent="0.2">
      <c r="A81" s="45">
        <f t="shared" si="15"/>
        <v>78</v>
      </c>
      <c r="B81" s="46" t="s">
        <v>65</v>
      </c>
      <c r="C81" s="47">
        <v>703373860</v>
      </c>
      <c r="D81" s="48">
        <v>27852</v>
      </c>
      <c r="E81" s="46" t="s">
        <v>66</v>
      </c>
      <c r="F81" s="46" t="s">
        <v>385</v>
      </c>
      <c r="G81" s="46" t="s">
        <v>384</v>
      </c>
      <c r="H81" s="45" t="s">
        <v>383</v>
      </c>
      <c r="I81" s="49">
        <v>1010730739</v>
      </c>
      <c r="J81" s="48">
        <v>39569</v>
      </c>
      <c r="K81" s="48"/>
      <c r="L81" s="48">
        <v>39569</v>
      </c>
      <c r="M81" s="50">
        <v>419</v>
      </c>
      <c r="N81" s="46" t="s">
        <v>437</v>
      </c>
      <c r="O81" s="50">
        <v>561</v>
      </c>
      <c r="P81" s="50">
        <v>561</v>
      </c>
      <c r="Q81" s="50">
        <f>P81-M81</f>
        <v>142</v>
      </c>
      <c r="R81" s="50">
        <f t="shared" si="7"/>
        <v>1704</v>
      </c>
      <c r="S81" s="29">
        <f t="shared" si="16"/>
        <v>0</v>
      </c>
      <c r="T81" s="65">
        <f t="shared" ca="1" si="8"/>
        <v>134.64000000000001</v>
      </c>
      <c r="U81" s="50">
        <f t="shared" si="9"/>
        <v>120</v>
      </c>
      <c r="V81" s="50">
        <f t="shared" si="10"/>
        <v>960</v>
      </c>
      <c r="W81" s="50">
        <f t="shared" si="11"/>
        <v>48</v>
      </c>
      <c r="X81" s="50">
        <f t="shared" si="12"/>
        <v>169</v>
      </c>
      <c r="Y81" s="50">
        <f t="shared" ca="1" si="13"/>
        <v>3277.6400000000003</v>
      </c>
      <c r="Z81" s="75"/>
      <c r="AA81" s="66">
        <f t="shared" ca="1" si="14"/>
        <v>8</v>
      </c>
      <c r="AB81" s="19"/>
      <c r="AC81" s="19"/>
      <c r="AD81" s="19"/>
      <c r="AE81" s="19"/>
    </row>
    <row r="82" spans="1:31" s="18" customFormat="1" ht="16.5" customHeight="1" x14ac:dyDescent="0.2">
      <c r="A82" s="45">
        <f t="shared" si="15"/>
        <v>79</v>
      </c>
      <c r="B82" s="46" t="s">
        <v>214</v>
      </c>
      <c r="C82" s="47">
        <v>705985299</v>
      </c>
      <c r="D82" s="48">
        <v>31782</v>
      </c>
      <c r="E82" s="46" t="s">
        <v>66</v>
      </c>
      <c r="F82" s="46" t="s">
        <v>385</v>
      </c>
      <c r="G82" s="46" t="s">
        <v>393</v>
      </c>
      <c r="H82" s="45" t="s">
        <v>383</v>
      </c>
      <c r="I82" s="49">
        <v>8224908100</v>
      </c>
      <c r="J82" s="48">
        <v>40315</v>
      </c>
      <c r="K82" s="48"/>
      <c r="L82" s="48">
        <v>41061</v>
      </c>
      <c r="M82" s="50">
        <v>419</v>
      </c>
      <c r="N82" s="46" t="s">
        <v>437</v>
      </c>
      <c r="O82" s="50">
        <v>561</v>
      </c>
      <c r="P82" s="50">
        <v>561</v>
      </c>
      <c r="Q82" s="50">
        <f>P82-M82</f>
        <v>142</v>
      </c>
      <c r="R82" s="50">
        <f t="shared" si="7"/>
        <v>1704</v>
      </c>
      <c r="S82" s="29">
        <f t="shared" si="16"/>
        <v>0</v>
      </c>
      <c r="T82" s="65">
        <f t="shared" ca="1" si="8"/>
        <v>67.320000000000007</v>
      </c>
      <c r="U82" s="50">
        <f t="shared" si="9"/>
        <v>120</v>
      </c>
      <c r="V82" s="50">
        <f t="shared" si="10"/>
        <v>960</v>
      </c>
      <c r="W82" s="50">
        <f t="shared" si="11"/>
        <v>48</v>
      </c>
      <c r="X82" s="50">
        <f t="shared" si="12"/>
        <v>169</v>
      </c>
      <c r="Y82" s="50">
        <f t="shared" ca="1" si="13"/>
        <v>3210.3199999999997</v>
      </c>
      <c r="Z82" s="75"/>
      <c r="AA82" s="66">
        <f t="shared" ca="1" si="14"/>
        <v>4</v>
      </c>
      <c r="AB82" s="19"/>
      <c r="AC82" s="19"/>
      <c r="AD82" s="19"/>
      <c r="AE82" s="19"/>
    </row>
    <row r="83" spans="1:31" s="18" customFormat="1" ht="16.5" customHeight="1" x14ac:dyDescent="0.2">
      <c r="A83" s="45">
        <f t="shared" si="15"/>
        <v>80</v>
      </c>
      <c r="B83" s="46" t="s">
        <v>285</v>
      </c>
      <c r="C83" s="47">
        <v>703257337</v>
      </c>
      <c r="D83" s="48">
        <v>27523</v>
      </c>
      <c r="E83" s="46" t="s">
        <v>66</v>
      </c>
      <c r="F83" s="46" t="s">
        <v>385</v>
      </c>
      <c r="G83" s="46" t="s">
        <v>417</v>
      </c>
      <c r="H83" s="45" t="s">
        <v>383</v>
      </c>
      <c r="I83" s="49">
        <v>406038403709</v>
      </c>
      <c r="J83" s="48">
        <v>39630</v>
      </c>
      <c r="K83" s="48"/>
      <c r="L83" s="48">
        <v>41061</v>
      </c>
      <c r="M83" s="50">
        <v>419</v>
      </c>
      <c r="N83" s="46" t="s">
        <v>437</v>
      </c>
      <c r="O83" s="50">
        <v>561</v>
      </c>
      <c r="P83" s="50">
        <v>561</v>
      </c>
      <c r="Q83" s="50">
        <f>P83-M83</f>
        <v>142</v>
      </c>
      <c r="R83" s="50">
        <f t="shared" si="7"/>
        <v>1704</v>
      </c>
      <c r="S83" s="29">
        <f t="shared" si="16"/>
        <v>0</v>
      </c>
      <c r="T83" s="65">
        <f t="shared" ca="1" si="8"/>
        <v>67.320000000000007</v>
      </c>
      <c r="U83" s="50">
        <f t="shared" si="9"/>
        <v>120</v>
      </c>
      <c r="V83" s="50">
        <f t="shared" si="10"/>
        <v>960</v>
      </c>
      <c r="W83" s="50">
        <f t="shared" si="11"/>
        <v>48</v>
      </c>
      <c r="X83" s="50">
        <f t="shared" si="12"/>
        <v>169</v>
      </c>
      <c r="Y83" s="50">
        <f t="shared" ca="1" si="13"/>
        <v>3210.3199999999997</v>
      </c>
      <c r="Z83" s="75"/>
      <c r="AA83" s="66">
        <f t="shared" ca="1" si="14"/>
        <v>4</v>
      </c>
      <c r="AB83" s="19"/>
      <c r="AC83" s="19"/>
      <c r="AD83" s="19"/>
      <c r="AE83" s="19"/>
    </row>
    <row r="84" spans="1:31" s="18" customFormat="1" ht="16.5" customHeight="1" x14ac:dyDescent="0.2">
      <c r="A84" s="45">
        <f t="shared" si="15"/>
        <v>81</v>
      </c>
      <c r="B84" s="46" t="s">
        <v>289</v>
      </c>
      <c r="C84" s="47">
        <v>704743350</v>
      </c>
      <c r="D84" s="48">
        <v>30996</v>
      </c>
      <c r="E84" s="46" t="s">
        <v>66</v>
      </c>
      <c r="F84" s="46" t="s">
        <v>385</v>
      </c>
      <c r="G84" s="46" t="s">
        <v>384</v>
      </c>
      <c r="H84" s="45" t="s">
        <v>383</v>
      </c>
      <c r="I84" s="49">
        <v>1010730798</v>
      </c>
      <c r="J84" s="48">
        <v>39569</v>
      </c>
      <c r="K84" s="48"/>
      <c r="L84" s="48">
        <v>39569</v>
      </c>
      <c r="M84" s="50">
        <v>419</v>
      </c>
      <c r="N84" s="46" t="s">
        <v>437</v>
      </c>
      <c r="O84" s="50">
        <v>561</v>
      </c>
      <c r="P84" s="50">
        <v>561</v>
      </c>
      <c r="Q84" s="50">
        <f>P84-M84</f>
        <v>142</v>
      </c>
      <c r="R84" s="50">
        <f t="shared" si="7"/>
        <v>1704</v>
      </c>
      <c r="S84" s="29">
        <f t="shared" si="16"/>
        <v>43.92</v>
      </c>
      <c r="T84" s="65">
        <f t="shared" ca="1" si="8"/>
        <v>134.64000000000001</v>
      </c>
      <c r="U84" s="50">
        <f t="shared" si="9"/>
        <v>120</v>
      </c>
      <c r="V84" s="50">
        <f t="shared" si="10"/>
        <v>960</v>
      </c>
      <c r="W84" s="50">
        <f t="shared" si="11"/>
        <v>48</v>
      </c>
      <c r="X84" s="50">
        <f t="shared" si="12"/>
        <v>169</v>
      </c>
      <c r="Y84" s="50">
        <f t="shared" ca="1" si="13"/>
        <v>3321.5600000000004</v>
      </c>
      <c r="Z84" s="75">
        <v>1</v>
      </c>
      <c r="AA84" s="66">
        <f t="shared" ca="1" si="14"/>
        <v>8</v>
      </c>
      <c r="AB84" s="19"/>
      <c r="AC84" s="19"/>
      <c r="AD84" s="19"/>
      <c r="AE84" s="19"/>
    </row>
    <row r="85" spans="1:31" s="18" customFormat="1" ht="16.5" customHeight="1" x14ac:dyDescent="0.2">
      <c r="A85" s="45">
        <f t="shared" si="15"/>
        <v>82</v>
      </c>
      <c r="B85" s="46" t="s">
        <v>293</v>
      </c>
      <c r="C85" s="47">
        <v>704702265</v>
      </c>
      <c r="D85" s="48">
        <v>32064</v>
      </c>
      <c r="E85" s="46" t="s">
        <v>66</v>
      </c>
      <c r="F85" s="46" t="s">
        <v>385</v>
      </c>
      <c r="G85" s="46" t="s">
        <v>384</v>
      </c>
      <c r="H85" s="45" t="s">
        <v>383</v>
      </c>
      <c r="I85" s="49">
        <v>1010810031</v>
      </c>
      <c r="J85" s="48">
        <v>40273</v>
      </c>
      <c r="K85" s="48"/>
      <c r="L85" s="48">
        <v>41061</v>
      </c>
      <c r="M85" s="50">
        <v>419</v>
      </c>
      <c r="N85" s="46" t="s">
        <v>437</v>
      </c>
      <c r="O85" s="50">
        <v>561</v>
      </c>
      <c r="P85" s="50">
        <v>561</v>
      </c>
      <c r="Q85" s="50">
        <f>P85-M85</f>
        <v>142</v>
      </c>
      <c r="R85" s="50">
        <f t="shared" si="7"/>
        <v>1704</v>
      </c>
      <c r="S85" s="29">
        <f t="shared" si="16"/>
        <v>0</v>
      </c>
      <c r="T85" s="65">
        <f t="shared" ca="1" si="8"/>
        <v>67.320000000000007</v>
      </c>
      <c r="U85" s="50">
        <f t="shared" si="9"/>
        <v>120</v>
      </c>
      <c r="V85" s="50">
        <f t="shared" si="10"/>
        <v>960</v>
      </c>
      <c r="W85" s="50">
        <f t="shared" si="11"/>
        <v>48</v>
      </c>
      <c r="X85" s="50">
        <f t="shared" si="12"/>
        <v>169</v>
      </c>
      <c r="Y85" s="50">
        <f t="shared" ca="1" si="13"/>
        <v>3210.3199999999997</v>
      </c>
      <c r="Z85" s="75"/>
      <c r="AA85" s="66">
        <f t="shared" ca="1" si="14"/>
        <v>4</v>
      </c>
      <c r="AB85" s="19"/>
      <c r="AC85" s="19"/>
      <c r="AD85" s="19"/>
      <c r="AE85" s="19"/>
    </row>
    <row r="86" spans="1:31" s="18" customFormat="1" ht="16.5" customHeight="1" x14ac:dyDescent="0.2">
      <c r="A86" s="39">
        <f t="shared" si="15"/>
        <v>83</v>
      </c>
      <c r="B86" s="40" t="s">
        <v>12</v>
      </c>
      <c r="C86" s="41">
        <v>1303337990</v>
      </c>
      <c r="D86" s="42">
        <v>22136</v>
      </c>
      <c r="E86" s="40" t="s">
        <v>13</v>
      </c>
      <c r="F86" s="40" t="s">
        <v>385</v>
      </c>
      <c r="G86" s="40" t="s">
        <v>384</v>
      </c>
      <c r="H86" s="39" t="s">
        <v>383</v>
      </c>
      <c r="I86" s="43">
        <v>1100023829</v>
      </c>
      <c r="J86" s="42">
        <v>32295</v>
      </c>
      <c r="K86" s="42"/>
      <c r="L86" s="42">
        <v>32295</v>
      </c>
      <c r="M86" s="44">
        <v>568.80999999999995</v>
      </c>
      <c r="N86" s="40" t="s">
        <v>13</v>
      </c>
      <c r="O86" s="44">
        <v>561</v>
      </c>
      <c r="P86" s="44">
        <v>568.80999999999995</v>
      </c>
      <c r="Q86" s="44">
        <f>P86-M86</f>
        <v>0</v>
      </c>
      <c r="R86" s="29">
        <f t="shared" si="7"/>
        <v>0</v>
      </c>
      <c r="S86" s="29">
        <f t="shared" si="16"/>
        <v>0</v>
      </c>
      <c r="T86" s="65">
        <f t="shared" ca="1" si="8"/>
        <v>204.77159999999998</v>
      </c>
      <c r="U86" s="29">
        <f t="shared" si="9"/>
        <v>120</v>
      </c>
      <c r="V86" s="29">
        <f t="shared" si="10"/>
        <v>960</v>
      </c>
      <c r="W86" s="44">
        <f t="shared" si="11"/>
        <v>48</v>
      </c>
      <c r="X86" s="29">
        <f t="shared" si="12"/>
        <v>169</v>
      </c>
      <c r="Y86" s="29">
        <f t="shared" ca="1" si="13"/>
        <v>1501.7716</v>
      </c>
      <c r="Z86" s="75"/>
      <c r="AA86" s="66">
        <f t="shared" ca="1" si="14"/>
        <v>12</v>
      </c>
      <c r="AB86" s="19"/>
      <c r="AC86" s="19"/>
      <c r="AD86" s="19"/>
      <c r="AE86" s="19"/>
    </row>
    <row r="87" spans="1:31" s="18" customFormat="1" ht="16.5" customHeight="1" x14ac:dyDescent="0.2">
      <c r="A87" s="39">
        <f t="shared" si="15"/>
        <v>84</v>
      </c>
      <c r="B87" s="40" t="s">
        <v>19</v>
      </c>
      <c r="C87" s="41">
        <v>701464513</v>
      </c>
      <c r="D87" s="42">
        <v>22400</v>
      </c>
      <c r="E87" s="40" t="s">
        <v>13</v>
      </c>
      <c r="F87" s="40" t="s">
        <v>385</v>
      </c>
      <c r="G87" s="40" t="s">
        <v>384</v>
      </c>
      <c r="H87" s="39" t="s">
        <v>383</v>
      </c>
      <c r="I87" s="43">
        <v>1100023160</v>
      </c>
      <c r="J87" s="42">
        <v>31413</v>
      </c>
      <c r="K87" s="42"/>
      <c r="L87" s="42">
        <v>31413</v>
      </c>
      <c r="M87" s="44">
        <v>561.05999999999995</v>
      </c>
      <c r="N87" s="40" t="s">
        <v>13</v>
      </c>
      <c r="O87" s="44">
        <v>561</v>
      </c>
      <c r="P87" s="44">
        <v>561.05999999999995</v>
      </c>
      <c r="Q87" s="44">
        <f>P87-M87</f>
        <v>0</v>
      </c>
      <c r="R87" s="29">
        <f t="shared" si="7"/>
        <v>0</v>
      </c>
      <c r="S87" s="29">
        <f t="shared" si="16"/>
        <v>0</v>
      </c>
      <c r="T87" s="65">
        <f t="shared" ca="1" si="8"/>
        <v>201.98160000000001</v>
      </c>
      <c r="U87" s="29">
        <f t="shared" si="9"/>
        <v>120</v>
      </c>
      <c r="V87" s="29">
        <f t="shared" si="10"/>
        <v>960</v>
      </c>
      <c r="W87" s="44">
        <f t="shared" si="11"/>
        <v>48</v>
      </c>
      <c r="X87" s="29">
        <f t="shared" si="12"/>
        <v>169</v>
      </c>
      <c r="Y87" s="29">
        <f t="shared" ca="1" si="13"/>
        <v>1498.9816000000001</v>
      </c>
      <c r="Z87" s="75"/>
      <c r="AA87" s="66">
        <f t="shared" ca="1" si="14"/>
        <v>12</v>
      </c>
      <c r="AB87" s="19"/>
      <c r="AC87" s="19"/>
      <c r="AD87" s="19"/>
      <c r="AE87" s="19"/>
    </row>
    <row r="88" spans="1:31" s="18" customFormat="1" ht="16.5" customHeight="1" x14ac:dyDescent="0.2">
      <c r="A88" s="39">
        <f t="shared" si="15"/>
        <v>85</v>
      </c>
      <c r="B88" s="40" t="s">
        <v>23</v>
      </c>
      <c r="C88" s="41">
        <v>704569391</v>
      </c>
      <c r="D88" s="42">
        <v>32510</v>
      </c>
      <c r="E88" s="40" t="s">
        <v>13</v>
      </c>
      <c r="F88" s="40" t="s">
        <v>385</v>
      </c>
      <c r="G88" s="40" t="s">
        <v>417</v>
      </c>
      <c r="H88" s="39" t="s">
        <v>383</v>
      </c>
      <c r="I88" s="43">
        <v>406046138500</v>
      </c>
      <c r="J88" s="42">
        <v>42064</v>
      </c>
      <c r="K88" s="42"/>
      <c r="L88" s="42">
        <v>42064</v>
      </c>
      <c r="M88" s="44">
        <v>419</v>
      </c>
      <c r="N88" s="40" t="s">
        <v>13</v>
      </c>
      <c r="O88" s="44">
        <v>561</v>
      </c>
      <c r="P88" s="44">
        <v>561</v>
      </c>
      <c r="Q88" s="44">
        <f>P88-M88</f>
        <v>142</v>
      </c>
      <c r="R88" s="29">
        <f t="shared" si="7"/>
        <v>1704</v>
      </c>
      <c r="S88" s="29">
        <f t="shared" si="16"/>
        <v>0</v>
      </c>
      <c r="T88" s="65">
        <f t="shared" ca="1" si="8"/>
        <v>16.830000000000002</v>
      </c>
      <c r="U88" s="29">
        <f t="shared" si="9"/>
        <v>120</v>
      </c>
      <c r="V88" s="29">
        <f t="shared" si="10"/>
        <v>960</v>
      </c>
      <c r="W88" s="44">
        <f t="shared" si="11"/>
        <v>48</v>
      </c>
      <c r="X88" s="29">
        <f t="shared" si="12"/>
        <v>169</v>
      </c>
      <c r="Y88" s="29">
        <f t="shared" ca="1" si="13"/>
        <v>3159.83</v>
      </c>
      <c r="Z88" s="75"/>
      <c r="AA88" s="66">
        <f t="shared" ca="1" si="14"/>
        <v>1</v>
      </c>
      <c r="AB88" s="19"/>
      <c r="AC88" s="19"/>
      <c r="AD88" s="19"/>
      <c r="AE88" s="19"/>
    </row>
    <row r="89" spans="1:31" s="18" customFormat="1" ht="16.5" customHeight="1" x14ac:dyDescent="0.2">
      <c r="A89" s="39">
        <f t="shared" si="15"/>
        <v>86</v>
      </c>
      <c r="B89" s="40" t="s">
        <v>29</v>
      </c>
      <c r="C89" s="41">
        <v>701865826</v>
      </c>
      <c r="D89" s="42">
        <v>23040</v>
      </c>
      <c r="E89" s="40" t="s">
        <v>13</v>
      </c>
      <c r="F89" s="40" t="s">
        <v>385</v>
      </c>
      <c r="G89" s="40" t="s">
        <v>384</v>
      </c>
      <c r="H89" s="39" t="s">
        <v>383</v>
      </c>
      <c r="I89" s="43">
        <v>1010177142</v>
      </c>
      <c r="J89" s="42">
        <v>32582</v>
      </c>
      <c r="K89" s="42"/>
      <c r="L89" s="42">
        <v>32582</v>
      </c>
      <c r="M89" s="44">
        <v>538.92999999999995</v>
      </c>
      <c r="N89" s="40" t="s">
        <v>13</v>
      </c>
      <c r="O89" s="44">
        <v>561</v>
      </c>
      <c r="P89" s="44">
        <v>561</v>
      </c>
      <c r="Q89" s="44">
        <f>P89-M89</f>
        <v>22.07000000000005</v>
      </c>
      <c r="R89" s="29">
        <f t="shared" si="7"/>
        <v>264.8400000000006</v>
      </c>
      <c r="S89" s="29">
        <f t="shared" si="16"/>
        <v>0</v>
      </c>
      <c r="T89" s="65">
        <f t="shared" ca="1" si="8"/>
        <v>201.96000000000004</v>
      </c>
      <c r="U89" s="29">
        <f t="shared" si="9"/>
        <v>120</v>
      </c>
      <c r="V89" s="29">
        <f t="shared" si="10"/>
        <v>960</v>
      </c>
      <c r="W89" s="44">
        <f t="shared" si="11"/>
        <v>48</v>
      </c>
      <c r="X89" s="29">
        <f t="shared" si="12"/>
        <v>169</v>
      </c>
      <c r="Y89" s="29">
        <f t="shared" ca="1" si="13"/>
        <v>1785.8700000000008</v>
      </c>
      <c r="Z89" s="75"/>
      <c r="AA89" s="66">
        <f t="shared" ca="1" si="14"/>
        <v>12</v>
      </c>
      <c r="AB89" s="19"/>
      <c r="AC89" s="19"/>
      <c r="AD89" s="19"/>
      <c r="AE89" s="19"/>
    </row>
    <row r="90" spans="1:31" s="18" customFormat="1" ht="16.5" customHeight="1" x14ac:dyDescent="0.2">
      <c r="A90" s="39">
        <f t="shared" si="15"/>
        <v>87</v>
      </c>
      <c r="B90" s="40" t="s">
        <v>36</v>
      </c>
      <c r="C90" s="41">
        <v>706357068</v>
      </c>
      <c r="D90" s="42">
        <v>32680</v>
      </c>
      <c r="E90" s="40" t="s">
        <v>13</v>
      </c>
      <c r="F90" s="40" t="s">
        <v>394</v>
      </c>
      <c r="G90" s="40" t="s">
        <v>417</v>
      </c>
      <c r="H90" s="39" t="s">
        <v>383</v>
      </c>
      <c r="I90" s="43">
        <v>406072911608</v>
      </c>
      <c r="J90" s="42">
        <v>41579</v>
      </c>
      <c r="K90" s="42"/>
      <c r="L90" s="42">
        <v>41579</v>
      </c>
      <c r="M90" s="44">
        <v>419</v>
      </c>
      <c r="N90" s="40" t="s">
        <v>13</v>
      </c>
      <c r="O90" s="44">
        <v>561</v>
      </c>
      <c r="P90" s="44">
        <v>561</v>
      </c>
      <c r="Q90" s="44">
        <f>P90-M90</f>
        <v>142</v>
      </c>
      <c r="R90" s="29">
        <f t="shared" si="7"/>
        <v>1704</v>
      </c>
      <c r="S90" s="29">
        <f t="shared" si="16"/>
        <v>0</v>
      </c>
      <c r="T90" s="65">
        <f t="shared" ca="1" si="8"/>
        <v>50.490000000000009</v>
      </c>
      <c r="U90" s="29">
        <f t="shared" si="9"/>
        <v>120</v>
      </c>
      <c r="V90" s="29">
        <f t="shared" si="10"/>
        <v>960</v>
      </c>
      <c r="W90" s="44">
        <f t="shared" si="11"/>
        <v>48</v>
      </c>
      <c r="X90" s="29">
        <f t="shared" si="12"/>
        <v>169</v>
      </c>
      <c r="Y90" s="29">
        <f t="shared" ca="1" si="13"/>
        <v>3193.49</v>
      </c>
      <c r="Z90" s="75"/>
      <c r="AA90" s="66">
        <f t="shared" ca="1" si="14"/>
        <v>3</v>
      </c>
      <c r="AB90" s="19"/>
      <c r="AC90" s="19"/>
      <c r="AD90" s="19"/>
      <c r="AE90" s="19"/>
    </row>
    <row r="91" spans="1:31" s="18" customFormat="1" ht="16.5" customHeight="1" x14ac:dyDescent="0.2">
      <c r="A91" s="39">
        <f t="shared" si="15"/>
        <v>88</v>
      </c>
      <c r="B91" s="40" t="s">
        <v>114</v>
      </c>
      <c r="C91" s="41">
        <v>704456839</v>
      </c>
      <c r="D91" s="42">
        <v>31545</v>
      </c>
      <c r="E91" s="40" t="s">
        <v>13</v>
      </c>
      <c r="F91" s="40" t="s">
        <v>395</v>
      </c>
      <c r="G91" s="40" t="s">
        <v>417</v>
      </c>
      <c r="H91" s="39" t="s">
        <v>383</v>
      </c>
      <c r="I91" s="43">
        <v>406035066507</v>
      </c>
      <c r="J91" s="42">
        <v>40940</v>
      </c>
      <c r="K91" s="42"/>
      <c r="L91" s="42">
        <v>40940</v>
      </c>
      <c r="M91" s="44">
        <v>419</v>
      </c>
      <c r="N91" s="40" t="s">
        <v>13</v>
      </c>
      <c r="O91" s="44">
        <v>561</v>
      </c>
      <c r="P91" s="44">
        <v>561</v>
      </c>
      <c r="Q91" s="44">
        <f>P91-M91</f>
        <v>142</v>
      </c>
      <c r="R91" s="29">
        <f t="shared" si="7"/>
        <v>1704</v>
      </c>
      <c r="S91" s="29">
        <f t="shared" si="16"/>
        <v>0</v>
      </c>
      <c r="T91" s="65">
        <f t="shared" ca="1" si="8"/>
        <v>67.320000000000007</v>
      </c>
      <c r="U91" s="29">
        <f t="shared" si="9"/>
        <v>120</v>
      </c>
      <c r="V91" s="29">
        <f t="shared" si="10"/>
        <v>960</v>
      </c>
      <c r="W91" s="44">
        <f t="shared" si="11"/>
        <v>48</v>
      </c>
      <c r="X91" s="29">
        <f t="shared" si="12"/>
        <v>169</v>
      </c>
      <c r="Y91" s="29">
        <f t="shared" ca="1" si="13"/>
        <v>3210.3199999999997</v>
      </c>
      <c r="Z91" s="75"/>
      <c r="AA91" s="66">
        <f t="shared" ca="1" si="14"/>
        <v>4</v>
      </c>
      <c r="AB91" s="19"/>
      <c r="AC91" s="19"/>
      <c r="AD91" s="19"/>
      <c r="AE91" s="19"/>
    </row>
    <row r="92" spans="1:31" s="18" customFormat="1" ht="16.5" customHeight="1" x14ac:dyDescent="0.2">
      <c r="A92" s="39">
        <f t="shared" si="15"/>
        <v>89</v>
      </c>
      <c r="B92" s="40" t="s">
        <v>132</v>
      </c>
      <c r="C92" s="41">
        <v>919016238</v>
      </c>
      <c r="D92" s="42">
        <v>30199</v>
      </c>
      <c r="E92" s="40" t="s">
        <v>13</v>
      </c>
      <c r="F92" s="40" t="s">
        <v>385</v>
      </c>
      <c r="G92" s="40" t="s">
        <v>384</v>
      </c>
      <c r="H92" s="39" t="s">
        <v>383</v>
      </c>
      <c r="I92" s="43">
        <v>1010864662</v>
      </c>
      <c r="J92" s="42">
        <v>42095</v>
      </c>
      <c r="K92" s="42"/>
      <c r="L92" s="42">
        <v>42095</v>
      </c>
      <c r="M92" s="44">
        <v>419</v>
      </c>
      <c r="N92" s="40" t="s">
        <v>13</v>
      </c>
      <c r="O92" s="44">
        <v>561</v>
      </c>
      <c r="P92" s="44">
        <v>561</v>
      </c>
      <c r="Q92" s="44">
        <f>P92-M92</f>
        <v>142</v>
      </c>
      <c r="R92" s="29">
        <f t="shared" si="7"/>
        <v>1704</v>
      </c>
      <c r="S92" s="29">
        <f t="shared" si="16"/>
        <v>0</v>
      </c>
      <c r="T92" s="65">
        <f t="shared" ca="1" si="8"/>
        <v>16.830000000000002</v>
      </c>
      <c r="U92" s="29">
        <f t="shared" si="9"/>
        <v>120</v>
      </c>
      <c r="V92" s="29">
        <f t="shared" si="10"/>
        <v>960</v>
      </c>
      <c r="W92" s="44">
        <f t="shared" si="11"/>
        <v>48</v>
      </c>
      <c r="X92" s="29">
        <f t="shared" si="12"/>
        <v>169</v>
      </c>
      <c r="Y92" s="29">
        <f t="shared" ca="1" si="13"/>
        <v>3159.83</v>
      </c>
      <c r="Z92" s="75"/>
      <c r="AA92" s="66">
        <f t="shared" ca="1" si="14"/>
        <v>1</v>
      </c>
      <c r="AB92" s="19"/>
      <c r="AC92" s="19"/>
      <c r="AD92" s="19"/>
      <c r="AE92" s="19"/>
    </row>
    <row r="93" spans="1:31" s="18" customFormat="1" ht="16.5" customHeight="1" x14ac:dyDescent="0.2">
      <c r="A93" s="39">
        <f t="shared" si="15"/>
        <v>90</v>
      </c>
      <c r="B93" s="40" t="s">
        <v>157</v>
      </c>
      <c r="C93" s="41">
        <v>703896282</v>
      </c>
      <c r="D93" s="42">
        <v>30898</v>
      </c>
      <c r="E93" s="40" t="s">
        <v>13</v>
      </c>
      <c r="F93" s="40" t="s">
        <v>394</v>
      </c>
      <c r="G93" s="40" t="s">
        <v>417</v>
      </c>
      <c r="H93" s="39" t="s">
        <v>383</v>
      </c>
      <c r="I93" s="43">
        <v>406039747100</v>
      </c>
      <c r="J93" s="42">
        <v>41579</v>
      </c>
      <c r="K93" s="42"/>
      <c r="L93" s="42">
        <v>41579</v>
      </c>
      <c r="M93" s="44">
        <v>419</v>
      </c>
      <c r="N93" s="40" t="s">
        <v>13</v>
      </c>
      <c r="O93" s="44">
        <v>561</v>
      </c>
      <c r="P93" s="44">
        <v>561</v>
      </c>
      <c r="Q93" s="44">
        <f>P93-M93</f>
        <v>142</v>
      </c>
      <c r="R93" s="29">
        <f t="shared" si="7"/>
        <v>1704</v>
      </c>
      <c r="S93" s="29">
        <f t="shared" si="16"/>
        <v>131.76</v>
      </c>
      <c r="T93" s="65">
        <f t="shared" ca="1" si="8"/>
        <v>50.490000000000009</v>
      </c>
      <c r="U93" s="29">
        <f t="shared" si="9"/>
        <v>120</v>
      </c>
      <c r="V93" s="29">
        <f t="shared" si="10"/>
        <v>960</v>
      </c>
      <c r="W93" s="44">
        <f t="shared" si="11"/>
        <v>48</v>
      </c>
      <c r="X93" s="29">
        <f t="shared" si="12"/>
        <v>169</v>
      </c>
      <c r="Y93" s="29">
        <f t="shared" ca="1" si="13"/>
        <v>3325.25</v>
      </c>
      <c r="Z93" s="75">
        <v>3</v>
      </c>
      <c r="AA93" s="66">
        <f t="shared" ca="1" si="14"/>
        <v>3</v>
      </c>
      <c r="AB93" s="19"/>
      <c r="AC93" s="19"/>
      <c r="AD93" s="19"/>
      <c r="AE93" s="19"/>
    </row>
    <row r="94" spans="1:31" s="18" customFormat="1" ht="16.5" customHeight="1" x14ac:dyDescent="0.2">
      <c r="A94" s="39">
        <f t="shared" si="15"/>
        <v>91</v>
      </c>
      <c r="B94" s="40" t="s">
        <v>179</v>
      </c>
      <c r="C94" s="41">
        <v>704515030</v>
      </c>
      <c r="D94" s="42">
        <v>34459</v>
      </c>
      <c r="E94" s="40" t="s">
        <v>13</v>
      </c>
      <c r="F94" s="40" t="s">
        <v>385</v>
      </c>
      <c r="G94" s="40" t="s">
        <v>384</v>
      </c>
      <c r="H94" s="39" t="s">
        <v>383</v>
      </c>
      <c r="I94" s="43">
        <v>1160057439</v>
      </c>
      <c r="J94" s="42">
        <v>42064</v>
      </c>
      <c r="K94" s="42"/>
      <c r="L94" s="42">
        <v>42064</v>
      </c>
      <c r="M94" s="44">
        <v>419</v>
      </c>
      <c r="N94" s="40" t="s">
        <v>13</v>
      </c>
      <c r="O94" s="44">
        <v>561</v>
      </c>
      <c r="P94" s="44">
        <v>561</v>
      </c>
      <c r="Q94" s="44">
        <f>P94-M94</f>
        <v>142</v>
      </c>
      <c r="R94" s="29">
        <f t="shared" si="7"/>
        <v>1704</v>
      </c>
      <c r="S94" s="29">
        <f t="shared" si="16"/>
        <v>0</v>
      </c>
      <c r="T94" s="65">
        <f t="shared" ca="1" si="8"/>
        <v>16.830000000000002</v>
      </c>
      <c r="U94" s="29">
        <f t="shared" si="9"/>
        <v>120</v>
      </c>
      <c r="V94" s="29">
        <f t="shared" si="10"/>
        <v>960</v>
      </c>
      <c r="W94" s="44">
        <f t="shared" si="11"/>
        <v>48</v>
      </c>
      <c r="X94" s="29">
        <f t="shared" si="12"/>
        <v>169</v>
      </c>
      <c r="Y94" s="29">
        <f t="shared" ca="1" si="13"/>
        <v>3159.83</v>
      </c>
      <c r="Z94" s="75"/>
      <c r="AA94" s="66">
        <f t="shared" ca="1" si="14"/>
        <v>1</v>
      </c>
      <c r="AB94" s="19"/>
      <c r="AC94" s="19"/>
      <c r="AD94" s="19"/>
      <c r="AE94" s="19"/>
    </row>
    <row r="95" spans="1:31" s="18" customFormat="1" ht="16.5" customHeight="1" x14ac:dyDescent="0.2">
      <c r="A95" s="39">
        <f t="shared" si="15"/>
        <v>92</v>
      </c>
      <c r="B95" s="40" t="s">
        <v>224</v>
      </c>
      <c r="C95" s="41">
        <v>706393592</v>
      </c>
      <c r="D95" s="42">
        <v>32951</v>
      </c>
      <c r="E95" s="40" t="s">
        <v>13</v>
      </c>
      <c r="F95" s="40" t="s">
        <v>394</v>
      </c>
      <c r="G95" s="40" t="s">
        <v>386</v>
      </c>
      <c r="H95" s="39" t="s">
        <v>383</v>
      </c>
      <c r="I95" s="43">
        <v>2201398359</v>
      </c>
      <c r="J95" s="42">
        <v>41579</v>
      </c>
      <c r="K95" s="42"/>
      <c r="L95" s="42">
        <v>41579</v>
      </c>
      <c r="M95" s="44">
        <v>419</v>
      </c>
      <c r="N95" s="40" t="s">
        <v>13</v>
      </c>
      <c r="O95" s="44">
        <v>561</v>
      </c>
      <c r="P95" s="44">
        <v>561</v>
      </c>
      <c r="Q95" s="44">
        <f>P95-M95</f>
        <v>142</v>
      </c>
      <c r="R95" s="29">
        <f t="shared" si="7"/>
        <v>1704</v>
      </c>
      <c r="S95" s="29">
        <f t="shared" si="16"/>
        <v>0</v>
      </c>
      <c r="T95" s="65">
        <f t="shared" ca="1" si="8"/>
        <v>50.490000000000009</v>
      </c>
      <c r="U95" s="29">
        <f t="shared" si="9"/>
        <v>120</v>
      </c>
      <c r="V95" s="29">
        <f t="shared" si="10"/>
        <v>960</v>
      </c>
      <c r="W95" s="44">
        <f t="shared" si="11"/>
        <v>48</v>
      </c>
      <c r="X95" s="29">
        <f t="shared" si="12"/>
        <v>169</v>
      </c>
      <c r="Y95" s="29">
        <f t="shared" ca="1" si="13"/>
        <v>3193.49</v>
      </c>
      <c r="Z95" s="75"/>
      <c r="AA95" s="66">
        <f t="shared" ca="1" si="14"/>
        <v>3</v>
      </c>
      <c r="AB95" s="19"/>
      <c r="AC95" s="19"/>
      <c r="AD95" s="19"/>
      <c r="AE95" s="19"/>
    </row>
    <row r="96" spans="1:31" s="18" customFormat="1" ht="16.5" customHeight="1" x14ac:dyDescent="0.2">
      <c r="A96" s="39">
        <f t="shared" si="15"/>
        <v>93</v>
      </c>
      <c r="B96" s="40" t="s">
        <v>226</v>
      </c>
      <c r="C96" s="41">
        <v>704528975</v>
      </c>
      <c r="D96" s="42">
        <v>30777</v>
      </c>
      <c r="E96" s="40" t="s">
        <v>13</v>
      </c>
      <c r="F96" s="40" t="s">
        <v>394</v>
      </c>
      <c r="G96" s="40" t="s">
        <v>384</v>
      </c>
      <c r="H96" s="39" t="s">
        <v>383</v>
      </c>
      <c r="I96" s="43">
        <v>1010719905</v>
      </c>
      <c r="J96" s="42">
        <v>39449</v>
      </c>
      <c r="K96" s="42"/>
      <c r="L96" s="42">
        <v>39449</v>
      </c>
      <c r="M96" s="44">
        <v>419</v>
      </c>
      <c r="N96" s="40" t="s">
        <v>13</v>
      </c>
      <c r="O96" s="44">
        <v>561</v>
      </c>
      <c r="P96" s="44">
        <v>561</v>
      </c>
      <c r="Q96" s="44">
        <f>P96-M96</f>
        <v>142</v>
      </c>
      <c r="R96" s="29">
        <f t="shared" si="7"/>
        <v>1704</v>
      </c>
      <c r="S96" s="29">
        <f t="shared" si="16"/>
        <v>0</v>
      </c>
      <c r="T96" s="65">
        <f t="shared" ca="1" si="8"/>
        <v>134.64000000000001</v>
      </c>
      <c r="U96" s="29">
        <f t="shared" si="9"/>
        <v>120</v>
      </c>
      <c r="V96" s="29">
        <f t="shared" si="10"/>
        <v>960</v>
      </c>
      <c r="W96" s="44">
        <f t="shared" si="11"/>
        <v>48</v>
      </c>
      <c r="X96" s="29">
        <f t="shared" si="12"/>
        <v>169</v>
      </c>
      <c r="Y96" s="29">
        <f t="shared" ca="1" si="13"/>
        <v>3277.6400000000003</v>
      </c>
      <c r="Z96" s="75"/>
      <c r="AA96" s="66">
        <f t="shared" ca="1" si="14"/>
        <v>8</v>
      </c>
      <c r="AB96" s="19"/>
      <c r="AC96" s="19"/>
      <c r="AD96" s="19"/>
      <c r="AE96" s="19"/>
    </row>
    <row r="97" spans="1:31" s="18" customFormat="1" ht="16.5" customHeight="1" x14ac:dyDescent="0.2">
      <c r="A97" s="39">
        <f t="shared" si="15"/>
        <v>94</v>
      </c>
      <c r="B97" s="40" t="s">
        <v>257</v>
      </c>
      <c r="C97" s="41">
        <v>703040378</v>
      </c>
      <c r="D97" s="42">
        <v>27183</v>
      </c>
      <c r="E97" s="40" t="s">
        <v>13</v>
      </c>
      <c r="F97" s="40" t="s">
        <v>394</v>
      </c>
      <c r="G97" s="40" t="s">
        <v>384</v>
      </c>
      <c r="H97" s="39" t="s">
        <v>383</v>
      </c>
      <c r="I97" s="43">
        <v>1030276473</v>
      </c>
      <c r="J97" s="42">
        <v>40848</v>
      </c>
      <c r="K97" s="42"/>
      <c r="L97" s="42">
        <v>40848</v>
      </c>
      <c r="M97" s="44">
        <v>419</v>
      </c>
      <c r="N97" s="40" t="s">
        <v>13</v>
      </c>
      <c r="O97" s="44">
        <v>561</v>
      </c>
      <c r="P97" s="44">
        <v>561</v>
      </c>
      <c r="Q97" s="44">
        <f>P97-M97</f>
        <v>142</v>
      </c>
      <c r="R97" s="29">
        <f t="shared" si="7"/>
        <v>1704</v>
      </c>
      <c r="S97" s="29">
        <f t="shared" si="16"/>
        <v>87.84</v>
      </c>
      <c r="T97" s="65">
        <f t="shared" ca="1" si="8"/>
        <v>84.15</v>
      </c>
      <c r="U97" s="29">
        <f t="shared" si="9"/>
        <v>120</v>
      </c>
      <c r="V97" s="29">
        <f t="shared" si="10"/>
        <v>960</v>
      </c>
      <c r="W97" s="44">
        <f t="shared" si="11"/>
        <v>48</v>
      </c>
      <c r="X97" s="29">
        <f t="shared" si="12"/>
        <v>169</v>
      </c>
      <c r="Y97" s="29">
        <f t="shared" ca="1" si="13"/>
        <v>3314.99</v>
      </c>
      <c r="Z97" s="75">
        <v>2</v>
      </c>
      <c r="AA97" s="66">
        <f t="shared" ca="1" si="14"/>
        <v>5</v>
      </c>
      <c r="AB97" s="19"/>
      <c r="AC97" s="19"/>
      <c r="AD97" s="19"/>
      <c r="AE97" s="19"/>
    </row>
    <row r="98" spans="1:31" s="18" customFormat="1" ht="16.5" customHeight="1" x14ac:dyDescent="0.2">
      <c r="A98" s="39">
        <f t="shared" si="15"/>
        <v>95</v>
      </c>
      <c r="B98" s="40" t="s">
        <v>266</v>
      </c>
      <c r="C98" s="41">
        <v>703059790</v>
      </c>
      <c r="D98" s="42">
        <v>27788</v>
      </c>
      <c r="E98" s="40" t="s">
        <v>13</v>
      </c>
      <c r="F98" s="40" t="s">
        <v>385</v>
      </c>
      <c r="G98" s="40" t="s">
        <v>393</v>
      </c>
      <c r="H98" s="39" t="s">
        <v>383</v>
      </c>
      <c r="I98" s="43">
        <v>8201230600</v>
      </c>
      <c r="J98" s="42">
        <v>42328</v>
      </c>
      <c r="K98" s="42"/>
      <c r="L98" s="42">
        <v>42328</v>
      </c>
      <c r="M98" s="44">
        <v>419</v>
      </c>
      <c r="N98" s="40" t="s">
        <v>13</v>
      </c>
      <c r="O98" s="44">
        <v>561</v>
      </c>
      <c r="P98" s="44">
        <v>561</v>
      </c>
      <c r="Q98" s="44">
        <f>P98-M98</f>
        <v>142</v>
      </c>
      <c r="R98" s="29">
        <f t="shared" si="7"/>
        <v>1704</v>
      </c>
      <c r="S98" s="29">
        <f t="shared" si="16"/>
        <v>0</v>
      </c>
      <c r="T98" s="65">
        <f t="shared" ca="1" si="8"/>
        <v>16.830000000000002</v>
      </c>
      <c r="U98" s="29">
        <f t="shared" si="9"/>
        <v>120</v>
      </c>
      <c r="V98" s="29">
        <f t="shared" si="10"/>
        <v>960</v>
      </c>
      <c r="W98" s="44">
        <f t="shared" si="11"/>
        <v>48</v>
      </c>
      <c r="X98" s="29">
        <f t="shared" si="12"/>
        <v>169</v>
      </c>
      <c r="Y98" s="29">
        <f t="shared" ca="1" si="13"/>
        <v>3159.83</v>
      </c>
      <c r="Z98" s="75"/>
      <c r="AA98" s="66">
        <f t="shared" ca="1" si="14"/>
        <v>1</v>
      </c>
      <c r="AB98" s="19"/>
      <c r="AC98" s="19"/>
      <c r="AD98" s="19"/>
      <c r="AE98" s="19"/>
    </row>
    <row r="99" spans="1:31" s="18" customFormat="1" ht="16.5" customHeight="1" x14ac:dyDescent="0.2">
      <c r="A99" s="39">
        <f t="shared" si="15"/>
        <v>96</v>
      </c>
      <c r="B99" s="40" t="s">
        <v>273</v>
      </c>
      <c r="C99" s="41">
        <v>705133205</v>
      </c>
      <c r="D99" s="42">
        <v>30764</v>
      </c>
      <c r="E99" s="40" t="s">
        <v>13</v>
      </c>
      <c r="F99" s="40" t="s">
        <v>394</v>
      </c>
      <c r="G99" s="40" t="s">
        <v>384</v>
      </c>
      <c r="H99" s="39" t="s">
        <v>383</v>
      </c>
      <c r="I99" s="43">
        <v>1010859715</v>
      </c>
      <c r="J99" s="42">
        <v>40848</v>
      </c>
      <c r="K99" s="42"/>
      <c r="L99" s="42">
        <v>40848</v>
      </c>
      <c r="M99" s="44">
        <v>419</v>
      </c>
      <c r="N99" s="40" t="s">
        <v>13</v>
      </c>
      <c r="O99" s="44">
        <v>561</v>
      </c>
      <c r="P99" s="44">
        <v>561</v>
      </c>
      <c r="Q99" s="44">
        <f>P99-M99</f>
        <v>142</v>
      </c>
      <c r="R99" s="29">
        <f t="shared" si="7"/>
        <v>1704</v>
      </c>
      <c r="S99" s="29">
        <f t="shared" si="16"/>
        <v>0</v>
      </c>
      <c r="T99" s="65">
        <f t="shared" ca="1" si="8"/>
        <v>84.15</v>
      </c>
      <c r="U99" s="29">
        <f t="shared" si="9"/>
        <v>120</v>
      </c>
      <c r="V99" s="29">
        <f t="shared" si="10"/>
        <v>960</v>
      </c>
      <c r="W99" s="44">
        <f t="shared" si="11"/>
        <v>48</v>
      </c>
      <c r="X99" s="29">
        <f t="shared" si="12"/>
        <v>169</v>
      </c>
      <c r="Y99" s="29">
        <f t="shared" ca="1" si="13"/>
        <v>3227.15</v>
      </c>
      <c r="Z99" s="75"/>
      <c r="AA99" s="66">
        <f t="shared" ca="1" si="14"/>
        <v>5</v>
      </c>
      <c r="AB99" s="19"/>
      <c r="AC99" s="19"/>
      <c r="AD99" s="19"/>
      <c r="AE99" s="19"/>
    </row>
    <row r="100" spans="1:31" s="18" customFormat="1" ht="16.5" customHeight="1" x14ac:dyDescent="0.2">
      <c r="A100" s="39">
        <f t="shared" si="15"/>
        <v>97</v>
      </c>
      <c r="B100" s="40" t="s">
        <v>277</v>
      </c>
      <c r="C100" s="41">
        <v>704888197</v>
      </c>
      <c r="D100" s="42">
        <v>34464</v>
      </c>
      <c r="E100" s="40" t="s">
        <v>13</v>
      </c>
      <c r="F100" s="40" t="s">
        <v>394</v>
      </c>
      <c r="G100" s="40" t="s">
        <v>417</v>
      </c>
      <c r="H100" s="39" t="s">
        <v>383</v>
      </c>
      <c r="I100" s="43">
        <v>406032272408</v>
      </c>
      <c r="J100" s="42">
        <v>40848</v>
      </c>
      <c r="K100" s="42"/>
      <c r="L100" s="42">
        <v>40848</v>
      </c>
      <c r="M100" s="44">
        <v>419</v>
      </c>
      <c r="N100" s="40" t="s">
        <v>13</v>
      </c>
      <c r="O100" s="44">
        <v>561</v>
      </c>
      <c r="P100" s="44">
        <v>561</v>
      </c>
      <c r="Q100" s="44">
        <f>P100-M100</f>
        <v>142</v>
      </c>
      <c r="R100" s="29">
        <f t="shared" si="7"/>
        <v>1704</v>
      </c>
      <c r="S100" s="29">
        <f t="shared" si="16"/>
        <v>0</v>
      </c>
      <c r="T100" s="65">
        <f t="shared" ca="1" si="8"/>
        <v>84.15</v>
      </c>
      <c r="U100" s="29">
        <f t="shared" si="9"/>
        <v>120</v>
      </c>
      <c r="V100" s="29">
        <f t="shared" si="10"/>
        <v>960</v>
      </c>
      <c r="W100" s="44">
        <f t="shared" si="11"/>
        <v>48</v>
      </c>
      <c r="X100" s="29">
        <f t="shared" si="12"/>
        <v>169</v>
      </c>
      <c r="Y100" s="29">
        <f t="shared" ca="1" si="13"/>
        <v>3227.15</v>
      </c>
      <c r="Z100" s="75"/>
      <c r="AA100" s="66">
        <f t="shared" ca="1" si="14"/>
        <v>5</v>
      </c>
      <c r="AB100" s="19"/>
      <c r="AC100" s="19"/>
      <c r="AD100" s="19"/>
      <c r="AE100" s="19"/>
    </row>
    <row r="101" spans="1:31" s="18" customFormat="1" ht="16.5" customHeight="1" x14ac:dyDescent="0.2">
      <c r="A101" s="39">
        <f t="shared" si="15"/>
        <v>98</v>
      </c>
      <c r="B101" s="40" t="s">
        <v>318</v>
      </c>
      <c r="C101" s="41">
        <v>704466838</v>
      </c>
      <c r="D101" s="42">
        <v>33282</v>
      </c>
      <c r="E101" s="40" t="s">
        <v>13</v>
      </c>
      <c r="F101" s="40" t="s">
        <v>395</v>
      </c>
      <c r="G101" s="40" t="s">
        <v>417</v>
      </c>
      <c r="H101" s="39" t="s">
        <v>383</v>
      </c>
      <c r="I101" s="43">
        <v>406022489506</v>
      </c>
      <c r="J101" s="42">
        <v>40940</v>
      </c>
      <c r="K101" s="42"/>
      <c r="L101" s="42">
        <v>40940</v>
      </c>
      <c r="M101" s="44">
        <v>419</v>
      </c>
      <c r="N101" s="40" t="s">
        <v>13</v>
      </c>
      <c r="O101" s="44">
        <v>561</v>
      </c>
      <c r="P101" s="44">
        <v>561</v>
      </c>
      <c r="Q101" s="44">
        <f>P101-M101</f>
        <v>142</v>
      </c>
      <c r="R101" s="29">
        <f t="shared" si="7"/>
        <v>1704</v>
      </c>
      <c r="S101" s="29">
        <f t="shared" si="16"/>
        <v>87.84</v>
      </c>
      <c r="T101" s="65">
        <f t="shared" ca="1" si="8"/>
        <v>67.320000000000007</v>
      </c>
      <c r="U101" s="29">
        <f t="shared" si="9"/>
        <v>120</v>
      </c>
      <c r="V101" s="29">
        <f t="shared" si="10"/>
        <v>960</v>
      </c>
      <c r="W101" s="44">
        <f t="shared" si="11"/>
        <v>48</v>
      </c>
      <c r="X101" s="29">
        <f t="shared" si="12"/>
        <v>169</v>
      </c>
      <c r="Y101" s="29">
        <f t="shared" ca="1" si="13"/>
        <v>3298.16</v>
      </c>
      <c r="Z101" s="75">
        <v>2</v>
      </c>
      <c r="AA101" s="66">
        <f t="shared" ca="1" si="14"/>
        <v>4</v>
      </c>
      <c r="AB101" s="19"/>
      <c r="AC101" s="19"/>
      <c r="AD101" s="19"/>
      <c r="AE101" s="19"/>
    </row>
    <row r="102" spans="1:31" s="18" customFormat="1" ht="16.5" customHeight="1" x14ac:dyDescent="0.2">
      <c r="A102" s="39">
        <f t="shared" si="15"/>
        <v>99</v>
      </c>
      <c r="B102" s="40" t="s">
        <v>324</v>
      </c>
      <c r="C102" s="41">
        <v>702720954</v>
      </c>
      <c r="D102" s="42">
        <v>28327</v>
      </c>
      <c r="E102" s="40" t="s">
        <v>13</v>
      </c>
      <c r="F102" s="40" t="s">
        <v>394</v>
      </c>
      <c r="G102" s="40" t="s">
        <v>417</v>
      </c>
      <c r="H102" s="39" t="s">
        <v>383</v>
      </c>
      <c r="I102" s="43">
        <v>406030861503</v>
      </c>
      <c r="J102" s="42">
        <v>40787</v>
      </c>
      <c r="K102" s="42"/>
      <c r="L102" s="42">
        <v>40787</v>
      </c>
      <c r="M102" s="44">
        <v>419</v>
      </c>
      <c r="N102" s="40" t="s">
        <v>13</v>
      </c>
      <c r="O102" s="44">
        <v>561</v>
      </c>
      <c r="P102" s="44">
        <v>561</v>
      </c>
      <c r="Q102" s="44">
        <f>P102-M102</f>
        <v>142</v>
      </c>
      <c r="R102" s="29">
        <f t="shared" si="7"/>
        <v>1704</v>
      </c>
      <c r="S102" s="29">
        <f t="shared" si="16"/>
        <v>0</v>
      </c>
      <c r="T102" s="65">
        <f t="shared" ca="1" si="8"/>
        <v>84.15</v>
      </c>
      <c r="U102" s="29">
        <f t="shared" si="9"/>
        <v>120</v>
      </c>
      <c r="V102" s="29">
        <f t="shared" si="10"/>
        <v>960</v>
      </c>
      <c r="W102" s="44">
        <f t="shared" si="11"/>
        <v>48</v>
      </c>
      <c r="X102" s="29">
        <f t="shared" si="12"/>
        <v>169</v>
      </c>
      <c r="Y102" s="29">
        <f t="shared" ca="1" si="13"/>
        <v>3227.15</v>
      </c>
      <c r="Z102" s="75"/>
      <c r="AA102" s="66">
        <f t="shared" ca="1" si="14"/>
        <v>5</v>
      </c>
      <c r="AB102" s="19"/>
      <c r="AC102" s="19"/>
      <c r="AD102" s="19"/>
      <c r="AE102" s="19"/>
    </row>
    <row r="103" spans="1:31" s="18" customFormat="1" ht="16.5" customHeight="1" x14ac:dyDescent="0.2">
      <c r="A103" s="39">
        <f t="shared" si="15"/>
        <v>100</v>
      </c>
      <c r="B103" s="40" t="s">
        <v>367</v>
      </c>
      <c r="C103" s="41">
        <v>702967498</v>
      </c>
      <c r="D103" s="42">
        <v>28106</v>
      </c>
      <c r="E103" s="40" t="s">
        <v>13</v>
      </c>
      <c r="F103" s="40" t="s">
        <v>395</v>
      </c>
      <c r="G103" s="40" t="s">
        <v>417</v>
      </c>
      <c r="H103" s="39" t="s">
        <v>383</v>
      </c>
      <c r="I103" s="43">
        <v>44060277237</v>
      </c>
      <c r="J103" s="42">
        <v>40940</v>
      </c>
      <c r="K103" s="42"/>
      <c r="L103" s="42">
        <v>40940</v>
      </c>
      <c r="M103" s="44">
        <v>419</v>
      </c>
      <c r="N103" s="40" t="s">
        <v>13</v>
      </c>
      <c r="O103" s="44">
        <v>561</v>
      </c>
      <c r="P103" s="44">
        <v>561</v>
      </c>
      <c r="Q103" s="44">
        <f>P103-M103</f>
        <v>142</v>
      </c>
      <c r="R103" s="29">
        <f t="shared" si="7"/>
        <v>1704</v>
      </c>
      <c r="S103" s="29">
        <f t="shared" si="16"/>
        <v>0</v>
      </c>
      <c r="T103" s="65">
        <f t="shared" ca="1" si="8"/>
        <v>67.320000000000007</v>
      </c>
      <c r="U103" s="29">
        <f t="shared" si="9"/>
        <v>120</v>
      </c>
      <c r="V103" s="29">
        <f t="shared" si="10"/>
        <v>960</v>
      </c>
      <c r="W103" s="44">
        <f t="shared" si="11"/>
        <v>48</v>
      </c>
      <c r="X103" s="29">
        <f t="shared" si="12"/>
        <v>169</v>
      </c>
      <c r="Y103" s="29">
        <f t="shared" ca="1" si="13"/>
        <v>3210.3199999999997</v>
      </c>
      <c r="Z103" s="75"/>
      <c r="AA103" s="66">
        <f t="shared" ca="1" si="14"/>
        <v>4</v>
      </c>
      <c r="AB103" s="19"/>
      <c r="AC103" s="19"/>
      <c r="AD103" s="19"/>
      <c r="AE103" s="19"/>
    </row>
    <row r="104" spans="1:31" s="18" customFormat="1" ht="16.5" customHeight="1" x14ac:dyDescent="0.2">
      <c r="A104" s="39">
        <f t="shared" si="15"/>
        <v>101</v>
      </c>
      <c r="B104" s="40" t="s">
        <v>408</v>
      </c>
      <c r="C104" s="41">
        <v>700655699</v>
      </c>
      <c r="D104" s="42">
        <v>18435</v>
      </c>
      <c r="E104" s="40" t="s">
        <v>38</v>
      </c>
      <c r="F104" s="40" t="s">
        <v>422</v>
      </c>
      <c r="G104" s="40" t="s">
        <v>384</v>
      </c>
      <c r="H104" s="39" t="s">
        <v>383</v>
      </c>
      <c r="I104" s="43">
        <v>130069657</v>
      </c>
      <c r="J104" s="42">
        <v>30977</v>
      </c>
      <c r="K104" s="42">
        <v>42674</v>
      </c>
      <c r="L104" s="42">
        <v>30977</v>
      </c>
      <c r="M104" s="44">
        <v>590.94000000000005</v>
      </c>
      <c r="N104" s="40" t="s">
        <v>38</v>
      </c>
      <c r="O104" s="44">
        <v>561</v>
      </c>
      <c r="P104" s="44">
        <v>590.94000000000005</v>
      </c>
      <c r="Q104" s="44">
        <f>P104-M104</f>
        <v>0</v>
      </c>
      <c r="R104" s="29">
        <f t="shared" si="7"/>
        <v>0</v>
      </c>
      <c r="S104" s="29">
        <f t="shared" si="16"/>
        <v>0</v>
      </c>
      <c r="T104" s="65">
        <f t="shared" ca="1" si="8"/>
        <v>212.73840000000001</v>
      </c>
      <c r="U104" s="29">
        <f t="shared" si="9"/>
        <v>120</v>
      </c>
      <c r="V104" s="29">
        <f t="shared" si="10"/>
        <v>960</v>
      </c>
      <c r="W104" s="44">
        <f t="shared" si="11"/>
        <v>48</v>
      </c>
      <c r="X104" s="29">
        <f t="shared" si="12"/>
        <v>169</v>
      </c>
      <c r="Y104" s="29">
        <f t="shared" ca="1" si="13"/>
        <v>1509.7384</v>
      </c>
      <c r="Z104" s="75"/>
      <c r="AA104" s="66">
        <f t="shared" ca="1" si="14"/>
        <v>12</v>
      </c>
      <c r="AB104" s="19"/>
      <c r="AC104" s="19"/>
      <c r="AD104" s="19"/>
      <c r="AE104" s="19"/>
    </row>
    <row r="105" spans="1:31" s="18" customFormat="1" ht="16.5" customHeight="1" x14ac:dyDescent="0.2">
      <c r="A105" s="39">
        <f t="shared" si="15"/>
        <v>102</v>
      </c>
      <c r="B105" s="40" t="s">
        <v>414</v>
      </c>
      <c r="C105" s="41">
        <v>903848059</v>
      </c>
      <c r="D105" s="42">
        <v>18084</v>
      </c>
      <c r="E105" s="40" t="s">
        <v>38</v>
      </c>
      <c r="F105" s="40" t="s">
        <v>395</v>
      </c>
      <c r="G105" s="40" t="s">
        <v>384</v>
      </c>
      <c r="H105" s="39" t="s">
        <v>383</v>
      </c>
      <c r="I105" s="43">
        <v>1010404696</v>
      </c>
      <c r="J105" s="42">
        <v>29495</v>
      </c>
      <c r="K105" s="42">
        <v>42643</v>
      </c>
      <c r="L105" s="42">
        <v>29495</v>
      </c>
      <c r="M105" s="44">
        <v>603.12</v>
      </c>
      <c r="N105" s="40" t="s">
        <v>38</v>
      </c>
      <c r="O105" s="44">
        <v>561</v>
      </c>
      <c r="P105" s="44">
        <v>603.12</v>
      </c>
      <c r="Q105" s="44">
        <f>P105-M105</f>
        <v>0</v>
      </c>
      <c r="R105" s="29">
        <f t="shared" si="7"/>
        <v>0</v>
      </c>
      <c r="S105" s="29">
        <f t="shared" si="16"/>
        <v>0</v>
      </c>
      <c r="T105" s="65">
        <f t="shared" ca="1" si="8"/>
        <v>217.12320000000003</v>
      </c>
      <c r="U105" s="29">
        <f t="shared" si="9"/>
        <v>120</v>
      </c>
      <c r="V105" s="29">
        <f t="shared" si="10"/>
        <v>960</v>
      </c>
      <c r="W105" s="44">
        <f t="shared" si="11"/>
        <v>48</v>
      </c>
      <c r="X105" s="29">
        <f t="shared" si="12"/>
        <v>169</v>
      </c>
      <c r="Y105" s="29">
        <f t="shared" ca="1" si="13"/>
        <v>1514.1232</v>
      </c>
      <c r="Z105" s="75"/>
      <c r="AA105" s="66">
        <f t="shared" ca="1" si="14"/>
        <v>12</v>
      </c>
      <c r="AB105" s="19"/>
      <c r="AC105" s="19"/>
      <c r="AD105" s="19"/>
      <c r="AE105" s="19"/>
    </row>
    <row r="106" spans="1:31" s="18" customFormat="1" ht="16.5" customHeight="1" x14ac:dyDescent="0.2">
      <c r="A106" s="39">
        <f t="shared" si="15"/>
        <v>103</v>
      </c>
      <c r="B106" s="40" t="s">
        <v>37</v>
      </c>
      <c r="C106" s="41">
        <v>701081754</v>
      </c>
      <c r="D106" s="42">
        <v>20731</v>
      </c>
      <c r="E106" s="40" t="s">
        <v>38</v>
      </c>
      <c r="F106" s="40" t="s">
        <v>422</v>
      </c>
      <c r="G106" s="40" t="s">
        <v>384</v>
      </c>
      <c r="H106" s="39" t="s">
        <v>383</v>
      </c>
      <c r="I106" s="43">
        <v>1010176073</v>
      </c>
      <c r="J106" s="42">
        <v>32509</v>
      </c>
      <c r="K106" s="42"/>
      <c r="L106" s="42">
        <v>32509</v>
      </c>
      <c r="M106" s="44">
        <v>588.73</v>
      </c>
      <c r="N106" s="40" t="s">
        <v>38</v>
      </c>
      <c r="O106" s="44">
        <v>561</v>
      </c>
      <c r="P106" s="44">
        <v>588.73</v>
      </c>
      <c r="Q106" s="44">
        <f>P106-M106</f>
        <v>0</v>
      </c>
      <c r="R106" s="29">
        <f t="shared" si="7"/>
        <v>0</v>
      </c>
      <c r="S106" s="29">
        <f t="shared" si="16"/>
        <v>0</v>
      </c>
      <c r="T106" s="65">
        <f t="shared" ca="1" si="8"/>
        <v>211.94280000000003</v>
      </c>
      <c r="U106" s="29">
        <f t="shared" si="9"/>
        <v>120</v>
      </c>
      <c r="V106" s="29">
        <f t="shared" si="10"/>
        <v>960</v>
      </c>
      <c r="W106" s="44">
        <f t="shared" si="11"/>
        <v>48</v>
      </c>
      <c r="X106" s="29">
        <f t="shared" si="12"/>
        <v>169</v>
      </c>
      <c r="Y106" s="29">
        <f t="shared" ca="1" si="13"/>
        <v>1508.9428</v>
      </c>
      <c r="Z106" s="75"/>
      <c r="AA106" s="66">
        <f t="shared" ca="1" si="14"/>
        <v>12</v>
      </c>
      <c r="AB106" s="19"/>
      <c r="AC106" s="19"/>
      <c r="AD106" s="19"/>
      <c r="AE106" s="19"/>
    </row>
    <row r="107" spans="1:31" s="18" customFormat="1" ht="16.5" customHeight="1" x14ac:dyDescent="0.2">
      <c r="A107" s="39">
        <f t="shared" si="15"/>
        <v>104</v>
      </c>
      <c r="B107" s="40" t="s">
        <v>41</v>
      </c>
      <c r="C107" s="41">
        <v>700506975</v>
      </c>
      <c r="D107" s="42">
        <v>18095</v>
      </c>
      <c r="E107" s="40" t="s">
        <v>38</v>
      </c>
      <c r="F107" s="40" t="s">
        <v>422</v>
      </c>
      <c r="G107" s="40" t="s">
        <v>384</v>
      </c>
      <c r="H107" s="39" t="s">
        <v>383</v>
      </c>
      <c r="I107" s="43">
        <v>1020090754</v>
      </c>
      <c r="J107" s="42">
        <v>31458</v>
      </c>
      <c r="K107" s="42"/>
      <c r="L107" s="42">
        <v>31458</v>
      </c>
      <c r="M107" s="44">
        <v>603.12</v>
      </c>
      <c r="N107" s="40" t="s">
        <v>38</v>
      </c>
      <c r="O107" s="44">
        <v>561</v>
      </c>
      <c r="P107" s="44">
        <v>603.12</v>
      </c>
      <c r="Q107" s="44">
        <f>P107-M107</f>
        <v>0</v>
      </c>
      <c r="R107" s="29">
        <f t="shared" si="7"/>
        <v>0</v>
      </c>
      <c r="S107" s="29">
        <f t="shared" si="16"/>
        <v>0</v>
      </c>
      <c r="T107" s="65">
        <f t="shared" ca="1" si="8"/>
        <v>217.12320000000003</v>
      </c>
      <c r="U107" s="29">
        <f t="shared" si="9"/>
        <v>120</v>
      </c>
      <c r="V107" s="29">
        <f t="shared" si="10"/>
        <v>960</v>
      </c>
      <c r="W107" s="44">
        <f t="shared" si="11"/>
        <v>48</v>
      </c>
      <c r="X107" s="29">
        <f t="shared" si="12"/>
        <v>169</v>
      </c>
      <c r="Y107" s="29">
        <f t="shared" ca="1" si="13"/>
        <v>1514.1232</v>
      </c>
      <c r="Z107" s="75"/>
      <c r="AA107" s="66">
        <f t="shared" ca="1" si="14"/>
        <v>12</v>
      </c>
      <c r="AB107" s="19"/>
      <c r="AC107" s="19"/>
      <c r="AD107" s="19"/>
      <c r="AE107" s="19"/>
    </row>
    <row r="108" spans="1:31" s="18" customFormat="1" ht="16.5" customHeight="1" x14ac:dyDescent="0.2">
      <c r="A108" s="39">
        <f t="shared" si="15"/>
        <v>105</v>
      </c>
      <c r="B108" s="40" t="s">
        <v>61</v>
      </c>
      <c r="C108" s="41">
        <v>700957962</v>
      </c>
      <c r="D108" s="42">
        <v>21154</v>
      </c>
      <c r="E108" s="40" t="s">
        <v>38</v>
      </c>
      <c r="F108" s="40" t="s">
        <v>422</v>
      </c>
      <c r="G108" s="40" t="s">
        <v>397</v>
      </c>
      <c r="H108" s="39" t="s">
        <v>383</v>
      </c>
      <c r="I108" s="43">
        <v>1049312561</v>
      </c>
      <c r="J108" s="42">
        <v>31413</v>
      </c>
      <c r="K108" s="42"/>
      <c r="L108" s="42">
        <v>31413</v>
      </c>
      <c r="M108" s="44">
        <v>576.54999999999995</v>
      </c>
      <c r="N108" s="40" t="s">
        <v>38</v>
      </c>
      <c r="O108" s="44">
        <v>561</v>
      </c>
      <c r="P108" s="44">
        <v>576.54999999999995</v>
      </c>
      <c r="Q108" s="44">
        <f>P108-M108</f>
        <v>0</v>
      </c>
      <c r="R108" s="29">
        <f t="shared" si="7"/>
        <v>0</v>
      </c>
      <c r="S108" s="29">
        <f t="shared" si="16"/>
        <v>0</v>
      </c>
      <c r="T108" s="65">
        <f t="shared" ca="1" si="8"/>
        <v>207.55799999999999</v>
      </c>
      <c r="U108" s="29">
        <f t="shared" si="9"/>
        <v>120</v>
      </c>
      <c r="V108" s="29">
        <f t="shared" si="10"/>
        <v>960</v>
      </c>
      <c r="W108" s="44">
        <f t="shared" si="11"/>
        <v>48</v>
      </c>
      <c r="X108" s="29">
        <f t="shared" si="12"/>
        <v>169</v>
      </c>
      <c r="Y108" s="29">
        <f t="shared" ca="1" si="13"/>
        <v>1504.558</v>
      </c>
      <c r="Z108" s="75"/>
      <c r="AA108" s="66">
        <f t="shared" ca="1" si="14"/>
        <v>12</v>
      </c>
      <c r="AB108" s="19"/>
      <c r="AC108" s="19"/>
      <c r="AD108" s="19"/>
      <c r="AE108" s="19"/>
    </row>
    <row r="109" spans="1:31" s="18" customFormat="1" ht="16.5" customHeight="1" x14ac:dyDescent="0.2">
      <c r="A109" s="39">
        <f t="shared" si="15"/>
        <v>106</v>
      </c>
      <c r="B109" s="40" t="s">
        <v>103</v>
      </c>
      <c r="C109" s="41">
        <v>705360923</v>
      </c>
      <c r="D109" s="42">
        <v>33090</v>
      </c>
      <c r="E109" s="40" t="s">
        <v>38</v>
      </c>
      <c r="F109" s="40" t="s">
        <v>389</v>
      </c>
      <c r="G109" s="40" t="s">
        <v>397</v>
      </c>
      <c r="H109" s="39" t="s">
        <v>383</v>
      </c>
      <c r="I109" s="43">
        <v>1049312669</v>
      </c>
      <c r="J109" s="42">
        <v>39692</v>
      </c>
      <c r="K109" s="42"/>
      <c r="L109" s="42">
        <v>41061</v>
      </c>
      <c r="M109" s="44">
        <v>447</v>
      </c>
      <c r="N109" s="40" t="s">
        <v>38</v>
      </c>
      <c r="O109" s="44">
        <v>561</v>
      </c>
      <c r="P109" s="44">
        <v>561</v>
      </c>
      <c r="Q109" s="44">
        <f>P109-M109</f>
        <v>114</v>
      </c>
      <c r="R109" s="29">
        <f t="shared" si="7"/>
        <v>1368</v>
      </c>
      <c r="S109" s="29">
        <f t="shared" si="16"/>
        <v>0</v>
      </c>
      <c r="T109" s="65">
        <f t="shared" ca="1" si="8"/>
        <v>67.320000000000007</v>
      </c>
      <c r="U109" s="29">
        <f t="shared" si="9"/>
        <v>120</v>
      </c>
      <c r="V109" s="29">
        <f t="shared" si="10"/>
        <v>960</v>
      </c>
      <c r="W109" s="44">
        <f t="shared" si="11"/>
        <v>48</v>
      </c>
      <c r="X109" s="29">
        <f t="shared" si="12"/>
        <v>169</v>
      </c>
      <c r="Y109" s="29">
        <f t="shared" ca="1" si="13"/>
        <v>2846.3199999999997</v>
      </c>
      <c r="Z109" s="75"/>
      <c r="AA109" s="66">
        <f t="shared" ca="1" si="14"/>
        <v>4</v>
      </c>
      <c r="AB109" s="19"/>
      <c r="AC109" s="19"/>
      <c r="AD109" s="19"/>
      <c r="AE109" s="19"/>
    </row>
    <row r="110" spans="1:31" s="18" customFormat="1" ht="16.5" customHeight="1" x14ac:dyDescent="0.2">
      <c r="A110" s="39">
        <f t="shared" si="15"/>
        <v>107</v>
      </c>
      <c r="B110" s="40" t="s">
        <v>104</v>
      </c>
      <c r="C110" s="41">
        <v>701393969</v>
      </c>
      <c r="D110" s="42">
        <v>21652</v>
      </c>
      <c r="E110" s="40" t="s">
        <v>38</v>
      </c>
      <c r="F110" s="40" t="s">
        <v>385</v>
      </c>
      <c r="G110" s="40" t="s">
        <v>384</v>
      </c>
      <c r="H110" s="39" t="s">
        <v>383</v>
      </c>
      <c r="I110" s="43">
        <v>130184103</v>
      </c>
      <c r="J110" s="42">
        <v>30977</v>
      </c>
      <c r="K110" s="42"/>
      <c r="L110" s="42">
        <v>30977</v>
      </c>
      <c r="M110" s="44">
        <v>572.12</v>
      </c>
      <c r="N110" s="40" t="s">
        <v>38</v>
      </c>
      <c r="O110" s="44">
        <v>561</v>
      </c>
      <c r="P110" s="44">
        <v>572.12</v>
      </c>
      <c r="Q110" s="44">
        <f>P110-M110</f>
        <v>0</v>
      </c>
      <c r="R110" s="29">
        <f t="shared" si="7"/>
        <v>0</v>
      </c>
      <c r="S110" s="29">
        <f t="shared" si="16"/>
        <v>0</v>
      </c>
      <c r="T110" s="65">
        <f t="shared" ca="1" si="8"/>
        <v>205.96320000000003</v>
      </c>
      <c r="U110" s="29">
        <f t="shared" si="9"/>
        <v>120</v>
      </c>
      <c r="V110" s="29">
        <f t="shared" si="10"/>
        <v>960</v>
      </c>
      <c r="W110" s="44">
        <f t="shared" si="11"/>
        <v>48</v>
      </c>
      <c r="X110" s="29">
        <f t="shared" si="12"/>
        <v>169</v>
      </c>
      <c r="Y110" s="29">
        <f t="shared" ca="1" si="13"/>
        <v>1502.9632000000001</v>
      </c>
      <c r="Z110" s="75"/>
      <c r="AA110" s="66">
        <f t="shared" ca="1" si="14"/>
        <v>12</v>
      </c>
      <c r="AB110" s="19"/>
      <c r="AC110" s="19"/>
      <c r="AD110" s="19"/>
      <c r="AE110" s="19"/>
    </row>
    <row r="111" spans="1:31" s="18" customFormat="1" ht="16.5" customHeight="1" x14ac:dyDescent="0.2">
      <c r="A111" s="39">
        <f t="shared" si="15"/>
        <v>108</v>
      </c>
      <c r="B111" s="40" t="s">
        <v>121</v>
      </c>
      <c r="C111" s="41">
        <v>702951880</v>
      </c>
      <c r="D111" s="42">
        <v>26547</v>
      </c>
      <c r="E111" s="40" t="s">
        <v>38</v>
      </c>
      <c r="F111" s="40" t="s">
        <v>394</v>
      </c>
      <c r="G111" s="40" t="s">
        <v>419</v>
      </c>
      <c r="H111" s="39" t="s">
        <v>383</v>
      </c>
      <c r="I111" s="43">
        <v>2250371</v>
      </c>
      <c r="J111" s="42">
        <v>42156</v>
      </c>
      <c r="K111" s="42"/>
      <c r="L111" s="42">
        <v>42156</v>
      </c>
      <c r="M111" s="44">
        <v>447</v>
      </c>
      <c r="N111" s="40" t="s">
        <v>38</v>
      </c>
      <c r="O111" s="44">
        <v>561</v>
      </c>
      <c r="P111" s="44">
        <v>561</v>
      </c>
      <c r="Q111" s="44">
        <f>P111-M111</f>
        <v>114</v>
      </c>
      <c r="R111" s="29">
        <f t="shared" si="7"/>
        <v>1368</v>
      </c>
      <c r="S111" s="29">
        <f t="shared" si="16"/>
        <v>87.84</v>
      </c>
      <c r="T111" s="65">
        <f t="shared" ca="1" si="8"/>
        <v>16.830000000000002</v>
      </c>
      <c r="U111" s="29">
        <f t="shared" si="9"/>
        <v>120</v>
      </c>
      <c r="V111" s="29">
        <f t="shared" si="10"/>
        <v>960</v>
      </c>
      <c r="W111" s="44">
        <f t="shared" si="11"/>
        <v>48</v>
      </c>
      <c r="X111" s="29">
        <f t="shared" si="12"/>
        <v>169</v>
      </c>
      <c r="Y111" s="29">
        <f t="shared" ca="1" si="13"/>
        <v>2883.67</v>
      </c>
      <c r="Z111" s="75">
        <v>2</v>
      </c>
      <c r="AA111" s="66">
        <f t="shared" ca="1" si="14"/>
        <v>1</v>
      </c>
      <c r="AB111" s="19"/>
      <c r="AC111" s="19"/>
      <c r="AD111" s="19"/>
      <c r="AE111" s="19"/>
    </row>
    <row r="112" spans="1:31" s="18" customFormat="1" ht="16.5" customHeight="1" x14ac:dyDescent="0.2">
      <c r="A112" s="39">
        <f t="shared" si="15"/>
        <v>109</v>
      </c>
      <c r="B112" s="40" t="s">
        <v>128</v>
      </c>
      <c r="C112" s="41">
        <v>705206852</v>
      </c>
      <c r="D112" s="42">
        <v>32093</v>
      </c>
      <c r="E112" s="40" t="s">
        <v>38</v>
      </c>
      <c r="F112" s="40" t="s">
        <v>394</v>
      </c>
      <c r="G112" s="40" t="s">
        <v>417</v>
      </c>
      <c r="H112" s="39" t="s">
        <v>383</v>
      </c>
      <c r="I112" s="43">
        <v>406041859306</v>
      </c>
      <c r="J112" s="42">
        <v>41225</v>
      </c>
      <c r="K112" s="42"/>
      <c r="L112" s="42">
        <v>42036</v>
      </c>
      <c r="M112" s="44">
        <v>419</v>
      </c>
      <c r="N112" s="40" t="s">
        <v>38</v>
      </c>
      <c r="O112" s="44">
        <v>561</v>
      </c>
      <c r="P112" s="44">
        <v>561</v>
      </c>
      <c r="Q112" s="44">
        <f>P112-M112</f>
        <v>142</v>
      </c>
      <c r="R112" s="29">
        <f t="shared" si="7"/>
        <v>1704</v>
      </c>
      <c r="S112" s="29">
        <f t="shared" si="16"/>
        <v>0</v>
      </c>
      <c r="T112" s="65">
        <f t="shared" ca="1" si="8"/>
        <v>16.830000000000002</v>
      </c>
      <c r="U112" s="29">
        <f t="shared" si="9"/>
        <v>120</v>
      </c>
      <c r="V112" s="29">
        <f t="shared" si="10"/>
        <v>960</v>
      </c>
      <c r="W112" s="44">
        <f t="shared" si="11"/>
        <v>48</v>
      </c>
      <c r="X112" s="29">
        <f t="shared" si="12"/>
        <v>169</v>
      </c>
      <c r="Y112" s="29">
        <f t="shared" ca="1" si="13"/>
        <v>3159.83</v>
      </c>
      <c r="Z112" s="75"/>
      <c r="AA112" s="66">
        <f t="shared" ca="1" si="14"/>
        <v>1</v>
      </c>
      <c r="AB112" s="19"/>
      <c r="AC112" s="19"/>
      <c r="AD112" s="19"/>
      <c r="AE112" s="19"/>
    </row>
    <row r="113" spans="1:31" s="18" customFormat="1" ht="16.5" customHeight="1" x14ac:dyDescent="0.2">
      <c r="A113" s="39">
        <f t="shared" si="15"/>
        <v>110</v>
      </c>
      <c r="B113" s="40" t="s">
        <v>136</v>
      </c>
      <c r="C113" s="41">
        <v>702586660</v>
      </c>
      <c r="D113" s="42">
        <v>26585</v>
      </c>
      <c r="E113" s="40" t="s">
        <v>38</v>
      </c>
      <c r="F113" s="40" t="s">
        <v>387</v>
      </c>
      <c r="G113" s="40" t="s">
        <v>401</v>
      </c>
      <c r="H113" s="39" t="s">
        <v>383</v>
      </c>
      <c r="I113" s="43">
        <v>7169051</v>
      </c>
      <c r="J113" s="42">
        <v>42138</v>
      </c>
      <c r="K113" s="42"/>
      <c r="L113" s="42">
        <v>42138</v>
      </c>
      <c r="M113" s="44">
        <v>447</v>
      </c>
      <c r="N113" s="40" t="s">
        <v>38</v>
      </c>
      <c r="O113" s="44">
        <v>561</v>
      </c>
      <c r="P113" s="44">
        <v>561</v>
      </c>
      <c r="Q113" s="44">
        <f>P113-M113</f>
        <v>114</v>
      </c>
      <c r="R113" s="29">
        <f t="shared" si="7"/>
        <v>1368</v>
      </c>
      <c r="S113" s="29">
        <f t="shared" si="16"/>
        <v>0</v>
      </c>
      <c r="T113" s="65">
        <f t="shared" ca="1" si="8"/>
        <v>16.830000000000002</v>
      </c>
      <c r="U113" s="29">
        <f t="shared" si="9"/>
        <v>120</v>
      </c>
      <c r="V113" s="29">
        <f t="shared" si="10"/>
        <v>960</v>
      </c>
      <c r="W113" s="44">
        <f t="shared" si="11"/>
        <v>48</v>
      </c>
      <c r="X113" s="29">
        <f t="shared" si="12"/>
        <v>169</v>
      </c>
      <c r="Y113" s="29">
        <f t="shared" ca="1" si="13"/>
        <v>2795.83</v>
      </c>
      <c r="Z113" s="75"/>
      <c r="AA113" s="66">
        <f t="shared" ca="1" si="14"/>
        <v>1</v>
      </c>
      <c r="AB113" s="19"/>
      <c r="AC113" s="19"/>
      <c r="AD113" s="19"/>
      <c r="AE113" s="19"/>
    </row>
    <row r="114" spans="1:31" s="18" customFormat="1" ht="16.5" customHeight="1" x14ac:dyDescent="0.2">
      <c r="A114" s="39">
        <f t="shared" si="15"/>
        <v>111</v>
      </c>
      <c r="B114" s="40" t="s">
        <v>138</v>
      </c>
      <c r="C114" s="41">
        <v>705040947</v>
      </c>
      <c r="D114" s="42">
        <v>32721</v>
      </c>
      <c r="E114" s="40" t="s">
        <v>38</v>
      </c>
      <c r="F114" s="40" t="s">
        <v>402</v>
      </c>
      <c r="G114" s="40" t="s">
        <v>397</v>
      </c>
      <c r="H114" s="39" t="s">
        <v>383</v>
      </c>
      <c r="I114" s="43">
        <v>1049312332</v>
      </c>
      <c r="J114" s="42">
        <v>40196</v>
      </c>
      <c r="K114" s="42"/>
      <c r="L114" s="42">
        <v>40196</v>
      </c>
      <c r="M114" s="44">
        <v>419</v>
      </c>
      <c r="N114" s="40" t="s">
        <v>38</v>
      </c>
      <c r="O114" s="44">
        <v>561</v>
      </c>
      <c r="P114" s="44">
        <v>561</v>
      </c>
      <c r="Q114" s="44">
        <f>P114-M114</f>
        <v>142</v>
      </c>
      <c r="R114" s="29">
        <f t="shared" si="7"/>
        <v>1704</v>
      </c>
      <c r="S114" s="29">
        <f t="shared" si="16"/>
        <v>0</v>
      </c>
      <c r="T114" s="65">
        <f t="shared" ca="1" si="8"/>
        <v>100.98000000000002</v>
      </c>
      <c r="U114" s="29">
        <f t="shared" si="9"/>
        <v>120</v>
      </c>
      <c r="V114" s="29">
        <f t="shared" si="10"/>
        <v>960</v>
      </c>
      <c r="W114" s="44">
        <f t="shared" si="11"/>
        <v>48</v>
      </c>
      <c r="X114" s="29">
        <f t="shared" si="12"/>
        <v>169</v>
      </c>
      <c r="Y114" s="29">
        <f t="shared" ca="1" si="13"/>
        <v>3243.98</v>
      </c>
      <c r="Z114" s="75"/>
      <c r="AA114" s="66">
        <f t="shared" ca="1" si="14"/>
        <v>6</v>
      </c>
      <c r="AB114" s="19"/>
      <c r="AC114" s="19"/>
      <c r="AD114" s="19"/>
      <c r="AE114" s="19"/>
    </row>
    <row r="115" spans="1:31" s="18" customFormat="1" ht="16.5" customHeight="1" x14ac:dyDescent="0.2">
      <c r="A115" s="39">
        <f t="shared" si="15"/>
        <v>112</v>
      </c>
      <c r="B115" s="40" t="s">
        <v>147</v>
      </c>
      <c r="C115" s="41">
        <v>1709169120</v>
      </c>
      <c r="D115" s="42">
        <v>25281</v>
      </c>
      <c r="E115" s="40" t="s">
        <v>38</v>
      </c>
      <c r="F115" s="40" t="s">
        <v>394</v>
      </c>
      <c r="G115" s="40" t="s">
        <v>417</v>
      </c>
      <c r="H115" s="39" t="s">
        <v>383</v>
      </c>
      <c r="I115" s="43">
        <v>44060266119</v>
      </c>
      <c r="J115" s="42">
        <v>40634</v>
      </c>
      <c r="K115" s="42"/>
      <c r="L115" s="42">
        <v>40634</v>
      </c>
      <c r="M115" s="44">
        <v>419</v>
      </c>
      <c r="N115" s="40" t="s">
        <v>38</v>
      </c>
      <c r="O115" s="44">
        <v>561</v>
      </c>
      <c r="P115" s="44">
        <v>561</v>
      </c>
      <c r="Q115" s="44">
        <f>P115-M115</f>
        <v>142</v>
      </c>
      <c r="R115" s="29">
        <f t="shared" si="7"/>
        <v>1704</v>
      </c>
      <c r="S115" s="29">
        <f t="shared" si="16"/>
        <v>43.92</v>
      </c>
      <c r="T115" s="65">
        <f t="shared" ca="1" si="8"/>
        <v>84.15</v>
      </c>
      <c r="U115" s="29">
        <f t="shared" si="9"/>
        <v>120</v>
      </c>
      <c r="V115" s="29">
        <f t="shared" si="10"/>
        <v>960</v>
      </c>
      <c r="W115" s="44">
        <f t="shared" si="11"/>
        <v>48</v>
      </c>
      <c r="X115" s="29">
        <f t="shared" si="12"/>
        <v>169</v>
      </c>
      <c r="Y115" s="29">
        <f t="shared" ca="1" si="13"/>
        <v>3271.07</v>
      </c>
      <c r="Z115" s="75">
        <v>1</v>
      </c>
      <c r="AA115" s="66">
        <f t="shared" ca="1" si="14"/>
        <v>5</v>
      </c>
      <c r="AB115" s="19"/>
      <c r="AC115" s="19"/>
      <c r="AD115" s="19"/>
      <c r="AE115" s="19"/>
    </row>
    <row r="116" spans="1:31" s="18" customFormat="1" ht="16.5" customHeight="1" x14ac:dyDescent="0.2">
      <c r="A116" s="39">
        <f t="shared" si="15"/>
        <v>113</v>
      </c>
      <c r="B116" s="40" t="s">
        <v>162</v>
      </c>
      <c r="C116" s="41">
        <v>704597152</v>
      </c>
      <c r="D116" s="42">
        <v>31359</v>
      </c>
      <c r="E116" s="40" t="s">
        <v>38</v>
      </c>
      <c r="F116" s="40" t="s">
        <v>395</v>
      </c>
      <c r="G116" s="40" t="s">
        <v>386</v>
      </c>
      <c r="H116" s="39" t="s">
        <v>383</v>
      </c>
      <c r="I116" s="43">
        <v>2200151163</v>
      </c>
      <c r="J116" s="42">
        <v>41166</v>
      </c>
      <c r="K116" s="42"/>
      <c r="L116" s="42">
        <v>41166</v>
      </c>
      <c r="M116" s="44">
        <v>612</v>
      </c>
      <c r="N116" s="40" t="s">
        <v>38</v>
      </c>
      <c r="O116" s="44">
        <v>561</v>
      </c>
      <c r="P116" s="44">
        <v>612</v>
      </c>
      <c r="Q116" s="44">
        <f>P116-M116</f>
        <v>0</v>
      </c>
      <c r="R116" s="29">
        <f t="shared" si="7"/>
        <v>0</v>
      </c>
      <c r="S116" s="29">
        <f t="shared" si="16"/>
        <v>0</v>
      </c>
      <c r="T116" s="65">
        <f t="shared" ca="1" si="8"/>
        <v>73.44</v>
      </c>
      <c r="U116" s="29">
        <f t="shared" si="9"/>
        <v>120</v>
      </c>
      <c r="V116" s="29">
        <f t="shared" si="10"/>
        <v>960</v>
      </c>
      <c r="W116" s="44">
        <f t="shared" si="11"/>
        <v>48</v>
      </c>
      <c r="X116" s="29">
        <f t="shared" si="12"/>
        <v>169</v>
      </c>
      <c r="Y116" s="29">
        <f t="shared" ca="1" si="13"/>
        <v>1370.44</v>
      </c>
      <c r="Z116" s="75"/>
      <c r="AA116" s="66">
        <f t="shared" ca="1" si="14"/>
        <v>4</v>
      </c>
      <c r="AB116" s="19"/>
      <c r="AC116" s="19"/>
      <c r="AD116" s="19"/>
      <c r="AE116" s="19"/>
    </row>
    <row r="117" spans="1:31" s="18" customFormat="1" ht="16.5" customHeight="1" x14ac:dyDescent="0.2">
      <c r="A117" s="39">
        <f t="shared" si="15"/>
        <v>114</v>
      </c>
      <c r="B117" s="40" t="s">
        <v>173</v>
      </c>
      <c r="C117" s="41">
        <v>701147043</v>
      </c>
      <c r="D117" s="42">
        <v>20839</v>
      </c>
      <c r="E117" s="40" t="s">
        <v>38</v>
      </c>
      <c r="F117" s="40" t="s">
        <v>422</v>
      </c>
      <c r="G117" s="40" t="s">
        <v>384</v>
      </c>
      <c r="H117" s="39" t="s">
        <v>383</v>
      </c>
      <c r="I117" s="43">
        <v>1010176324</v>
      </c>
      <c r="J117" s="42">
        <v>31168</v>
      </c>
      <c r="K117" s="42"/>
      <c r="L117" s="42">
        <v>31168</v>
      </c>
      <c r="M117" s="44">
        <v>603.12</v>
      </c>
      <c r="N117" s="40" t="s">
        <v>38</v>
      </c>
      <c r="O117" s="44">
        <v>561</v>
      </c>
      <c r="P117" s="44">
        <v>603.12</v>
      </c>
      <c r="Q117" s="44">
        <f>P117-M117</f>
        <v>0</v>
      </c>
      <c r="R117" s="29">
        <f t="shared" si="7"/>
        <v>0</v>
      </c>
      <c r="S117" s="29">
        <f t="shared" si="16"/>
        <v>0</v>
      </c>
      <c r="T117" s="65">
        <f t="shared" ca="1" si="8"/>
        <v>217.12320000000003</v>
      </c>
      <c r="U117" s="29">
        <f t="shared" si="9"/>
        <v>120</v>
      </c>
      <c r="V117" s="29">
        <f t="shared" si="10"/>
        <v>960</v>
      </c>
      <c r="W117" s="44">
        <f t="shared" si="11"/>
        <v>48</v>
      </c>
      <c r="X117" s="29">
        <f t="shared" si="12"/>
        <v>169</v>
      </c>
      <c r="Y117" s="29">
        <f t="shared" ca="1" si="13"/>
        <v>1514.1232</v>
      </c>
      <c r="Z117" s="75"/>
      <c r="AA117" s="66">
        <f t="shared" ca="1" si="14"/>
        <v>12</v>
      </c>
      <c r="AB117" s="19"/>
      <c r="AC117" s="19"/>
      <c r="AD117" s="19"/>
      <c r="AE117" s="19"/>
    </row>
    <row r="118" spans="1:31" s="18" customFormat="1" ht="16.5" customHeight="1" x14ac:dyDescent="0.2">
      <c r="A118" s="39">
        <f t="shared" si="15"/>
        <v>115</v>
      </c>
      <c r="B118" s="40" t="s">
        <v>191</v>
      </c>
      <c r="C118" s="41">
        <v>702896879</v>
      </c>
      <c r="D118" s="42">
        <v>27294</v>
      </c>
      <c r="E118" s="40" t="s">
        <v>38</v>
      </c>
      <c r="F118" s="40" t="s">
        <v>422</v>
      </c>
      <c r="G118" s="40" t="s">
        <v>397</v>
      </c>
      <c r="H118" s="39" t="s">
        <v>383</v>
      </c>
      <c r="I118" s="43">
        <v>1050193201</v>
      </c>
      <c r="J118" s="42">
        <v>41774</v>
      </c>
      <c r="K118" s="42"/>
      <c r="L118" s="42">
        <v>41774</v>
      </c>
      <c r="M118" s="44">
        <v>548</v>
      </c>
      <c r="N118" s="40" t="s">
        <v>38</v>
      </c>
      <c r="O118" s="44">
        <v>561</v>
      </c>
      <c r="P118" s="44">
        <v>561</v>
      </c>
      <c r="Q118" s="44">
        <f>P118-M118</f>
        <v>13</v>
      </c>
      <c r="R118" s="29">
        <f t="shared" si="7"/>
        <v>156</v>
      </c>
      <c r="S118" s="29">
        <f t="shared" si="16"/>
        <v>87.84</v>
      </c>
      <c r="T118" s="65">
        <f t="shared" ca="1" si="8"/>
        <v>33.660000000000004</v>
      </c>
      <c r="U118" s="29">
        <f t="shared" si="9"/>
        <v>120</v>
      </c>
      <c r="V118" s="29">
        <f t="shared" si="10"/>
        <v>960</v>
      </c>
      <c r="W118" s="44">
        <f t="shared" si="11"/>
        <v>48</v>
      </c>
      <c r="X118" s="29">
        <f t="shared" si="12"/>
        <v>169</v>
      </c>
      <c r="Y118" s="29">
        <f t="shared" ca="1" si="13"/>
        <v>1587.5</v>
      </c>
      <c r="Z118" s="75">
        <v>2</v>
      </c>
      <c r="AA118" s="66">
        <f t="shared" ca="1" si="14"/>
        <v>2</v>
      </c>
      <c r="AB118" s="19"/>
      <c r="AC118" s="19"/>
      <c r="AD118" s="19"/>
      <c r="AE118" s="19"/>
    </row>
    <row r="119" spans="1:31" s="18" customFormat="1" ht="16.5" customHeight="1" x14ac:dyDescent="0.2">
      <c r="A119" s="39">
        <f t="shared" si="15"/>
        <v>116</v>
      </c>
      <c r="B119" s="40" t="s">
        <v>243</v>
      </c>
      <c r="C119" s="41">
        <v>704026483</v>
      </c>
      <c r="D119" s="42">
        <v>30418</v>
      </c>
      <c r="E119" s="40" t="s">
        <v>38</v>
      </c>
      <c r="F119" s="40" t="s">
        <v>392</v>
      </c>
      <c r="G119" s="40" t="s">
        <v>393</v>
      </c>
      <c r="H119" s="39" t="s">
        <v>383</v>
      </c>
      <c r="I119" s="43">
        <v>8144878500</v>
      </c>
      <c r="J119" s="42">
        <v>41166</v>
      </c>
      <c r="K119" s="42"/>
      <c r="L119" s="42">
        <v>41166</v>
      </c>
      <c r="M119" s="44">
        <v>550</v>
      </c>
      <c r="N119" s="40" t="s">
        <v>38</v>
      </c>
      <c r="O119" s="44">
        <v>561</v>
      </c>
      <c r="P119" s="44">
        <v>561</v>
      </c>
      <c r="Q119" s="44">
        <f>P119-M119</f>
        <v>11</v>
      </c>
      <c r="R119" s="29">
        <f t="shared" si="7"/>
        <v>132</v>
      </c>
      <c r="S119" s="29">
        <f t="shared" si="16"/>
        <v>0</v>
      </c>
      <c r="T119" s="65">
        <f t="shared" ca="1" si="8"/>
        <v>67.320000000000007</v>
      </c>
      <c r="U119" s="29">
        <f t="shared" si="9"/>
        <v>120</v>
      </c>
      <c r="V119" s="29">
        <f t="shared" si="10"/>
        <v>960</v>
      </c>
      <c r="W119" s="44">
        <f t="shared" si="11"/>
        <v>48</v>
      </c>
      <c r="X119" s="29">
        <f t="shared" si="12"/>
        <v>169</v>
      </c>
      <c r="Y119" s="29">
        <f t="shared" ca="1" si="13"/>
        <v>1507.32</v>
      </c>
      <c r="Z119" s="75"/>
      <c r="AA119" s="66">
        <f t="shared" ca="1" si="14"/>
        <v>4</v>
      </c>
      <c r="AB119" s="19"/>
      <c r="AC119" s="19"/>
      <c r="AD119" s="19"/>
      <c r="AE119" s="19"/>
    </row>
    <row r="120" spans="1:31" s="18" customFormat="1" ht="16.5" customHeight="1" x14ac:dyDescent="0.2">
      <c r="A120" s="39">
        <f t="shared" si="15"/>
        <v>117</v>
      </c>
      <c r="B120" s="40" t="s">
        <v>252</v>
      </c>
      <c r="C120" s="41">
        <v>704176809</v>
      </c>
      <c r="D120" s="42">
        <v>30144</v>
      </c>
      <c r="E120" s="40" t="s">
        <v>38</v>
      </c>
      <c r="F120" s="40" t="s">
        <v>422</v>
      </c>
      <c r="G120" s="40" t="s">
        <v>384</v>
      </c>
      <c r="H120" s="39" t="s">
        <v>383</v>
      </c>
      <c r="I120" s="43">
        <v>1010598717</v>
      </c>
      <c r="J120" s="42">
        <v>39569</v>
      </c>
      <c r="K120" s="42"/>
      <c r="L120" s="42">
        <v>39569</v>
      </c>
      <c r="M120" s="44">
        <v>447</v>
      </c>
      <c r="N120" s="40" t="s">
        <v>38</v>
      </c>
      <c r="O120" s="44">
        <v>561</v>
      </c>
      <c r="P120" s="44">
        <v>561</v>
      </c>
      <c r="Q120" s="44">
        <f>P120-M120</f>
        <v>114</v>
      </c>
      <c r="R120" s="29">
        <f t="shared" si="7"/>
        <v>1368</v>
      </c>
      <c r="S120" s="29">
        <f t="shared" si="16"/>
        <v>87.84</v>
      </c>
      <c r="T120" s="65">
        <f t="shared" ca="1" si="8"/>
        <v>134.64000000000001</v>
      </c>
      <c r="U120" s="29">
        <f t="shared" si="9"/>
        <v>120</v>
      </c>
      <c r="V120" s="29">
        <f t="shared" si="10"/>
        <v>960</v>
      </c>
      <c r="W120" s="44">
        <f t="shared" si="11"/>
        <v>48</v>
      </c>
      <c r="X120" s="29">
        <f t="shared" si="12"/>
        <v>169</v>
      </c>
      <c r="Y120" s="29">
        <f t="shared" ca="1" si="13"/>
        <v>3001.48</v>
      </c>
      <c r="Z120" s="75">
        <v>2</v>
      </c>
      <c r="AA120" s="66">
        <f t="shared" ca="1" si="14"/>
        <v>8</v>
      </c>
      <c r="AB120" s="19"/>
      <c r="AC120" s="19"/>
      <c r="AD120" s="19"/>
      <c r="AE120" s="19"/>
    </row>
    <row r="121" spans="1:31" s="18" customFormat="1" ht="16.5" customHeight="1" x14ac:dyDescent="0.2">
      <c r="A121" s="39">
        <f t="shared" si="15"/>
        <v>118</v>
      </c>
      <c r="B121" s="40" t="s">
        <v>255</v>
      </c>
      <c r="C121" s="41">
        <v>702426784</v>
      </c>
      <c r="D121" s="42">
        <v>25296</v>
      </c>
      <c r="E121" s="40" t="s">
        <v>38</v>
      </c>
      <c r="F121" s="40" t="s">
        <v>387</v>
      </c>
      <c r="G121" s="40" t="s">
        <v>397</v>
      </c>
      <c r="H121" s="39" t="s">
        <v>383</v>
      </c>
      <c r="I121" s="43">
        <v>1012360899</v>
      </c>
      <c r="J121" s="42">
        <v>42138</v>
      </c>
      <c r="K121" s="42"/>
      <c r="L121" s="42">
        <v>42138</v>
      </c>
      <c r="M121" s="44">
        <v>447</v>
      </c>
      <c r="N121" s="40" t="s">
        <v>38</v>
      </c>
      <c r="O121" s="44">
        <v>561</v>
      </c>
      <c r="P121" s="44">
        <v>561</v>
      </c>
      <c r="Q121" s="44">
        <f>P121-M121</f>
        <v>114</v>
      </c>
      <c r="R121" s="29">
        <f t="shared" si="7"/>
        <v>1368</v>
      </c>
      <c r="S121" s="29">
        <f t="shared" si="16"/>
        <v>0</v>
      </c>
      <c r="T121" s="65">
        <f t="shared" ca="1" si="8"/>
        <v>16.830000000000002</v>
      </c>
      <c r="U121" s="29">
        <f t="shared" si="9"/>
        <v>120</v>
      </c>
      <c r="V121" s="29">
        <f t="shared" si="10"/>
        <v>960</v>
      </c>
      <c r="W121" s="44">
        <f t="shared" si="11"/>
        <v>48</v>
      </c>
      <c r="X121" s="29">
        <f t="shared" si="12"/>
        <v>169</v>
      </c>
      <c r="Y121" s="29">
        <f t="shared" ca="1" si="13"/>
        <v>2795.83</v>
      </c>
      <c r="Z121" s="75"/>
      <c r="AA121" s="66">
        <f t="shared" ca="1" si="14"/>
        <v>1</v>
      </c>
      <c r="AB121" s="19"/>
      <c r="AC121" s="19"/>
      <c r="AD121" s="19"/>
      <c r="AE121" s="19"/>
    </row>
    <row r="122" spans="1:31" s="18" customFormat="1" ht="16.5" customHeight="1" x14ac:dyDescent="0.2">
      <c r="A122" s="39">
        <f t="shared" si="15"/>
        <v>119</v>
      </c>
      <c r="B122" s="40" t="s">
        <v>256</v>
      </c>
      <c r="C122" s="41">
        <v>701085227</v>
      </c>
      <c r="D122" s="42">
        <v>21029</v>
      </c>
      <c r="E122" s="40" t="s">
        <v>38</v>
      </c>
      <c r="F122" s="40" t="s">
        <v>422</v>
      </c>
      <c r="G122" s="40" t="s">
        <v>384</v>
      </c>
      <c r="H122" s="39" t="s">
        <v>383</v>
      </c>
      <c r="I122" s="43">
        <v>1010176502</v>
      </c>
      <c r="J122" s="42">
        <v>31413</v>
      </c>
      <c r="K122" s="42"/>
      <c r="L122" s="42">
        <v>31413</v>
      </c>
      <c r="M122" s="44">
        <v>562.16999999999996</v>
      </c>
      <c r="N122" s="40" t="s">
        <v>38</v>
      </c>
      <c r="O122" s="44">
        <v>561</v>
      </c>
      <c r="P122" s="44">
        <v>562.16999999999996</v>
      </c>
      <c r="Q122" s="44">
        <f>P122-M122</f>
        <v>0</v>
      </c>
      <c r="R122" s="29">
        <f t="shared" si="7"/>
        <v>0</v>
      </c>
      <c r="S122" s="29">
        <f t="shared" si="16"/>
        <v>43.92</v>
      </c>
      <c r="T122" s="65">
        <f t="shared" ca="1" si="8"/>
        <v>202.38119999999998</v>
      </c>
      <c r="U122" s="29">
        <f t="shared" si="9"/>
        <v>120</v>
      </c>
      <c r="V122" s="29">
        <f t="shared" si="10"/>
        <v>960</v>
      </c>
      <c r="W122" s="44">
        <f t="shared" si="11"/>
        <v>48</v>
      </c>
      <c r="X122" s="29">
        <f t="shared" si="12"/>
        <v>169</v>
      </c>
      <c r="Y122" s="29">
        <f t="shared" ca="1" si="13"/>
        <v>1543.3011999999999</v>
      </c>
      <c r="Z122" s="75">
        <v>1</v>
      </c>
      <c r="AA122" s="66">
        <f t="shared" ca="1" si="14"/>
        <v>12</v>
      </c>
      <c r="AB122" s="19"/>
      <c r="AC122" s="19"/>
      <c r="AD122" s="19"/>
      <c r="AE122" s="19"/>
    </row>
    <row r="123" spans="1:31" s="18" customFormat="1" ht="16.5" customHeight="1" x14ac:dyDescent="0.2">
      <c r="A123" s="39">
        <f t="shared" si="15"/>
        <v>120</v>
      </c>
      <c r="B123" s="40" t="s">
        <v>259</v>
      </c>
      <c r="C123" s="41">
        <v>908010184</v>
      </c>
      <c r="D123" s="42">
        <v>22150</v>
      </c>
      <c r="E123" s="40" t="s">
        <v>38</v>
      </c>
      <c r="F123" s="40" t="s">
        <v>422</v>
      </c>
      <c r="G123" s="40" t="s">
        <v>384</v>
      </c>
      <c r="H123" s="39" t="s">
        <v>383</v>
      </c>
      <c r="I123" s="43">
        <v>1010183215</v>
      </c>
      <c r="J123" s="42">
        <v>33443</v>
      </c>
      <c r="K123" s="42"/>
      <c r="L123" s="42">
        <v>33443</v>
      </c>
      <c r="M123" s="44">
        <v>563.28</v>
      </c>
      <c r="N123" s="40" t="s">
        <v>38</v>
      </c>
      <c r="O123" s="44">
        <v>561</v>
      </c>
      <c r="P123" s="44">
        <v>563.28</v>
      </c>
      <c r="Q123" s="44">
        <f>P123-M123</f>
        <v>0</v>
      </c>
      <c r="R123" s="29">
        <f t="shared" si="7"/>
        <v>0</v>
      </c>
      <c r="S123" s="29">
        <f t="shared" si="16"/>
        <v>0</v>
      </c>
      <c r="T123" s="65">
        <f t="shared" ca="1" si="8"/>
        <v>202.7808</v>
      </c>
      <c r="U123" s="29">
        <f t="shared" si="9"/>
        <v>120</v>
      </c>
      <c r="V123" s="29">
        <f t="shared" si="10"/>
        <v>960</v>
      </c>
      <c r="W123" s="44">
        <f t="shared" si="11"/>
        <v>48</v>
      </c>
      <c r="X123" s="29">
        <f t="shared" si="12"/>
        <v>169</v>
      </c>
      <c r="Y123" s="29">
        <f t="shared" ca="1" si="13"/>
        <v>1499.7808</v>
      </c>
      <c r="Z123" s="75"/>
      <c r="AA123" s="66">
        <f t="shared" ca="1" si="14"/>
        <v>12</v>
      </c>
      <c r="AB123" s="19"/>
      <c r="AC123" s="19"/>
      <c r="AD123" s="19"/>
      <c r="AE123" s="19"/>
    </row>
    <row r="124" spans="1:31" s="18" customFormat="1" ht="16.5" customHeight="1" x14ac:dyDescent="0.2">
      <c r="A124" s="39">
        <f t="shared" si="15"/>
        <v>121</v>
      </c>
      <c r="B124" s="40" t="s">
        <v>274</v>
      </c>
      <c r="C124" s="41">
        <v>702590852</v>
      </c>
      <c r="D124" s="42">
        <v>25749</v>
      </c>
      <c r="E124" s="40" t="s">
        <v>38</v>
      </c>
      <c r="F124" s="40" t="s">
        <v>385</v>
      </c>
      <c r="G124" s="40" t="s">
        <v>384</v>
      </c>
      <c r="H124" s="39" t="s">
        <v>383</v>
      </c>
      <c r="I124" s="43">
        <v>1010730127</v>
      </c>
      <c r="J124" s="42">
        <v>39569</v>
      </c>
      <c r="K124" s="42"/>
      <c r="L124" s="42">
        <v>39569</v>
      </c>
      <c r="M124" s="44">
        <v>447</v>
      </c>
      <c r="N124" s="40" t="s">
        <v>38</v>
      </c>
      <c r="O124" s="44">
        <v>561</v>
      </c>
      <c r="P124" s="44">
        <v>561</v>
      </c>
      <c r="Q124" s="44">
        <f>P124-M124</f>
        <v>114</v>
      </c>
      <c r="R124" s="29">
        <f t="shared" si="7"/>
        <v>1368</v>
      </c>
      <c r="S124" s="29">
        <f t="shared" si="16"/>
        <v>43.92</v>
      </c>
      <c r="T124" s="65">
        <f t="shared" ca="1" si="8"/>
        <v>134.64000000000001</v>
      </c>
      <c r="U124" s="29">
        <f t="shared" si="9"/>
        <v>120</v>
      </c>
      <c r="V124" s="29">
        <f t="shared" si="10"/>
        <v>960</v>
      </c>
      <c r="W124" s="44">
        <f t="shared" si="11"/>
        <v>48</v>
      </c>
      <c r="X124" s="29">
        <f t="shared" si="12"/>
        <v>169</v>
      </c>
      <c r="Y124" s="29">
        <f t="shared" ca="1" si="13"/>
        <v>2957.5600000000004</v>
      </c>
      <c r="Z124" s="75">
        <v>1</v>
      </c>
      <c r="AA124" s="66">
        <f t="shared" ca="1" si="14"/>
        <v>8</v>
      </c>
      <c r="AB124" s="19"/>
      <c r="AC124" s="19"/>
      <c r="AD124" s="19"/>
      <c r="AE124" s="19"/>
    </row>
    <row r="125" spans="1:31" s="18" customFormat="1" ht="16.5" customHeight="1" x14ac:dyDescent="0.2">
      <c r="A125" s="39">
        <f t="shared" si="15"/>
        <v>122</v>
      </c>
      <c r="B125" s="40" t="s">
        <v>281</v>
      </c>
      <c r="C125" s="41">
        <v>703897306</v>
      </c>
      <c r="D125" s="42">
        <v>29005</v>
      </c>
      <c r="E125" s="40" t="s">
        <v>38</v>
      </c>
      <c r="F125" s="40" t="s">
        <v>387</v>
      </c>
      <c r="G125" s="40" t="s">
        <v>384</v>
      </c>
      <c r="H125" s="39" t="s">
        <v>383</v>
      </c>
      <c r="I125" s="43">
        <v>1050406632</v>
      </c>
      <c r="J125" s="42">
        <v>42138</v>
      </c>
      <c r="K125" s="42"/>
      <c r="L125" s="42">
        <v>42138</v>
      </c>
      <c r="M125" s="44">
        <v>447</v>
      </c>
      <c r="N125" s="40" t="s">
        <v>38</v>
      </c>
      <c r="O125" s="44">
        <v>561</v>
      </c>
      <c r="P125" s="44">
        <v>561</v>
      </c>
      <c r="Q125" s="44">
        <f>P125-M125</f>
        <v>114</v>
      </c>
      <c r="R125" s="29">
        <f t="shared" si="7"/>
        <v>1368</v>
      </c>
      <c r="S125" s="29">
        <f t="shared" si="16"/>
        <v>0</v>
      </c>
      <c r="T125" s="65">
        <f t="shared" ca="1" si="8"/>
        <v>16.830000000000002</v>
      </c>
      <c r="U125" s="29">
        <f t="shared" si="9"/>
        <v>120</v>
      </c>
      <c r="V125" s="29">
        <f t="shared" si="10"/>
        <v>960</v>
      </c>
      <c r="W125" s="44">
        <f t="shared" si="11"/>
        <v>48</v>
      </c>
      <c r="X125" s="29">
        <f t="shared" si="12"/>
        <v>169</v>
      </c>
      <c r="Y125" s="29">
        <f t="shared" ca="1" si="13"/>
        <v>2795.83</v>
      </c>
      <c r="Z125" s="75"/>
      <c r="AA125" s="66">
        <f t="shared" ca="1" si="14"/>
        <v>1</v>
      </c>
      <c r="AB125" s="19"/>
      <c r="AC125" s="19"/>
      <c r="AD125" s="19"/>
      <c r="AE125" s="19"/>
    </row>
    <row r="126" spans="1:31" s="18" customFormat="1" ht="16.5" customHeight="1" x14ac:dyDescent="0.2">
      <c r="A126" s="39">
        <f t="shared" si="15"/>
        <v>123</v>
      </c>
      <c r="B126" s="40" t="s">
        <v>298</v>
      </c>
      <c r="C126" s="41">
        <v>702552969</v>
      </c>
      <c r="D126" s="42">
        <v>26150</v>
      </c>
      <c r="E126" s="40" t="s">
        <v>38</v>
      </c>
      <c r="F126" s="40" t="s">
        <v>387</v>
      </c>
      <c r="G126" s="40" t="s">
        <v>384</v>
      </c>
      <c r="H126" s="39" t="s">
        <v>383</v>
      </c>
      <c r="I126" s="43">
        <v>1010434226</v>
      </c>
      <c r="J126" s="42">
        <v>42095</v>
      </c>
      <c r="K126" s="42"/>
      <c r="L126" s="42">
        <v>42095</v>
      </c>
      <c r="M126" s="44">
        <v>419</v>
      </c>
      <c r="N126" s="40" t="s">
        <v>38</v>
      </c>
      <c r="O126" s="44">
        <v>561</v>
      </c>
      <c r="P126" s="44">
        <v>561</v>
      </c>
      <c r="Q126" s="44">
        <f>P126-M126</f>
        <v>142</v>
      </c>
      <c r="R126" s="29">
        <f t="shared" si="7"/>
        <v>1704</v>
      </c>
      <c r="S126" s="29">
        <f t="shared" si="16"/>
        <v>0</v>
      </c>
      <c r="T126" s="65">
        <f t="shared" ca="1" si="8"/>
        <v>16.830000000000002</v>
      </c>
      <c r="U126" s="29">
        <f t="shared" si="9"/>
        <v>120</v>
      </c>
      <c r="V126" s="29">
        <f t="shared" si="10"/>
        <v>960</v>
      </c>
      <c r="W126" s="44">
        <f t="shared" si="11"/>
        <v>48</v>
      </c>
      <c r="X126" s="29">
        <f t="shared" si="12"/>
        <v>169</v>
      </c>
      <c r="Y126" s="29">
        <f t="shared" ca="1" si="13"/>
        <v>3159.83</v>
      </c>
      <c r="Z126" s="75"/>
      <c r="AA126" s="66">
        <f t="shared" ca="1" si="14"/>
        <v>1</v>
      </c>
      <c r="AB126" s="19"/>
      <c r="AC126" s="19"/>
      <c r="AD126" s="19"/>
      <c r="AE126" s="19"/>
    </row>
    <row r="127" spans="1:31" s="18" customFormat="1" ht="16.5" customHeight="1" x14ac:dyDescent="0.2">
      <c r="A127" s="39">
        <f t="shared" si="15"/>
        <v>124</v>
      </c>
      <c r="B127" s="40" t="s">
        <v>299</v>
      </c>
      <c r="C127" s="41">
        <v>704495092</v>
      </c>
      <c r="D127" s="42">
        <v>31571</v>
      </c>
      <c r="E127" s="40" t="s">
        <v>38</v>
      </c>
      <c r="F127" s="40" t="s">
        <v>385</v>
      </c>
      <c r="G127" s="40" t="s">
        <v>384</v>
      </c>
      <c r="H127" s="39" t="s">
        <v>383</v>
      </c>
      <c r="I127" s="43">
        <v>1020524193</v>
      </c>
      <c r="J127" s="42">
        <v>39569</v>
      </c>
      <c r="K127" s="42"/>
      <c r="L127" s="42">
        <v>39569</v>
      </c>
      <c r="M127" s="44">
        <v>419</v>
      </c>
      <c r="N127" s="40" t="s">
        <v>38</v>
      </c>
      <c r="O127" s="44">
        <v>561</v>
      </c>
      <c r="P127" s="44">
        <v>561</v>
      </c>
      <c r="Q127" s="44">
        <f>P127-M127</f>
        <v>142</v>
      </c>
      <c r="R127" s="29">
        <f t="shared" si="7"/>
        <v>1704</v>
      </c>
      <c r="S127" s="29">
        <f t="shared" si="16"/>
        <v>87.84</v>
      </c>
      <c r="T127" s="65">
        <f t="shared" ca="1" si="8"/>
        <v>134.64000000000001</v>
      </c>
      <c r="U127" s="29">
        <f t="shared" si="9"/>
        <v>120</v>
      </c>
      <c r="V127" s="29">
        <f t="shared" si="10"/>
        <v>960</v>
      </c>
      <c r="W127" s="44">
        <f t="shared" si="11"/>
        <v>48</v>
      </c>
      <c r="X127" s="29">
        <f t="shared" si="12"/>
        <v>169</v>
      </c>
      <c r="Y127" s="29">
        <f t="shared" ca="1" si="13"/>
        <v>3365.48</v>
      </c>
      <c r="Z127" s="75">
        <v>2</v>
      </c>
      <c r="AA127" s="66">
        <f t="shared" ca="1" si="14"/>
        <v>8</v>
      </c>
      <c r="AB127" s="19"/>
      <c r="AC127" s="19"/>
      <c r="AD127" s="19"/>
      <c r="AE127" s="19"/>
    </row>
    <row r="128" spans="1:31" s="18" customFormat="1" ht="16.5" customHeight="1" x14ac:dyDescent="0.2">
      <c r="A128" s="39">
        <f t="shared" si="15"/>
        <v>125</v>
      </c>
      <c r="B128" s="40" t="s">
        <v>331</v>
      </c>
      <c r="C128" s="41">
        <v>602795940</v>
      </c>
      <c r="D128" s="42">
        <v>26585</v>
      </c>
      <c r="E128" s="40" t="s">
        <v>38</v>
      </c>
      <c r="F128" s="40" t="s">
        <v>394</v>
      </c>
      <c r="G128" s="40" t="s">
        <v>384</v>
      </c>
      <c r="H128" s="39" t="s">
        <v>383</v>
      </c>
      <c r="I128" s="43">
        <v>1010547551</v>
      </c>
      <c r="J128" s="42">
        <v>40848</v>
      </c>
      <c r="K128" s="42"/>
      <c r="L128" s="42">
        <v>40848</v>
      </c>
      <c r="M128" s="44">
        <v>419</v>
      </c>
      <c r="N128" s="40" t="s">
        <v>38</v>
      </c>
      <c r="O128" s="44">
        <v>561</v>
      </c>
      <c r="P128" s="44">
        <v>561</v>
      </c>
      <c r="Q128" s="44">
        <f>P128-M128</f>
        <v>142</v>
      </c>
      <c r="R128" s="29">
        <f t="shared" si="7"/>
        <v>1704</v>
      </c>
      <c r="S128" s="29">
        <f t="shared" si="16"/>
        <v>0</v>
      </c>
      <c r="T128" s="65">
        <f t="shared" ca="1" si="8"/>
        <v>84.15</v>
      </c>
      <c r="U128" s="29">
        <f t="shared" si="9"/>
        <v>120</v>
      </c>
      <c r="V128" s="29">
        <f t="shared" si="10"/>
        <v>960</v>
      </c>
      <c r="W128" s="44">
        <f t="shared" si="11"/>
        <v>48</v>
      </c>
      <c r="X128" s="29">
        <f t="shared" si="12"/>
        <v>169</v>
      </c>
      <c r="Y128" s="29">
        <f t="shared" ca="1" si="13"/>
        <v>3227.15</v>
      </c>
      <c r="Z128" s="75"/>
      <c r="AA128" s="66">
        <f t="shared" ca="1" si="14"/>
        <v>5</v>
      </c>
      <c r="AB128" s="19"/>
      <c r="AC128" s="19"/>
      <c r="AD128" s="19"/>
      <c r="AE128" s="19"/>
    </row>
    <row r="129" spans="1:31" s="18" customFormat="1" ht="16.5" customHeight="1" x14ac:dyDescent="0.2">
      <c r="A129" s="39">
        <f t="shared" si="15"/>
        <v>126</v>
      </c>
      <c r="B129" s="40" t="s">
        <v>339</v>
      </c>
      <c r="C129" s="41">
        <v>703474064</v>
      </c>
      <c r="D129" s="42">
        <v>27865</v>
      </c>
      <c r="E129" s="40" t="s">
        <v>38</v>
      </c>
      <c r="F129" s="40" t="s">
        <v>405</v>
      </c>
      <c r="G129" s="40" t="s">
        <v>417</v>
      </c>
      <c r="H129" s="39" t="s">
        <v>383</v>
      </c>
      <c r="I129" s="43">
        <v>406053417503</v>
      </c>
      <c r="J129" s="42">
        <v>41774</v>
      </c>
      <c r="K129" s="42"/>
      <c r="L129" s="42">
        <v>41774</v>
      </c>
      <c r="M129" s="44">
        <v>555</v>
      </c>
      <c r="N129" s="40" t="s">
        <v>38</v>
      </c>
      <c r="O129" s="44">
        <v>561</v>
      </c>
      <c r="P129" s="44">
        <v>561</v>
      </c>
      <c r="Q129" s="44">
        <f>P129-M129</f>
        <v>6</v>
      </c>
      <c r="R129" s="29">
        <f t="shared" si="7"/>
        <v>72</v>
      </c>
      <c r="S129" s="29">
        <f t="shared" si="16"/>
        <v>0</v>
      </c>
      <c r="T129" s="65">
        <f t="shared" ca="1" si="8"/>
        <v>33.660000000000004</v>
      </c>
      <c r="U129" s="29">
        <f t="shared" si="9"/>
        <v>120</v>
      </c>
      <c r="V129" s="29">
        <f t="shared" si="10"/>
        <v>960</v>
      </c>
      <c r="W129" s="44">
        <f t="shared" si="11"/>
        <v>48</v>
      </c>
      <c r="X129" s="29">
        <f t="shared" si="12"/>
        <v>169</v>
      </c>
      <c r="Y129" s="29">
        <f t="shared" ca="1" si="13"/>
        <v>1408.66</v>
      </c>
      <c r="Z129" s="75"/>
      <c r="AA129" s="66">
        <f t="shared" ca="1" si="14"/>
        <v>2</v>
      </c>
      <c r="AB129" s="19"/>
      <c r="AC129" s="19"/>
      <c r="AD129" s="19"/>
      <c r="AE129" s="19"/>
    </row>
    <row r="130" spans="1:31" s="18" customFormat="1" ht="16.5" customHeight="1" x14ac:dyDescent="0.2">
      <c r="A130" s="39">
        <f t="shared" si="15"/>
        <v>127</v>
      </c>
      <c r="B130" s="40" t="s">
        <v>340</v>
      </c>
      <c r="C130" s="41">
        <v>703421230</v>
      </c>
      <c r="D130" s="42">
        <v>28326</v>
      </c>
      <c r="E130" s="40" t="s">
        <v>38</v>
      </c>
      <c r="F130" s="40" t="s">
        <v>387</v>
      </c>
      <c r="G130" s="40" t="s">
        <v>384</v>
      </c>
      <c r="H130" s="39" t="s">
        <v>383</v>
      </c>
      <c r="I130" s="43">
        <v>1010719379</v>
      </c>
      <c r="J130" s="42">
        <v>39448</v>
      </c>
      <c r="K130" s="42"/>
      <c r="L130" s="42">
        <v>39448</v>
      </c>
      <c r="M130" s="44">
        <v>447</v>
      </c>
      <c r="N130" s="40" t="s">
        <v>38</v>
      </c>
      <c r="O130" s="44">
        <v>561</v>
      </c>
      <c r="P130" s="44">
        <v>561</v>
      </c>
      <c r="Q130" s="44">
        <f>P130-M130</f>
        <v>114</v>
      </c>
      <c r="R130" s="29">
        <f t="shared" si="7"/>
        <v>1368</v>
      </c>
      <c r="S130" s="29">
        <f t="shared" si="16"/>
        <v>87.84</v>
      </c>
      <c r="T130" s="65">
        <f t="shared" ca="1" si="8"/>
        <v>134.64000000000001</v>
      </c>
      <c r="U130" s="29">
        <f t="shared" si="9"/>
        <v>120</v>
      </c>
      <c r="V130" s="29">
        <f t="shared" si="10"/>
        <v>960</v>
      </c>
      <c r="W130" s="44">
        <f t="shared" si="11"/>
        <v>48</v>
      </c>
      <c r="X130" s="29">
        <f t="shared" si="12"/>
        <v>169</v>
      </c>
      <c r="Y130" s="29">
        <f t="shared" ca="1" si="13"/>
        <v>3001.48</v>
      </c>
      <c r="Z130" s="75">
        <v>2</v>
      </c>
      <c r="AA130" s="66">
        <f t="shared" ca="1" si="14"/>
        <v>8</v>
      </c>
      <c r="AB130" s="19"/>
      <c r="AC130" s="19"/>
      <c r="AD130" s="19"/>
      <c r="AE130" s="19"/>
    </row>
    <row r="131" spans="1:31" s="18" customFormat="1" ht="16.5" customHeight="1" x14ac:dyDescent="0.2">
      <c r="A131" s="39">
        <f t="shared" si="15"/>
        <v>128</v>
      </c>
      <c r="B131" s="40" t="s">
        <v>350</v>
      </c>
      <c r="C131" s="41">
        <v>907936546</v>
      </c>
      <c r="D131" s="42">
        <v>22466</v>
      </c>
      <c r="E131" s="40" t="s">
        <v>38</v>
      </c>
      <c r="F131" s="40" t="s">
        <v>422</v>
      </c>
      <c r="G131" s="40" t="s">
        <v>391</v>
      </c>
      <c r="H131" s="39" t="s">
        <v>383</v>
      </c>
      <c r="I131" s="43">
        <v>11011157</v>
      </c>
      <c r="J131" s="42">
        <v>39828</v>
      </c>
      <c r="K131" s="42"/>
      <c r="L131" s="42">
        <v>39828</v>
      </c>
      <c r="M131" s="44">
        <v>447</v>
      </c>
      <c r="N131" s="40" t="s">
        <v>38</v>
      </c>
      <c r="O131" s="44">
        <v>561</v>
      </c>
      <c r="P131" s="44">
        <v>561</v>
      </c>
      <c r="Q131" s="44">
        <f>P131-M131</f>
        <v>114</v>
      </c>
      <c r="R131" s="29">
        <f t="shared" si="7"/>
        <v>1368</v>
      </c>
      <c r="S131" s="29">
        <f t="shared" si="16"/>
        <v>0</v>
      </c>
      <c r="T131" s="65">
        <f t="shared" ca="1" si="8"/>
        <v>117.81</v>
      </c>
      <c r="U131" s="29">
        <f t="shared" si="9"/>
        <v>120</v>
      </c>
      <c r="V131" s="29">
        <f t="shared" si="10"/>
        <v>960</v>
      </c>
      <c r="W131" s="44">
        <f t="shared" si="11"/>
        <v>48</v>
      </c>
      <c r="X131" s="29">
        <f t="shared" si="12"/>
        <v>169</v>
      </c>
      <c r="Y131" s="29">
        <f t="shared" ca="1" si="13"/>
        <v>2896.81</v>
      </c>
      <c r="Z131" s="75"/>
      <c r="AA131" s="66">
        <f t="shared" ca="1" si="14"/>
        <v>7</v>
      </c>
      <c r="AB131" s="19"/>
      <c r="AC131" s="19"/>
      <c r="AD131" s="19"/>
      <c r="AE131" s="19"/>
    </row>
    <row r="132" spans="1:31" s="18" customFormat="1" ht="16.5" customHeight="1" x14ac:dyDescent="0.2">
      <c r="A132" s="39">
        <f t="shared" si="15"/>
        <v>129</v>
      </c>
      <c r="B132" s="40" t="s">
        <v>354</v>
      </c>
      <c r="C132" s="41">
        <v>704191030</v>
      </c>
      <c r="D132" s="42">
        <v>29614</v>
      </c>
      <c r="E132" s="40" t="s">
        <v>38</v>
      </c>
      <c r="F132" s="40" t="s">
        <v>388</v>
      </c>
      <c r="G132" s="40" t="s">
        <v>393</v>
      </c>
      <c r="H132" s="39" t="s">
        <v>383</v>
      </c>
      <c r="I132" s="43">
        <v>8200590300</v>
      </c>
      <c r="J132" s="42">
        <v>39935</v>
      </c>
      <c r="K132" s="42"/>
      <c r="L132" s="42">
        <v>40817</v>
      </c>
      <c r="M132" s="44">
        <v>461</v>
      </c>
      <c r="N132" s="40" t="s">
        <v>38</v>
      </c>
      <c r="O132" s="44">
        <v>561</v>
      </c>
      <c r="P132" s="44">
        <v>561</v>
      </c>
      <c r="Q132" s="44">
        <f>P132-M132</f>
        <v>100</v>
      </c>
      <c r="R132" s="29">
        <f t="shared" si="7"/>
        <v>1200</v>
      </c>
      <c r="S132" s="29">
        <f t="shared" si="16"/>
        <v>0</v>
      </c>
      <c r="T132" s="65">
        <f t="shared" ca="1" si="8"/>
        <v>84.15</v>
      </c>
      <c r="U132" s="29">
        <f t="shared" si="9"/>
        <v>120</v>
      </c>
      <c r="V132" s="29">
        <f t="shared" si="10"/>
        <v>960</v>
      </c>
      <c r="W132" s="44">
        <f t="shared" si="11"/>
        <v>48</v>
      </c>
      <c r="X132" s="29">
        <f t="shared" si="12"/>
        <v>169</v>
      </c>
      <c r="Y132" s="29">
        <f t="shared" ca="1" si="13"/>
        <v>2681.15</v>
      </c>
      <c r="Z132" s="75"/>
      <c r="AA132" s="66">
        <f t="shared" ca="1" si="14"/>
        <v>5</v>
      </c>
      <c r="AB132" s="19"/>
      <c r="AC132" s="19"/>
      <c r="AD132" s="19"/>
      <c r="AE132" s="19"/>
    </row>
    <row r="133" spans="1:31" s="18" customFormat="1" ht="16.5" customHeight="1" x14ac:dyDescent="0.2">
      <c r="A133" s="39">
        <f t="shared" si="15"/>
        <v>130</v>
      </c>
      <c r="B133" s="40" t="s">
        <v>396</v>
      </c>
      <c r="C133" s="41">
        <v>700736382</v>
      </c>
      <c r="D133" s="42">
        <v>18565</v>
      </c>
      <c r="E133" s="40" t="s">
        <v>6</v>
      </c>
      <c r="F133" s="40" t="s">
        <v>422</v>
      </c>
      <c r="G133" s="40" t="s">
        <v>384</v>
      </c>
      <c r="H133" s="39" t="s">
        <v>383</v>
      </c>
      <c r="I133" s="43">
        <v>1010730771</v>
      </c>
      <c r="J133" s="42">
        <v>39569</v>
      </c>
      <c r="K133" s="42">
        <v>42674</v>
      </c>
      <c r="L133" s="42">
        <v>39569</v>
      </c>
      <c r="M133" s="44">
        <v>461</v>
      </c>
      <c r="N133" s="40" t="s">
        <v>6</v>
      </c>
      <c r="O133" s="44">
        <v>614</v>
      </c>
      <c r="P133" s="44">
        <v>614</v>
      </c>
      <c r="Q133" s="44">
        <f>P133-M133</f>
        <v>153</v>
      </c>
      <c r="R133" s="29">
        <f>Q133*10</f>
        <v>1530</v>
      </c>
      <c r="S133" s="29">
        <f t="shared" si="16"/>
        <v>0</v>
      </c>
      <c r="T133" s="65">
        <f t="shared" ref="T133:T196" ca="1" si="17">P133*$T$3*AA133*12</f>
        <v>147.36000000000001</v>
      </c>
      <c r="U133" s="29">
        <f t="shared" ref="U133:U196" si="18">$U$3*20*12</f>
        <v>120</v>
      </c>
      <c r="V133" s="29">
        <f t="shared" ref="V133:V196" si="19">$V$3*20*12</f>
        <v>960</v>
      </c>
      <c r="W133" s="44">
        <f t="shared" ref="W133:W196" si="20">$W$3*12</f>
        <v>48</v>
      </c>
      <c r="X133" s="29">
        <f t="shared" ref="X133:X196" si="21">$X$3</f>
        <v>169</v>
      </c>
      <c r="Y133" s="29">
        <f t="shared" ref="Y133:Y196" ca="1" si="22">SUM(Q133:X133)</f>
        <v>3127.36</v>
      </c>
      <c r="Z133" s="75"/>
      <c r="AA133" s="66">
        <f t="shared" ref="AA133:AA196" ca="1" si="23">IF(YEAR(L133)&gt;2003,(YEAR(TODAY())-YEAR(L133)),12)</f>
        <v>8</v>
      </c>
      <c r="AB133" s="19"/>
      <c r="AC133" s="19"/>
      <c r="AD133" s="19"/>
      <c r="AE133" s="19"/>
    </row>
    <row r="134" spans="1:31" s="18" customFormat="1" ht="16.5" customHeight="1" x14ac:dyDescent="0.2">
      <c r="A134" s="39">
        <f t="shared" si="15"/>
        <v>131</v>
      </c>
      <c r="B134" s="40" t="s">
        <v>399</v>
      </c>
      <c r="C134" s="41">
        <v>700438732</v>
      </c>
      <c r="D134" s="42">
        <v>17540</v>
      </c>
      <c r="E134" s="40" t="s">
        <v>6</v>
      </c>
      <c r="F134" s="40" t="s">
        <v>385</v>
      </c>
      <c r="G134" s="40" t="s">
        <v>384</v>
      </c>
      <c r="H134" s="39" t="s">
        <v>383</v>
      </c>
      <c r="I134" s="43">
        <v>1010385039</v>
      </c>
      <c r="J134" s="42">
        <v>30977</v>
      </c>
      <c r="K134" s="42">
        <v>42613</v>
      </c>
      <c r="L134" s="42">
        <v>30977</v>
      </c>
      <c r="M134" s="44">
        <v>577.66999999999996</v>
      </c>
      <c r="N134" s="40" t="s">
        <v>6</v>
      </c>
      <c r="O134" s="44">
        <v>614</v>
      </c>
      <c r="P134" s="44">
        <v>614</v>
      </c>
      <c r="Q134" s="44">
        <f>P134-M134</f>
        <v>36.330000000000041</v>
      </c>
      <c r="R134" s="29">
        <f>Q134*8</f>
        <v>290.64000000000033</v>
      </c>
      <c r="S134" s="29">
        <f t="shared" si="16"/>
        <v>0</v>
      </c>
      <c r="T134" s="65">
        <f t="shared" ca="1" si="17"/>
        <v>221.04000000000002</v>
      </c>
      <c r="U134" s="29">
        <f>$U$3*20*8</f>
        <v>80</v>
      </c>
      <c r="V134" s="29">
        <f>$V$3*20*8</f>
        <v>640</v>
      </c>
      <c r="W134" s="44">
        <f>$W$3*8</f>
        <v>32</v>
      </c>
      <c r="X134" s="29">
        <f t="shared" si="21"/>
        <v>169</v>
      </c>
      <c r="Y134" s="29">
        <f t="shared" ca="1" si="22"/>
        <v>1469.0100000000004</v>
      </c>
      <c r="Z134" s="75"/>
      <c r="AA134" s="66">
        <f t="shared" ca="1" si="23"/>
        <v>12</v>
      </c>
      <c r="AB134" s="19"/>
      <c r="AC134" s="19"/>
      <c r="AD134" s="19"/>
      <c r="AE134" s="19"/>
    </row>
    <row r="135" spans="1:31" s="18" customFormat="1" ht="16.5" customHeight="1" x14ac:dyDescent="0.2">
      <c r="A135" s="39">
        <f t="shared" ref="A135:A198" si="24">A134+1</f>
        <v>132</v>
      </c>
      <c r="B135" s="40" t="s">
        <v>190</v>
      </c>
      <c r="C135" s="41">
        <v>700769649</v>
      </c>
      <c r="D135" s="42">
        <v>17873</v>
      </c>
      <c r="E135" s="40" t="s">
        <v>6</v>
      </c>
      <c r="F135" s="40" t="s">
        <v>385</v>
      </c>
      <c r="G135" s="40" t="s">
        <v>384</v>
      </c>
      <c r="H135" s="39" t="s">
        <v>383</v>
      </c>
      <c r="I135" s="43">
        <v>1010730305</v>
      </c>
      <c r="J135" s="42">
        <v>39569</v>
      </c>
      <c r="K135" s="42">
        <v>42704</v>
      </c>
      <c r="L135" s="42">
        <v>39569</v>
      </c>
      <c r="M135" s="44">
        <v>461</v>
      </c>
      <c r="N135" s="40" t="s">
        <v>6</v>
      </c>
      <c r="O135" s="44">
        <v>614</v>
      </c>
      <c r="P135" s="44">
        <v>614</v>
      </c>
      <c r="Q135" s="44">
        <f>P135-M135</f>
        <v>153</v>
      </c>
      <c r="R135" s="29">
        <f>Q135*11</f>
        <v>1683</v>
      </c>
      <c r="S135" s="29">
        <f t="shared" ref="S135:S198" si="25">$S$3*1%*Z135*12</f>
        <v>0</v>
      </c>
      <c r="T135" s="65">
        <f t="shared" ca="1" si="17"/>
        <v>147.36000000000001</v>
      </c>
      <c r="U135" s="29">
        <f t="shared" si="18"/>
        <v>120</v>
      </c>
      <c r="V135" s="29">
        <f t="shared" si="19"/>
        <v>960</v>
      </c>
      <c r="W135" s="44">
        <f t="shared" si="20"/>
        <v>48</v>
      </c>
      <c r="X135" s="29">
        <f t="shared" si="21"/>
        <v>169</v>
      </c>
      <c r="Y135" s="29">
        <f t="shared" ca="1" si="22"/>
        <v>3280.36</v>
      </c>
      <c r="Z135" s="75"/>
      <c r="AA135" s="66">
        <f t="shared" ca="1" si="23"/>
        <v>8</v>
      </c>
      <c r="AB135" s="19"/>
      <c r="AC135" s="19"/>
      <c r="AD135" s="19"/>
      <c r="AE135" s="19"/>
    </row>
    <row r="136" spans="1:31" s="18" customFormat="1" ht="16.5" customHeight="1" x14ac:dyDescent="0.2">
      <c r="A136" s="39">
        <f t="shared" si="24"/>
        <v>133</v>
      </c>
      <c r="B136" s="40" t="s">
        <v>5</v>
      </c>
      <c r="C136" s="41">
        <v>702423427</v>
      </c>
      <c r="D136" s="42">
        <v>25486</v>
      </c>
      <c r="E136" s="40" t="s">
        <v>6</v>
      </c>
      <c r="F136" s="40" t="s">
        <v>385</v>
      </c>
      <c r="G136" s="40" t="s">
        <v>384</v>
      </c>
      <c r="H136" s="39" t="s">
        <v>383</v>
      </c>
      <c r="I136" s="43">
        <v>1010199928</v>
      </c>
      <c r="J136" s="42">
        <v>32618</v>
      </c>
      <c r="K136" s="42"/>
      <c r="L136" s="42">
        <v>32618</v>
      </c>
      <c r="M136" s="44">
        <v>571.02</v>
      </c>
      <c r="N136" s="40" t="s">
        <v>6</v>
      </c>
      <c r="O136" s="44">
        <v>614</v>
      </c>
      <c r="P136" s="44">
        <v>614</v>
      </c>
      <c r="Q136" s="44">
        <f>P136-M136</f>
        <v>42.980000000000018</v>
      </c>
      <c r="R136" s="29">
        <f t="shared" ref="R136:R196" si="26">Q136*12</f>
        <v>515.76000000000022</v>
      </c>
      <c r="S136" s="29">
        <f t="shared" si="25"/>
        <v>131.76</v>
      </c>
      <c r="T136" s="65">
        <f t="shared" ca="1" si="17"/>
        <v>221.04000000000002</v>
      </c>
      <c r="U136" s="29">
        <f t="shared" si="18"/>
        <v>120</v>
      </c>
      <c r="V136" s="29">
        <f t="shared" si="19"/>
        <v>960</v>
      </c>
      <c r="W136" s="44">
        <f t="shared" si="20"/>
        <v>48</v>
      </c>
      <c r="X136" s="29">
        <f t="shared" si="21"/>
        <v>169</v>
      </c>
      <c r="Y136" s="29">
        <f t="shared" ca="1" si="22"/>
        <v>2208.54</v>
      </c>
      <c r="Z136" s="75">
        <v>3</v>
      </c>
      <c r="AA136" s="66">
        <f t="shared" ca="1" si="23"/>
        <v>12</v>
      </c>
      <c r="AB136" s="19"/>
      <c r="AC136" s="19"/>
      <c r="AD136" s="19"/>
      <c r="AE136" s="19"/>
    </row>
    <row r="137" spans="1:31" s="18" customFormat="1" ht="16.5" customHeight="1" x14ac:dyDescent="0.2">
      <c r="A137" s="39">
        <f t="shared" si="24"/>
        <v>134</v>
      </c>
      <c r="B137" s="40" t="s">
        <v>8</v>
      </c>
      <c r="C137" s="41">
        <v>703706473</v>
      </c>
      <c r="D137" s="42">
        <v>29144</v>
      </c>
      <c r="E137" s="40" t="s">
        <v>6</v>
      </c>
      <c r="F137" s="40" t="s">
        <v>422</v>
      </c>
      <c r="G137" s="40" t="s">
        <v>386</v>
      </c>
      <c r="H137" s="39" t="s">
        <v>383</v>
      </c>
      <c r="I137" s="43">
        <v>5320488300</v>
      </c>
      <c r="J137" s="42">
        <v>39935</v>
      </c>
      <c r="K137" s="42"/>
      <c r="L137" s="42">
        <v>39935</v>
      </c>
      <c r="M137" s="44">
        <v>461</v>
      </c>
      <c r="N137" s="40" t="s">
        <v>6</v>
      </c>
      <c r="O137" s="44">
        <v>614</v>
      </c>
      <c r="P137" s="44">
        <v>614</v>
      </c>
      <c r="Q137" s="44">
        <f>P137-M137</f>
        <v>153</v>
      </c>
      <c r="R137" s="29">
        <f t="shared" si="26"/>
        <v>1836</v>
      </c>
      <c r="S137" s="29">
        <f t="shared" si="25"/>
        <v>0</v>
      </c>
      <c r="T137" s="65">
        <f t="shared" ca="1" si="17"/>
        <v>128.94</v>
      </c>
      <c r="U137" s="29">
        <f t="shared" si="18"/>
        <v>120</v>
      </c>
      <c r="V137" s="29">
        <f t="shared" si="19"/>
        <v>960</v>
      </c>
      <c r="W137" s="44">
        <f t="shared" si="20"/>
        <v>48</v>
      </c>
      <c r="X137" s="29">
        <f t="shared" si="21"/>
        <v>169</v>
      </c>
      <c r="Y137" s="29">
        <f t="shared" ca="1" si="22"/>
        <v>3414.94</v>
      </c>
      <c r="Z137" s="75"/>
      <c r="AA137" s="66">
        <f t="shared" ca="1" si="23"/>
        <v>7</v>
      </c>
      <c r="AB137" s="19"/>
      <c r="AC137" s="19"/>
      <c r="AD137" s="19"/>
      <c r="AE137" s="19"/>
    </row>
    <row r="138" spans="1:31" s="18" customFormat="1" ht="16.5" customHeight="1" x14ac:dyDescent="0.2">
      <c r="A138" s="39">
        <f t="shared" si="24"/>
        <v>135</v>
      </c>
      <c r="B138" s="40" t="s">
        <v>20</v>
      </c>
      <c r="C138" s="41">
        <v>702402116</v>
      </c>
      <c r="D138" s="42">
        <v>28015</v>
      </c>
      <c r="E138" s="40" t="s">
        <v>6</v>
      </c>
      <c r="F138" s="40" t="s">
        <v>392</v>
      </c>
      <c r="G138" s="40" t="s">
        <v>417</v>
      </c>
      <c r="H138" s="39" t="s">
        <v>383</v>
      </c>
      <c r="I138" s="43">
        <v>406073886208</v>
      </c>
      <c r="J138" s="42">
        <v>39935</v>
      </c>
      <c r="K138" s="42"/>
      <c r="L138" s="42">
        <v>40817</v>
      </c>
      <c r="M138" s="44">
        <v>461</v>
      </c>
      <c r="N138" s="40" t="s">
        <v>6</v>
      </c>
      <c r="O138" s="44">
        <v>614</v>
      </c>
      <c r="P138" s="44">
        <v>614</v>
      </c>
      <c r="Q138" s="44">
        <f>P138-M138</f>
        <v>153</v>
      </c>
      <c r="R138" s="29">
        <f t="shared" si="26"/>
        <v>1836</v>
      </c>
      <c r="S138" s="29">
        <f t="shared" si="25"/>
        <v>131.76</v>
      </c>
      <c r="T138" s="65">
        <f t="shared" ca="1" si="17"/>
        <v>92.100000000000009</v>
      </c>
      <c r="U138" s="29">
        <f t="shared" si="18"/>
        <v>120</v>
      </c>
      <c r="V138" s="29">
        <f t="shared" si="19"/>
        <v>960</v>
      </c>
      <c r="W138" s="44">
        <f t="shared" si="20"/>
        <v>48</v>
      </c>
      <c r="X138" s="29">
        <f t="shared" si="21"/>
        <v>169</v>
      </c>
      <c r="Y138" s="29">
        <f t="shared" ca="1" si="22"/>
        <v>3509.86</v>
      </c>
      <c r="Z138" s="75">
        <v>3</v>
      </c>
      <c r="AA138" s="66">
        <f t="shared" ca="1" si="23"/>
        <v>5</v>
      </c>
      <c r="AB138" s="19"/>
      <c r="AC138" s="19"/>
      <c r="AD138" s="19"/>
      <c r="AE138" s="19"/>
    </row>
    <row r="139" spans="1:31" s="18" customFormat="1" ht="16.5" customHeight="1" x14ac:dyDescent="0.2">
      <c r="A139" s="39">
        <f t="shared" si="24"/>
        <v>136</v>
      </c>
      <c r="B139" s="40" t="s">
        <v>55</v>
      </c>
      <c r="C139" s="41">
        <v>701953515</v>
      </c>
      <c r="D139" s="42">
        <v>24426</v>
      </c>
      <c r="E139" s="40" t="s">
        <v>6</v>
      </c>
      <c r="F139" s="40" t="s">
        <v>385</v>
      </c>
      <c r="G139" s="40" t="s">
        <v>417</v>
      </c>
      <c r="H139" s="39" t="s">
        <v>383</v>
      </c>
      <c r="I139" s="43">
        <v>406045990709</v>
      </c>
      <c r="J139" s="42">
        <v>39569</v>
      </c>
      <c r="K139" s="42"/>
      <c r="L139" s="42">
        <v>39569</v>
      </c>
      <c r="M139" s="44">
        <v>461</v>
      </c>
      <c r="N139" s="40" t="s">
        <v>6</v>
      </c>
      <c r="O139" s="44">
        <v>614</v>
      </c>
      <c r="P139" s="44">
        <v>614</v>
      </c>
      <c r="Q139" s="44">
        <f>P139-M139</f>
        <v>153</v>
      </c>
      <c r="R139" s="29">
        <f t="shared" si="26"/>
        <v>1836</v>
      </c>
      <c r="S139" s="29">
        <f t="shared" si="25"/>
        <v>43.92</v>
      </c>
      <c r="T139" s="65">
        <f t="shared" ca="1" si="17"/>
        <v>147.36000000000001</v>
      </c>
      <c r="U139" s="29">
        <f t="shared" si="18"/>
        <v>120</v>
      </c>
      <c r="V139" s="29">
        <f t="shared" si="19"/>
        <v>960</v>
      </c>
      <c r="W139" s="44">
        <f t="shared" si="20"/>
        <v>48</v>
      </c>
      <c r="X139" s="29">
        <f t="shared" si="21"/>
        <v>169</v>
      </c>
      <c r="Y139" s="29">
        <f t="shared" ca="1" si="22"/>
        <v>3477.28</v>
      </c>
      <c r="Z139" s="75">
        <v>1</v>
      </c>
      <c r="AA139" s="66">
        <f t="shared" ca="1" si="23"/>
        <v>8</v>
      </c>
      <c r="AB139" s="19"/>
      <c r="AC139" s="19"/>
      <c r="AD139" s="19"/>
      <c r="AE139" s="19"/>
    </row>
    <row r="140" spans="1:31" s="18" customFormat="1" ht="16.5" customHeight="1" x14ac:dyDescent="0.2">
      <c r="A140" s="39">
        <f t="shared" si="24"/>
        <v>137</v>
      </c>
      <c r="B140" s="40" t="s">
        <v>57</v>
      </c>
      <c r="C140" s="41">
        <v>601922693</v>
      </c>
      <c r="D140" s="42">
        <v>24418</v>
      </c>
      <c r="E140" s="40" t="s">
        <v>6</v>
      </c>
      <c r="F140" s="40" t="s">
        <v>385</v>
      </c>
      <c r="G140" s="40" t="s">
        <v>386</v>
      </c>
      <c r="H140" s="39" t="s">
        <v>383</v>
      </c>
      <c r="I140" s="43">
        <v>3475769500</v>
      </c>
      <c r="J140" s="42">
        <v>39935</v>
      </c>
      <c r="K140" s="42"/>
      <c r="L140" s="42">
        <v>40817</v>
      </c>
      <c r="M140" s="44">
        <v>461</v>
      </c>
      <c r="N140" s="40" t="s">
        <v>6</v>
      </c>
      <c r="O140" s="44">
        <v>614</v>
      </c>
      <c r="P140" s="44">
        <v>614</v>
      </c>
      <c r="Q140" s="44">
        <f>P140-M140</f>
        <v>153</v>
      </c>
      <c r="R140" s="29">
        <f t="shared" si="26"/>
        <v>1836</v>
      </c>
      <c r="S140" s="29">
        <f t="shared" si="25"/>
        <v>0</v>
      </c>
      <c r="T140" s="65">
        <f t="shared" ca="1" si="17"/>
        <v>92.100000000000009</v>
      </c>
      <c r="U140" s="29">
        <f t="shared" si="18"/>
        <v>120</v>
      </c>
      <c r="V140" s="29">
        <f t="shared" si="19"/>
        <v>960</v>
      </c>
      <c r="W140" s="44">
        <f t="shared" si="20"/>
        <v>48</v>
      </c>
      <c r="X140" s="29">
        <f t="shared" si="21"/>
        <v>169</v>
      </c>
      <c r="Y140" s="29">
        <f t="shared" ca="1" si="22"/>
        <v>3378.1</v>
      </c>
      <c r="Z140" s="75"/>
      <c r="AA140" s="66">
        <f t="shared" ca="1" si="23"/>
        <v>5</v>
      </c>
      <c r="AB140" s="19"/>
      <c r="AC140" s="19"/>
      <c r="AD140" s="19"/>
      <c r="AE140" s="19"/>
    </row>
    <row r="141" spans="1:31" s="18" customFormat="1" ht="16.5" customHeight="1" x14ac:dyDescent="0.2">
      <c r="A141" s="39">
        <f t="shared" si="24"/>
        <v>138</v>
      </c>
      <c r="B141" s="40" t="s">
        <v>73</v>
      </c>
      <c r="C141" s="41">
        <v>1703668259</v>
      </c>
      <c r="D141" s="42">
        <v>19266</v>
      </c>
      <c r="E141" s="40" t="s">
        <v>6</v>
      </c>
      <c r="F141" s="40" t="s">
        <v>422</v>
      </c>
      <c r="G141" s="40" t="s">
        <v>384</v>
      </c>
      <c r="H141" s="39" t="s">
        <v>383</v>
      </c>
      <c r="I141" s="43">
        <v>1010729900</v>
      </c>
      <c r="J141" s="42">
        <v>39569</v>
      </c>
      <c r="K141" s="42"/>
      <c r="L141" s="42">
        <v>39569</v>
      </c>
      <c r="M141" s="44">
        <v>461</v>
      </c>
      <c r="N141" s="40" t="s">
        <v>6</v>
      </c>
      <c r="O141" s="44">
        <v>614</v>
      </c>
      <c r="P141" s="44">
        <v>614</v>
      </c>
      <c r="Q141" s="44">
        <f>P141-M141</f>
        <v>153</v>
      </c>
      <c r="R141" s="29">
        <f t="shared" si="26"/>
        <v>1836</v>
      </c>
      <c r="S141" s="29">
        <f t="shared" si="25"/>
        <v>0</v>
      </c>
      <c r="T141" s="65">
        <f t="shared" ca="1" si="17"/>
        <v>147.36000000000001</v>
      </c>
      <c r="U141" s="29">
        <f t="shared" si="18"/>
        <v>120</v>
      </c>
      <c r="V141" s="29">
        <f t="shared" si="19"/>
        <v>960</v>
      </c>
      <c r="W141" s="44">
        <f t="shared" si="20"/>
        <v>48</v>
      </c>
      <c r="X141" s="29">
        <f t="shared" si="21"/>
        <v>169</v>
      </c>
      <c r="Y141" s="29">
        <f t="shared" ca="1" si="22"/>
        <v>3433.36</v>
      </c>
      <c r="Z141" s="75"/>
      <c r="AA141" s="66">
        <f t="shared" ca="1" si="23"/>
        <v>8</v>
      </c>
      <c r="AB141" s="19"/>
      <c r="AC141" s="19"/>
      <c r="AD141" s="19"/>
      <c r="AE141" s="19"/>
    </row>
    <row r="142" spans="1:31" s="18" customFormat="1" ht="16.5" customHeight="1" x14ac:dyDescent="0.2">
      <c r="A142" s="39">
        <f t="shared" si="24"/>
        <v>139</v>
      </c>
      <c r="B142" s="40" t="s">
        <v>74</v>
      </c>
      <c r="C142" s="41">
        <v>701484867</v>
      </c>
      <c r="D142" s="42">
        <v>22221</v>
      </c>
      <c r="E142" s="40" t="s">
        <v>6</v>
      </c>
      <c r="F142" s="40" t="s">
        <v>385</v>
      </c>
      <c r="G142" s="40" t="s">
        <v>384</v>
      </c>
      <c r="H142" s="39" t="s">
        <v>383</v>
      </c>
      <c r="I142" s="43">
        <v>1010730755</v>
      </c>
      <c r="J142" s="42">
        <v>39569</v>
      </c>
      <c r="K142" s="42"/>
      <c r="L142" s="42">
        <v>39569</v>
      </c>
      <c r="M142" s="44">
        <v>461</v>
      </c>
      <c r="N142" s="40" t="s">
        <v>6</v>
      </c>
      <c r="O142" s="44">
        <v>614</v>
      </c>
      <c r="P142" s="44">
        <v>614</v>
      </c>
      <c r="Q142" s="44">
        <f>P142-M142</f>
        <v>153</v>
      </c>
      <c r="R142" s="29">
        <f t="shared" si="26"/>
        <v>1836</v>
      </c>
      <c r="S142" s="29">
        <f t="shared" si="25"/>
        <v>0</v>
      </c>
      <c r="T142" s="65">
        <f t="shared" ca="1" si="17"/>
        <v>147.36000000000001</v>
      </c>
      <c r="U142" s="29">
        <f t="shared" si="18"/>
        <v>120</v>
      </c>
      <c r="V142" s="29">
        <f t="shared" si="19"/>
        <v>960</v>
      </c>
      <c r="W142" s="44">
        <f t="shared" si="20"/>
        <v>48</v>
      </c>
      <c r="X142" s="29">
        <f t="shared" si="21"/>
        <v>169</v>
      </c>
      <c r="Y142" s="29">
        <f t="shared" ca="1" si="22"/>
        <v>3433.36</v>
      </c>
      <c r="Z142" s="75"/>
      <c r="AA142" s="66">
        <f t="shared" ca="1" si="23"/>
        <v>8</v>
      </c>
      <c r="AB142" s="19"/>
      <c r="AC142" s="19"/>
      <c r="AD142" s="19"/>
      <c r="AE142" s="19"/>
    </row>
    <row r="143" spans="1:31" s="18" customFormat="1" ht="16.5" customHeight="1" x14ac:dyDescent="0.2">
      <c r="A143" s="39">
        <f t="shared" si="24"/>
        <v>140</v>
      </c>
      <c r="B143" s="40" t="s">
        <v>78</v>
      </c>
      <c r="C143" s="41">
        <v>702143405</v>
      </c>
      <c r="D143" s="42">
        <v>24435</v>
      </c>
      <c r="E143" s="40" t="s">
        <v>6</v>
      </c>
      <c r="F143" s="40" t="s">
        <v>385</v>
      </c>
      <c r="G143" s="40" t="s">
        <v>384</v>
      </c>
      <c r="H143" s="39" t="s">
        <v>383</v>
      </c>
      <c r="I143" s="43">
        <v>1010746996</v>
      </c>
      <c r="J143" s="42">
        <v>39983</v>
      </c>
      <c r="K143" s="42"/>
      <c r="L143" s="42">
        <v>40817</v>
      </c>
      <c r="M143" s="44">
        <v>461</v>
      </c>
      <c r="N143" s="40" t="s">
        <v>6</v>
      </c>
      <c r="O143" s="44">
        <v>614</v>
      </c>
      <c r="P143" s="44">
        <v>614</v>
      </c>
      <c r="Q143" s="44">
        <f>P143-M143</f>
        <v>153</v>
      </c>
      <c r="R143" s="29">
        <f t="shared" si="26"/>
        <v>1836</v>
      </c>
      <c r="S143" s="29">
        <f t="shared" si="25"/>
        <v>0</v>
      </c>
      <c r="T143" s="65">
        <f t="shared" ca="1" si="17"/>
        <v>92.100000000000009</v>
      </c>
      <c r="U143" s="29">
        <f t="shared" si="18"/>
        <v>120</v>
      </c>
      <c r="V143" s="29">
        <f t="shared" si="19"/>
        <v>960</v>
      </c>
      <c r="W143" s="44">
        <f t="shared" si="20"/>
        <v>48</v>
      </c>
      <c r="X143" s="29">
        <f t="shared" si="21"/>
        <v>169</v>
      </c>
      <c r="Y143" s="29">
        <f t="shared" ca="1" si="22"/>
        <v>3378.1</v>
      </c>
      <c r="Z143" s="75"/>
      <c r="AA143" s="66">
        <f t="shared" ca="1" si="23"/>
        <v>5</v>
      </c>
      <c r="AB143" s="19"/>
      <c r="AC143" s="19"/>
      <c r="AD143" s="19"/>
      <c r="AE143" s="19"/>
    </row>
    <row r="144" spans="1:31" s="18" customFormat="1" ht="16.5" customHeight="1" x14ac:dyDescent="0.2">
      <c r="A144" s="39">
        <f t="shared" si="24"/>
        <v>141</v>
      </c>
      <c r="B144" s="40" t="s">
        <v>79</v>
      </c>
      <c r="C144" s="41">
        <v>701954802</v>
      </c>
      <c r="D144" s="42">
        <v>25822</v>
      </c>
      <c r="E144" s="40" t="s">
        <v>6</v>
      </c>
      <c r="F144" s="40" t="s">
        <v>385</v>
      </c>
      <c r="G144" s="40" t="s">
        <v>417</v>
      </c>
      <c r="H144" s="39" t="s">
        <v>383</v>
      </c>
      <c r="I144" s="43">
        <v>44060120267</v>
      </c>
      <c r="J144" s="42">
        <v>39569</v>
      </c>
      <c r="K144" s="42"/>
      <c r="L144" s="42">
        <v>39569</v>
      </c>
      <c r="M144" s="44">
        <v>461</v>
      </c>
      <c r="N144" s="40" t="s">
        <v>6</v>
      </c>
      <c r="O144" s="44">
        <v>614</v>
      </c>
      <c r="P144" s="44">
        <v>614</v>
      </c>
      <c r="Q144" s="44">
        <f>P144-M144</f>
        <v>153</v>
      </c>
      <c r="R144" s="29">
        <f t="shared" si="26"/>
        <v>1836</v>
      </c>
      <c r="S144" s="29">
        <f t="shared" si="25"/>
        <v>0</v>
      </c>
      <c r="T144" s="65">
        <f t="shared" ca="1" si="17"/>
        <v>147.36000000000001</v>
      </c>
      <c r="U144" s="29">
        <f t="shared" si="18"/>
        <v>120</v>
      </c>
      <c r="V144" s="29">
        <f t="shared" si="19"/>
        <v>960</v>
      </c>
      <c r="W144" s="44">
        <f t="shared" si="20"/>
        <v>48</v>
      </c>
      <c r="X144" s="29">
        <f t="shared" si="21"/>
        <v>169</v>
      </c>
      <c r="Y144" s="29">
        <f t="shared" ca="1" si="22"/>
        <v>3433.36</v>
      </c>
      <c r="Z144" s="75"/>
      <c r="AA144" s="66">
        <f t="shared" ca="1" si="23"/>
        <v>8</v>
      </c>
      <c r="AB144" s="19"/>
      <c r="AC144" s="19"/>
      <c r="AD144" s="19"/>
      <c r="AE144" s="19"/>
    </row>
    <row r="145" spans="1:31" s="18" customFormat="1" ht="16.5" customHeight="1" x14ac:dyDescent="0.2">
      <c r="A145" s="39">
        <f t="shared" si="24"/>
        <v>142</v>
      </c>
      <c r="B145" s="40" t="s">
        <v>85</v>
      </c>
      <c r="C145" s="41">
        <v>1705534210</v>
      </c>
      <c r="D145" s="42">
        <v>21157</v>
      </c>
      <c r="E145" s="40" t="s">
        <v>6</v>
      </c>
      <c r="F145" s="40" t="s">
        <v>385</v>
      </c>
      <c r="G145" s="40" t="s">
        <v>384</v>
      </c>
      <c r="H145" s="39" t="s">
        <v>383</v>
      </c>
      <c r="I145" s="43">
        <v>1010731050</v>
      </c>
      <c r="J145" s="42">
        <v>39569</v>
      </c>
      <c r="K145" s="42"/>
      <c r="L145" s="42">
        <v>39569</v>
      </c>
      <c r="M145" s="44">
        <v>461</v>
      </c>
      <c r="N145" s="40" t="s">
        <v>6</v>
      </c>
      <c r="O145" s="44">
        <v>614</v>
      </c>
      <c r="P145" s="44">
        <v>614</v>
      </c>
      <c r="Q145" s="44">
        <f>P145-M145</f>
        <v>153</v>
      </c>
      <c r="R145" s="29">
        <f t="shared" si="26"/>
        <v>1836</v>
      </c>
      <c r="S145" s="29">
        <f t="shared" si="25"/>
        <v>0</v>
      </c>
      <c r="T145" s="65">
        <f t="shared" ca="1" si="17"/>
        <v>147.36000000000001</v>
      </c>
      <c r="U145" s="29">
        <f t="shared" si="18"/>
        <v>120</v>
      </c>
      <c r="V145" s="29">
        <f t="shared" si="19"/>
        <v>960</v>
      </c>
      <c r="W145" s="44">
        <f t="shared" si="20"/>
        <v>48</v>
      </c>
      <c r="X145" s="29">
        <f t="shared" si="21"/>
        <v>169</v>
      </c>
      <c r="Y145" s="29">
        <f t="shared" ca="1" si="22"/>
        <v>3433.36</v>
      </c>
      <c r="Z145" s="75"/>
      <c r="AA145" s="66">
        <f t="shared" ca="1" si="23"/>
        <v>8</v>
      </c>
      <c r="AB145" s="19"/>
      <c r="AC145" s="19"/>
      <c r="AD145" s="19"/>
      <c r="AE145" s="19"/>
    </row>
    <row r="146" spans="1:31" s="18" customFormat="1" ht="16.5" customHeight="1" x14ac:dyDescent="0.2">
      <c r="A146" s="39">
        <f t="shared" si="24"/>
        <v>143</v>
      </c>
      <c r="B146" s="40" t="s">
        <v>88</v>
      </c>
      <c r="C146" s="41">
        <v>702505090</v>
      </c>
      <c r="D146" s="42">
        <v>23575</v>
      </c>
      <c r="E146" s="40" t="s">
        <v>6</v>
      </c>
      <c r="F146" s="40" t="s">
        <v>385</v>
      </c>
      <c r="G146" s="40" t="s">
        <v>393</v>
      </c>
      <c r="H146" s="39" t="s">
        <v>383</v>
      </c>
      <c r="I146" s="43">
        <v>8200620100</v>
      </c>
      <c r="J146" s="42">
        <v>39935</v>
      </c>
      <c r="K146" s="42"/>
      <c r="L146" s="42">
        <v>40817</v>
      </c>
      <c r="M146" s="44">
        <v>461</v>
      </c>
      <c r="N146" s="40" t="s">
        <v>6</v>
      </c>
      <c r="O146" s="44">
        <v>614</v>
      </c>
      <c r="P146" s="44">
        <v>614</v>
      </c>
      <c r="Q146" s="44">
        <f>P146-M146</f>
        <v>153</v>
      </c>
      <c r="R146" s="29">
        <f t="shared" si="26"/>
        <v>1836</v>
      </c>
      <c r="S146" s="29">
        <f t="shared" si="25"/>
        <v>43.92</v>
      </c>
      <c r="T146" s="65">
        <f t="shared" ca="1" si="17"/>
        <v>92.100000000000009</v>
      </c>
      <c r="U146" s="29">
        <f t="shared" si="18"/>
        <v>120</v>
      </c>
      <c r="V146" s="29">
        <f t="shared" si="19"/>
        <v>960</v>
      </c>
      <c r="W146" s="44">
        <f t="shared" si="20"/>
        <v>48</v>
      </c>
      <c r="X146" s="29">
        <f t="shared" si="21"/>
        <v>169</v>
      </c>
      <c r="Y146" s="29">
        <f t="shared" ca="1" si="22"/>
        <v>3422.02</v>
      </c>
      <c r="Z146" s="75">
        <v>1</v>
      </c>
      <c r="AA146" s="66">
        <f t="shared" ca="1" si="23"/>
        <v>5</v>
      </c>
      <c r="AB146" s="19"/>
      <c r="AC146" s="19"/>
      <c r="AD146" s="19"/>
      <c r="AE146" s="19"/>
    </row>
    <row r="147" spans="1:31" s="18" customFormat="1" ht="16.5" customHeight="1" x14ac:dyDescent="0.2">
      <c r="A147" s="39">
        <f t="shared" si="24"/>
        <v>144</v>
      </c>
      <c r="B147" s="40" t="s">
        <v>96</v>
      </c>
      <c r="C147" s="41">
        <v>702454554</v>
      </c>
      <c r="D147" s="42">
        <v>25285</v>
      </c>
      <c r="E147" s="40" t="s">
        <v>6</v>
      </c>
      <c r="F147" s="40" t="s">
        <v>385</v>
      </c>
      <c r="G147" s="40" t="s">
        <v>417</v>
      </c>
      <c r="H147" s="39" t="s">
        <v>383</v>
      </c>
      <c r="I147" s="43">
        <v>406029447701</v>
      </c>
      <c r="J147" s="42">
        <v>39569</v>
      </c>
      <c r="K147" s="42"/>
      <c r="L147" s="42">
        <v>39569</v>
      </c>
      <c r="M147" s="44">
        <v>461</v>
      </c>
      <c r="N147" s="40" t="s">
        <v>6</v>
      </c>
      <c r="O147" s="44">
        <v>614</v>
      </c>
      <c r="P147" s="44">
        <v>614</v>
      </c>
      <c r="Q147" s="44">
        <f>P147-M147</f>
        <v>153</v>
      </c>
      <c r="R147" s="29">
        <f t="shared" si="26"/>
        <v>1836</v>
      </c>
      <c r="S147" s="29">
        <f t="shared" si="25"/>
        <v>0</v>
      </c>
      <c r="T147" s="65">
        <f t="shared" ca="1" si="17"/>
        <v>147.36000000000001</v>
      </c>
      <c r="U147" s="29">
        <f t="shared" si="18"/>
        <v>120</v>
      </c>
      <c r="V147" s="29">
        <f t="shared" si="19"/>
        <v>960</v>
      </c>
      <c r="W147" s="44">
        <f t="shared" si="20"/>
        <v>48</v>
      </c>
      <c r="X147" s="29">
        <f t="shared" si="21"/>
        <v>169</v>
      </c>
      <c r="Y147" s="29">
        <f t="shared" ca="1" si="22"/>
        <v>3433.36</v>
      </c>
      <c r="Z147" s="75"/>
      <c r="AA147" s="66">
        <f t="shared" ca="1" si="23"/>
        <v>8</v>
      </c>
      <c r="AB147" s="19"/>
      <c r="AC147" s="19"/>
      <c r="AD147" s="19"/>
      <c r="AE147" s="19"/>
    </row>
    <row r="148" spans="1:31" s="18" customFormat="1" ht="16.5" customHeight="1" x14ac:dyDescent="0.2">
      <c r="A148" s="39">
        <f t="shared" si="24"/>
        <v>145</v>
      </c>
      <c r="B148" s="40" t="s">
        <v>97</v>
      </c>
      <c r="C148" s="41">
        <v>700679533</v>
      </c>
      <c r="D148" s="42">
        <v>17487</v>
      </c>
      <c r="E148" s="40" t="s">
        <v>6</v>
      </c>
      <c r="F148" s="40" t="s">
        <v>385</v>
      </c>
      <c r="G148" s="40" t="s">
        <v>384</v>
      </c>
      <c r="H148" s="39" t="s">
        <v>383</v>
      </c>
      <c r="I148" s="43">
        <v>1010730801</v>
      </c>
      <c r="J148" s="42">
        <v>39569</v>
      </c>
      <c r="K148" s="42"/>
      <c r="L148" s="42">
        <v>39569</v>
      </c>
      <c r="M148" s="44">
        <v>461</v>
      </c>
      <c r="N148" s="40" t="s">
        <v>6</v>
      </c>
      <c r="O148" s="44">
        <v>614</v>
      </c>
      <c r="P148" s="44">
        <v>614</v>
      </c>
      <c r="Q148" s="44">
        <f>P148-M148</f>
        <v>153</v>
      </c>
      <c r="R148" s="29">
        <f t="shared" si="26"/>
        <v>1836</v>
      </c>
      <c r="S148" s="29">
        <f t="shared" si="25"/>
        <v>0</v>
      </c>
      <c r="T148" s="65">
        <f t="shared" ca="1" si="17"/>
        <v>147.36000000000001</v>
      </c>
      <c r="U148" s="29">
        <f t="shared" si="18"/>
        <v>120</v>
      </c>
      <c r="V148" s="29">
        <f t="shared" si="19"/>
        <v>960</v>
      </c>
      <c r="W148" s="44">
        <f t="shared" si="20"/>
        <v>48</v>
      </c>
      <c r="X148" s="29">
        <f t="shared" si="21"/>
        <v>169</v>
      </c>
      <c r="Y148" s="29">
        <f t="shared" ca="1" si="22"/>
        <v>3433.36</v>
      </c>
      <c r="Z148" s="75"/>
      <c r="AA148" s="66">
        <f t="shared" ca="1" si="23"/>
        <v>8</v>
      </c>
      <c r="AB148" s="19"/>
      <c r="AC148" s="19"/>
      <c r="AD148" s="19"/>
      <c r="AE148" s="19"/>
    </row>
    <row r="149" spans="1:31" s="18" customFormat="1" ht="16.5" customHeight="1" x14ac:dyDescent="0.2">
      <c r="A149" s="39">
        <f t="shared" si="24"/>
        <v>146</v>
      </c>
      <c r="B149" s="40" t="s">
        <v>98</v>
      </c>
      <c r="C149" s="41">
        <v>1500489255</v>
      </c>
      <c r="D149" s="42">
        <v>27596</v>
      </c>
      <c r="E149" s="40" t="s">
        <v>6</v>
      </c>
      <c r="F149" s="40" t="s">
        <v>385</v>
      </c>
      <c r="G149" s="40" t="s">
        <v>398</v>
      </c>
      <c r="H149" s="39" t="s">
        <v>383</v>
      </c>
      <c r="I149" s="43">
        <v>4008366830</v>
      </c>
      <c r="J149" s="42">
        <v>39569</v>
      </c>
      <c r="K149" s="42"/>
      <c r="L149" s="42">
        <v>39569</v>
      </c>
      <c r="M149" s="44">
        <v>461</v>
      </c>
      <c r="N149" s="40" t="s">
        <v>6</v>
      </c>
      <c r="O149" s="44">
        <v>614</v>
      </c>
      <c r="P149" s="44">
        <v>614</v>
      </c>
      <c r="Q149" s="44">
        <f>P149-M149</f>
        <v>153</v>
      </c>
      <c r="R149" s="29">
        <f t="shared" si="26"/>
        <v>1836</v>
      </c>
      <c r="S149" s="29">
        <f t="shared" si="25"/>
        <v>43.92</v>
      </c>
      <c r="T149" s="65">
        <f t="shared" ca="1" si="17"/>
        <v>147.36000000000001</v>
      </c>
      <c r="U149" s="29">
        <f t="shared" si="18"/>
        <v>120</v>
      </c>
      <c r="V149" s="29">
        <f t="shared" si="19"/>
        <v>960</v>
      </c>
      <c r="W149" s="44">
        <f t="shared" si="20"/>
        <v>48</v>
      </c>
      <c r="X149" s="29">
        <f t="shared" si="21"/>
        <v>169</v>
      </c>
      <c r="Y149" s="29">
        <f t="shared" ca="1" si="22"/>
        <v>3477.28</v>
      </c>
      <c r="Z149" s="75">
        <v>1</v>
      </c>
      <c r="AA149" s="66">
        <f t="shared" ca="1" si="23"/>
        <v>8</v>
      </c>
      <c r="AB149" s="19"/>
      <c r="AC149" s="19"/>
      <c r="AD149" s="19"/>
      <c r="AE149" s="19"/>
    </row>
    <row r="150" spans="1:31" s="18" customFormat="1" ht="16.5" customHeight="1" x14ac:dyDescent="0.2">
      <c r="A150" s="39">
        <f t="shared" si="24"/>
        <v>147</v>
      </c>
      <c r="B150" s="40" t="s">
        <v>110</v>
      </c>
      <c r="C150" s="41">
        <v>701103525</v>
      </c>
      <c r="D150" s="42">
        <v>20495</v>
      </c>
      <c r="E150" s="40" t="s">
        <v>6</v>
      </c>
      <c r="F150" s="40" t="s">
        <v>385</v>
      </c>
      <c r="G150" s="40" t="s">
        <v>384</v>
      </c>
      <c r="H150" s="39" t="s">
        <v>383</v>
      </c>
      <c r="I150" s="43">
        <v>1010732022</v>
      </c>
      <c r="J150" s="42">
        <v>39569</v>
      </c>
      <c r="K150" s="42"/>
      <c r="L150" s="42">
        <v>39569</v>
      </c>
      <c r="M150" s="44">
        <v>461</v>
      </c>
      <c r="N150" s="40" t="s">
        <v>6</v>
      </c>
      <c r="O150" s="44">
        <v>614</v>
      </c>
      <c r="P150" s="44">
        <v>614</v>
      </c>
      <c r="Q150" s="44">
        <f>P150-M150</f>
        <v>153</v>
      </c>
      <c r="R150" s="29">
        <f t="shared" si="26"/>
        <v>1836</v>
      </c>
      <c r="S150" s="29">
        <f t="shared" si="25"/>
        <v>0</v>
      </c>
      <c r="T150" s="65">
        <f t="shared" ca="1" si="17"/>
        <v>147.36000000000001</v>
      </c>
      <c r="U150" s="29">
        <f t="shared" si="18"/>
        <v>120</v>
      </c>
      <c r="V150" s="29">
        <f t="shared" si="19"/>
        <v>960</v>
      </c>
      <c r="W150" s="44">
        <f t="shared" si="20"/>
        <v>48</v>
      </c>
      <c r="X150" s="29">
        <f t="shared" si="21"/>
        <v>169</v>
      </c>
      <c r="Y150" s="29">
        <f t="shared" ca="1" si="22"/>
        <v>3433.36</v>
      </c>
      <c r="Z150" s="75"/>
      <c r="AA150" s="66">
        <f t="shared" ca="1" si="23"/>
        <v>8</v>
      </c>
      <c r="AB150" s="19"/>
      <c r="AC150" s="19"/>
      <c r="AD150" s="19"/>
      <c r="AE150" s="19"/>
    </row>
    <row r="151" spans="1:31" s="18" customFormat="1" ht="16.5" customHeight="1" x14ac:dyDescent="0.2">
      <c r="A151" s="39">
        <f t="shared" si="24"/>
        <v>148</v>
      </c>
      <c r="B151" s="40" t="s">
        <v>122</v>
      </c>
      <c r="C151" s="41">
        <v>701053639</v>
      </c>
      <c r="D151" s="42">
        <v>19353</v>
      </c>
      <c r="E151" s="40" t="s">
        <v>6</v>
      </c>
      <c r="F151" s="40" t="s">
        <v>385</v>
      </c>
      <c r="G151" s="40" t="s">
        <v>384</v>
      </c>
      <c r="H151" s="39" t="s">
        <v>383</v>
      </c>
      <c r="I151" s="43">
        <v>1010561236</v>
      </c>
      <c r="J151" s="42">
        <v>39569</v>
      </c>
      <c r="K151" s="42"/>
      <c r="L151" s="42">
        <v>39569</v>
      </c>
      <c r="M151" s="44">
        <v>461</v>
      </c>
      <c r="N151" s="40" t="s">
        <v>6</v>
      </c>
      <c r="O151" s="44">
        <v>614</v>
      </c>
      <c r="P151" s="44">
        <v>614</v>
      </c>
      <c r="Q151" s="44">
        <f>P151-M151</f>
        <v>153</v>
      </c>
      <c r="R151" s="29">
        <f t="shared" si="26"/>
        <v>1836</v>
      </c>
      <c r="S151" s="29">
        <f t="shared" si="25"/>
        <v>0</v>
      </c>
      <c r="T151" s="65">
        <f t="shared" ca="1" si="17"/>
        <v>147.36000000000001</v>
      </c>
      <c r="U151" s="29">
        <f t="shared" si="18"/>
        <v>120</v>
      </c>
      <c r="V151" s="29">
        <f t="shared" si="19"/>
        <v>960</v>
      </c>
      <c r="W151" s="44">
        <f t="shared" si="20"/>
        <v>48</v>
      </c>
      <c r="X151" s="29">
        <f t="shared" si="21"/>
        <v>169</v>
      </c>
      <c r="Y151" s="29">
        <f t="shared" ca="1" si="22"/>
        <v>3433.36</v>
      </c>
      <c r="Z151" s="75"/>
      <c r="AA151" s="66">
        <f t="shared" ca="1" si="23"/>
        <v>8</v>
      </c>
      <c r="AB151" s="19"/>
      <c r="AC151" s="19"/>
      <c r="AD151" s="19"/>
      <c r="AE151" s="19"/>
    </row>
    <row r="152" spans="1:31" s="18" customFormat="1" ht="16.5" customHeight="1" x14ac:dyDescent="0.2">
      <c r="A152" s="39">
        <f t="shared" si="24"/>
        <v>149</v>
      </c>
      <c r="B152" s="40" t="s">
        <v>124</v>
      </c>
      <c r="C152" s="41">
        <v>702239773</v>
      </c>
      <c r="D152" s="42">
        <v>24589</v>
      </c>
      <c r="E152" s="40" t="s">
        <v>6</v>
      </c>
      <c r="F152" s="40" t="s">
        <v>392</v>
      </c>
      <c r="G152" s="40" t="s">
        <v>384</v>
      </c>
      <c r="H152" s="39" t="s">
        <v>383</v>
      </c>
      <c r="I152" s="43">
        <v>1010187784</v>
      </c>
      <c r="J152" s="42">
        <v>35583</v>
      </c>
      <c r="K152" s="42"/>
      <c r="L152" s="42">
        <v>35583</v>
      </c>
      <c r="M152" s="44">
        <v>612</v>
      </c>
      <c r="N152" s="40" t="s">
        <v>6</v>
      </c>
      <c r="O152" s="44">
        <v>614</v>
      </c>
      <c r="P152" s="44">
        <v>614</v>
      </c>
      <c r="Q152" s="44">
        <f>P152-M152</f>
        <v>2</v>
      </c>
      <c r="R152" s="29">
        <f t="shared" si="26"/>
        <v>24</v>
      </c>
      <c r="S152" s="29">
        <f t="shared" si="25"/>
        <v>0</v>
      </c>
      <c r="T152" s="65">
        <f t="shared" ca="1" si="17"/>
        <v>221.04000000000002</v>
      </c>
      <c r="U152" s="29">
        <f t="shared" si="18"/>
        <v>120</v>
      </c>
      <c r="V152" s="29">
        <f t="shared" si="19"/>
        <v>960</v>
      </c>
      <c r="W152" s="44">
        <f t="shared" si="20"/>
        <v>48</v>
      </c>
      <c r="X152" s="29">
        <f t="shared" si="21"/>
        <v>169</v>
      </c>
      <c r="Y152" s="29">
        <f t="shared" ca="1" si="22"/>
        <v>1544.04</v>
      </c>
      <c r="Z152" s="75"/>
      <c r="AA152" s="66">
        <f t="shared" ca="1" si="23"/>
        <v>12</v>
      </c>
      <c r="AB152" s="19"/>
      <c r="AC152" s="19"/>
      <c r="AD152" s="19"/>
      <c r="AE152" s="19"/>
    </row>
    <row r="153" spans="1:31" s="18" customFormat="1" ht="16.5" customHeight="1" x14ac:dyDescent="0.2">
      <c r="A153" s="39">
        <f t="shared" si="24"/>
        <v>150</v>
      </c>
      <c r="B153" s="40" t="s">
        <v>125</v>
      </c>
      <c r="C153" s="41">
        <v>1101652764</v>
      </c>
      <c r="D153" s="42">
        <v>20212</v>
      </c>
      <c r="E153" s="40" t="s">
        <v>6</v>
      </c>
      <c r="F153" s="40" t="s">
        <v>385</v>
      </c>
      <c r="G153" s="40" t="s">
        <v>384</v>
      </c>
      <c r="H153" s="39" t="s">
        <v>383</v>
      </c>
      <c r="I153" s="43">
        <v>1010731263</v>
      </c>
      <c r="J153" s="42">
        <v>39569</v>
      </c>
      <c r="K153" s="42"/>
      <c r="L153" s="42">
        <v>39569</v>
      </c>
      <c r="M153" s="44">
        <v>461</v>
      </c>
      <c r="N153" s="40" t="s">
        <v>6</v>
      </c>
      <c r="O153" s="44">
        <v>614</v>
      </c>
      <c r="P153" s="44">
        <v>614</v>
      </c>
      <c r="Q153" s="44">
        <f>P153-M153</f>
        <v>153</v>
      </c>
      <c r="R153" s="29">
        <f t="shared" si="26"/>
        <v>1836</v>
      </c>
      <c r="S153" s="29">
        <f t="shared" si="25"/>
        <v>0</v>
      </c>
      <c r="T153" s="65">
        <f t="shared" ca="1" si="17"/>
        <v>147.36000000000001</v>
      </c>
      <c r="U153" s="29">
        <f t="shared" si="18"/>
        <v>120</v>
      </c>
      <c r="V153" s="29">
        <f t="shared" si="19"/>
        <v>960</v>
      </c>
      <c r="W153" s="44">
        <f t="shared" si="20"/>
        <v>48</v>
      </c>
      <c r="X153" s="29">
        <f t="shared" si="21"/>
        <v>169</v>
      </c>
      <c r="Y153" s="29">
        <f t="shared" ca="1" si="22"/>
        <v>3433.36</v>
      </c>
      <c r="Z153" s="75"/>
      <c r="AA153" s="66">
        <f t="shared" ca="1" si="23"/>
        <v>8</v>
      </c>
      <c r="AB153" s="19"/>
      <c r="AC153" s="19"/>
      <c r="AD153" s="19"/>
      <c r="AE153" s="19"/>
    </row>
    <row r="154" spans="1:31" s="18" customFormat="1" ht="16.5" customHeight="1" x14ac:dyDescent="0.2">
      <c r="A154" s="39">
        <f t="shared" si="24"/>
        <v>151</v>
      </c>
      <c r="B154" s="40" t="s">
        <v>131</v>
      </c>
      <c r="C154" s="41">
        <v>1704077377</v>
      </c>
      <c r="D154" s="42">
        <v>20929</v>
      </c>
      <c r="E154" s="40" t="s">
        <v>6</v>
      </c>
      <c r="F154" s="40" t="s">
        <v>385</v>
      </c>
      <c r="G154" s="40" t="s">
        <v>384</v>
      </c>
      <c r="H154" s="39" t="s">
        <v>383</v>
      </c>
      <c r="I154" s="43">
        <v>1050393700</v>
      </c>
      <c r="J154" s="42">
        <v>39602</v>
      </c>
      <c r="K154" s="42"/>
      <c r="L154" s="42">
        <v>39602</v>
      </c>
      <c r="M154" s="44">
        <v>461</v>
      </c>
      <c r="N154" s="40" t="s">
        <v>6</v>
      </c>
      <c r="O154" s="44">
        <v>614</v>
      </c>
      <c r="P154" s="44">
        <v>614</v>
      </c>
      <c r="Q154" s="44">
        <f>P154-M154</f>
        <v>153</v>
      </c>
      <c r="R154" s="29">
        <f t="shared" si="26"/>
        <v>1836</v>
      </c>
      <c r="S154" s="29">
        <f t="shared" si="25"/>
        <v>0</v>
      </c>
      <c r="T154" s="65">
        <f t="shared" ca="1" si="17"/>
        <v>147.36000000000001</v>
      </c>
      <c r="U154" s="29">
        <f t="shared" si="18"/>
        <v>120</v>
      </c>
      <c r="V154" s="29">
        <f t="shared" si="19"/>
        <v>960</v>
      </c>
      <c r="W154" s="44">
        <f t="shared" si="20"/>
        <v>48</v>
      </c>
      <c r="X154" s="29">
        <f t="shared" si="21"/>
        <v>169</v>
      </c>
      <c r="Y154" s="29">
        <f t="shared" ca="1" si="22"/>
        <v>3433.36</v>
      </c>
      <c r="Z154" s="75"/>
      <c r="AA154" s="66">
        <f t="shared" ca="1" si="23"/>
        <v>8</v>
      </c>
      <c r="AB154" s="19"/>
      <c r="AC154" s="19"/>
      <c r="AD154" s="19"/>
      <c r="AE154" s="19"/>
    </row>
    <row r="155" spans="1:31" s="18" customFormat="1" ht="16.5" customHeight="1" x14ac:dyDescent="0.2">
      <c r="A155" s="39">
        <f t="shared" si="24"/>
        <v>152</v>
      </c>
      <c r="B155" s="40" t="s">
        <v>135</v>
      </c>
      <c r="C155" s="41">
        <v>703568535</v>
      </c>
      <c r="D155" s="42">
        <v>29038</v>
      </c>
      <c r="E155" s="40" t="s">
        <v>6</v>
      </c>
      <c r="F155" s="40" t="s">
        <v>385</v>
      </c>
      <c r="G155" s="40" t="s">
        <v>419</v>
      </c>
      <c r="H155" s="39" t="s">
        <v>383</v>
      </c>
      <c r="I155" s="43">
        <v>2235355</v>
      </c>
      <c r="J155" s="42">
        <v>39849</v>
      </c>
      <c r="K155" s="42"/>
      <c r="L155" s="42">
        <v>40817</v>
      </c>
      <c r="M155" s="44">
        <v>461</v>
      </c>
      <c r="N155" s="40" t="s">
        <v>6</v>
      </c>
      <c r="O155" s="44">
        <v>614</v>
      </c>
      <c r="P155" s="44">
        <v>614</v>
      </c>
      <c r="Q155" s="44">
        <f>P155-M155</f>
        <v>153</v>
      </c>
      <c r="R155" s="29">
        <f t="shared" si="26"/>
        <v>1836</v>
      </c>
      <c r="S155" s="29">
        <f t="shared" si="25"/>
        <v>0</v>
      </c>
      <c r="T155" s="65">
        <f t="shared" ca="1" si="17"/>
        <v>92.100000000000009</v>
      </c>
      <c r="U155" s="29">
        <f t="shared" si="18"/>
        <v>120</v>
      </c>
      <c r="V155" s="29">
        <f t="shared" si="19"/>
        <v>960</v>
      </c>
      <c r="W155" s="44">
        <f t="shared" si="20"/>
        <v>48</v>
      </c>
      <c r="X155" s="29">
        <f t="shared" si="21"/>
        <v>169</v>
      </c>
      <c r="Y155" s="29">
        <f t="shared" ca="1" si="22"/>
        <v>3378.1</v>
      </c>
      <c r="Z155" s="75"/>
      <c r="AA155" s="66">
        <f t="shared" ca="1" si="23"/>
        <v>5</v>
      </c>
      <c r="AB155" s="19"/>
      <c r="AC155" s="19"/>
      <c r="AD155" s="19"/>
      <c r="AE155" s="19"/>
    </row>
    <row r="156" spans="1:31" s="18" customFormat="1" ht="16.5" customHeight="1" x14ac:dyDescent="0.2">
      <c r="A156" s="39">
        <f t="shared" si="24"/>
        <v>153</v>
      </c>
      <c r="B156" s="40" t="s">
        <v>146</v>
      </c>
      <c r="C156" s="41">
        <v>702317512</v>
      </c>
      <c r="D156" s="42">
        <v>28277</v>
      </c>
      <c r="E156" s="40" t="s">
        <v>6</v>
      </c>
      <c r="F156" s="40" t="s">
        <v>385</v>
      </c>
      <c r="G156" s="40" t="s">
        <v>384</v>
      </c>
      <c r="H156" s="39" t="s">
        <v>383</v>
      </c>
      <c r="I156" s="43">
        <v>1020204350</v>
      </c>
      <c r="J156" s="42">
        <v>41061</v>
      </c>
      <c r="K156" s="42"/>
      <c r="L156" s="42">
        <v>41061</v>
      </c>
      <c r="M156" s="44">
        <v>461</v>
      </c>
      <c r="N156" s="40" t="s">
        <v>6</v>
      </c>
      <c r="O156" s="44">
        <v>614</v>
      </c>
      <c r="P156" s="44">
        <v>614</v>
      </c>
      <c r="Q156" s="44">
        <f>P156-M156</f>
        <v>153</v>
      </c>
      <c r="R156" s="29">
        <f t="shared" si="26"/>
        <v>1836</v>
      </c>
      <c r="S156" s="29">
        <f t="shared" si="25"/>
        <v>0</v>
      </c>
      <c r="T156" s="65">
        <f t="shared" ca="1" si="17"/>
        <v>73.680000000000007</v>
      </c>
      <c r="U156" s="29">
        <f t="shared" si="18"/>
        <v>120</v>
      </c>
      <c r="V156" s="29">
        <f t="shared" si="19"/>
        <v>960</v>
      </c>
      <c r="W156" s="44">
        <f t="shared" si="20"/>
        <v>48</v>
      </c>
      <c r="X156" s="29">
        <f t="shared" si="21"/>
        <v>169</v>
      </c>
      <c r="Y156" s="29">
        <f t="shared" ca="1" si="22"/>
        <v>3359.68</v>
      </c>
      <c r="Z156" s="75"/>
      <c r="AA156" s="66">
        <f t="shared" ca="1" si="23"/>
        <v>4</v>
      </c>
      <c r="AB156" s="19"/>
      <c r="AC156" s="19"/>
      <c r="AD156" s="19"/>
      <c r="AE156" s="19"/>
    </row>
    <row r="157" spans="1:31" s="18" customFormat="1" ht="16.5" customHeight="1" x14ac:dyDescent="0.2">
      <c r="A157" s="39">
        <f t="shared" si="24"/>
        <v>154</v>
      </c>
      <c r="B157" s="40" t="s">
        <v>150</v>
      </c>
      <c r="C157" s="41">
        <v>702351990</v>
      </c>
      <c r="D157" s="42">
        <v>25663</v>
      </c>
      <c r="E157" s="40" t="s">
        <v>6</v>
      </c>
      <c r="F157" s="40" t="s">
        <v>385</v>
      </c>
      <c r="G157" s="40" t="s">
        <v>384</v>
      </c>
      <c r="H157" s="39" t="s">
        <v>383</v>
      </c>
      <c r="I157" s="43">
        <v>1010730089</v>
      </c>
      <c r="J157" s="42">
        <v>39569</v>
      </c>
      <c r="K157" s="42"/>
      <c r="L157" s="42">
        <v>39569</v>
      </c>
      <c r="M157" s="44">
        <v>461</v>
      </c>
      <c r="N157" s="40" t="s">
        <v>6</v>
      </c>
      <c r="O157" s="44">
        <v>614</v>
      </c>
      <c r="P157" s="44">
        <v>614</v>
      </c>
      <c r="Q157" s="44">
        <f>P157-M157</f>
        <v>153</v>
      </c>
      <c r="R157" s="29">
        <f t="shared" si="26"/>
        <v>1836</v>
      </c>
      <c r="S157" s="29">
        <f t="shared" si="25"/>
        <v>131.76</v>
      </c>
      <c r="T157" s="65">
        <f t="shared" ca="1" si="17"/>
        <v>147.36000000000001</v>
      </c>
      <c r="U157" s="29">
        <f t="shared" si="18"/>
        <v>120</v>
      </c>
      <c r="V157" s="29">
        <f t="shared" si="19"/>
        <v>960</v>
      </c>
      <c r="W157" s="44">
        <f t="shared" si="20"/>
        <v>48</v>
      </c>
      <c r="X157" s="29">
        <f t="shared" si="21"/>
        <v>169</v>
      </c>
      <c r="Y157" s="29">
        <f t="shared" ca="1" si="22"/>
        <v>3565.1200000000003</v>
      </c>
      <c r="Z157" s="75">
        <v>3</v>
      </c>
      <c r="AA157" s="66">
        <f t="shared" ca="1" si="23"/>
        <v>8</v>
      </c>
      <c r="AB157" s="19"/>
      <c r="AC157" s="19"/>
      <c r="AD157" s="19"/>
      <c r="AE157" s="19"/>
    </row>
    <row r="158" spans="1:31" s="18" customFormat="1" ht="16.5" customHeight="1" x14ac:dyDescent="0.2">
      <c r="A158" s="39">
        <f t="shared" si="24"/>
        <v>155</v>
      </c>
      <c r="B158" s="40" t="s">
        <v>159</v>
      </c>
      <c r="C158" s="41">
        <v>703834416</v>
      </c>
      <c r="D158" s="42">
        <v>30556</v>
      </c>
      <c r="E158" s="40" t="s">
        <v>6</v>
      </c>
      <c r="F158" s="40" t="s">
        <v>385</v>
      </c>
      <c r="G158" s="40" t="s">
        <v>384</v>
      </c>
      <c r="H158" s="39" t="s">
        <v>383</v>
      </c>
      <c r="I158" s="43">
        <v>1020506756</v>
      </c>
      <c r="J158" s="42">
        <v>39569</v>
      </c>
      <c r="K158" s="42"/>
      <c r="L158" s="42">
        <v>39569</v>
      </c>
      <c r="M158" s="44">
        <v>461</v>
      </c>
      <c r="N158" s="40" t="s">
        <v>6</v>
      </c>
      <c r="O158" s="44">
        <v>614</v>
      </c>
      <c r="P158" s="44">
        <v>614</v>
      </c>
      <c r="Q158" s="44">
        <f>P158-M158</f>
        <v>153</v>
      </c>
      <c r="R158" s="29">
        <f t="shared" si="26"/>
        <v>1836</v>
      </c>
      <c r="S158" s="29">
        <f t="shared" si="25"/>
        <v>43.92</v>
      </c>
      <c r="T158" s="65">
        <f t="shared" ca="1" si="17"/>
        <v>147.36000000000001</v>
      </c>
      <c r="U158" s="29">
        <f t="shared" si="18"/>
        <v>120</v>
      </c>
      <c r="V158" s="29">
        <f t="shared" si="19"/>
        <v>960</v>
      </c>
      <c r="W158" s="44">
        <f t="shared" si="20"/>
        <v>48</v>
      </c>
      <c r="X158" s="29">
        <f t="shared" si="21"/>
        <v>169</v>
      </c>
      <c r="Y158" s="29">
        <f t="shared" ca="1" si="22"/>
        <v>3477.28</v>
      </c>
      <c r="Z158" s="75">
        <v>1</v>
      </c>
      <c r="AA158" s="66">
        <f t="shared" ca="1" si="23"/>
        <v>8</v>
      </c>
      <c r="AB158" s="19"/>
      <c r="AC158" s="19"/>
      <c r="AD158" s="19"/>
      <c r="AE158" s="19"/>
    </row>
    <row r="159" spans="1:31" s="18" customFormat="1" ht="16.5" customHeight="1" x14ac:dyDescent="0.2">
      <c r="A159" s="39">
        <f t="shared" si="24"/>
        <v>156</v>
      </c>
      <c r="B159" s="40" t="s">
        <v>169</v>
      </c>
      <c r="C159" s="41">
        <v>701171761</v>
      </c>
      <c r="D159" s="42">
        <v>20943</v>
      </c>
      <c r="E159" s="40" t="s">
        <v>6</v>
      </c>
      <c r="F159" s="40" t="s">
        <v>385</v>
      </c>
      <c r="G159" s="40" t="s">
        <v>384</v>
      </c>
      <c r="H159" s="39" t="s">
        <v>383</v>
      </c>
      <c r="I159" s="43">
        <v>1010168208</v>
      </c>
      <c r="J159" s="42">
        <v>39569</v>
      </c>
      <c r="K159" s="42"/>
      <c r="L159" s="42">
        <v>39569</v>
      </c>
      <c r="M159" s="44">
        <v>461</v>
      </c>
      <c r="N159" s="40" t="s">
        <v>6</v>
      </c>
      <c r="O159" s="44">
        <v>614</v>
      </c>
      <c r="P159" s="44">
        <v>614</v>
      </c>
      <c r="Q159" s="44">
        <f>P159-M159</f>
        <v>153</v>
      </c>
      <c r="R159" s="29">
        <f t="shared" si="26"/>
        <v>1836</v>
      </c>
      <c r="S159" s="29">
        <f t="shared" si="25"/>
        <v>0</v>
      </c>
      <c r="T159" s="65">
        <f t="shared" ca="1" si="17"/>
        <v>147.36000000000001</v>
      </c>
      <c r="U159" s="29">
        <f t="shared" si="18"/>
        <v>120</v>
      </c>
      <c r="V159" s="29">
        <f t="shared" si="19"/>
        <v>960</v>
      </c>
      <c r="W159" s="44">
        <f t="shared" si="20"/>
        <v>48</v>
      </c>
      <c r="X159" s="29">
        <f t="shared" si="21"/>
        <v>169</v>
      </c>
      <c r="Y159" s="29">
        <f t="shared" ca="1" si="22"/>
        <v>3433.36</v>
      </c>
      <c r="Z159" s="75"/>
      <c r="AA159" s="66">
        <f t="shared" ca="1" si="23"/>
        <v>8</v>
      </c>
      <c r="AB159" s="19"/>
      <c r="AC159" s="19"/>
      <c r="AD159" s="19"/>
      <c r="AE159" s="19"/>
    </row>
    <row r="160" spans="1:31" s="18" customFormat="1" ht="16.5" customHeight="1" x14ac:dyDescent="0.2">
      <c r="A160" s="39">
        <f t="shared" si="24"/>
        <v>157</v>
      </c>
      <c r="B160" s="40" t="s">
        <v>177</v>
      </c>
      <c r="C160" s="41">
        <v>704013952</v>
      </c>
      <c r="D160" s="42">
        <v>29717</v>
      </c>
      <c r="E160" s="40" t="s">
        <v>6</v>
      </c>
      <c r="F160" s="40" t="s">
        <v>385</v>
      </c>
      <c r="G160" s="40" t="s">
        <v>393</v>
      </c>
      <c r="H160" s="39" t="s">
        <v>383</v>
      </c>
      <c r="I160" s="43">
        <v>8123516900</v>
      </c>
      <c r="J160" s="42">
        <v>39983</v>
      </c>
      <c r="K160" s="42"/>
      <c r="L160" s="42">
        <v>40817</v>
      </c>
      <c r="M160" s="44">
        <v>461</v>
      </c>
      <c r="N160" s="40" t="s">
        <v>6</v>
      </c>
      <c r="O160" s="44">
        <v>614</v>
      </c>
      <c r="P160" s="44">
        <v>614</v>
      </c>
      <c r="Q160" s="44">
        <f>P160-M160</f>
        <v>153</v>
      </c>
      <c r="R160" s="29">
        <f t="shared" si="26"/>
        <v>1836</v>
      </c>
      <c r="S160" s="29">
        <f t="shared" si="25"/>
        <v>131.76</v>
      </c>
      <c r="T160" s="65">
        <f t="shared" ca="1" si="17"/>
        <v>92.100000000000009</v>
      </c>
      <c r="U160" s="29">
        <f t="shared" si="18"/>
        <v>120</v>
      </c>
      <c r="V160" s="29">
        <f t="shared" si="19"/>
        <v>960</v>
      </c>
      <c r="W160" s="44">
        <f t="shared" si="20"/>
        <v>48</v>
      </c>
      <c r="X160" s="29">
        <f t="shared" si="21"/>
        <v>169</v>
      </c>
      <c r="Y160" s="29">
        <f t="shared" ca="1" si="22"/>
        <v>3509.86</v>
      </c>
      <c r="Z160" s="75">
        <v>3</v>
      </c>
      <c r="AA160" s="66">
        <f t="shared" ca="1" si="23"/>
        <v>5</v>
      </c>
      <c r="AB160" s="19"/>
      <c r="AC160" s="19"/>
      <c r="AD160" s="19"/>
      <c r="AE160" s="19"/>
    </row>
    <row r="161" spans="1:31" s="18" customFormat="1" ht="16.5" customHeight="1" x14ac:dyDescent="0.2">
      <c r="A161" s="39">
        <f t="shared" si="24"/>
        <v>158</v>
      </c>
      <c r="B161" s="40" t="s">
        <v>183</v>
      </c>
      <c r="C161" s="41">
        <v>702555848</v>
      </c>
      <c r="D161" s="42">
        <v>26998</v>
      </c>
      <c r="E161" s="40" t="s">
        <v>6</v>
      </c>
      <c r="F161" s="40" t="s">
        <v>385</v>
      </c>
      <c r="G161" s="40" t="s">
        <v>386</v>
      </c>
      <c r="H161" s="39" t="s">
        <v>383</v>
      </c>
      <c r="I161" s="43">
        <v>3466057200</v>
      </c>
      <c r="J161" s="42">
        <v>40065</v>
      </c>
      <c r="K161" s="42"/>
      <c r="L161" s="42">
        <v>40065</v>
      </c>
      <c r="M161" s="44">
        <v>461</v>
      </c>
      <c r="N161" s="40" t="s">
        <v>6</v>
      </c>
      <c r="O161" s="44">
        <v>614</v>
      </c>
      <c r="P161" s="44">
        <v>614</v>
      </c>
      <c r="Q161" s="44">
        <f>P161-M161</f>
        <v>153</v>
      </c>
      <c r="R161" s="29">
        <f t="shared" si="26"/>
        <v>1836</v>
      </c>
      <c r="S161" s="29">
        <f t="shared" si="25"/>
        <v>87.84</v>
      </c>
      <c r="T161" s="65">
        <f t="shared" ca="1" si="17"/>
        <v>128.94</v>
      </c>
      <c r="U161" s="29">
        <f t="shared" si="18"/>
        <v>120</v>
      </c>
      <c r="V161" s="29">
        <f t="shared" si="19"/>
        <v>960</v>
      </c>
      <c r="W161" s="44">
        <f t="shared" si="20"/>
        <v>48</v>
      </c>
      <c r="X161" s="29">
        <f t="shared" si="21"/>
        <v>169</v>
      </c>
      <c r="Y161" s="29">
        <f t="shared" ca="1" si="22"/>
        <v>3502.78</v>
      </c>
      <c r="Z161" s="75">
        <v>2</v>
      </c>
      <c r="AA161" s="66">
        <f t="shared" ca="1" si="23"/>
        <v>7</v>
      </c>
      <c r="AB161" s="19"/>
      <c r="AC161" s="19"/>
      <c r="AD161" s="19"/>
      <c r="AE161" s="19"/>
    </row>
    <row r="162" spans="1:31" s="18" customFormat="1" ht="16.5" customHeight="1" x14ac:dyDescent="0.2">
      <c r="A162" s="39">
        <f t="shared" si="24"/>
        <v>159</v>
      </c>
      <c r="B162" s="40" t="s">
        <v>186</v>
      </c>
      <c r="C162" s="41">
        <v>702039157</v>
      </c>
      <c r="D162" s="42">
        <v>23919</v>
      </c>
      <c r="E162" s="40" t="s">
        <v>6</v>
      </c>
      <c r="F162" s="40" t="s">
        <v>385</v>
      </c>
      <c r="G162" s="40" t="s">
        <v>384</v>
      </c>
      <c r="H162" s="39" t="s">
        <v>383</v>
      </c>
      <c r="I162" s="43">
        <v>1010730119</v>
      </c>
      <c r="J162" s="42">
        <v>39569</v>
      </c>
      <c r="K162" s="42"/>
      <c r="L162" s="42">
        <v>39569</v>
      </c>
      <c r="M162" s="44">
        <v>461</v>
      </c>
      <c r="N162" s="40" t="s">
        <v>6</v>
      </c>
      <c r="O162" s="44">
        <v>614</v>
      </c>
      <c r="P162" s="44">
        <v>614</v>
      </c>
      <c r="Q162" s="44">
        <f>P162-M162</f>
        <v>153</v>
      </c>
      <c r="R162" s="29">
        <f t="shared" si="26"/>
        <v>1836</v>
      </c>
      <c r="S162" s="29">
        <f t="shared" si="25"/>
        <v>0</v>
      </c>
      <c r="T162" s="65">
        <f t="shared" ca="1" si="17"/>
        <v>147.36000000000001</v>
      </c>
      <c r="U162" s="29">
        <f t="shared" si="18"/>
        <v>120</v>
      </c>
      <c r="V162" s="29">
        <f t="shared" si="19"/>
        <v>960</v>
      </c>
      <c r="W162" s="44">
        <f t="shared" si="20"/>
        <v>48</v>
      </c>
      <c r="X162" s="29">
        <f t="shared" si="21"/>
        <v>169</v>
      </c>
      <c r="Y162" s="29">
        <f t="shared" ca="1" si="22"/>
        <v>3433.36</v>
      </c>
      <c r="Z162" s="75"/>
      <c r="AA162" s="66">
        <f t="shared" ca="1" si="23"/>
        <v>8</v>
      </c>
      <c r="AB162" s="19"/>
      <c r="AC162" s="19"/>
      <c r="AD162" s="19"/>
      <c r="AE162" s="19"/>
    </row>
    <row r="163" spans="1:31" s="18" customFormat="1" ht="16.5" customHeight="1" x14ac:dyDescent="0.2">
      <c r="A163" s="39">
        <f t="shared" si="24"/>
        <v>160</v>
      </c>
      <c r="B163" s="40" t="s">
        <v>195</v>
      </c>
      <c r="C163" s="41">
        <v>702403957</v>
      </c>
      <c r="D163" s="42">
        <v>26310</v>
      </c>
      <c r="E163" s="40" t="s">
        <v>6</v>
      </c>
      <c r="F163" s="40" t="s">
        <v>385</v>
      </c>
      <c r="G163" s="40" t="s">
        <v>384</v>
      </c>
      <c r="H163" s="39" t="s">
        <v>383</v>
      </c>
      <c r="I163" s="43">
        <v>1010731352</v>
      </c>
      <c r="J163" s="42">
        <v>39569</v>
      </c>
      <c r="K163" s="42"/>
      <c r="L163" s="42">
        <v>39569</v>
      </c>
      <c r="M163" s="44">
        <v>461</v>
      </c>
      <c r="N163" s="40" t="s">
        <v>6</v>
      </c>
      <c r="O163" s="44">
        <v>614</v>
      </c>
      <c r="P163" s="44">
        <v>614</v>
      </c>
      <c r="Q163" s="44">
        <f>P163-M163</f>
        <v>153</v>
      </c>
      <c r="R163" s="29">
        <f t="shared" si="26"/>
        <v>1836</v>
      </c>
      <c r="S163" s="29">
        <f t="shared" si="25"/>
        <v>43.92</v>
      </c>
      <c r="T163" s="65">
        <f t="shared" ca="1" si="17"/>
        <v>147.36000000000001</v>
      </c>
      <c r="U163" s="29">
        <f t="shared" si="18"/>
        <v>120</v>
      </c>
      <c r="V163" s="29">
        <f t="shared" si="19"/>
        <v>960</v>
      </c>
      <c r="W163" s="44">
        <f t="shared" si="20"/>
        <v>48</v>
      </c>
      <c r="X163" s="29">
        <f t="shared" si="21"/>
        <v>169</v>
      </c>
      <c r="Y163" s="29">
        <f t="shared" ca="1" si="22"/>
        <v>3477.28</v>
      </c>
      <c r="Z163" s="75">
        <v>1</v>
      </c>
      <c r="AA163" s="66">
        <f t="shared" ca="1" si="23"/>
        <v>8</v>
      </c>
      <c r="AB163" s="19"/>
      <c r="AC163" s="19"/>
      <c r="AD163" s="19"/>
      <c r="AE163" s="19"/>
    </row>
    <row r="164" spans="1:31" s="18" customFormat="1" ht="16.5" customHeight="1" x14ac:dyDescent="0.2">
      <c r="A164" s="39">
        <f t="shared" si="24"/>
        <v>161</v>
      </c>
      <c r="B164" s="40" t="s">
        <v>196</v>
      </c>
      <c r="C164" s="41">
        <v>704072180</v>
      </c>
      <c r="D164" s="42">
        <v>29713</v>
      </c>
      <c r="E164" s="40" t="s">
        <v>6</v>
      </c>
      <c r="F164" s="40" t="s">
        <v>385</v>
      </c>
      <c r="G164" s="40" t="s">
        <v>418</v>
      </c>
      <c r="H164" s="39" t="s">
        <v>383</v>
      </c>
      <c r="I164" s="43">
        <v>380301009011</v>
      </c>
      <c r="J164" s="42">
        <v>41061</v>
      </c>
      <c r="K164" s="42"/>
      <c r="L164" s="42">
        <v>41061</v>
      </c>
      <c r="M164" s="44">
        <v>461</v>
      </c>
      <c r="N164" s="40" t="s">
        <v>6</v>
      </c>
      <c r="O164" s="44">
        <v>614</v>
      </c>
      <c r="P164" s="44">
        <v>614</v>
      </c>
      <c r="Q164" s="44">
        <f>P164-M164</f>
        <v>153</v>
      </c>
      <c r="R164" s="29">
        <f t="shared" si="26"/>
        <v>1836</v>
      </c>
      <c r="S164" s="29">
        <f t="shared" si="25"/>
        <v>0</v>
      </c>
      <c r="T164" s="65">
        <f t="shared" ca="1" si="17"/>
        <v>73.680000000000007</v>
      </c>
      <c r="U164" s="29">
        <f t="shared" si="18"/>
        <v>120</v>
      </c>
      <c r="V164" s="29">
        <f t="shared" si="19"/>
        <v>960</v>
      </c>
      <c r="W164" s="44">
        <f t="shared" si="20"/>
        <v>48</v>
      </c>
      <c r="X164" s="29">
        <f t="shared" si="21"/>
        <v>169</v>
      </c>
      <c r="Y164" s="29">
        <f t="shared" ca="1" si="22"/>
        <v>3359.68</v>
      </c>
      <c r="Z164" s="75"/>
      <c r="AA164" s="66">
        <f t="shared" ca="1" si="23"/>
        <v>4</v>
      </c>
      <c r="AB164" s="19"/>
      <c r="AC164" s="19"/>
      <c r="AD164" s="19"/>
      <c r="AE164" s="19"/>
    </row>
    <row r="165" spans="1:31" s="18" customFormat="1" ht="16.5" customHeight="1" x14ac:dyDescent="0.2">
      <c r="A165" s="39">
        <f t="shared" si="24"/>
        <v>162</v>
      </c>
      <c r="B165" s="40" t="s">
        <v>204</v>
      </c>
      <c r="C165" s="41">
        <v>702523911</v>
      </c>
      <c r="D165" s="42">
        <v>27009</v>
      </c>
      <c r="E165" s="40" t="s">
        <v>6</v>
      </c>
      <c r="F165" s="40" t="s">
        <v>385</v>
      </c>
      <c r="G165" s="40" t="s">
        <v>417</v>
      </c>
      <c r="H165" s="39" t="s">
        <v>383</v>
      </c>
      <c r="I165" s="43">
        <v>406016152400</v>
      </c>
      <c r="J165" s="42">
        <v>39569</v>
      </c>
      <c r="K165" s="42"/>
      <c r="L165" s="42">
        <v>39569</v>
      </c>
      <c r="M165" s="44">
        <v>461</v>
      </c>
      <c r="N165" s="40" t="s">
        <v>6</v>
      </c>
      <c r="O165" s="44">
        <v>614</v>
      </c>
      <c r="P165" s="44">
        <v>614</v>
      </c>
      <c r="Q165" s="44">
        <f>P165-M165</f>
        <v>153</v>
      </c>
      <c r="R165" s="29">
        <f t="shared" si="26"/>
        <v>1836</v>
      </c>
      <c r="S165" s="29">
        <f t="shared" si="25"/>
        <v>87.84</v>
      </c>
      <c r="T165" s="65">
        <f t="shared" ca="1" si="17"/>
        <v>147.36000000000001</v>
      </c>
      <c r="U165" s="29">
        <f t="shared" si="18"/>
        <v>120</v>
      </c>
      <c r="V165" s="29">
        <f t="shared" si="19"/>
        <v>960</v>
      </c>
      <c r="W165" s="44">
        <f t="shared" si="20"/>
        <v>48</v>
      </c>
      <c r="X165" s="29">
        <f t="shared" si="21"/>
        <v>169</v>
      </c>
      <c r="Y165" s="29">
        <f t="shared" ca="1" si="22"/>
        <v>3521.2000000000003</v>
      </c>
      <c r="Z165" s="75">
        <v>2</v>
      </c>
      <c r="AA165" s="66">
        <f t="shared" ca="1" si="23"/>
        <v>8</v>
      </c>
      <c r="AB165" s="19"/>
      <c r="AC165" s="19"/>
      <c r="AD165" s="19"/>
      <c r="AE165" s="19"/>
    </row>
    <row r="166" spans="1:31" s="18" customFormat="1" ht="16.5" customHeight="1" x14ac:dyDescent="0.2">
      <c r="A166" s="39">
        <f t="shared" si="24"/>
        <v>163</v>
      </c>
      <c r="B166" s="40" t="s">
        <v>208</v>
      </c>
      <c r="C166" s="41">
        <v>703588228</v>
      </c>
      <c r="D166" s="42">
        <v>29188</v>
      </c>
      <c r="E166" s="40" t="s">
        <v>6</v>
      </c>
      <c r="F166" s="40" t="s">
        <v>385</v>
      </c>
      <c r="G166" s="40" t="s">
        <v>417</v>
      </c>
      <c r="H166" s="39" t="s">
        <v>383</v>
      </c>
      <c r="I166" s="43">
        <v>406011073006</v>
      </c>
      <c r="J166" s="42">
        <v>41061</v>
      </c>
      <c r="K166" s="42"/>
      <c r="L166" s="42">
        <v>41061</v>
      </c>
      <c r="M166" s="44">
        <v>461</v>
      </c>
      <c r="N166" s="40" t="s">
        <v>6</v>
      </c>
      <c r="O166" s="44">
        <v>614</v>
      </c>
      <c r="P166" s="44">
        <v>614</v>
      </c>
      <c r="Q166" s="44">
        <f>P166-M166</f>
        <v>153</v>
      </c>
      <c r="R166" s="29">
        <f t="shared" si="26"/>
        <v>1836</v>
      </c>
      <c r="S166" s="29">
        <f t="shared" si="25"/>
        <v>175.68</v>
      </c>
      <c r="T166" s="65">
        <f t="shared" ca="1" si="17"/>
        <v>73.680000000000007</v>
      </c>
      <c r="U166" s="29">
        <f t="shared" si="18"/>
        <v>120</v>
      </c>
      <c r="V166" s="29">
        <f t="shared" si="19"/>
        <v>960</v>
      </c>
      <c r="W166" s="44">
        <f t="shared" si="20"/>
        <v>48</v>
      </c>
      <c r="X166" s="29">
        <f t="shared" si="21"/>
        <v>169</v>
      </c>
      <c r="Y166" s="29">
        <f t="shared" ca="1" si="22"/>
        <v>3535.3599999999997</v>
      </c>
      <c r="Z166" s="75">
        <v>4</v>
      </c>
      <c r="AA166" s="66">
        <f t="shared" ca="1" si="23"/>
        <v>4</v>
      </c>
      <c r="AB166" s="19"/>
      <c r="AC166" s="19"/>
      <c r="AD166" s="19"/>
      <c r="AE166" s="19"/>
    </row>
    <row r="167" spans="1:31" s="18" customFormat="1" ht="16.5" customHeight="1" x14ac:dyDescent="0.2">
      <c r="A167" s="39">
        <f t="shared" si="24"/>
        <v>164</v>
      </c>
      <c r="B167" s="40" t="s">
        <v>218</v>
      </c>
      <c r="C167" s="41">
        <v>701528598</v>
      </c>
      <c r="D167" s="42">
        <v>22634</v>
      </c>
      <c r="E167" s="40" t="s">
        <v>6</v>
      </c>
      <c r="F167" s="40" t="s">
        <v>385</v>
      </c>
      <c r="G167" s="40" t="s">
        <v>397</v>
      </c>
      <c r="H167" s="39" t="s">
        <v>383</v>
      </c>
      <c r="I167" s="43">
        <v>1049345680</v>
      </c>
      <c r="J167" s="42">
        <v>29500</v>
      </c>
      <c r="K167" s="42"/>
      <c r="L167" s="42">
        <v>29500</v>
      </c>
      <c r="M167" s="44">
        <v>603.12</v>
      </c>
      <c r="N167" s="40" t="s">
        <v>6</v>
      </c>
      <c r="O167" s="44">
        <v>614</v>
      </c>
      <c r="P167" s="44">
        <v>614</v>
      </c>
      <c r="Q167" s="44">
        <f>P167-M167</f>
        <v>10.879999999999995</v>
      </c>
      <c r="R167" s="29">
        <f t="shared" si="26"/>
        <v>130.55999999999995</v>
      </c>
      <c r="S167" s="29">
        <f t="shared" si="25"/>
        <v>0</v>
      </c>
      <c r="T167" s="65">
        <f t="shared" ca="1" si="17"/>
        <v>221.04000000000002</v>
      </c>
      <c r="U167" s="29">
        <f t="shared" si="18"/>
        <v>120</v>
      </c>
      <c r="V167" s="29">
        <f t="shared" si="19"/>
        <v>960</v>
      </c>
      <c r="W167" s="44">
        <f t="shared" si="20"/>
        <v>48</v>
      </c>
      <c r="X167" s="29">
        <f t="shared" si="21"/>
        <v>169</v>
      </c>
      <c r="Y167" s="29">
        <f t="shared" ca="1" si="22"/>
        <v>1659.48</v>
      </c>
      <c r="Z167" s="75"/>
      <c r="AA167" s="66">
        <f t="shared" ca="1" si="23"/>
        <v>12</v>
      </c>
      <c r="AB167" s="19"/>
      <c r="AC167" s="19"/>
      <c r="AD167" s="19"/>
      <c r="AE167" s="19"/>
    </row>
    <row r="168" spans="1:31" s="18" customFormat="1" ht="16.5" customHeight="1" x14ac:dyDescent="0.2">
      <c r="A168" s="39">
        <f t="shared" si="24"/>
        <v>165</v>
      </c>
      <c r="B168" s="40" t="s">
        <v>221</v>
      </c>
      <c r="C168" s="41">
        <v>702786385</v>
      </c>
      <c r="D168" s="42">
        <v>26717</v>
      </c>
      <c r="E168" s="40" t="s">
        <v>6</v>
      </c>
      <c r="F168" s="40" t="s">
        <v>385</v>
      </c>
      <c r="G168" s="40" t="s">
        <v>384</v>
      </c>
      <c r="H168" s="39" t="s">
        <v>383</v>
      </c>
      <c r="I168" s="43">
        <v>1090793671</v>
      </c>
      <c r="J168" s="42">
        <v>41061</v>
      </c>
      <c r="K168" s="42"/>
      <c r="L168" s="42">
        <v>41061</v>
      </c>
      <c r="M168" s="44">
        <v>461</v>
      </c>
      <c r="N168" s="40" t="s">
        <v>6</v>
      </c>
      <c r="O168" s="44">
        <v>614</v>
      </c>
      <c r="P168" s="44">
        <v>614</v>
      </c>
      <c r="Q168" s="44">
        <f>P168-M168</f>
        <v>153</v>
      </c>
      <c r="R168" s="29">
        <f t="shared" si="26"/>
        <v>1836</v>
      </c>
      <c r="S168" s="29">
        <f t="shared" si="25"/>
        <v>131.76</v>
      </c>
      <c r="T168" s="65">
        <f t="shared" ca="1" si="17"/>
        <v>73.680000000000007</v>
      </c>
      <c r="U168" s="29">
        <f t="shared" si="18"/>
        <v>120</v>
      </c>
      <c r="V168" s="29">
        <f t="shared" si="19"/>
        <v>960</v>
      </c>
      <c r="W168" s="44">
        <f t="shared" si="20"/>
        <v>48</v>
      </c>
      <c r="X168" s="29">
        <f t="shared" si="21"/>
        <v>169</v>
      </c>
      <c r="Y168" s="29">
        <f t="shared" ca="1" si="22"/>
        <v>3491.44</v>
      </c>
      <c r="Z168" s="75">
        <v>3</v>
      </c>
      <c r="AA168" s="66">
        <f t="shared" ca="1" si="23"/>
        <v>4</v>
      </c>
      <c r="AB168" s="19"/>
      <c r="AC168" s="19"/>
      <c r="AD168" s="19"/>
      <c r="AE168" s="19"/>
    </row>
    <row r="169" spans="1:31" s="18" customFormat="1" ht="16.5" customHeight="1" x14ac:dyDescent="0.2">
      <c r="A169" s="39">
        <f t="shared" si="24"/>
        <v>166</v>
      </c>
      <c r="B169" s="40" t="s">
        <v>232</v>
      </c>
      <c r="C169" s="41">
        <v>702044736</v>
      </c>
      <c r="D169" s="42">
        <v>24208</v>
      </c>
      <c r="E169" s="40" t="s">
        <v>6</v>
      </c>
      <c r="F169" s="40" t="s">
        <v>395</v>
      </c>
      <c r="G169" s="40" t="s">
        <v>417</v>
      </c>
      <c r="H169" s="39" t="s">
        <v>383</v>
      </c>
      <c r="I169" s="43">
        <v>406038165808</v>
      </c>
      <c r="J169" s="42">
        <v>41015</v>
      </c>
      <c r="K169" s="42"/>
      <c r="L169" s="42">
        <v>41015</v>
      </c>
      <c r="M169" s="44">
        <v>461</v>
      </c>
      <c r="N169" s="40" t="s">
        <v>6</v>
      </c>
      <c r="O169" s="44">
        <v>614</v>
      </c>
      <c r="P169" s="44">
        <v>614</v>
      </c>
      <c r="Q169" s="44">
        <f>P169-M169</f>
        <v>153</v>
      </c>
      <c r="R169" s="29">
        <f t="shared" si="26"/>
        <v>1836</v>
      </c>
      <c r="S169" s="29">
        <f t="shared" si="25"/>
        <v>0</v>
      </c>
      <c r="T169" s="65">
        <f t="shared" ca="1" si="17"/>
        <v>73.680000000000007</v>
      </c>
      <c r="U169" s="29">
        <f t="shared" si="18"/>
        <v>120</v>
      </c>
      <c r="V169" s="29">
        <f t="shared" si="19"/>
        <v>960</v>
      </c>
      <c r="W169" s="44">
        <f t="shared" si="20"/>
        <v>48</v>
      </c>
      <c r="X169" s="29">
        <f t="shared" si="21"/>
        <v>169</v>
      </c>
      <c r="Y169" s="29">
        <f t="shared" ca="1" si="22"/>
        <v>3359.68</v>
      </c>
      <c r="Z169" s="75"/>
      <c r="AA169" s="66">
        <f t="shared" ca="1" si="23"/>
        <v>4</v>
      </c>
      <c r="AB169" s="19"/>
      <c r="AC169" s="19"/>
      <c r="AD169" s="19"/>
      <c r="AE169" s="19"/>
    </row>
    <row r="170" spans="1:31" s="18" customFormat="1" ht="16.5" customHeight="1" x14ac:dyDescent="0.2">
      <c r="A170" s="39">
        <f t="shared" si="24"/>
        <v>167</v>
      </c>
      <c r="B170" s="40" t="s">
        <v>235</v>
      </c>
      <c r="C170" s="41">
        <v>1705628301</v>
      </c>
      <c r="D170" s="42">
        <v>20965</v>
      </c>
      <c r="E170" s="40" t="s">
        <v>6</v>
      </c>
      <c r="F170" s="40" t="s">
        <v>385</v>
      </c>
      <c r="G170" s="40" t="s">
        <v>384</v>
      </c>
      <c r="H170" s="39" t="s">
        <v>383</v>
      </c>
      <c r="I170" s="43">
        <v>1010731328</v>
      </c>
      <c r="J170" s="42">
        <v>39569</v>
      </c>
      <c r="K170" s="42"/>
      <c r="L170" s="42">
        <v>39569</v>
      </c>
      <c r="M170" s="44">
        <v>461</v>
      </c>
      <c r="N170" s="40" t="s">
        <v>6</v>
      </c>
      <c r="O170" s="44">
        <v>614</v>
      </c>
      <c r="P170" s="44">
        <v>614</v>
      </c>
      <c r="Q170" s="44">
        <f>P170-M170</f>
        <v>153</v>
      </c>
      <c r="R170" s="29">
        <f t="shared" si="26"/>
        <v>1836</v>
      </c>
      <c r="S170" s="29">
        <f t="shared" si="25"/>
        <v>0</v>
      </c>
      <c r="T170" s="65">
        <f t="shared" ca="1" si="17"/>
        <v>147.36000000000001</v>
      </c>
      <c r="U170" s="29">
        <f t="shared" si="18"/>
        <v>120</v>
      </c>
      <c r="V170" s="29">
        <f t="shared" si="19"/>
        <v>960</v>
      </c>
      <c r="W170" s="44">
        <f t="shared" si="20"/>
        <v>48</v>
      </c>
      <c r="X170" s="29">
        <f t="shared" si="21"/>
        <v>169</v>
      </c>
      <c r="Y170" s="29">
        <f t="shared" ca="1" si="22"/>
        <v>3433.36</v>
      </c>
      <c r="Z170" s="75"/>
      <c r="AA170" s="66">
        <f t="shared" ca="1" si="23"/>
        <v>8</v>
      </c>
      <c r="AB170" s="19"/>
      <c r="AC170" s="19"/>
      <c r="AD170" s="19"/>
      <c r="AE170" s="19"/>
    </row>
    <row r="171" spans="1:31" s="18" customFormat="1" ht="16.5" customHeight="1" x14ac:dyDescent="0.2">
      <c r="A171" s="39">
        <f t="shared" si="24"/>
        <v>168</v>
      </c>
      <c r="B171" s="40" t="s">
        <v>238</v>
      </c>
      <c r="C171" s="41">
        <v>703167510</v>
      </c>
      <c r="D171" s="42">
        <v>27520</v>
      </c>
      <c r="E171" s="40" t="s">
        <v>6</v>
      </c>
      <c r="F171" s="40" t="s">
        <v>385</v>
      </c>
      <c r="G171" s="40" t="s">
        <v>384</v>
      </c>
      <c r="H171" s="39" t="s">
        <v>383</v>
      </c>
      <c r="I171" s="43">
        <v>1010731301</v>
      </c>
      <c r="J171" s="42">
        <v>39569</v>
      </c>
      <c r="K171" s="42"/>
      <c r="L171" s="42">
        <v>39569</v>
      </c>
      <c r="M171" s="44">
        <v>461</v>
      </c>
      <c r="N171" s="40" t="s">
        <v>6</v>
      </c>
      <c r="O171" s="44">
        <v>614</v>
      </c>
      <c r="P171" s="44">
        <v>614</v>
      </c>
      <c r="Q171" s="44">
        <f>P171-M171</f>
        <v>153</v>
      </c>
      <c r="R171" s="29">
        <f t="shared" si="26"/>
        <v>1836</v>
      </c>
      <c r="S171" s="29">
        <f t="shared" si="25"/>
        <v>131.76</v>
      </c>
      <c r="T171" s="65">
        <f t="shared" ca="1" si="17"/>
        <v>147.36000000000001</v>
      </c>
      <c r="U171" s="29">
        <f t="shared" si="18"/>
        <v>120</v>
      </c>
      <c r="V171" s="29">
        <f t="shared" si="19"/>
        <v>960</v>
      </c>
      <c r="W171" s="44">
        <f t="shared" si="20"/>
        <v>48</v>
      </c>
      <c r="X171" s="29">
        <f t="shared" si="21"/>
        <v>169</v>
      </c>
      <c r="Y171" s="29">
        <f t="shared" ca="1" si="22"/>
        <v>3565.1200000000003</v>
      </c>
      <c r="Z171" s="75">
        <v>3</v>
      </c>
      <c r="AA171" s="66">
        <f t="shared" ca="1" si="23"/>
        <v>8</v>
      </c>
      <c r="AB171" s="19"/>
      <c r="AC171" s="19"/>
      <c r="AD171" s="19"/>
      <c r="AE171" s="19"/>
    </row>
    <row r="172" spans="1:31" s="18" customFormat="1" ht="16.5" customHeight="1" x14ac:dyDescent="0.2">
      <c r="A172" s="39">
        <f t="shared" si="24"/>
        <v>169</v>
      </c>
      <c r="B172" s="40" t="s">
        <v>239</v>
      </c>
      <c r="C172" s="41">
        <v>704093160</v>
      </c>
      <c r="D172" s="42">
        <v>29508</v>
      </c>
      <c r="E172" s="40" t="s">
        <v>6</v>
      </c>
      <c r="F172" s="40" t="s">
        <v>385</v>
      </c>
      <c r="G172" s="40" t="s">
        <v>407</v>
      </c>
      <c r="H172" s="39" t="s">
        <v>383</v>
      </c>
      <c r="I172" s="43">
        <v>1924301</v>
      </c>
      <c r="J172" s="42">
        <v>39983</v>
      </c>
      <c r="K172" s="42"/>
      <c r="L172" s="42">
        <v>40817</v>
      </c>
      <c r="M172" s="44">
        <v>461</v>
      </c>
      <c r="N172" s="40" t="s">
        <v>6</v>
      </c>
      <c r="O172" s="44">
        <v>614</v>
      </c>
      <c r="P172" s="44">
        <v>614</v>
      </c>
      <c r="Q172" s="44">
        <f>P172-M172</f>
        <v>153</v>
      </c>
      <c r="R172" s="29">
        <f t="shared" si="26"/>
        <v>1836</v>
      </c>
      <c r="S172" s="29">
        <f t="shared" si="25"/>
        <v>87.84</v>
      </c>
      <c r="T172" s="65">
        <f t="shared" ca="1" si="17"/>
        <v>92.100000000000009</v>
      </c>
      <c r="U172" s="29">
        <f t="shared" si="18"/>
        <v>120</v>
      </c>
      <c r="V172" s="29">
        <f t="shared" si="19"/>
        <v>960</v>
      </c>
      <c r="W172" s="44">
        <f t="shared" si="20"/>
        <v>48</v>
      </c>
      <c r="X172" s="29">
        <f t="shared" si="21"/>
        <v>169</v>
      </c>
      <c r="Y172" s="29">
        <f t="shared" ca="1" si="22"/>
        <v>3465.94</v>
      </c>
      <c r="Z172" s="75">
        <v>2</v>
      </c>
      <c r="AA172" s="66">
        <f t="shared" ca="1" si="23"/>
        <v>5</v>
      </c>
      <c r="AB172" s="19"/>
      <c r="AC172" s="19"/>
      <c r="AD172" s="19"/>
      <c r="AE172" s="19"/>
    </row>
    <row r="173" spans="1:31" s="18" customFormat="1" ht="16.5" customHeight="1" x14ac:dyDescent="0.2">
      <c r="A173" s="39">
        <f t="shared" si="24"/>
        <v>170</v>
      </c>
      <c r="B173" s="40" t="s">
        <v>244</v>
      </c>
      <c r="C173" s="41">
        <v>701207375</v>
      </c>
      <c r="D173" s="42">
        <v>21488</v>
      </c>
      <c r="E173" s="40" t="s">
        <v>6</v>
      </c>
      <c r="F173" s="40" t="s">
        <v>385</v>
      </c>
      <c r="G173" s="40" t="s">
        <v>417</v>
      </c>
      <c r="H173" s="39" t="s">
        <v>383</v>
      </c>
      <c r="I173" s="43">
        <v>406064184306</v>
      </c>
      <c r="J173" s="42">
        <v>28126</v>
      </c>
      <c r="K173" s="42"/>
      <c r="L173" s="42">
        <v>28126</v>
      </c>
      <c r="M173" s="44">
        <v>629.66999999999996</v>
      </c>
      <c r="N173" s="40" t="s">
        <v>6</v>
      </c>
      <c r="O173" s="44">
        <v>614</v>
      </c>
      <c r="P173" s="44">
        <v>629.66999999999996</v>
      </c>
      <c r="Q173" s="44">
        <f>P173-M173</f>
        <v>0</v>
      </c>
      <c r="R173" s="29">
        <f t="shared" si="26"/>
        <v>0</v>
      </c>
      <c r="S173" s="29">
        <f t="shared" si="25"/>
        <v>87.84</v>
      </c>
      <c r="T173" s="65">
        <f t="shared" ca="1" si="17"/>
        <v>226.68119999999996</v>
      </c>
      <c r="U173" s="29">
        <f t="shared" si="18"/>
        <v>120</v>
      </c>
      <c r="V173" s="29">
        <f t="shared" si="19"/>
        <v>960</v>
      </c>
      <c r="W173" s="44">
        <f t="shared" si="20"/>
        <v>48</v>
      </c>
      <c r="X173" s="29">
        <f t="shared" si="21"/>
        <v>169</v>
      </c>
      <c r="Y173" s="29">
        <f t="shared" ca="1" si="22"/>
        <v>1611.5211999999999</v>
      </c>
      <c r="Z173" s="75">
        <v>2</v>
      </c>
      <c r="AA173" s="66">
        <f t="shared" ca="1" si="23"/>
        <v>12</v>
      </c>
      <c r="AB173" s="19"/>
      <c r="AC173" s="19"/>
      <c r="AD173" s="19"/>
      <c r="AE173" s="19"/>
    </row>
    <row r="174" spans="1:31" s="18" customFormat="1" ht="16.5" customHeight="1" x14ac:dyDescent="0.2">
      <c r="A174" s="39">
        <f t="shared" si="24"/>
        <v>171</v>
      </c>
      <c r="B174" s="40" t="s">
        <v>258</v>
      </c>
      <c r="C174" s="41">
        <v>602906273</v>
      </c>
      <c r="D174" s="42">
        <v>27222</v>
      </c>
      <c r="E174" s="40" t="s">
        <v>6</v>
      </c>
      <c r="F174" s="40" t="s">
        <v>385</v>
      </c>
      <c r="G174" s="40" t="s">
        <v>393</v>
      </c>
      <c r="H174" s="39" t="s">
        <v>383</v>
      </c>
      <c r="I174" s="43">
        <v>8200790600</v>
      </c>
      <c r="J174" s="42">
        <v>39935</v>
      </c>
      <c r="K174" s="42"/>
      <c r="L174" s="42">
        <v>40486</v>
      </c>
      <c r="M174" s="44">
        <v>461</v>
      </c>
      <c r="N174" s="40" t="s">
        <v>6</v>
      </c>
      <c r="O174" s="44">
        <v>614</v>
      </c>
      <c r="P174" s="44">
        <v>614</v>
      </c>
      <c r="Q174" s="44">
        <f>P174-M174</f>
        <v>153</v>
      </c>
      <c r="R174" s="29">
        <f t="shared" si="26"/>
        <v>1836</v>
      </c>
      <c r="S174" s="29">
        <f t="shared" si="25"/>
        <v>0</v>
      </c>
      <c r="T174" s="65">
        <f t="shared" ca="1" si="17"/>
        <v>110.52000000000001</v>
      </c>
      <c r="U174" s="29">
        <f t="shared" si="18"/>
        <v>120</v>
      </c>
      <c r="V174" s="29">
        <f t="shared" si="19"/>
        <v>960</v>
      </c>
      <c r="W174" s="44">
        <f t="shared" si="20"/>
        <v>48</v>
      </c>
      <c r="X174" s="29">
        <f t="shared" si="21"/>
        <v>169</v>
      </c>
      <c r="Y174" s="29">
        <f t="shared" ca="1" si="22"/>
        <v>3396.52</v>
      </c>
      <c r="Z174" s="75"/>
      <c r="AA174" s="66">
        <f t="shared" ca="1" si="23"/>
        <v>6</v>
      </c>
      <c r="AB174" s="19"/>
      <c r="AC174" s="19"/>
      <c r="AD174" s="19"/>
      <c r="AE174" s="19"/>
    </row>
    <row r="175" spans="1:31" s="18" customFormat="1" ht="16.5" customHeight="1" x14ac:dyDescent="0.2">
      <c r="A175" s="39">
        <f t="shared" si="24"/>
        <v>172</v>
      </c>
      <c r="B175" s="40" t="s">
        <v>262</v>
      </c>
      <c r="C175" s="41">
        <v>702460064</v>
      </c>
      <c r="D175" s="42">
        <v>25298</v>
      </c>
      <c r="E175" s="40" t="s">
        <v>6</v>
      </c>
      <c r="F175" s="40" t="s">
        <v>385</v>
      </c>
      <c r="G175" s="40" t="s">
        <v>401</v>
      </c>
      <c r="H175" s="39" t="s">
        <v>383</v>
      </c>
      <c r="I175" s="43">
        <v>7228279</v>
      </c>
      <c r="J175" s="42">
        <v>41289</v>
      </c>
      <c r="K175" s="42"/>
      <c r="L175" s="42">
        <v>41289</v>
      </c>
      <c r="M175" s="44">
        <v>461</v>
      </c>
      <c r="N175" s="40" t="s">
        <v>6</v>
      </c>
      <c r="O175" s="44">
        <v>614</v>
      </c>
      <c r="P175" s="44">
        <v>614</v>
      </c>
      <c r="Q175" s="44">
        <f>P175-M175</f>
        <v>153</v>
      </c>
      <c r="R175" s="29">
        <f t="shared" si="26"/>
        <v>1836</v>
      </c>
      <c r="S175" s="29">
        <f t="shared" si="25"/>
        <v>0</v>
      </c>
      <c r="T175" s="65">
        <f t="shared" ca="1" si="17"/>
        <v>55.260000000000005</v>
      </c>
      <c r="U175" s="29">
        <f t="shared" si="18"/>
        <v>120</v>
      </c>
      <c r="V175" s="29">
        <f t="shared" si="19"/>
        <v>960</v>
      </c>
      <c r="W175" s="44">
        <f t="shared" si="20"/>
        <v>48</v>
      </c>
      <c r="X175" s="29">
        <f t="shared" si="21"/>
        <v>169</v>
      </c>
      <c r="Y175" s="29">
        <f t="shared" ca="1" si="22"/>
        <v>3341.26</v>
      </c>
      <c r="Z175" s="75"/>
      <c r="AA175" s="66">
        <f t="shared" ca="1" si="23"/>
        <v>3</v>
      </c>
      <c r="AB175" s="19"/>
      <c r="AC175" s="19"/>
      <c r="AD175" s="19"/>
      <c r="AE175" s="19"/>
    </row>
    <row r="176" spans="1:31" s="18" customFormat="1" ht="16.5" customHeight="1" x14ac:dyDescent="0.2">
      <c r="A176" s="39">
        <f t="shared" si="24"/>
        <v>173</v>
      </c>
      <c r="B176" s="40" t="s">
        <v>284</v>
      </c>
      <c r="C176" s="41">
        <v>702197278</v>
      </c>
      <c r="D176" s="42">
        <v>24307</v>
      </c>
      <c r="E176" s="40" t="s">
        <v>6</v>
      </c>
      <c r="F176" s="40" t="s">
        <v>422</v>
      </c>
      <c r="G176" s="40" t="s">
        <v>393</v>
      </c>
      <c r="H176" s="39" t="s">
        <v>383</v>
      </c>
      <c r="I176" s="43">
        <v>8213612700</v>
      </c>
      <c r="J176" s="42">
        <v>40183</v>
      </c>
      <c r="K176" s="42"/>
      <c r="L176" s="42">
        <v>40183</v>
      </c>
      <c r="M176" s="44">
        <v>461</v>
      </c>
      <c r="N176" s="40" t="s">
        <v>6</v>
      </c>
      <c r="O176" s="44">
        <v>614</v>
      </c>
      <c r="P176" s="44">
        <v>614</v>
      </c>
      <c r="Q176" s="44">
        <f>P176-M176</f>
        <v>153</v>
      </c>
      <c r="R176" s="29">
        <f t="shared" si="26"/>
        <v>1836</v>
      </c>
      <c r="S176" s="29">
        <f t="shared" si="25"/>
        <v>0</v>
      </c>
      <c r="T176" s="65">
        <f t="shared" ca="1" si="17"/>
        <v>110.52000000000001</v>
      </c>
      <c r="U176" s="29">
        <f t="shared" si="18"/>
        <v>120</v>
      </c>
      <c r="V176" s="29">
        <f t="shared" si="19"/>
        <v>960</v>
      </c>
      <c r="W176" s="44">
        <f t="shared" si="20"/>
        <v>48</v>
      </c>
      <c r="X176" s="29">
        <f t="shared" si="21"/>
        <v>169</v>
      </c>
      <c r="Y176" s="29">
        <f t="shared" ca="1" si="22"/>
        <v>3396.52</v>
      </c>
      <c r="Z176" s="75"/>
      <c r="AA176" s="66">
        <f t="shared" ca="1" si="23"/>
        <v>6</v>
      </c>
      <c r="AB176" s="19"/>
      <c r="AC176" s="19"/>
      <c r="AD176" s="19"/>
      <c r="AE176" s="19"/>
    </row>
    <row r="177" spans="1:31" s="18" customFormat="1" ht="16.5" customHeight="1" x14ac:dyDescent="0.2">
      <c r="A177" s="39">
        <f t="shared" si="24"/>
        <v>174</v>
      </c>
      <c r="B177" s="40" t="s">
        <v>296</v>
      </c>
      <c r="C177" s="41">
        <v>702222902</v>
      </c>
      <c r="D177" s="42">
        <v>24565</v>
      </c>
      <c r="E177" s="40" t="s">
        <v>6</v>
      </c>
      <c r="F177" s="40" t="s">
        <v>385</v>
      </c>
      <c r="G177" s="40" t="s">
        <v>384</v>
      </c>
      <c r="H177" s="39" t="s">
        <v>383</v>
      </c>
      <c r="I177" s="43">
        <v>1320012003</v>
      </c>
      <c r="J177" s="42">
        <v>39569</v>
      </c>
      <c r="K177" s="42"/>
      <c r="L177" s="42">
        <v>39569</v>
      </c>
      <c r="M177" s="44">
        <v>461</v>
      </c>
      <c r="N177" s="40" t="s">
        <v>6</v>
      </c>
      <c r="O177" s="44">
        <v>614</v>
      </c>
      <c r="P177" s="44">
        <v>614</v>
      </c>
      <c r="Q177" s="44">
        <f>P177-M177</f>
        <v>153</v>
      </c>
      <c r="R177" s="29">
        <f t="shared" si="26"/>
        <v>1836</v>
      </c>
      <c r="S177" s="29">
        <f t="shared" si="25"/>
        <v>0</v>
      </c>
      <c r="T177" s="65">
        <f t="shared" ca="1" si="17"/>
        <v>147.36000000000001</v>
      </c>
      <c r="U177" s="29">
        <f t="shared" si="18"/>
        <v>120</v>
      </c>
      <c r="V177" s="29">
        <f t="shared" si="19"/>
        <v>960</v>
      </c>
      <c r="W177" s="44">
        <f t="shared" si="20"/>
        <v>48</v>
      </c>
      <c r="X177" s="29">
        <f t="shared" si="21"/>
        <v>169</v>
      </c>
      <c r="Y177" s="29">
        <f t="shared" ca="1" si="22"/>
        <v>3433.36</v>
      </c>
      <c r="Z177" s="75"/>
      <c r="AA177" s="66">
        <f t="shared" ca="1" si="23"/>
        <v>8</v>
      </c>
      <c r="AB177" s="19"/>
      <c r="AC177" s="19"/>
      <c r="AD177" s="19"/>
      <c r="AE177" s="19"/>
    </row>
    <row r="178" spans="1:31" s="18" customFormat="1" ht="16.5" customHeight="1" x14ac:dyDescent="0.2">
      <c r="A178" s="39">
        <f t="shared" si="24"/>
        <v>175</v>
      </c>
      <c r="B178" s="40" t="s">
        <v>303</v>
      </c>
      <c r="C178" s="41">
        <v>704528181</v>
      </c>
      <c r="D178" s="42">
        <v>30754</v>
      </c>
      <c r="E178" s="40" t="s">
        <v>6</v>
      </c>
      <c r="F178" s="40" t="s">
        <v>385</v>
      </c>
      <c r="G178" s="40" t="s">
        <v>384</v>
      </c>
      <c r="H178" s="39" t="s">
        <v>383</v>
      </c>
      <c r="I178" s="43">
        <v>1090778966</v>
      </c>
      <c r="J178" s="42">
        <v>41061</v>
      </c>
      <c r="K178" s="42"/>
      <c r="L178" s="42">
        <v>41061</v>
      </c>
      <c r="M178" s="44">
        <v>461</v>
      </c>
      <c r="N178" s="40" t="s">
        <v>6</v>
      </c>
      <c r="O178" s="44">
        <v>614</v>
      </c>
      <c r="P178" s="44">
        <v>614</v>
      </c>
      <c r="Q178" s="44">
        <f>P178-M178</f>
        <v>153</v>
      </c>
      <c r="R178" s="29">
        <f t="shared" si="26"/>
        <v>1836</v>
      </c>
      <c r="S178" s="29">
        <f t="shared" si="25"/>
        <v>87.84</v>
      </c>
      <c r="T178" s="65">
        <f t="shared" ca="1" si="17"/>
        <v>73.680000000000007</v>
      </c>
      <c r="U178" s="29">
        <f t="shared" si="18"/>
        <v>120</v>
      </c>
      <c r="V178" s="29">
        <f t="shared" si="19"/>
        <v>960</v>
      </c>
      <c r="W178" s="44">
        <f t="shared" si="20"/>
        <v>48</v>
      </c>
      <c r="X178" s="29">
        <f t="shared" si="21"/>
        <v>169</v>
      </c>
      <c r="Y178" s="29">
        <f t="shared" ca="1" si="22"/>
        <v>3447.52</v>
      </c>
      <c r="Z178" s="75">
        <v>2</v>
      </c>
      <c r="AA178" s="66">
        <f t="shared" ca="1" si="23"/>
        <v>4</v>
      </c>
      <c r="AB178" s="19"/>
      <c r="AC178" s="19"/>
      <c r="AD178" s="19"/>
      <c r="AE178" s="19"/>
    </row>
    <row r="179" spans="1:31" s="18" customFormat="1" ht="16.5" customHeight="1" x14ac:dyDescent="0.2">
      <c r="A179" s="39">
        <f t="shared" si="24"/>
        <v>176</v>
      </c>
      <c r="B179" s="40" t="s">
        <v>304</v>
      </c>
      <c r="C179" s="41">
        <v>701327108</v>
      </c>
      <c r="D179" s="42">
        <v>22001</v>
      </c>
      <c r="E179" s="40" t="s">
        <v>6</v>
      </c>
      <c r="F179" s="40" t="s">
        <v>422</v>
      </c>
      <c r="G179" s="40" t="s">
        <v>384</v>
      </c>
      <c r="H179" s="39" t="s">
        <v>383</v>
      </c>
      <c r="I179" s="43">
        <v>1010730518</v>
      </c>
      <c r="J179" s="42">
        <v>39569</v>
      </c>
      <c r="K179" s="42"/>
      <c r="L179" s="42">
        <v>39569</v>
      </c>
      <c r="M179" s="44">
        <v>461</v>
      </c>
      <c r="N179" s="40" t="s">
        <v>6</v>
      </c>
      <c r="O179" s="44">
        <v>614</v>
      </c>
      <c r="P179" s="44">
        <v>614</v>
      </c>
      <c r="Q179" s="44">
        <f>P179-M179</f>
        <v>153</v>
      </c>
      <c r="R179" s="29">
        <f t="shared" si="26"/>
        <v>1836</v>
      </c>
      <c r="S179" s="29">
        <f t="shared" si="25"/>
        <v>43.92</v>
      </c>
      <c r="T179" s="65">
        <f t="shared" ca="1" si="17"/>
        <v>147.36000000000001</v>
      </c>
      <c r="U179" s="29">
        <f t="shared" si="18"/>
        <v>120</v>
      </c>
      <c r="V179" s="29">
        <f t="shared" si="19"/>
        <v>960</v>
      </c>
      <c r="W179" s="44">
        <f t="shared" si="20"/>
        <v>48</v>
      </c>
      <c r="X179" s="29">
        <f t="shared" si="21"/>
        <v>169</v>
      </c>
      <c r="Y179" s="29">
        <f t="shared" ca="1" si="22"/>
        <v>3477.28</v>
      </c>
      <c r="Z179" s="75">
        <v>1</v>
      </c>
      <c r="AA179" s="66">
        <f t="shared" ca="1" si="23"/>
        <v>8</v>
      </c>
      <c r="AB179" s="19"/>
      <c r="AC179" s="19"/>
      <c r="AD179" s="19"/>
      <c r="AE179" s="19"/>
    </row>
    <row r="180" spans="1:31" s="18" customFormat="1" ht="16.5" customHeight="1" x14ac:dyDescent="0.2">
      <c r="A180" s="39">
        <f t="shared" si="24"/>
        <v>177</v>
      </c>
      <c r="B180" s="40" t="s">
        <v>309</v>
      </c>
      <c r="C180" s="41">
        <v>702990292</v>
      </c>
      <c r="D180" s="42">
        <v>26960</v>
      </c>
      <c r="E180" s="40" t="s">
        <v>6</v>
      </c>
      <c r="F180" s="40" t="s">
        <v>385</v>
      </c>
      <c r="G180" s="40" t="s">
        <v>384</v>
      </c>
      <c r="H180" s="39" t="s">
        <v>383</v>
      </c>
      <c r="I180" s="43">
        <v>1320003225</v>
      </c>
      <c r="J180" s="42">
        <v>41596</v>
      </c>
      <c r="K180" s="42"/>
      <c r="L180" s="42">
        <v>41596</v>
      </c>
      <c r="M180" s="44">
        <v>461</v>
      </c>
      <c r="N180" s="40" t="s">
        <v>6</v>
      </c>
      <c r="O180" s="44">
        <v>614</v>
      </c>
      <c r="P180" s="44">
        <v>614</v>
      </c>
      <c r="Q180" s="44">
        <f>P180-M180</f>
        <v>153</v>
      </c>
      <c r="R180" s="29">
        <f t="shared" si="26"/>
        <v>1836</v>
      </c>
      <c r="S180" s="29">
        <f t="shared" si="25"/>
        <v>0</v>
      </c>
      <c r="T180" s="65">
        <f t="shared" ca="1" si="17"/>
        <v>55.260000000000005</v>
      </c>
      <c r="U180" s="29">
        <f t="shared" si="18"/>
        <v>120</v>
      </c>
      <c r="V180" s="29">
        <f t="shared" si="19"/>
        <v>960</v>
      </c>
      <c r="W180" s="44">
        <f t="shared" si="20"/>
        <v>48</v>
      </c>
      <c r="X180" s="29">
        <f t="shared" si="21"/>
        <v>169</v>
      </c>
      <c r="Y180" s="29">
        <f t="shared" ca="1" si="22"/>
        <v>3341.26</v>
      </c>
      <c r="Z180" s="75"/>
      <c r="AA180" s="66">
        <f t="shared" ca="1" si="23"/>
        <v>3</v>
      </c>
      <c r="AB180" s="19"/>
      <c r="AC180" s="19"/>
      <c r="AD180" s="19"/>
      <c r="AE180" s="19"/>
    </row>
    <row r="181" spans="1:31" s="18" customFormat="1" ht="16.5" customHeight="1" x14ac:dyDescent="0.2">
      <c r="A181" s="39">
        <f t="shared" si="24"/>
        <v>178</v>
      </c>
      <c r="B181" s="40" t="s">
        <v>317</v>
      </c>
      <c r="C181" s="41">
        <v>701045239</v>
      </c>
      <c r="D181" s="42">
        <v>19219</v>
      </c>
      <c r="E181" s="40" t="s">
        <v>6</v>
      </c>
      <c r="F181" s="40" t="s">
        <v>385</v>
      </c>
      <c r="G181" s="40" t="s">
        <v>384</v>
      </c>
      <c r="H181" s="39" t="s">
        <v>383</v>
      </c>
      <c r="I181" s="43">
        <v>1320016610</v>
      </c>
      <c r="J181" s="42">
        <v>39569</v>
      </c>
      <c r="K181" s="42"/>
      <c r="L181" s="42">
        <v>39569</v>
      </c>
      <c r="M181" s="44">
        <v>461</v>
      </c>
      <c r="N181" s="40" t="s">
        <v>6</v>
      </c>
      <c r="O181" s="44">
        <v>614</v>
      </c>
      <c r="P181" s="44">
        <v>614</v>
      </c>
      <c r="Q181" s="44">
        <f>P181-M181</f>
        <v>153</v>
      </c>
      <c r="R181" s="29">
        <f t="shared" si="26"/>
        <v>1836</v>
      </c>
      <c r="S181" s="29">
        <f t="shared" si="25"/>
        <v>0</v>
      </c>
      <c r="T181" s="65">
        <f t="shared" ca="1" si="17"/>
        <v>147.36000000000001</v>
      </c>
      <c r="U181" s="29">
        <f t="shared" si="18"/>
        <v>120</v>
      </c>
      <c r="V181" s="29">
        <f t="shared" si="19"/>
        <v>960</v>
      </c>
      <c r="W181" s="44">
        <f t="shared" si="20"/>
        <v>48</v>
      </c>
      <c r="X181" s="29">
        <f t="shared" si="21"/>
        <v>169</v>
      </c>
      <c r="Y181" s="29">
        <f t="shared" ca="1" si="22"/>
        <v>3433.36</v>
      </c>
      <c r="Z181" s="75"/>
      <c r="AA181" s="66">
        <f t="shared" ca="1" si="23"/>
        <v>8</v>
      </c>
      <c r="AB181" s="19"/>
      <c r="AC181" s="19"/>
      <c r="AD181" s="19"/>
      <c r="AE181" s="19"/>
    </row>
    <row r="182" spans="1:31" s="18" customFormat="1" ht="16.5" customHeight="1" x14ac:dyDescent="0.2">
      <c r="A182" s="39">
        <f t="shared" si="24"/>
        <v>179</v>
      </c>
      <c r="B182" s="40" t="s">
        <v>320</v>
      </c>
      <c r="C182" s="41">
        <v>703035410</v>
      </c>
      <c r="D182" s="42">
        <v>28176</v>
      </c>
      <c r="E182" s="40" t="s">
        <v>6</v>
      </c>
      <c r="F182" s="40" t="s">
        <v>385</v>
      </c>
      <c r="G182" s="40" t="s">
        <v>384</v>
      </c>
      <c r="H182" s="39" t="s">
        <v>383</v>
      </c>
      <c r="I182" s="43">
        <v>1020555374</v>
      </c>
      <c r="J182" s="42">
        <v>41074</v>
      </c>
      <c r="K182" s="42"/>
      <c r="L182" s="42">
        <v>41074</v>
      </c>
      <c r="M182" s="44">
        <v>461</v>
      </c>
      <c r="N182" s="40" t="s">
        <v>6</v>
      </c>
      <c r="O182" s="44">
        <v>614</v>
      </c>
      <c r="P182" s="44">
        <v>614</v>
      </c>
      <c r="Q182" s="44">
        <f>P182-M182</f>
        <v>153</v>
      </c>
      <c r="R182" s="29">
        <f t="shared" si="26"/>
        <v>1836</v>
      </c>
      <c r="S182" s="29">
        <f t="shared" si="25"/>
        <v>0</v>
      </c>
      <c r="T182" s="65">
        <f t="shared" ca="1" si="17"/>
        <v>73.680000000000007</v>
      </c>
      <c r="U182" s="29">
        <f t="shared" si="18"/>
        <v>120</v>
      </c>
      <c r="V182" s="29">
        <f t="shared" si="19"/>
        <v>960</v>
      </c>
      <c r="W182" s="44">
        <f t="shared" si="20"/>
        <v>48</v>
      </c>
      <c r="X182" s="29">
        <f t="shared" si="21"/>
        <v>169</v>
      </c>
      <c r="Y182" s="29">
        <f t="shared" ca="1" si="22"/>
        <v>3359.68</v>
      </c>
      <c r="Z182" s="75"/>
      <c r="AA182" s="66">
        <f t="shared" ca="1" si="23"/>
        <v>4</v>
      </c>
      <c r="AB182" s="19"/>
      <c r="AC182" s="19"/>
      <c r="AD182" s="19"/>
      <c r="AE182" s="19"/>
    </row>
    <row r="183" spans="1:31" s="18" customFormat="1" ht="16.5" customHeight="1" x14ac:dyDescent="0.2">
      <c r="A183" s="39">
        <f t="shared" si="24"/>
        <v>180</v>
      </c>
      <c r="B183" s="40" t="s">
        <v>323</v>
      </c>
      <c r="C183" s="41">
        <v>700600372</v>
      </c>
      <c r="D183" s="42">
        <v>17903</v>
      </c>
      <c r="E183" s="40" t="s">
        <v>6</v>
      </c>
      <c r="F183" s="40" t="s">
        <v>385</v>
      </c>
      <c r="G183" s="40" t="s">
        <v>384</v>
      </c>
      <c r="H183" s="39" t="s">
        <v>383</v>
      </c>
      <c r="I183" s="43">
        <v>1010561112</v>
      </c>
      <c r="J183" s="42">
        <v>39569</v>
      </c>
      <c r="K183" s="42"/>
      <c r="L183" s="42">
        <v>39569</v>
      </c>
      <c r="M183" s="44">
        <v>461</v>
      </c>
      <c r="N183" s="40" t="s">
        <v>6</v>
      </c>
      <c r="O183" s="44">
        <v>614</v>
      </c>
      <c r="P183" s="44">
        <v>614</v>
      </c>
      <c r="Q183" s="44">
        <f>P183-M183</f>
        <v>153</v>
      </c>
      <c r="R183" s="29">
        <f t="shared" si="26"/>
        <v>1836</v>
      </c>
      <c r="S183" s="29">
        <f t="shared" si="25"/>
        <v>0</v>
      </c>
      <c r="T183" s="65">
        <f t="shared" ca="1" si="17"/>
        <v>147.36000000000001</v>
      </c>
      <c r="U183" s="29">
        <f t="shared" si="18"/>
        <v>120</v>
      </c>
      <c r="V183" s="29">
        <f t="shared" si="19"/>
        <v>960</v>
      </c>
      <c r="W183" s="44">
        <f t="shared" si="20"/>
        <v>48</v>
      </c>
      <c r="X183" s="29">
        <f t="shared" si="21"/>
        <v>169</v>
      </c>
      <c r="Y183" s="29">
        <f t="shared" ca="1" si="22"/>
        <v>3433.36</v>
      </c>
      <c r="Z183" s="75"/>
      <c r="AA183" s="66">
        <f t="shared" ca="1" si="23"/>
        <v>8</v>
      </c>
      <c r="AB183" s="19"/>
      <c r="AC183" s="19"/>
      <c r="AD183" s="19"/>
      <c r="AE183" s="19"/>
    </row>
    <row r="184" spans="1:31" s="18" customFormat="1" ht="16.5" customHeight="1" x14ac:dyDescent="0.2">
      <c r="A184" s="39">
        <f t="shared" si="24"/>
        <v>181</v>
      </c>
      <c r="B184" s="40" t="s">
        <v>332</v>
      </c>
      <c r="C184" s="41">
        <v>700928138</v>
      </c>
      <c r="D184" s="42">
        <v>20064</v>
      </c>
      <c r="E184" s="40" t="s">
        <v>6</v>
      </c>
      <c r="F184" s="40" t="s">
        <v>385</v>
      </c>
      <c r="G184" s="40" t="s">
        <v>384</v>
      </c>
      <c r="H184" s="39" t="s">
        <v>383</v>
      </c>
      <c r="I184" s="43">
        <v>1010730348</v>
      </c>
      <c r="J184" s="42">
        <v>39569</v>
      </c>
      <c r="K184" s="42"/>
      <c r="L184" s="42">
        <v>39569</v>
      </c>
      <c r="M184" s="44">
        <v>461</v>
      </c>
      <c r="N184" s="40" t="s">
        <v>6</v>
      </c>
      <c r="O184" s="44">
        <v>614</v>
      </c>
      <c r="P184" s="44">
        <v>614</v>
      </c>
      <c r="Q184" s="44">
        <f>P184-M184</f>
        <v>153</v>
      </c>
      <c r="R184" s="29">
        <f t="shared" si="26"/>
        <v>1836</v>
      </c>
      <c r="S184" s="29">
        <f t="shared" si="25"/>
        <v>43.92</v>
      </c>
      <c r="T184" s="65">
        <f t="shared" ca="1" si="17"/>
        <v>147.36000000000001</v>
      </c>
      <c r="U184" s="29">
        <f t="shared" si="18"/>
        <v>120</v>
      </c>
      <c r="V184" s="29">
        <f t="shared" si="19"/>
        <v>960</v>
      </c>
      <c r="W184" s="44">
        <f t="shared" si="20"/>
        <v>48</v>
      </c>
      <c r="X184" s="29">
        <f t="shared" si="21"/>
        <v>169</v>
      </c>
      <c r="Y184" s="29">
        <f t="shared" ca="1" si="22"/>
        <v>3477.28</v>
      </c>
      <c r="Z184" s="75">
        <v>1</v>
      </c>
      <c r="AA184" s="66">
        <f t="shared" ca="1" si="23"/>
        <v>8</v>
      </c>
      <c r="AB184" s="19"/>
      <c r="AC184" s="19"/>
      <c r="AD184" s="19"/>
      <c r="AE184" s="19"/>
    </row>
    <row r="185" spans="1:31" s="18" customFormat="1" ht="16.5" customHeight="1" x14ac:dyDescent="0.2">
      <c r="A185" s="39">
        <f t="shared" si="24"/>
        <v>182</v>
      </c>
      <c r="B185" s="40" t="s">
        <v>334</v>
      </c>
      <c r="C185" s="41">
        <v>701950248</v>
      </c>
      <c r="D185" s="42">
        <v>24581</v>
      </c>
      <c r="E185" s="40" t="s">
        <v>6</v>
      </c>
      <c r="F185" s="40" t="s">
        <v>385</v>
      </c>
      <c r="G185" s="40" t="s">
        <v>384</v>
      </c>
      <c r="H185" s="39" t="s">
        <v>383</v>
      </c>
      <c r="I185" s="43">
        <v>1010195582</v>
      </c>
      <c r="J185" s="42">
        <v>35835</v>
      </c>
      <c r="K185" s="42"/>
      <c r="L185" s="42">
        <v>35835</v>
      </c>
      <c r="M185" s="44">
        <v>558.85</v>
      </c>
      <c r="N185" s="40" t="s">
        <v>6</v>
      </c>
      <c r="O185" s="44">
        <v>614</v>
      </c>
      <c r="P185" s="44">
        <v>614</v>
      </c>
      <c r="Q185" s="44">
        <f>P185-M185</f>
        <v>55.149999999999977</v>
      </c>
      <c r="R185" s="29">
        <f t="shared" si="26"/>
        <v>661.79999999999973</v>
      </c>
      <c r="S185" s="29">
        <f t="shared" si="25"/>
        <v>87.84</v>
      </c>
      <c r="T185" s="65">
        <f t="shared" ca="1" si="17"/>
        <v>221.04000000000002</v>
      </c>
      <c r="U185" s="29">
        <f t="shared" si="18"/>
        <v>120</v>
      </c>
      <c r="V185" s="29">
        <f t="shared" si="19"/>
        <v>960</v>
      </c>
      <c r="W185" s="44">
        <f t="shared" si="20"/>
        <v>48</v>
      </c>
      <c r="X185" s="29">
        <f t="shared" si="21"/>
        <v>169</v>
      </c>
      <c r="Y185" s="29">
        <f t="shared" ca="1" si="22"/>
        <v>2322.83</v>
      </c>
      <c r="Z185" s="75">
        <v>2</v>
      </c>
      <c r="AA185" s="66">
        <f t="shared" ca="1" si="23"/>
        <v>12</v>
      </c>
      <c r="AB185" s="19"/>
      <c r="AC185" s="19"/>
      <c r="AD185" s="19"/>
      <c r="AE185" s="19"/>
    </row>
    <row r="186" spans="1:31" s="18" customFormat="1" ht="16.5" customHeight="1" x14ac:dyDescent="0.2">
      <c r="A186" s="39">
        <f t="shared" si="24"/>
        <v>183</v>
      </c>
      <c r="B186" s="40" t="s">
        <v>338</v>
      </c>
      <c r="C186" s="41">
        <v>702401951</v>
      </c>
      <c r="D186" s="42">
        <v>26991</v>
      </c>
      <c r="E186" s="40" t="s">
        <v>6</v>
      </c>
      <c r="F186" s="40" t="s">
        <v>385</v>
      </c>
      <c r="G186" s="40" t="s">
        <v>417</v>
      </c>
      <c r="H186" s="39" t="s">
        <v>383</v>
      </c>
      <c r="I186" s="43">
        <v>406067271404</v>
      </c>
      <c r="J186" s="42">
        <v>39935</v>
      </c>
      <c r="K186" s="42"/>
      <c r="L186" s="42">
        <v>40606</v>
      </c>
      <c r="M186" s="44">
        <v>461</v>
      </c>
      <c r="N186" s="40" t="s">
        <v>6</v>
      </c>
      <c r="O186" s="44">
        <v>614</v>
      </c>
      <c r="P186" s="44">
        <v>614</v>
      </c>
      <c r="Q186" s="44">
        <f>P186-M186</f>
        <v>153</v>
      </c>
      <c r="R186" s="29">
        <f t="shared" si="26"/>
        <v>1836</v>
      </c>
      <c r="S186" s="29">
        <f t="shared" si="25"/>
        <v>43.92</v>
      </c>
      <c r="T186" s="65">
        <f t="shared" ca="1" si="17"/>
        <v>92.100000000000009</v>
      </c>
      <c r="U186" s="29">
        <f t="shared" si="18"/>
        <v>120</v>
      </c>
      <c r="V186" s="29">
        <f t="shared" si="19"/>
        <v>960</v>
      </c>
      <c r="W186" s="44">
        <f t="shared" si="20"/>
        <v>48</v>
      </c>
      <c r="X186" s="29">
        <f t="shared" si="21"/>
        <v>169</v>
      </c>
      <c r="Y186" s="29">
        <f t="shared" ca="1" si="22"/>
        <v>3422.02</v>
      </c>
      <c r="Z186" s="75">
        <v>1</v>
      </c>
      <c r="AA186" s="66">
        <f t="shared" ca="1" si="23"/>
        <v>5</v>
      </c>
      <c r="AB186" s="19"/>
      <c r="AC186" s="19"/>
      <c r="AD186" s="19"/>
      <c r="AE186" s="19"/>
    </row>
    <row r="187" spans="1:31" s="18" customFormat="1" ht="16.5" customHeight="1" x14ac:dyDescent="0.2">
      <c r="A187" s="39">
        <f t="shared" si="24"/>
        <v>184</v>
      </c>
      <c r="B187" s="40" t="s">
        <v>342</v>
      </c>
      <c r="C187" s="41">
        <v>702331919</v>
      </c>
      <c r="D187" s="42">
        <v>25321</v>
      </c>
      <c r="E187" s="40" t="s">
        <v>6</v>
      </c>
      <c r="F187" s="40" t="s">
        <v>422</v>
      </c>
      <c r="G187" s="40" t="s">
        <v>384</v>
      </c>
      <c r="H187" s="39" t="s">
        <v>383</v>
      </c>
      <c r="I187" s="43">
        <v>1100024523</v>
      </c>
      <c r="J187" s="42">
        <v>41076</v>
      </c>
      <c r="K187" s="42"/>
      <c r="L187" s="42">
        <v>41076</v>
      </c>
      <c r="M187" s="44">
        <v>461</v>
      </c>
      <c r="N187" s="40" t="s">
        <v>6</v>
      </c>
      <c r="O187" s="44">
        <v>614</v>
      </c>
      <c r="P187" s="44">
        <v>614</v>
      </c>
      <c r="Q187" s="44">
        <f>P187-M187</f>
        <v>153</v>
      </c>
      <c r="R187" s="29">
        <f t="shared" si="26"/>
        <v>1836</v>
      </c>
      <c r="S187" s="29">
        <f t="shared" si="25"/>
        <v>0</v>
      </c>
      <c r="T187" s="65">
        <f t="shared" ca="1" si="17"/>
        <v>73.680000000000007</v>
      </c>
      <c r="U187" s="29">
        <f t="shared" si="18"/>
        <v>120</v>
      </c>
      <c r="V187" s="29">
        <f t="shared" si="19"/>
        <v>960</v>
      </c>
      <c r="W187" s="44">
        <f t="shared" si="20"/>
        <v>48</v>
      </c>
      <c r="X187" s="29">
        <f t="shared" si="21"/>
        <v>169</v>
      </c>
      <c r="Y187" s="29">
        <f t="shared" ca="1" si="22"/>
        <v>3359.68</v>
      </c>
      <c r="Z187" s="75"/>
      <c r="AA187" s="66">
        <f t="shared" ca="1" si="23"/>
        <v>4</v>
      </c>
      <c r="AB187" s="19"/>
      <c r="AC187" s="19"/>
      <c r="AD187" s="19"/>
      <c r="AE187" s="19"/>
    </row>
    <row r="188" spans="1:31" s="18" customFormat="1" ht="16.5" customHeight="1" x14ac:dyDescent="0.2">
      <c r="A188" s="39">
        <f t="shared" si="24"/>
        <v>185</v>
      </c>
      <c r="B188" s="40" t="s">
        <v>343</v>
      </c>
      <c r="C188" s="41">
        <v>701643199</v>
      </c>
      <c r="D188" s="42">
        <v>20042</v>
      </c>
      <c r="E188" s="40" t="s">
        <v>6</v>
      </c>
      <c r="F188" s="40" t="s">
        <v>385</v>
      </c>
      <c r="G188" s="40" t="s">
        <v>417</v>
      </c>
      <c r="H188" s="39" t="s">
        <v>383</v>
      </c>
      <c r="I188" s="43">
        <v>406073057600</v>
      </c>
      <c r="J188" s="42">
        <v>39569</v>
      </c>
      <c r="K188" s="42"/>
      <c r="L188" s="42">
        <v>39569</v>
      </c>
      <c r="M188" s="44">
        <v>461</v>
      </c>
      <c r="N188" s="40" t="s">
        <v>6</v>
      </c>
      <c r="O188" s="44">
        <v>614</v>
      </c>
      <c r="P188" s="44">
        <v>614</v>
      </c>
      <c r="Q188" s="44">
        <f>P188-M188</f>
        <v>153</v>
      </c>
      <c r="R188" s="29">
        <f t="shared" si="26"/>
        <v>1836</v>
      </c>
      <c r="S188" s="29">
        <f t="shared" si="25"/>
        <v>0</v>
      </c>
      <c r="T188" s="65">
        <f t="shared" ca="1" si="17"/>
        <v>147.36000000000001</v>
      </c>
      <c r="U188" s="29">
        <f t="shared" si="18"/>
        <v>120</v>
      </c>
      <c r="V188" s="29">
        <f t="shared" si="19"/>
        <v>960</v>
      </c>
      <c r="W188" s="44">
        <f t="shared" si="20"/>
        <v>48</v>
      </c>
      <c r="X188" s="29">
        <f t="shared" si="21"/>
        <v>169</v>
      </c>
      <c r="Y188" s="29">
        <f t="shared" ca="1" si="22"/>
        <v>3433.36</v>
      </c>
      <c r="Z188" s="75"/>
      <c r="AA188" s="66">
        <f t="shared" ca="1" si="23"/>
        <v>8</v>
      </c>
      <c r="AB188" s="19"/>
      <c r="AC188" s="19"/>
      <c r="AD188" s="19"/>
      <c r="AE188" s="19"/>
    </row>
    <row r="189" spans="1:31" s="18" customFormat="1" ht="16.5" customHeight="1" x14ac:dyDescent="0.2">
      <c r="A189" s="39">
        <f t="shared" si="24"/>
        <v>186</v>
      </c>
      <c r="B189" s="40" t="s">
        <v>358</v>
      </c>
      <c r="C189" s="41">
        <v>702569435</v>
      </c>
      <c r="D189" s="42">
        <v>25730</v>
      </c>
      <c r="E189" s="40" t="s">
        <v>6</v>
      </c>
      <c r="F189" s="40" t="s">
        <v>385</v>
      </c>
      <c r="G189" s="40" t="s">
        <v>397</v>
      </c>
      <c r="H189" s="39" t="s">
        <v>383</v>
      </c>
      <c r="I189" s="43">
        <v>1012298484</v>
      </c>
      <c r="J189" s="42">
        <v>39983</v>
      </c>
      <c r="K189" s="42"/>
      <c r="L189" s="42">
        <v>40817</v>
      </c>
      <c r="M189" s="44">
        <v>461</v>
      </c>
      <c r="N189" s="40" t="s">
        <v>6</v>
      </c>
      <c r="O189" s="44">
        <v>614</v>
      </c>
      <c r="P189" s="44">
        <v>614</v>
      </c>
      <c r="Q189" s="44">
        <f>P189-M189</f>
        <v>153</v>
      </c>
      <c r="R189" s="29">
        <f t="shared" si="26"/>
        <v>1836</v>
      </c>
      <c r="S189" s="29">
        <f t="shared" si="25"/>
        <v>0</v>
      </c>
      <c r="T189" s="65">
        <f t="shared" ca="1" si="17"/>
        <v>92.100000000000009</v>
      </c>
      <c r="U189" s="29">
        <f t="shared" si="18"/>
        <v>120</v>
      </c>
      <c r="V189" s="29">
        <f t="shared" si="19"/>
        <v>960</v>
      </c>
      <c r="W189" s="44">
        <f t="shared" si="20"/>
        <v>48</v>
      </c>
      <c r="X189" s="29">
        <f t="shared" si="21"/>
        <v>169</v>
      </c>
      <c r="Y189" s="29">
        <f t="shared" ca="1" si="22"/>
        <v>3378.1</v>
      </c>
      <c r="Z189" s="75"/>
      <c r="AA189" s="66">
        <f t="shared" ca="1" si="23"/>
        <v>5</v>
      </c>
      <c r="AB189" s="19"/>
      <c r="AC189" s="19"/>
      <c r="AD189" s="19"/>
      <c r="AE189" s="19"/>
    </row>
    <row r="190" spans="1:31" s="18" customFormat="1" ht="16.5" customHeight="1" x14ac:dyDescent="0.2">
      <c r="A190" s="39">
        <f t="shared" si="24"/>
        <v>187</v>
      </c>
      <c r="B190" s="40" t="s">
        <v>170</v>
      </c>
      <c r="C190" s="41">
        <v>702178039</v>
      </c>
      <c r="D190" s="42">
        <v>24465</v>
      </c>
      <c r="E190" s="40" t="s">
        <v>171</v>
      </c>
      <c r="F190" s="40" t="s">
        <v>385</v>
      </c>
      <c r="G190" s="40" t="s">
        <v>384</v>
      </c>
      <c r="H190" s="39" t="s">
        <v>383</v>
      </c>
      <c r="I190" s="43">
        <v>1010390075</v>
      </c>
      <c r="J190" s="42">
        <v>32509</v>
      </c>
      <c r="K190" s="42"/>
      <c r="L190" s="42">
        <v>32509</v>
      </c>
      <c r="M190" s="44">
        <v>643</v>
      </c>
      <c r="N190" s="40" t="s">
        <v>171</v>
      </c>
      <c r="O190" s="44">
        <v>561</v>
      </c>
      <c r="P190" s="44">
        <v>643</v>
      </c>
      <c r="Q190" s="44">
        <f>P190-M190</f>
        <v>0</v>
      </c>
      <c r="R190" s="29">
        <f t="shared" si="26"/>
        <v>0</v>
      </c>
      <c r="S190" s="29">
        <f t="shared" si="25"/>
        <v>0</v>
      </c>
      <c r="T190" s="65">
        <f t="shared" ca="1" si="17"/>
        <v>231.48</v>
      </c>
      <c r="U190" s="29">
        <f t="shared" si="18"/>
        <v>120</v>
      </c>
      <c r="V190" s="29">
        <f t="shared" si="19"/>
        <v>960</v>
      </c>
      <c r="W190" s="44">
        <f t="shared" si="20"/>
        <v>48</v>
      </c>
      <c r="X190" s="29">
        <f t="shared" si="21"/>
        <v>169</v>
      </c>
      <c r="Y190" s="29">
        <f t="shared" ca="1" si="22"/>
        <v>1528.48</v>
      </c>
      <c r="Z190" s="75"/>
      <c r="AA190" s="66">
        <f t="shared" ca="1" si="23"/>
        <v>12</v>
      </c>
      <c r="AB190" s="19"/>
      <c r="AC190" s="19"/>
      <c r="AD190" s="19"/>
      <c r="AE190" s="19"/>
    </row>
    <row r="191" spans="1:31" s="18" customFormat="1" ht="16.5" customHeight="1" x14ac:dyDescent="0.2">
      <c r="A191" s="39">
        <f t="shared" si="24"/>
        <v>188</v>
      </c>
      <c r="B191" s="40" t="s">
        <v>200</v>
      </c>
      <c r="C191" s="41">
        <v>701872129</v>
      </c>
      <c r="D191" s="42">
        <v>23703</v>
      </c>
      <c r="E191" s="40" t="s">
        <v>171</v>
      </c>
      <c r="F191" s="40" t="s">
        <v>385</v>
      </c>
      <c r="G191" s="40" t="s">
        <v>384</v>
      </c>
      <c r="H191" s="39" t="s">
        <v>383</v>
      </c>
      <c r="I191" s="43">
        <v>1010262174</v>
      </c>
      <c r="J191" s="42">
        <v>36465</v>
      </c>
      <c r="K191" s="42"/>
      <c r="L191" s="42">
        <v>36465</v>
      </c>
      <c r="M191" s="44">
        <v>430</v>
      </c>
      <c r="N191" s="40" t="s">
        <v>171</v>
      </c>
      <c r="O191" s="44">
        <v>561</v>
      </c>
      <c r="P191" s="44">
        <v>561</v>
      </c>
      <c r="Q191" s="44">
        <f>P191-M191</f>
        <v>131</v>
      </c>
      <c r="R191" s="29">
        <f t="shared" si="26"/>
        <v>1572</v>
      </c>
      <c r="S191" s="29">
        <f t="shared" si="25"/>
        <v>0</v>
      </c>
      <c r="T191" s="65">
        <f t="shared" ca="1" si="17"/>
        <v>201.96000000000004</v>
      </c>
      <c r="U191" s="29">
        <f t="shared" si="18"/>
        <v>120</v>
      </c>
      <c r="V191" s="29">
        <f t="shared" si="19"/>
        <v>960</v>
      </c>
      <c r="W191" s="44">
        <f t="shared" si="20"/>
        <v>48</v>
      </c>
      <c r="X191" s="29">
        <f t="shared" si="21"/>
        <v>169</v>
      </c>
      <c r="Y191" s="29">
        <f t="shared" ca="1" si="22"/>
        <v>3201.96</v>
      </c>
      <c r="Z191" s="75"/>
      <c r="AA191" s="66">
        <f t="shared" ca="1" si="23"/>
        <v>12</v>
      </c>
      <c r="AB191" s="19"/>
      <c r="AC191" s="19"/>
      <c r="AD191" s="19"/>
      <c r="AE191" s="19"/>
    </row>
    <row r="192" spans="1:31" s="18" customFormat="1" ht="16.5" customHeight="1" x14ac:dyDescent="0.2">
      <c r="A192" s="39">
        <f t="shared" si="24"/>
        <v>189</v>
      </c>
      <c r="B192" s="40" t="s">
        <v>234</v>
      </c>
      <c r="C192" s="41">
        <v>701740326</v>
      </c>
      <c r="D192" s="42">
        <v>22931</v>
      </c>
      <c r="E192" s="40" t="s">
        <v>171</v>
      </c>
      <c r="F192" s="40" t="s">
        <v>385</v>
      </c>
      <c r="G192" s="40" t="s">
        <v>384</v>
      </c>
      <c r="H192" s="39" t="s">
        <v>383</v>
      </c>
      <c r="I192" s="43">
        <v>1010641620</v>
      </c>
      <c r="J192" s="42">
        <v>32601</v>
      </c>
      <c r="K192" s="42"/>
      <c r="L192" s="42">
        <v>32601</v>
      </c>
      <c r="M192" s="44">
        <v>521.22</v>
      </c>
      <c r="N192" s="40" t="s">
        <v>171</v>
      </c>
      <c r="O192" s="44">
        <v>561</v>
      </c>
      <c r="P192" s="44">
        <v>561</v>
      </c>
      <c r="Q192" s="44">
        <f>P192-M192</f>
        <v>39.779999999999973</v>
      </c>
      <c r="R192" s="29">
        <f t="shared" si="26"/>
        <v>477.35999999999967</v>
      </c>
      <c r="S192" s="29">
        <f t="shared" si="25"/>
        <v>43.92</v>
      </c>
      <c r="T192" s="65">
        <f t="shared" ca="1" si="17"/>
        <v>201.96000000000004</v>
      </c>
      <c r="U192" s="29">
        <f t="shared" si="18"/>
        <v>120</v>
      </c>
      <c r="V192" s="29">
        <f t="shared" si="19"/>
        <v>960</v>
      </c>
      <c r="W192" s="44">
        <f t="shared" si="20"/>
        <v>48</v>
      </c>
      <c r="X192" s="29">
        <f t="shared" si="21"/>
        <v>169</v>
      </c>
      <c r="Y192" s="29">
        <f t="shared" ca="1" si="22"/>
        <v>2060.0199999999995</v>
      </c>
      <c r="Z192" s="75">
        <v>1</v>
      </c>
      <c r="AA192" s="66">
        <f t="shared" ca="1" si="23"/>
        <v>12</v>
      </c>
      <c r="AB192" s="19"/>
      <c r="AC192" s="19"/>
      <c r="AD192" s="19"/>
      <c r="AE192" s="19"/>
    </row>
    <row r="193" spans="1:31 16376:16376" s="18" customFormat="1" ht="16.5" customHeight="1" x14ac:dyDescent="0.2">
      <c r="A193" s="39">
        <f t="shared" si="24"/>
        <v>190</v>
      </c>
      <c r="B193" s="40" t="s">
        <v>264</v>
      </c>
      <c r="C193" s="41">
        <v>701143299</v>
      </c>
      <c r="D193" s="42">
        <v>21166</v>
      </c>
      <c r="E193" s="40" t="s">
        <v>171</v>
      </c>
      <c r="F193" s="40" t="s">
        <v>385</v>
      </c>
      <c r="G193" s="40" t="s">
        <v>393</v>
      </c>
      <c r="H193" s="39" t="s">
        <v>383</v>
      </c>
      <c r="I193" s="43">
        <v>8160105800</v>
      </c>
      <c r="J193" s="42">
        <v>39569</v>
      </c>
      <c r="K193" s="42"/>
      <c r="L193" s="42">
        <v>39569</v>
      </c>
      <c r="M193" s="44">
        <v>419</v>
      </c>
      <c r="N193" s="40" t="s">
        <v>171</v>
      </c>
      <c r="O193" s="44">
        <v>561</v>
      </c>
      <c r="P193" s="44">
        <v>561</v>
      </c>
      <c r="Q193" s="44">
        <f>P193-M193</f>
        <v>142</v>
      </c>
      <c r="R193" s="29">
        <f t="shared" si="26"/>
        <v>1704</v>
      </c>
      <c r="S193" s="29">
        <f t="shared" si="25"/>
        <v>43.92</v>
      </c>
      <c r="T193" s="65">
        <f t="shared" ca="1" si="17"/>
        <v>134.64000000000001</v>
      </c>
      <c r="U193" s="29">
        <f t="shared" si="18"/>
        <v>120</v>
      </c>
      <c r="V193" s="29">
        <f t="shared" si="19"/>
        <v>960</v>
      </c>
      <c r="W193" s="44">
        <f t="shared" si="20"/>
        <v>48</v>
      </c>
      <c r="X193" s="29">
        <f t="shared" si="21"/>
        <v>169</v>
      </c>
      <c r="Y193" s="29">
        <f t="shared" ca="1" si="22"/>
        <v>3321.5600000000004</v>
      </c>
      <c r="Z193" s="75">
        <v>1</v>
      </c>
      <c r="AA193" s="66">
        <f t="shared" ca="1" si="23"/>
        <v>8</v>
      </c>
      <c r="AB193" s="19"/>
      <c r="AC193" s="19"/>
      <c r="AD193" s="19"/>
      <c r="AE193" s="19"/>
    </row>
    <row r="194" spans="1:31 16376:16376" s="18" customFormat="1" ht="16.5" customHeight="1" x14ac:dyDescent="0.2">
      <c r="A194" s="39">
        <f t="shared" si="24"/>
        <v>191</v>
      </c>
      <c r="B194" s="40" t="s">
        <v>292</v>
      </c>
      <c r="C194" s="41">
        <v>701966897</v>
      </c>
      <c r="D194" s="42">
        <v>23578</v>
      </c>
      <c r="E194" s="40" t="s">
        <v>171</v>
      </c>
      <c r="F194" s="40" t="s">
        <v>385</v>
      </c>
      <c r="G194" s="40" t="s">
        <v>384</v>
      </c>
      <c r="H194" s="39" t="s">
        <v>383</v>
      </c>
      <c r="I194" s="43">
        <v>1010176855</v>
      </c>
      <c r="J194" s="42">
        <v>32281</v>
      </c>
      <c r="K194" s="42"/>
      <c r="L194" s="42">
        <v>32281</v>
      </c>
      <c r="M194" s="44">
        <v>535.61</v>
      </c>
      <c r="N194" s="40" t="s">
        <v>171</v>
      </c>
      <c r="O194" s="44">
        <v>561</v>
      </c>
      <c r="P194" s="44">
        <v>561</v>
      </c>
      <c r="Q194" s="44">
        <f>P194-M194</f>
        <v>25.389999999999986</v>
      </c>
      <c r="R194" s="29">
        <f t="shared" si="26"/>
        <v>304.67999999999984</v>
      </c>
      <c r="S194" s="29">
        <f t="shared" si="25"/>
        <v>0</v>
      </c>
      <c r="T194" s="65">
        <f t="shared" ca="1" si="17"/>
        <v>201.96000000000004</v>
      </c>
      <c r="U194" s="29">
        <f t="shared" si="18"/>
        <v>120</v>
      </c>
      <c r="V194" s="29">
        <f t="shared" si="19"/>
        <v>960</v>
      </c>
      <c r="W194" s="44">
        <f t="shared" si="20"/>
        <v>48</v>
      </c>
      <c r="X194" s="29">
        <f t="shared" si="21"/>
        <v>169</v>
      </c>
      <c r="Y194" s="29">
        <f t="shared" ca="1" si="22"/>
        <v>1829.0299999999997</v>
      </c>
      <c r="Z194" s="75"/>
      <c r="AA194" s="66">
        <f t="shared" ca="1" si="23"/>
        <v>12</v>
      </c>
      <c r="AB194" s="19"/>
      <c r="AC194" s="19"/>
      <c r="AD194" s="19"/>
      <c r="AE194" s="19"/>
    </row>
    <row r="195" spans="1:31 16376:16376" s="18" customFormat="1" ht="16.5" customHeight="1" x14ac:dyDescent="0.2">
      <c r="A195" s="39">
        <f t="shared" si="24"/>
        <v>192</v>
      </c>
      <c r="B195" s="40" t="s">
        <v>359</v>
      </c>
      <c r="C195" s="41">
        <v>700687551</v>
      </c>
      <c r="D195" s="42">
        <v>19064</v>
      </c>
      <c r="E195" s="40" t="s">
        <v>171</v>
      </c>
      <c r="F195" s="40" t="s">
        <v>385</v>
      </c>
      <c r="G195" s="40" t="s">
        <v>384</v>
      </c>
      <c r="H195" s="39" t="s">
        <v>383</v>
      </c>
      <c r="I195" s="43">
        <v>1010731964</v>
      </c>
      <c r="J195" s="42">
        <v>39569</v>
      </c>
      <c r="K195" s="42"/>
      <c r="L195" s="42">
        <v>39569</v>
      </c>
      <c r="M195" s="44">
        <v>419</v>
      </c>
      <c r="N195" s="40" t="s">
        <v>171</v>
      </c>
      <c r="O195" s="44">
        <v>561</v>
      </c>
      <c r="P195" s="44">
        <v>561</v>
      </c>
      <c r="Q195" s="44">
        <f>P195-M195</f>
        <v>142</v>
      </c>
      <c r="R195" s="29">
        <f t="shared" si="26"/>
        <v>1704</v>
      </c>
      <c r="S195" s="29">
        <f t="shared" si="25"/>
        <v>0</v>
      </c>
      <c r="T195" s="65">
        <f t="shared" ca="1" si="17"/>
        <v>134.64000000000001</v>
      </c>
      <c r="U195" s="29">
        <f t="shared" si="18"/>
        <v>120</v>
      </c>
      <c r="V195" s="29">
        <f t="shared" si="19"/>
        <v>960</v>
      </c>
      <c r="W195" s="44">
        <f t="shared" si="20"/>
        <v>48</v>
      </c>
      <c r="X195" s="29">
        <f t="shared" si="21"/>
        <v>169</v>
      </c>
      <c r="Y195" s="29">
        <f t="shared" ca="1" si="22"/>
        <v>3277.6400000000003</v>
      </c>
      <c r="Z195" s="75"/>
      <c r="AA195" s="66">
        <f t="shared" ca="1" si="23"/>
        <v>8</v>
      </c>
      <c r="AB195" s="19"/>
      <c r="AC195" s="19"/>
      <c r="AD195" s="19"/>
      <c r="AE195" s="19"/>
    </row>
    <row r="196" spans="1:31 16376:16376" s="18" customFormat="1" ht="16.5" customHeight="1" x14ac:dyDescent="0.2">
      <c r="A196" s="39">
        <f t="shared" si="24"/>
        <v>193</v>
      </c>
      <c r="B196" s="40" t="s">
        <v>362</v>
      </c>
      <c r="C196" s="41">
        <v>701535833</v>
      </c>
      <c r="D196" s="42">
        <v>22273</v>
      </c>
      <c r="E196" s="40" t="s">
        <v>171</v>
      </c>
      <c r="F196" s="40" t="s">
        <v>385</v>
      </c>
      <c r="G196" s="40" t="s">
        <v>417</v>
      </c>
      <c r="H196" s="39" t="s">
        <v>383</v>
      </c>
      <c r="I196" s="43">
        <v>406021424800</v>
      </c>
      <c r="J196" s="42">
        <v>39569</v>
      </c>
      <c r="K196" s="42"/>
      <c r="L196" s="42">
        <v>39569</v>
      </c>
      <c r="M196" s="44">
        <v>419</v>
      </c>
      <c r="N196" s="40" t="s">
        <v>171</v>
      </c>
      <c r="O196" s="44">
        <v>561</v>
      </c>
      <c r="P196" s="44">
        <v>561</v>
      </c>
      <c r="Q196" s="44">
        <f>P196-M196</f>
        <v>142</v>
      </c>
      <c r="R196" s="29">
        <f t="shared" si="26"/>
        <v>1704</v>
      </c>
      <c r="S196" s="29">
        <f t="shared" si="25"/>
        <v>0</v>
      </c>
      <c r="T196" s="65">
        <f t="shared" ca="1" si="17"/>
        <v>134.64000000000001</v>
      </c>
      <c r="U196" s="29">
        <f t="shared" si="18"/>
        <v>120</v>
      </c>
      <c r="V196" s="29">
        <f t="shared" si="19"/>
        <v>960</v>
      </c>
      <c r="W196" s="44">
        <f t="shared" si="20"/>
        <v>48</v>
      </c>
      <c r="X196" s="29">
        <f t="shared" si="21"/>
        <v>169</v>
      </c>
      <c r="Y196" s="29">
        <f t="shared" ca="1" si="22"/>
        <v>3277.6400000000003</v>
      </c>
      <c r="Z196" s="75"/>
      <c r="AA196" s="66">
        <f t="shared" ca="1" si="23"/>
        <v>8</v>
      </c>
      <c r="AB196" s="19"/>
      <c r="AC196" s="19"/>
      <c r="AD196" s="19"/>
      <c r="AE196" s="19"/>
    </row>
    <row r="197" spans="1:31 16376:16376" s="18" customFormat="1" ht="16.5" customHeight="1" x14ac:dyDescent="0.2">
      <c r="A197" s="45">
        <f t="shared" si="24"/>
        <v>194</v>
      </c>
      <c r="B197" s="46" t="s">
        <v>410</v>
      </c>
      <c r="C197" s="47">
        <v>700656598</v>
      </c>
      <c r="D197" s="48">
        <v>18447</v>
      </c>
      <c r="E197" s="46" t="s">
        <v>411</v>
      </c>
      <c r="F197" s="46" t="s">
        <v>422</v>
      </c>
      <c r="G197" s="46" t="s">
        <v>384</v>
      </c>
      <c r="H197" s="45" t="s">
        <v>383</v>
      </c>
      <c r="I197" s="49">
        <v>1010130804</v>
      </c>
      <c r="J197" s="48">
        <v>39569</v>
      </c>
      <c r="K197" s="48">
        <v>42582</v>
      </c>
      <c r="L197" s="48">
        <v>39569</v>
      </c>
      <c r="M197" s="50">
        <v>419</v>
      </c>
      <c r="N197" s="46" t="s">
        <v>434</v>
      </c>
      <c r="O197" s="50">
        <v>561</v>
      </c>
      <c r="P197" s="50">
        <v>561</v>
      </c>
      <c r="Q197" s="50">
        <f>P197-M197</f>
        <v>142</v>
      </c>
      <c r="R197" s="50">
        <f t="shared" ref="R197:R260" si="27">Q197*12</f>
        <v>1704</v>
      </c>
      <c r="S197" s="50">
        <f t="shared" si="25"/>
        <v>0</v>
      </c>
      <c r="T197" s="76">
        <f t="shared" ref="T197:T260" ca="1" si="28">P197*$T$3*AA197*12</f>
        <v>134.64000000000001</v>
      </c>
      <c r="U197" s="50">
        <f t="shared" ref="U197:U260" si="29">$U$3*20*12</f>
        <v>120</v>
      </c>
      <c r="V197" s="50">
        <f t="shared" ref="V197:V260" si="30">$V$3*20*12</f>
        <v>960</v>
      </c>
      <c r="W197" s="50">
        <f t="shared" ref="W197:W260" si="31">$W$3*12</f>
        <v>48</v>
      </c>
      <c r="X197" s="50">
        <f t="shared" ref="X197:X260" si="32">$X$3</f>
        <v>169</v>
      </c>
      <c r="Y197" s="50">
        <f t="shared" ref="Y197:Y260" ca="1" si="33">SUM(Q197:X197)</f>
        <v>3277.6400000000003</v>
      </c>
      <c r="Z197" s="77"/>
      <c r="AA197" s="66">
        <f t="shared" ref="AA197:AA260" ca="1" si="34">IF(YEAR(L197)&gt;2003,(YEAR(TODAY())-YEAR(L197)),12)</f>
        <v>8</v>
      </c>
      <c r="AB197" s="19"/>
      <c r="AC197" s="19"/>
      <c r="AD197" s="19"/>
      <c r="AE197" s="19"/>
    </row>
    <row r="198" spans="1:31 16376:16376" s="18" customFormat="1" ht="16.5" customHeight="1" x14ac:dyDescent="0.2">
      <c r="A198" s="39">
        <f t="shared" si="24"/>
        <v>195</v>
      </c>
      <c r="B198" s="40" t="s">
        <v>187</v>
      </c>
      <c r="C198" s="41">
        <v>703143388</v>
      </c>
      <c r="D198" s="42">
        <v>27743</v>
      </c>
      <c r="E198" s="40" t="s">
        <v>188</v>
      </c>
      <c r="F198" s="40" t="s">
        <v>421</v>
      </c>
      <c r="G198" s="40" t="s">
        <v>403</v>
      </c>
      <c r="H198" s="39" t="s">
        <v>383</v>
      </c>
      <c r="I198" s="43">
        <v>2900481635</v>
      </c>
      <c r="J198" s="42">
        <v>39569</v>
      </c>
      <c r="K198" s="42"/>
      <c r="L198" s="42">
        <v>40546</v>
      </c>
      <c r="M198" s="44">
        <v>531</v>
      </c>
      <c r="N198" s="40" t="s">
        <v>188</v>
      </c>
      <c r="O198" s="44">
        <v>561</v>
      </c>
      <c r="P198" s="44">
        <v>561</v>
      </c>
      <c r="Q198" s="44">
        <f>P198-M198</f>
        <v>30</v>
      </c>
      <c r="R198" s="29">
        <f t="shared" si="27"/>
        <v>360</v>
      </c>
      <c r="S198" s="29">
        <f t="shared" si="25"/>
        <v>0</v>
      </c>
      <c r="T198" s="65">
        <f t="shared" ca="1" si="28"/>
        <v>84.15</v>
      </c>
      <c r="U198" s="29">
        <f t="shared" si="29"/>
        <v>120</v>
      </c>
      <c r="V198" s="29">
        <f t="shared" si="30"/>
        <v>960</v>
      </c>
      <c r="W198" s="44">
        <f t="shared" si="31"/>
        <v>48</v>
      </c>
      <c r="X198" s="29">
        <f t="shared" si="32"/>
        <v>169</v>
      </c>
      <c r="Y198" s="29">
        <f t="shared" ca="1" si="33"/>
        <v>1771.15</v>
      </c>
      <c r="Z198" s="75"/>
      <c r="AA198" s="66">
        <f t="shared" ca="1" si="34"/>
        <v>5</v>
      </c>
      <c r="AB198" s="19"/>
      <c r="AC198" s="19"/>
      <c r="AD198" s="19"/>
      <c r="AE198" s="19"/>
    </row>
    <row r="199" spans="1:31 16376:16376" s="18" customFormat="1" ht="16.5" customHeight="1" x14ac:dyDescent="0.2">
      <c r="A199" s="39">
        <f t="shared" ref="A199:A262" si="35">A198+1</f>
        <v>196</v>
      </c>
      <c r="B199" s="40" t="s">
        <v>282</v>
      </c>
      <c r="C199" s="41">
        <v>703614636</v>
      </c>
      <c r="D199" s="42">
        <v>28924</v>
      </c>
      <c r="E199" s="40" t="s">
        <v>188</v>
      </c>
      <c r="F199" s="40" t="s">
        <v>421</v>
      </c>
      <c r="G199" s="40" t="s">
        <v>386</v>
      </c>
      <c r="H199" s="39" t="s">
        <v>383</v>
      </c>
      <c r="I199" s="43">
        <v>3476257800</v>
      </c>
      <c r="J199" s="42">
        <v>39569</v>
      </c>
      <c r="K199" s="42"/>
      <c r="L199" s="42">
        <v>40546</v>
      </c>
      <c r="M199" s="44">
        <v>531</v>
      </c>
      <c r="N199" s="40" t="s">
        <v>188</v>
      </c>
      <c r="O199" s="44">
        <v>561</v>
      </c>
      <c r="P199" s="44">
        <v>561</v>
      </c>
      <c r="Q199" s="44">
        <f>P199-M199</f>
        <v>30</v>
      </c>
      <c r="R199" s="29">
        <f t="shared" si="27"/>
        <v>360</v>
      </c>
      <c r="S199" s="29">
        <f t="shared" ref="S199:S262" si="36">$S$3*1%*Z199*12</f>
        <v>0</v>
      </c>
      <c r="T199" s="65">
        <f t="shared" ca="1" si="28"/>
        <v>84.15</v>
      </c>
      <c r="U199" s="29">
        <f t="shared" si="29"/>
        <v>120</v>
      </c>
      <c r="V199" s="29">
        <f t="shared" si="30"/>
        <v>960</v>
      </c>
      <c r="W199" s="44">
        <f t="shared" si="31"/>
        <v>48</v>
      </c>
      <c r="X199" s="29">
        <f t="shared" si="32"/>
        <v>169</v>
      </c>
      <c r="Y199" s="29">
        <f t="shared" ca="1" si="33"/>
        <v>1771.15</v>
      </c>
      <c r="Z199" s="75"/>
      <c r="AA199" s="66">
        <f t="shared" ca="1" si="34"/>
        <v>5</v>
      </c>
      <c r="AB199" s="19"/>
      <c r="AC199" s="19"/>
      <c r="AD199" s="19"/>
      <c r="AE199" s="19"/>
    </row>
    <row r="200" spans="1:31 16376:16376" s="18" customFormat="1" ht="16.5" customHeight="1" x14ac:dyDescent="0.2">
      <c r="A200" s="39">
        <f t="shared" si="35"/>
        <v>197</v>
      </c>
      <c r="B200" s="40" t="s">
        <v>390</v>
      </c>
      <c r="C200" s="41">
        <v>700920457</v>
      </c>
      <c r="D200" s="42">
        <v>19898</v>
      </c>
      <c r="E200" s="40" t="s">
        <v>10</v>
      </c>
      <c r="F200" s="40" t="s">
        <v>389</v>
      </c>
      <c r="G200" s="40" t="s">
        <v>384</v>
      </c>
      <c r="H200" s="39" t="s">
        <v>383</v>
      </c>
      <c r="I200" s="43">
        <v>1010730097</v>
      </c>
      <c r="J200" s="42">
        <v>39569</v>
      </c>
      <c r="K200" s="42">
        <v>42582</v>
      </c>
      <c r="L200" s="42">
        <v>39569</v>
      </c>
      <c r="M200" s="44">
        <v>419</v>
      </c>
      <c r="N200" s="40" t="s">
        <v>431</v>
      </c>
      <c r="O200" s="44">
        <v>561</v>
      </c>
      <c r="P200" s="44">
        <v>561</v>
      </c>
      <c r="Q200" s="44">
        <f>P200-M200</f>
        <v>142</v>
      </c>
      <c r="R200" s="29">
        <f>Q200*7</f>
        <v>994</v>
      </c>
      <c r="S200" s="29">
        <f t="shared" si="36"/>
        <v>0</v>
      </c>
      <c r="T200" s="65">
        <f t="shared" ca="1" si="28"/>
        <v>134.64000000000001</v>
      </c>
      <c r="U200" s="29">
        <f t="shared" si="29"/>
        <v>120</v>
      </c>
      <c r="V200" s="29">
        <f t="shared" si="30"/>
        <v>960</v>
      </c>
      <c r="W200" s="44">
        <f t="shared" si="31"/>
        <v>48</v>
      </c>
      <c r="X200" s="29">
        <f t="shared" si="32"/>
        <v>169</v>
      </c>
      <c r="Y200" s="29">
        <f t="shared" ca="1" si="33"/>
        <v>2567.6400000000003</v>
      </c>
      <c r="Z200" s="75"/>
      <c r="AA200" s="66">
        <f t="shared" ca="1" si="34"/>
        <v>8</v>
      </c>
      <c r="AB200" s="19"/>
      <c r="AC200" s="19"/>
      <c r="AD200" s="19"/>
      <c r="AE200" s="19"/>
    </row>
    <row r="201" spans="1:31 16376:16376" s="18" customFormat="1" ht="16.5" customHeight="1" x14ac:dyDescent="0.2">
      <c r="A201" s="39">
        <f t="shared" si="35"/>
        <v>198</v>
      </c>
      <c r="B201" s="40" t="s">
        <v>400</v>
      </c>
      <c r="C201" s="41">
        <v>700657950</v>
      </c>
      <c r="D201" s="42">
        <v>18803</v>
      </c>
      <c r="E201" s="40" t="s">
        <v>10</v>
      </c>
      <c r="F201" s="40" t="s">
        <v>389</v>
      </c>
      <c r="G201" s="40" t="s">
        <v>384</v>
      </c>
      <c r="H201" s="39" t="s">
        <v>383</v>
      </c>
      <c r="I201" s="43">
        <v>1010177355</v>
      </c>
      <c r="J201" s="42">
        <v>31062</v>
      </c>
      <c r="K201" s="42">
        <v>42582</v>
      </c>
      <c r="L201" s="42">
        <v>31062</v>
      </c>
      <c r="M201" s="44">
        <v>566.59</v>
      </c>
      <c r="N201" s="40" t="s">
        <v>431</v>
      </c>
      <c r="O201" s="44">
        <v>561</v>
      </c>
      <c r="P201" s="44">
        <v>566.59</v>
      </c>
      <c r="Q201" s="44">
        <f>P201-M201</f>
        <v>0</v>
      </c>
      <c r="R201" s="29">
        <f t="shared" si="27"/>
        <v>0</v>
      </c>
      <c r="S201" s="29">
        <f t="shared" si="36"/>
        <v>0</v>
      </c>
      <c r="T201" s="65">
        <f t="shared" ca="1" si="28"/>
        <v>203.97240000000002</v>
      </c>
      <c r="U201" s="29">
        <f t="shared" si="29"/>
        <v>120</v>
      </c>
      <c r="V201" s="29">
        <f t="shared" si="30"/>
        <v>960</v>
      </c>
      <c r="W201" s="44">
        <f t="shared" si="31"/>
        <v>48</v>
      </c>
      <c r="X201" s="29">
        <f t="shared" si="32"/>
        <v>169</v>
      </c>
      <c r="Y201" s="29">
        <f t="shared" ca="1" si="33"/>
        <v>1500.9724000000001</v>
      </c>
      <c r="Z201" s="75"/>
      <c r="AA201" s="66">
        <f t="shared" ca="1" si="34"/>
        <v>12</v>
      </c>
      <c r="AB201" s="19"/>
      <c r="AC201" s="19"/>
      <c r="AD201" s="19"/>
      <c r="AE201" s="19"/>
    </row>
    <row r="202" spans="1:31 16376:16376" s="18" customFormat="1" ht="16.5" customHeight="1" x14ac:dyDescent="0.2">
      <c r="A202" s="39">
        <f t="shared" si="35"/>
        <v>199</v>
      </c>
      <c r="B202" s="40" t="s">
        <v>409</v>
      </c>
      <c r="C202" s="41">
        <v>700455777</v>
      </c>
      <c r="D202" s="42">
        <v>15264</v>
      </c>
      <c r="E202" s="40" t="s">
        <v>10</v>
      </c>
      <c r="F202" s="40" t="s">
        <v>389</v>
      </c>
      <c r="G202" s="40" t="s">
        <v>384</v>
      </c>
      <c r="H202" s="39" t="s">
        <v>383</v>
      </c>
      <c r="I202" s="43">
        <v>1010730895</v>
      </c>
      <c r="J202" s="42">
        <v>39569</v>
      </c>
      <c r="K202" s="42">
        <v>42521</v>
      </c>
      <c r="L202" s="42">
        <v>39569</v>
      </c>
      <c r="M202" s="44">
        <v>419</v>
      </c>
      <c r="N202" s="40" t="s">
        <v>431</v>
      </c>
      <c r="O202" s="44">
        <v>561</v>
      </c>
      <c r="P202" s="44">
        <v>561</v>
      </c>
      <c r="Q202" s="44">
        <f>P202-M202</f>
        <v>142</v>
      </c>
      <c r="R202" s="29">
        <f>Q202*5</f>
        <v>710</v>
      </c>
      <c r="S202" s="29">
        <f t="shared" si="36"/>
        <v>0</v>
      </c>
      <c r="T202" s="65">
        <f t="shared" ca="1" si="28"/>
        <v>134.64000000000001</v>
      </c>
      <c r="U202" s="29">
        <f t="shared" si="29"/>
        <v>120</v>
      </c>
      <c r="V202" s="29">
        <f t="shared" si="30"/>
        <v>960</v>
      </c>
      <c r="W202" s="44">
        <f t="shared" si="31"/>
        <v>48</v>
      </c>
      <c r="X202" s="29">
        <f t="shared" si="32"/>
        <v>169</v>
      </c>
      <c r="Y202" s="29">
        <f t="shared" ca="1" si="33"/>
        <v>2283.64</v>
      </c>
      <c r="Z202" s="75"/>
      <c r="AA202" s="66">
        <f t="shared" ca="1" si="34"/>
        <v>8</v>
      </c>
      <c r="AB202" s="19"/>
      <c r="AC202" s="19"/>
      <c r="AD202" s="19"/>
      <c r="AE202" s="19"/>
      <c r="XEV202" s="17"/>
    </row>
    <row r="203" spans="1:31 16376:16376" s="18" customFormat="1" ht="16.5" customHeight="1" x14ac:dyDescent="0.2">
      <c r="A203" s="39">
        <f t="shared" si="35"/>
        <v>200</v>
      </c>
      <c r="B203" s="40" t="s">
        <v>11</v>
      </c>
      <c r="C203" s="41">
        <v>1001152253</v>
      </c>
      <c r="D203" s="42">
        <v>21301</v>
      </c>
      <c r="E203" s="40" t="s">
        <v>10</v>
      </c>
      <c r="F203" s="40" t="s">
        <v>389</v>
      </c>
      <c r="G203" s="40" t="s">
        <v>384</v>
      </c>
      <c r="H203" s="39" t="s">
        <v>383</v>
      </c>
      <c r="I203" s="43">
        <v>1010421043</v>
      </c>
      <c r="J203" s="42">
        <v>34015</v>
      </c>
      <c r="K203" s="42"/>
      <c r="L203" s="42">
        <v>34015</v>
      </c>
      <c r="M203" s="44">
        <v>512.37</v>
      </c>
      <c r="N203" s="40" t="s">
        <v>431</v>
      </c>
      <c r="O203" s="44">
        <v>561</v>
      </c>
      <c r="P203" s="44">
        <v>561</v>
      </c>
      <c r="Q203" s="44">
        <f>P203-M203</f>
        <v>48.629999999999995</v>
      </c>
      <c r="R203" s="29">
        <f t="shared" si="27"/>
        <v>583.55999999999995</v>
      </c>
      <c r="S203" s="29">
        <f t="shared" si="36"/>
        <v>219.60000000000002</v>
      </c>
      <c r="T203" s="65">
        <f t="shared" ca="1" si="28"/>
        <v>201.96000000000004</v>
      </c>
      <c r="U203" s="29">
        <f t="shared" si="29"/>
        <v>120</v>
      </c>
      <c r="V203" s="29">
        <f t="shared" si="30"/>
        <v>960</v>
      </c>
      <c r="W203" s="44">
        <f t="shared" si="31"/>
        <v>48</v>
      </c>
      <c r="X203" s="29">
        <f t="shared" si="32"/>
        <v>169</v>
      </c>
      <c r="Y203" s="29">
        <f t="shared" ca="1" si="33"/>
        <v>2350.75</v>
      </c>
      <c r="Z203" s="75">
        <v>5</v>
      </c>
      <c r="AA203" s="66">
        <f t="shared" ca="1" si="34"/>
        <v>12</v>
      </c>
      <c r="AB203" s="19"/>
      <c r="AC203" s="19"/>
      <c r="AD203" s="19"/>
      <c r="AE203" s="19"/>
    </row>
    <row r="204" spans="1:31 16376:16376" s="18" customFormat="1" ht="16.5" customHeight="1" x14ac:dyDescent="0.2">
      <c r="A204" s="39">
        <f t="shared" si="35"/>
        <v>201</v>
      </c>
      <c r="B204" s="40" t="s">
        <v>14</v>
      </c>
      <c r="C204" s="41">
        <v>1702135599</v>
      </c>
      <c r="D204" s="42">
        <v>17016</v>
      </c>
      <c r="E204" s="40" t="s">
        <v>10</v>
      </c>
      <c r="F204" s="40" t="s">
        <v>389</v>
      </c>
      <c r="G204" s="40" t="s">
        <v>384</v>
      </c>
      <c r="H204" s="39" t="s">
        <v>383</v>
      </c>
      <c r="I204" s="43">
        <v>1010442539</v>
      </c>
      <c r="J204" s="42">
        <v>39569</v>
      </c>
      <c r="K204" s="42"/>
      <c r="L204" s="42">
        <v>39569</v>
      </c>
      <c r="M204" s="44">
        <v>419</v>
      </c>
      <c r="N204" s="40" t="s">
        <v>431</v>
      </c>
      <c r="O204" s="44">
        <v>561</v>
      </c>
      <c r="P204" s="44">
        <v>561</v>
      </c>
      <c r="Q204" s="44">
        <f>P204-M204</f>
        <v>142</v>
      </c>
      <c r="R204" s="29">
        <f t="shared" si="27"/>
        <v>1704</v>
      </c>
      <c r="S204" s="29">
        <f t="shared" si="36"/>
        <v>0</v>
      </c>
      <c r="T204" s="65">
        <f t="shared" ca="1" si="28"/>
        <v>134.64000000000001</v>
      </c>
      <c r="U204" s="29">
        <f t="shared" si="29"/>
        <v>120</v>
      </c>
      <c r="V204" s="29">
        <f t="shared" si="30"/>
        <v>960</v>
      </c>
      <c r="W204" s="44">
        <f t="shared" si="31"/>
        <v>48</v>
      </c>
      <c r="X204" s="29">
        <f t="shared" si="32"/>
        <v>169</v>
      </c>
      <c r="Y204" s="29">
        <f t="shared" ca="1" si="33"/>
        <v>3277.6400000000003</v>
      </c>
      <c r="Z204" s="75"/>
      <c r="AA204" s="66">
        <f t="shared" ca="1" si="34"/>
        <v>8</v>
      </c>
      <c r="AB204" s="19"/>
      <c r="AC204" s="19"/>
      <c r="AD204" s="19"/>
      <c r="AE204" s="19"/>
    </row>
    <row r="205" spans="1:31 16376:16376" s="18" customFormat="1" ht="16.5" customHeight="1" x14ac:dyDescent="0.2">
      <c r="A205" s="39">
        <f t="shared" si="35"/>
        <v>202</v>
      </c>
      <c r="B205" s="40" t="s">
        <v>22</v>
      </c>
      <c r="C205" s="41">
        <v>704235530</v>
      </c>
      <c r="D205" s="42">
        <v>29866</v>
      </c>
      <c r="E205" s="40" t="s">
        <v>10</v>
      </c>
      <c r="F205" s="40" t="s">
        <v>389</v>
      </c>
      <c r="G205" s="40" t="s">
        <v>418</v>
      </c>
      <c r="H205" s="39" t="s">
        <v>383</v>
      </c>
      <c r="I205" s="43">
        <v>380101005699</v>
      </c>
      <c r="J205" s="42">
        <v>39569</v>
      </c>
      <c r="K205" s="42"/>
      <c r="L205" s="42">
        <v>39569</v>
      </c>
      <c r="M205" s="44">
        <v>419</v>
      </c>
      <c r="N205" s="40" t="s">
        <v>431</v>
      </c>
      <c r="O205" s="44">
        <v>561</v>
      </c>
      <c r="P205" s="44">
        <v>561</v>
      </c>
      <c r="Q205" s="44">
        <f>P205-M205</f>
        <v>142</v>
      </c>
      <c r="R205" s="29">
        <f t="shared" si="27"/>
        <v>1704</v>
      </c>
      <c r="S205" s="29">
        <f t="shared" si="36"/>
        <v>0</v>
      </c>
      <c r="T205" s="65">
        <f t="shared" ca="1" si="28"/>
        <v>134.64000000000001</v>
      </c>
      <c r="U205" s="29">
        <f t="shared" si="29"/>
        <v>120</v>
      </c>
      <c r="V205" s="29">
        <f t="shared" si="30"/>
        <v>960</v>
      </c>
      <c r="W205" s="44">
        <f t="shared" si="31"/>
        <v>48</v>
      </c>
      <c r="X205" s="29">
        <f t="shared" si="32"/>
        <v>169</v>
      </c>
      <c r="Y205" s="29">
        <f t="shared" ca="1" si="33"/>
        <v>3277.6400000000003</v>
      </c>
      <c r="Z205" s="75"/>
      <c r="AA205" s="66">
        <f t="shared" ca="1" si="34"/>
        <v>8</v>
      </c>
      <c r="AB205" s="19"/>
      <c r="AC205" s="19"/>
      <c r="AD205" s="19"/>
      <c r="AE205" s="19"/>
    </row>
    <row r="206" spans="1:31 16376:16376" s="18" customFormat="1" ht="16.5" customHeight="1" x14ac:dyDescent="0.2">
      <c r="A206" s="39">
        <f t="shared" si="35"/>
        <v>203</v>
      </c>
      <c r="B206" s="40" t="s">
        <v>32</v>
      </c>
      <c r="C206" s="41">
        <v>800652497</v>
      </c>
      <c r="D206" s="42">
        <v>21299</v>
      </c>
      <c r="E206" s="40" t="s">
        <v>10</v>
      </c>
      <c r="F206" s="40" t="s">
        <v>389</v>
      </c>
      <c r="G206" s="40" t="s">
        <v>384</v>
      </c>
      <c r="H206" s="39" t="s">
        <v>383</v>
      </c>
      <c r="I206" s="43">
        <v>1030091007</v>
      </c>
      <c r="J206" s="42">
        <v>39569</v>
      </c>
      <c r="K206" s="42"/>
      <c r="L206" s="42">
        <v>39986</v>
      </c>
      <c r="M206" s="44">
        <v>419</v>
      </c>
      <c r="N206" s="40" t="s">
        <v>431</v>
      </c>
      <c r="O206" s="44">
        <v>561</v>
      </c>
      <c r="P206" s="44">
        <v>561</v>
      </c>
      <c r="Q206" s="44">
        <f>P206-M206</f>
        <v>142</v>
      </c>
      <c r="R206" s="29">
        <f t="shared" si="27"/>
        <v>1704</v>
      </c>
      <c r="S206" s="29">
        <f t="shared" si="36"/>
        <v>0</v>
      </c>
      <c r="T206" s="65">
        <f t="shared" ca="1" si="28"/>
        <v>117.81</v>
      </c>
      <c r="U206" s="29">
        <f t="shared" si="29"/>
        <v>120</v>
      </c>
      <c r="V206" s="29">
        <f t="shared" si="30"/>
        <v>960</v>
      </c>
      <c r="W206" s="44">
        <f t="shared" si="31"/>
        <v>48</v>
      </c>
      <c r="X206" s="29">
        <f t="shared" si="32"/>
        <v>169</v>
      </c>
      <c r="Y206" s="29">
        <f t="shared" ca="1" si="33"/>
        <v>3260.81</v>
      </c>
      <c r="Z206" s="75"/>
      <c r="AA206" s="66">
        <f t="shared" ca="1" si="34"/>
        <v>7</v>
      </c>
      <c r="AB206" s="19"/>
      <c r="AC206" s="19"/>
      <c r="AD206" s="19"/>
      <c r="AE206" s="19"/>
    </row>
    <row r="207" spans="1:31 16376:16376" s="18" customFormat="1" ht="16.5" customHeight="1" x14ac:dyDescent="0.2">
      <c r="A207" s="39">
        <f t="shared" si="35"/>
        <v>204</v>
      </c>
      <c r="B207" s="40" t="s">
        <v>44</v>
      </c>
      <c r="C207" s="41">
        <v>701355794</v>
      </c>
      <c r="D207" s="42">
        <v>21170</v>
      </c>
      <c r="E207" s="40" t="s">
        <v>10</v>
      </c>
      <c r="F207" s="40" t="s">
        <v>389</v>
      </c>
      <c r="G207" s="40" t="s">
        <v>417</v>
      </c>
      <c r="H207" s="39" t="s">
        <v>383</v>
      </c>
      <c r="I207" s="43">
        <v>406014171807</v>
      </c>
      <c r="J207" s="42">
        <v>31837</v>
      </c>
      <c r="K207" s="42"/>
      <c r="L207" s="42">
        <v>31837</v>
      </c>
      <c r="M207" s="44">
        <v>540.04</v>
      </c>
      <c r="N207" s="40" t="s">
        <v>431</v>
      </c>
      <c r="O207" s="44">
        <v>561</v>
      </c>
      <c r="P207" s="44">
        <v>561</v>
      </c>
      <c r="Q207" s="44">
        <f>P207-M207</f>
        <v>20.960000000000036</v>
      </c>
      <c r="R207" s="29">
        <f t="shared" si="27"/>
        <v>251.52000000000044</v>
      </c>
      <c r="S207" s="29">
        <f t="shared" si="36"/>
        <v>0</v>
      </c>
      <c r="T207" s="65">
        <f t="shared" ca="1" si="28"/>
        <v>201.96000000000004</v>
      </c>
      <c r="U207" s="29">
        <f t="shared" si="29"/>
        <v>120</v>
      </c>
      <c r="V207" s="29">
        <f t="shared" si="30"/>
        <v>960</v>
      </c>
      <c r="W207" s="44">
        <f t="shared" si="31"/>
        <v>48</v>
      </c>
      <c r="X207" s="29">
        <f t="shared" si="32"/>
        <v>169</v>
      </c>
      <c r="Y207" s="29">
        <f t="shared" ca="1" si="33"/>
        <v>1771.4400000000005</v>
      </c>
      <c r="Z207" s="75"/>
      <c r="AA207" s="66">
        <f t="shared" ca="1" si="34"/>
        <v>12</v>
      </c>
      <c r="AB207" s="19"/>
      <c r="AC207" s="19"/>
      <c r="AD207" s="19"/>
      <c r="AE207" s="19"/>
    </row>
    <row r="208" spans="1:31 16376:16376" s="18" customFormat="1" ht="16.5" customHeight="1" x14ac:dyDescent="0.2">
      <c r="A208" s="39">
        <f t="shared" si="35"/>
        <v>205</v>
      </c>
      <c r="B208" s="40" t="s">
        <v>45</v>
      </c>
      <c r="C208" s="41">
        <v>1202021588</v>
      </c>
      <c r="D208" s="42">
        <v>23985</v>
      </c>
      <c r="E208" s="40" t="s">
        <v>10</v>
      </c>
      <c r="F208" s="40" t="s">
        <v>389</v>
      </c>
      <c r="G208" s="40" t="s">
        <v>384</v>
      </c>
      <c r="H208" s="39" t="s">
        <v>383</v>
      </c>
      <c r="I208" s="43">
        <v>1010624394</v>
      </c>
      <c r="J208" s="42">
        <v>39569</v>
      </c>
      <c r="K208" s="42"/>
      <c r="L208" s="42">
        <v>39965</v>
      </c>
      <c r="M208" s="44">
        <v>419</v>
      </c>
      <c r="N208" s="40" t="s">
        <v>431</v>
      </c>
      <c r="O208" s="44">
        <v>561</v>
      </c>
      <c r="P208" s="44">
        <v>561</v>
      </c>
      <c r="Q208" s="44">
        <f>P208-M208</f>
        <v>142</v>
      </c>
      <c r="R208" s="29">
        <f t="shared" si="27"/>
        <v>1704</v>
      </c>
      <c r="S208" s="29">
        <f t="shared" si="36"/>
        <v>0</v>
      </c>
      <c r="T208" s="65">
        <f t="shared" ca="1" si="28"/>
        <v>117.81</v>
      </c>
      <c r="U208" s="29">
        <f t="shared" si="29"/>
        <v>120</v>
      </c>
      <c r="V208" s="29">
        <f t="shared" si="30"/>
        <v>960</v>
      </c>
      <c r="W208" s="44">
        <f t="shared" si="31"/>
        <v>48</v>
      </c>
      <c r="X208" s="29">
        <f t="shared" si="32"/>
        <v>169</v>
      </c>
      <c r="Y208" s="29">
        <f t="shared" ca="1" si="33"/>
        <v>3260.81</v>
      </c>
      <c r="Z208" s="75"/>
      <c r="AA208" s="66">
        <f t="shared" ca="1" si="34"/>
        <v>7</v>
      </c>
      <c r="AB208" s="19"/>
      <c r="AC208" s="19"/>
      <c r="AD208" s="19"/>
      <c r="AE208" s="19"/>
    </row>
    <row r="209" spans="1:31 16366:16376" s="18" customFormat="1" ht="16.5" customHeight="1" x14ac:dyDescent="0.2">
      <c r="A209" s="39">
        <f t="shared" si="35"/>
        <v>206</v>
      </c>
      <c r="B209" s="40" t="s">
        <v>62</v>
      </c>
      <c r="C209" s="41">
        <v>703930958</v>
      </c>
      <c r="D209" s="42">
        <v>29934</v>
      </c>
      <c r="E209" s="40" t="s">
        <v>10</v>
      </c>
      <c r="F209" s="40" t="s">
        <v>389</v>
      </c>
      <c r="G209" s="40" t="s">
        <v>384</v>
      </c>
      <c r="H209" s="39" t="s">
        <v>383</v>
      </c>
      <c r="I209" s="43">
        <v>1010723503</v>
      </c>
      <c r="J209" s="42">
        <v>39569</v>
      </c>
      <c r="K209" s="42"/>
      <c r="L209" s="42">
        <v>39569</v>
      </c>
      <c r="M209" s="44">
        <v>419</v>
      </c>
      <c r="N209" s="40" t="s">
        <v>431</v>
      </c>
      <c r="O209" s="44">
        <v>561</v>
      </c>
      <c r="P209" s="44">
        <v>561</v>
      </c>
      <c r="Q209" s="44">
        <f>P209-M209</f>
        <v>142</v>
      </c>
      <c r="R209" s="29">
        <f t="shared" si="27"/>
        <v>1704</v>
      </c>
      <c r="S209" s="29">
        <f t="shared" si="36"/>
        <v>87.84</v>
      </c>
      <c r="T209" s="65">
        <f t="shared" ca="1" si="28"/>
        <v>134.64000000000001</v>
      </c>
      <c r="U209" s="29">
        <f t="shared" si="29"/>
        <v>120</v>
      </c>
      <c r="V209" s="29">
        <f t="shared" si="30"/>
        <v>960</v>
      </c>
      <c r="W209" s="44">
        <f t="shared" si="31"/>
        <v>48</v>
      </c>
      <c r="X209" s="29">
        <f t="shared" si="32"/>
        <v>169</v>
      </c>
      <c r="Y209" s="29">
        <f t="shared" ca="1" si="33"/>
        <v>3365.48</v>
      </c>
      <c r="Z209" s="75">
        <v>2</v>
      </c>
      <c r="AA209" s="66">
        <f t="shared" ca="1" si="34"/>
        <v>8</v>
      </c>
      <c r="AB209" s="19"/>
      <c r="AC209" s="19"/>
      <c r="AD209" s="19"/>
      <c r="AE209" s="19"/>
    </row>
    <row r="210" spans="1:31 16366:16376" s="18" customFormat="1" ht="16.5" customHeight="1" x14ac:dyDescent="0.2">
      <c r="A210" s="39">
        <f t="shared" si="35"/>
        <v>207</v>
      </c>
      <c r="B210" s="40" t="s">
        <v>63</v>
      </c>
      <c r="C210" s="41">
        <v>701511701</v>
      </c>
      <c r="D210" s="42">
        <v>22091</v>
      </c>
      <c r="E210" s="40" t="s">
        <v>10</v>
      </c>
      <c r="F210" s="40" t="s">
        <v>389</v>
      </c>
      <c r="G210" s="40" t="s">
        <v>384</v>
      </c>
      <c r="H210" s="39" t="s">
        <v>383</v>
      </c>
      <c r="I210" s="43">
        <v>1010177487</v>
      </c>
      <c r="J210" s="42">
        <v>39569</v>
      </c>
      <c r="K210" s="42"/>
      <c r="L210" s="42">
        <v>39569</v>
      </c>
      <c r="M210" s="44">
        <v>419</v>
      </c>
      <c r="N210" s="40" t="s">
        <v>431</v>
      </c>
      <c r="O210" s="44">
        <v>561</v>
      </c>
      <c r="P210" s="44">
        <v>561</v>
      </c>
      <c r="Q210" s="44">
        <f>P210-M210</f>
        <v>142</v>
      </c>
      <c r="R210" s="29">
        <f t="shared" si="27"/>
        <v>1704</v>
      </c>
      <c r="S210" s="29">
        <f t="shared" si="36"/>
        <v>87.84</v>
      </c>
      <c r="T210" s="65">
        <f t="shared" ca="1" si="28"/>
        <v>134.64000000000001</v>
      </c>
      <c r="U210" s="29">
        <f t="shared" si="29"/>
        <v>120</v>
      </c>
      <c r="V210" s="29">
        <f t="shared" si="30"/>
        <v>960</v>
      </c>
      <c r="W210" s="44">
        <f t="shared" si="31"/>
        <v>48</v>
      </c>
      <c r="X210" s="29">
        <f t="shared" si="32"/>
        <v>169</v>
      </c>
      <c r="Y210" s="29">
        <f t="shared" ca="1" si="33"/>
        <v>3365.48</v>
      </c>
      <c r="Z210" s="75">
        <v>2</v>
      </c>
      <c r="AA210" s="66">
        <f t="shared" ca="1" si="34"/>
        <v>8</v>
      </c>
      <c r="AB210" s="19"/>
      <c r="AC210" s="19"/>
      <c r="AD210" s="19"/>
      <c r="AE210" s="19"/>
    </row>
    <row r="211" spans="1:31 16366:16376" s="18" customFormat="1" ht="16.5" customHeight="1" x14ac:dyDescent="0.2">
      <c r="A211" s="39">
        <f t="shared" si="35"/>
        <v>208</v>
      </c>
      <c r="B211" s="40" t="s">
        <v>64</v>
      </c>
      <c r="C211" s="41">
        <v>101994598</v>
      </c>
      <c r="D211" s="42">
        <v>21927</v>
      </c>
      <c r="E211" s="40" t="s">
        <v>10</v>
      </c>
      <c r="F211" s="40" t="s">
        <v>389</v>
      </c>
      <c r="G211" s="40" t="s">
        <v>384</v>
      </c>
      <c r="H211" s="39" t="s">
        <v>383</v>
      </c>
      <c r="I211" s="43">
        <v>1010429796</v>
      </c>
      <c r="J211" s="42">
        <v>39569</v>
      </c>
      <c r="K211" s="42"/>
      <c r="L211" s="42">
        <v>39569</v>
      </c>
      <c r="M211" s="44">
        <v>419</v>
      </c>
      <c r="N211" s="40" t="s">
        <v>431</v>
      </c>
      <c r="O211" s="44">
        <v>561</v>
      </c>
      <c r="P211" s="44">
        <v>561</v>
      </c>
      <c r="Q211" s="44">
        <f>P211-M211</f>
        <v>142</v>
      </c>
      <c r="R211" s="29">
        <f t="shared" si="27"/>
        <v>1704</v>
      </c>
      <c r="S211" s="29">
        <f t="shared" si="36"/>
        <v>0</v>
      </c>
      <c r="T211" s="65">
        <f t="shared" ca="1" si="28"/>
        <v>134.64000000000001</v>
      </c>
      <c r="U211" s="29">
        <f t="shared" si="29"/>
        <v>120</v>
      </c>
      <c r="V211" s="29">
        <f t="shared" si="30"/>
        <v>960</v>
      </c>
      <c r="W211" s="44">
        <f t="shared" si="31"/>
        <v>48</v>
      </c>
      <c r="X211" s="29">
        <f t="shared" si="32"/>
        <v>169</v>
      </c>
      <c r="Y211" s="29">
        <f t="shared" ca="1" si="33"/>
        <v>3277.6400000000003</v>
      </c>
      <c r="Z211" s="75"/>
      <c r="AA211" s="66">
        <f t="shared" ca="1" si="34"/>
        <v>8</v>
      </c>
      <c r="AB211" s="19"/>
      <c r="AC211" s="19"/>
      <c r="AD211" s="19"/>
      <c r="AE211" s="19"/>
    </row>
    <row r="212" spans="1:31 16366:16376" s="18" customFormat="1" ht="16.5" customHeight="1" x14ac:dyDescent="0.2">
      <c r="A212" s="39">
        <f t="shared" si="35"/>
        <v>209</v>
      </c>
      <c r="B212" s="40" t="s">
        <v>102</v>
      </c>
      <c r="C212" s="41">
        <v>704327436</v>
      </c>
      <c r="D212" s="42">
        <v>32325</v>
      </c>
      <c r="E212" s="40" t="s">
        <v>10</v>
      </c>
      <c r="F212" s="40" t="s">
        <v>389</v>
      </c>
      <c r="G212" s="40" t="s">
        <v>417</v>
      </c>
      <c r="H212" s="39" t="s">
        <v>383</v>
      </c>
      <c r="I212" s="43">
        <v>406007521100</v>
      </c>
      <c r="J212" s="42">
        <v>42278</v>
      </c>
      <c r="K212" s="42"/>
      <c r="L212" s="42">
        <v>42278</v>
      </c>
      <c r="M212" s="44">
        <v>419</v>
      </c>
      <c r="N212" s="40" t="s">
        <v>431</v>
      </c>
      <c r="O212" s="44">
        <v>561</v>
      </c>
      <c r="P212" s="44">
        <v>561</v>
      </c>
      <c r="Q212" s="44">
        <f>P212-M212</f>
        <v>142</v>
      </c>
      <c r="R212" s="29">
        <f t="shared" si="27"/>
        <v>1704</v>
      </c>
      <c r="S212" s="29">
        <f t="shared" si="36"/>
        <v>0</v>
      </c>
      <c r="T212" s="65">
        <f t="shared" ca="1" si="28"/>
        <v>16.830000000000002</v>
      </c>
      <c r="U212" s="29">
        <f t="shared" si="29"/>
        <v>120</v>
      </c>
      <c r="V212" s="29">
        <f t="shared" si="30"/>
        <v>960</v>
      </c>
      <c r="W212" s="44">
        <f t="shared" si="31"/>
        <v>48</v>
      </c>
      <c r="X212" s="29">
        <f t="shared" si="32"/>
        <v>169</v>
      </c>
      <c r="Y212" s="29">
        <f t="shared" ca="1" si="33"/>
        <v>3159.83</v>
      </c>
      <c r="Z212" s="75"/>
      <c r="AA212" s="66">
        <f t="shared" ca="1" si="34"/>
        <v>1</v>
      </c>
      <c r="AB212" s="19"/>
      <c r="AC212" s="19"/>
      <c r="AD212" s="19"/>
      <c r="AE212" s="19"/>
    </row>
    <row r="213" spans="1:31 16366:16376" s="18" customFormat="1" ht="16.5" customHeight="1" x14ac:dyDescent="0.2">
      <c r="A213" s="39">
        <f t="shared" si="35"/>
        <v>210</v>
      </c>
      <c r="B213" s="40" t="s">
        <v>106</v>
      </c>
      <c r="C213" s="41">
        <v>703708396</v>
      </c>
      <c r="D213" s="42">
        <v>27279</v>
      </c>
      <c r="E213" s="40" t="s">
        <v>10</v>
      </c>
      <c r="F213" s="40" t="s">
        <v>389</v>
      </c>
      <c r="G213" s="40" t="s">
        <v>384</v>
      </c>
      <c r="H213" s="39" t="s">
        <v>383</v>
      </c>
      <c r="I213" s="43">
        <v>1010733800</v>
      </c>
      <c r="J213" s="42">
        <v>39605</v>
      </c>
      <c r="K213" s="42"/>
      <c r="L213" s="42">
        <v>39605</v>
      </c>
      <c r="M213" s="44">
        <v>419</v>
      </c>
      <c r="N213" s="40" t="s">
        <v>431</v>
      </c>
      <c r="O213" s="44">
        <v>561</v>
      </c>
      <c r="P213" s="44">
        <v>561</v>
      </c>
      <c r="Q213" s="44">
        <f>P213-M213</f>
        <v>142</v>
      </c>
      <c r="R213" s="29">
        <f t="shared" si="27"/>
        <v>1704</v>
      </c>
      <c r="S213" s="29">
        <f t="shared" si="36"/>
        <v>0</v>
      </c>
      <c r="T213" s="65">
        <f t="shared" ca="1" si="28"/>
        <v>134.64000000000001</v>
      </c>
      <c r="U213" s="29">
        <f t="shared" si="29"/>
        <v>120</v>
      </c>
      <c r="V213" s="29">
        <f t="shared" si="30"/>
        <v>960</v>
      </c>
      <c r="W213" s="44">
        <f t="shared" si="31"/>
        <v>48</v>
      </c>
      <c r="X213" s="29">
        <f t="shared" si="32"/>
        <v>169</v>
      </c>
      <c r="Y213" s="29">
        <f t="shared" ca="1" si="33"/>
        <v>3277.6400000000003</v>
      </c>
      <c r="Z213" s="75"/>
      <c r="AA213" s="66">
        <f t="shared" ca="1" si="34"/>
        <v>8</v>
      </c>
      <c r="AB213" s="19"/>
      <c r="AC213" s="19"/>
      <c r="AD213" s="19"/>
      <c r="AE213" s="19"/>
      <c r="XEL213" s="17"/>
      <c r="XEV213" s="17"/>
    </row>
    <row r="214" spans="1:31 16366:16376" s="18" customFormat="1" ht="16.5" customHeight="1" x14ac:dyDescent="0.2">
      <c r="A214" s="39">
        <f t="shared" si="35"/>
        <v>211</v>
      </c>
      <c r="B214" s="40" t="s">
        <v>120</v>
      </c>
      <c r="C214" s="41">
        <v>703130864</v>
      </c>
      <c r="D214" s="42">
        <v>24751</v>
      </c>
      <c r="E214" s="40" t="s">
        <v>10</v>
      </c>
      <c r="F214" s="40" t="s">
        <v>389</v>
      </c>
      <c r="G214" s="40" t="s">
        <v>418</v>
      </c>
      <c r="H214" s="39" t="s">
        <v>383</v>
      </c>
      <c r="I214" s="43">
        <v>380101031058</v>
      </c>
      <c r="J214" s="42">
        <v>39569</v>
      </c>
      <c r="K214" s="42"/>
      <c r="L214" s="42">
        <v>39569</v>
      </c>
      <c r="M214" s="44">
        <v>419</v>
      </c>
      <c r="N214" s="40" t="s">
        <v>10</v>
      </c>
      <c r="O214" s="44">
        <v>561</v>
      </c>
      <c r="P214" s="44">
        <v>561</v>
      </c>
      <c r="Q214" s="44">
        <f>P214-M214</f>
        <v>142</v>
      </c>
      <c r="R214" s="29">
        <f t="shared" si="27"/>
        <v>1704</v>
      </c>
      <c r="S214" s="29">
        <f t="shared" si="36"/>
        <v>0</v>
      </c>
      <c r="T214" s="65">
        <f t="shared" ca="1" si="28"/>
        <v>134.64000000000001</v>
      </c>
      <c r="U214" s="29">
        <f t="shared" si="29"/>
        <v>120</v>
      </c>
      <c r="V214" s="29">
        <f t="shared" si="30"/>
        <v>960</v>
      </c>
      <c r="W214" s="44">
        <f t="shared" si="31"/>
        <v>48</v>
      </c>
      <c r="X214" s="29">
        <f t="shared" si="32"/>
        <v>169</v>
      </c>
      <c r="Y214" s="29">
        <f t="shared" ca="1" si="33"/>
        <v>3277.6400000000003</v>
      </c>
      <c r="Z214" s="75"/>
      <c r="AA214" s="66">
        <f t="shared" ca="1" si="34"/>
        <v>8</v>
      </c>
      <c r="AB214" s="19"/>
      <c r="AC214" s="19"/>
      <c r="AD214" s="19"/>
      <c r="AE214" s="19"/>
    </row>
    <row r="215" spans="1:31 16366:16376" s="18" customFormat="1" ht="16.5" customHeight="1" x14ac:dyDescent="0.2">
      <c r="A215" s="39">
        <f t="shared" si="35"/>
        <v>212</v>
      </c>
      <c r="B215" s="40" t="s">
        <v>153</v>
      </c>
      <c r="C215" s="41">
        <v>703721266</v>
      </c>
      <c r="D215" s="42">
        <v>29861</v>
      </c>
      <c r="E215" s="40" t="s">
        <v>10</v>
      </c>
      <c r="F215" s="40" t="s">
        <v>389</v>
      </c>
      <c r="G215" s="40" t="s">
        <v>384</v>
      </c>
      <c r="H215" s="39" t="s">
        <v>383</v>
      </c>
      <c r="I215" s="43">
        <v>1010732588</v>
      </c>
      <c r="J215" s="42">
        <v>39569</v>
      </c>
      <c r="K215" s="42"/>
      <c r="L215" s="42">
        <v>39569</v>
      </c>
      <c r="M215" s="44">
        <v>419</v>
      </c>
      <c r="N215" s="40" t="s">
        <v>10</v>
      </c>
      <c r="O215" s="44">
        <v>561</v>
      </c>
      <c r="P215" s="44">
        <v>561</v>
      </c>
      <c r="Q215" s="44">
        <f>P215-M215</f>
        <v>142</v>
      </c>
      <c r="R215" s="29">
        <f t="shared" si="27"/>
        <v>1704</v>
      </c>
      <c r="S215" s="29">
        <f t="shared" si="36"/>
        <v>131.76</v>
      </c>
      <c r="T215" s="65">
        <f t="shared" ca="1" si="28"/>
        <v>134.64000000000001</v>
      </c>
      <c r="U215" s="29">
        <f t="shared" si="29"/>
        <v>120</v>
      </c>
      <c r="V215" s="29">
        <f t="shared" si="30"/>
        <v>960</v>
      </c>
      <c r="W215" s="44">
        <f t="shared" si="31"/>
        <v>48</v>
      </c>
      <c r="X215" s="29">
        <f t="shared" si="32"/>
        <v>169</v>
      </c>
      <c r="Y215" s="29">
        <f t="shared" ca="1" si="33"/>
        <v>3409.4</v>
      </c>
      <c r="Z215" s="75">
        <v>3</v>
      </c>
      <c r="AA215" s="66">
        <f t="shared" ca="1" si="34"/>
        <v>8</v>
      </c>
      <c r="AB215" s="19"/>
      <c r="AC215" s="19"/>
      <c r="AD215" s="19"/>
      <c r="AE215" s="19"/>
    </row>
    <row r="216" spans="1:31 16366:16376" s="18" customFormat="1" ht="16.5" customHeight="1" x14ac:dyDescent="0.2">
      <c r="A216" s="39">
        <f t="shared" si="35"/>
        <v>213</v>
      </c>
      <c r="B216" s="40" t="s">
        <v>163</v>
      </c>
      <c r="C216" s="41">
        <v>702682618</v>
      </c>
      <c r="D216" s="42">
        <v>25972</v>
      </c>
      <c r="E216" s="40" t="s">
        <v>10</v>
      </c>
      <c r="F216" s="40" t="s">
        <v>389</v>
      </c>
      <c r="G216" s="40" t="s">
        <v>384</v>
      </c>
      <c r="H216" s="39" t="s">
        <v>383</v>
      </c>
      <c r="I216" s="43">
        <v>1100023667</v>
      </c>
      <c r="J216" s="42">
        <v>33549</v>
      </c>
      <c r="K216" s="42"/>
      <c r="L216" s="42">
        <v>33549</v>
      </c>
      <c r="M216" s="44">
        <v>530.08000000000004</v>
      </c>
      <c r="N216" s="40" t="s">
        <v>10</v>
      </c>
      <c r="O216" s="44">
        <v>561</v>
      </c>
      <c r="P216" s="44">
        <v>561</v>
      </c>
      <c r="Q216" s="44">
        <f>P216-M216</f>
        <v>30.919999999999959</v>
      </c>
      <c r="R216" s="29">
        <f t="shared" si="27"/>
        <v>371.03999999999951</v>
      </c>
      <c r="S216" s="29">
        <f t="shared" si="36"/>
        <v>87.84</v>
      </c>
      <c r="T216" s="65">
        <f t="shared" ca="1" si="28"/>
        <v>201.96000000000004</v>
      </c>
      <c r="U216" s="29">
        <f t="shared" si="29"/>
        <v>120</v>
      </c>
      <c r="V216" s="29">
        <f t="shared" si="30"/>
        <v>960</v>
      </c>
      <c r="W216" s="44">
        <f t="shared" si="31"/>
        <v>48</v>
      </c>
      <c r="X216" s="29">
        <f t="shared" si="32"/>
        <v>169</v>
      </c>
      <c r="Y216" s="29">
        <f t="shared" ca="1" si="33"/>
        <v>1988.7599999999995</v>
      </c>
      <c r="Z216" s="75">
        <v>2</v>
      </c>
      <c r="AA216" s="66">
        <f t="shared" ca="1" si="34"/>
        <v>12</v>
      </c>
      <c r="AB216" s="19"/>
      <c r="AC216" s="19"/>
      <c r="AD216" s="19"/>
      <c r="AE216" s="19"/>
    </row>
    <row r="217" spans="1:31 16366:16376" s="18" customFormat="1" ht="16.5" customHeight="1" x14ac:dyDescent="0.2">
      <c r="A217" s="39">
        <f t="shared" si="35"/>
        <v>214</v>
      </c>
      <c r="B217" s="40" t="s">
        <v>185</v>
      </c>
      <c r="C217" s="41">
        <v>705149532</v>
      </c>
      <c r="D217" s="42">
        <v>32200</v>
      </c>
      <c r="E217" s="40" t="s">
        <v>10</v>
      </c>
      <c r="F217" s="40" t="s">
        <v>389</v>
      </c>
      <c r="G217" s="40" t="s">
        <v>384</v>
      </c>
      <c r="H217" s="39" t="s">
        <v>383</v>
      </c>
      <c r="I217" s="43">
        <v>1010730151</v>
      </c>
      <c r="J217" s="42">
        <v>39569</v>
      </c>
      <c r="K217" s="42"/>
      <c r="L217" s="42">
        <v>39569</v>
      </c>
      <c r="M217" s="44">
        <v>419</v>
      </c>
      <c r="N217" s="40" t="s">
        <v>10</v>
      </c>
      <c r="O217" s="44">
        <v>561</v>
      </c>
      <c r="P217" s="44">
        <v>561</v>
      </c>
      <c r="Q217" s="44">
        <f>P217-M217</f>
        <v>142</v>
      </c>
      <c r="R217" s="29">
        <f t="shared" si="27"/>
        <v>1704</v>
      </c>
      <c r="S217" s="29">
        <f t="shared" si="36"/>
        <v>0</v>
      </c>
      <c r="T217" s="65">
        <f t="shared" ca="1" si="28"/>
        <v>134.64000000000001</v>
      </c>
      <c r="U217" s="29">
        <f t="shared" si="29"/>
        <v>120</v>
      </c>
      <c r="V217" s="29">
        <f t="shared" si="30"/>
        <v>960</v>
      </c>
      <c r="W217" s="44">
        <f t="shared" si="31"/>
        <v>48</v>
      </c>
      <c r="X217" s="29">
        <f t="shared" si="32"/>
        <v>169</v>
      </c>
      <c r="Y217" s="29">
        <f t="shared" ca="1" si="33"/>
        <v>3277.6400000000003</v>
      </c>
      <c r="Z217" s="75"/>
      <c r="AA217" s="66">
        <f t="shared" ca="1" si="34"/>
        <v>8</v>
      </c>
      <c r="AB217" s="19"/>
      <c r="AC217" s="19"/>
      <c r="AD217" s="19"/>
      <c r="AE217" s="19"/>
    </row>
    <row r="218" spans="1:31 16366:16376" s="18" customFormat="1" ht="16.5" customHeight="1" x14ac:dyDescent="0.2">
      <c r="A218" s="39">
        <f t="shared" si="35"/>
        <v>215</v>
      </c>
      <c r="B218" s="40" t="s">
        <v>197</v>
      </c>
      <c r="C218" s="41">
        <v>705149854</v>
      </c>
      <c r="D218" s="42">
        <v>29276</v>
      </c>
      <c r="E218" s="40" t="s">
        <v>10</v>
      </c>
      <c r="F218" s="40" t="s">
        <v>389</v>
      </c>
      <c r="G218" s="40" t="s">
        <v>386</v>
      </c>
      <c r="H218" s="39" t="s">
        <v>383</v>
      </c>
      <c r="I218" s="43">
        <v>5280238600</v>
      </c>
      <c r="J218" s="42">
        <v>40011</v>
      </c>
      <c r="K218" s="42"/>
      <c r="L218" s="42">
        <v>40011</v>
      </c>
      <c r="M218" s="44">
        <v>419</v>
      </c>
      <c r="N218" s="40" t="s">
        <v>10</v>
      </c>
      <c r="O218" s="44">
        <v>561</v>
      </c>
      <c r="P218" s="44">
        <v>561</v>
      </c>
      <c r="Q218" s="44">
        <f>P218-M218</f>
        <v>142</v>
      </c>
      <c r="R218" s="29">
        <f t="shared" si="27"/>
        <v>1704</v>
      </c>
      <c r="S218" s="29">
        <f t="shared" si="36"/>
        <v>0</v>
      </c>
      <c r="T218" s="65">
        <f t="shared" ca="1" si="28"/>
        <v>117.81</v>
      </c>
      <c r="U218" s="29">
        <f t="shared" si="29"/>
        <v>120</v>
      </c>
      <c r="V218" s="29">
        <f t="shared" si="30"/>
        <v>960</v>
      </c>
      <c r="W218" s="44">
        <f t="shared" si="31"/>
        <v>48</v>
      </c>
      <c r="X218" s="29">
        <f t="shared" si="32"/>
        <v>169</v>
      </c>
      <c r="Y218" s="29">
        <f t="shared" ca="1" si="33"/>
        <v>3260.81</v>
      </c>
      <c r="Z218" s="75"/>
      <c r="AA218" s="66">
        <f t="shared" ca="1" si="34"/>
        <v>7</v>
      </c>
      <c r="AB218" s="19"/>
      <c r="AC218" s="19"/>
      <c r="AD218" s="19"/>
      <c r="AE218" s="19"/>
    </row>
    <row r="219" spans="1:31 16366:16376" s="18" customFormat="1" ht="16.5" customHeight="1" x14ac:dyDescent="0.2">
      <c r="A219" s="39">
        <f t="shared" si="35"/>
        <v>216</v>
      </c>
      <c r="B219" s="40" t="s">
        <v>227</v>
      </c>
      <c r="C219" s="41">
        <v>701082836</v>
      </c>
      <c r="D219" s="42">
        <v>20665</v>
      </c>
      <c r="E219" s="40" t="s">
        <v>10</v>
      </c>
      <c r="F219" s="40" t="s">
        <v>389</v>
      </c>
      <c r="G219" s="40" t="s">
        <v>384</v>
      </c>
      <c r="H219" s="39" t="s">
        <v>383</v>
      </c>
      <c r="I219" s="43">
        <v>1010731417</v>
      </c>
      <c r="J219" s="42">
        <v>39569</v>
      </c>
      <c r="K219" s="42"/>
      <c r="L219" s="42">
        <v>39569</v>
      </c>
      <c r="M219" s="44">
        <v>419</v>
      </c>
      <c r="N219" s="40" t="s">
        <v>10</v>
      </c>
      <c r="O219" s="44">
        <v>561</v>
      </c>
      <c r="P219" s="44">
        <v>561</v>
      </c>
      <c r="Q219" s="44">
        <f>P219-M219</f>
        <v>142</v>
      </c>
      <c r="R219" s="29">
        <f t="shared" si="27"/>
        <v>1704</v>
      </c>
      <c r="S219" s="29">
        <f t="shared" si="36"/>
        <v>0</v>
      </c>
      <c r="T219" s="65">
        <f t="shared" ca="1" si="28"/>
        <v>134.64000000000001</v>
      </c>
      <c r="U219" s="29">
        <f t="shared" si="29"/>
        <v>120</v>
      </c>
      <c r="V219" s="29">
        <f t="shared" si="30"/>
        <v>960</v>
      </c>
      <c r="W219" s="44">
        <f t="shared" si="31"/>
        <v>48</v>
      </c>
      <c r="X219" s="29">
        <f t="shared" si="32"/>
        <v>169</v>
      </c>
      <c r="Y219" s="29">
        <f t="shared" ca="1" si="33"/>
        <v>3277.6400000000003</v>
      </c>
      <c r="Z219" s="75"/>
      <c r="AA219" s="66">
        <f t="shared" ca="1" si="34"/>
        <v>8</v>
      </c>
      <c r="AB219" s="19"/>
      <c r="AC219" s="19"/>
      <c r="AD219" s="19"/>
      <c r="AE219" s="19"/>
    </row>
    <row r="220" spans="1:31 16366:16376" s="18" customFormat="1" ht="16.5" customHeight="1" x14ac:dyDescent="0.2">
      <c r="A220" s="39">
        <f t="shared" si="35"/>
        <v>217</v>
      </c>
      <c r="B220" s="40" t="s">
        <v>248</v>
      </c>
      <c r="C220" s="41">
        <v>702385881</v>
      </c>
      <c r="D220" s="42">
        <v>24298</v>
      </c>
      <c r="E220" s="40" t="s">
        <v>10</v>
      </c>
      <c r="F220" s="40" t="s">
        <v>389</v>
      </c>
      <c r="G220" s="40" t="s">
        <v>384</v>
      </c>
      <c r="H220" s="39" t="s">
        <v>383</v>
      </c>
      <c r="I220" s="43">
        <v>1010730445</v>
      </c>
      <c r="J220" s="42">
        <v>39569</v>
      </c>
      <c r="K220" s="42"/>
      <c r="L220" s="42">
        <v>39569</v>
      </c>
      <c r="M220" s="44">
        <v>419</v>
      </c>
      <c r="N220" s="40" t="s">
        <v>10</v>
      </c>
      <c r="O220" s="44">
        <v>561</v>
      </c>
      <c r="P220" s="44">
        <v>561</v>
      </c>
      <c r="Q220" s="44">
        <f>P220-M220</f>
        <v>142</v>
      </c>
      <c r="R220" s="29">
        <f t="shared" si="27"/>
        <v>1704</v>
      </c>
      <c r="S220" s="29">
        <f t="shared" si="36"/>
        <v>0</v>
      </c>
      <c r="T220" s="65">
        <f t="shared" ca="1" si="28"/>
        <v>134.64000000000001</v>
      </c>
      <c r="U220" s="29">
        <f t="shared" si="29"/>
        <v>120</v>
      </c>
      <c r="V220" s="29">
        <f t="shared" si="30"/>
        <v>960</v>
      </c>
      <c r="W220" s="44">
        <f t="shared" si="31"/>
        <v>48</v>
      </c>
      <c r="X220" s="29">
        <f t="shared" si="32"/>
        <v>169</v>
      </c>
      <c r="Y220" s="29">
        <f t="shared" ca="1" si="33"/>
        <v>3277.6400000000003</v>
      </c>
      <c r="Z220" s="75"/>
      <c r="AA220" s="66">
        <f t="shared" ca="1" si="34"/>
        <v>8</v>
      </c>
      <c r="AB220" s="19"/>
      <c r="AC220" s="19"/>
      <c r="AD220" s="19"/>
      <c r="AE220" s="19"/>
    </row>
    <row r="221" spans="1:31 16366:16376" s="18" customFormat="1" ht="16.5" customHeight="1" x14ac:dyDescent="0.2">
      <c r="A221" s="39">
        <f t="shared" si="35"/>
        <v>218</v>
      </c>
      <c r="B221" s="40" t="s">
        <v>267</v>
      </c>
      <c r="C221" s="41">
        <v>702442096</v>
      </c>
      <c r="D221" s="42">
        <v>24005</v>
      </c>
      <c r="E221" s="40" t="s">
        <v>10</v>
      </c>
      <c r="F221" s="40" t="s">
        <v>389</v>
      </c>
      <c r="G221" s="40" t="s">
        <v>384</v>
      </c>
      <c r="H221" s="39" t="s">
        <v>383</v>
      </c>
      <c r="I221" s="43">
        <v>130318886</v>
      </c>
      <c r="J221" s="42">
        <v>39569</v>
      </c>
      <c r="K221" s="42"/>
      <c r="L221" s="42">
        <v>39569</v>
      </c>
      <c r="M221" s="44">
        <v>419</v>
      </c>
      <c r="N221" s="40" t="s">
        <v>10</v>
      </c>
      <c r="O221" s="44">
        <v>561</v>
      </c>
      <c r="P221" s="44">
        <v>561</v>
      </c>
      <c r="Q221" s="44">
        <f>P221-M221</f>
        <v>142</v>
      </c>
      <c r="R221" s="29">
        <f t="shared" si="27"/>
        <v>1704</v>
      </c>
      <c r="S221" s="29">
        <f t="shared" si="36"/>
        <v>0</v>
      </c>
      <c r="T221" s="65">
        <f t="shared" ca="1" si="28"/>
        <v>134.64000000000001</v>
      </c>
      <c r="U221" s="29">
        <f t="shared" si="29"/>
        <v>120</v>
      </c>
      <c r="V221" s="29">
        <f t="shared" si="30"/>
        <v>960</v>
      </c>
      <c r="W221" s="44">
        <f t="shared" si="31"/>
        <v>48</v>
      </c>
      <c r="X221" s="29">
        <f t="shared" si="32"/>
        <v>169</v>
      </c>
      <c r="Y221" s="29">
        <f t="shared" ca="1" si="33"/>
        <v>3277.6400000000003</v>
      </c>
      <c r="Z221" s="75"/>
      <c r="AA221" s="66">
        <f t="shared" ca="1" si="34"/>
        <v>8</v>
      </c>
      <c r="AB221" s="19"/>
      <c r="AC221" s="19"/>
      <c r="AD221" s="19"/>
      <c r="AE221" s="19"/>
    </row>
    <row r="222" spans="1:31 16366:16376" s="18" customFormat="1" ht="16.5" customHeight="1" x14ac:dyDescent="0.2">
      <c r="A222" s="39">
        <f t="shared" si="35"/>
        <v>219</v>
      </c>
      <c r="B222" s="40" t="s">
        <v>335</v>
      </c>
      <c r="C222" s="41">
        <v>704766609</v>
      </c>
      <c r="D222" s="42">
        <v>31794</v>
      </c>
      <c r="E222" s="40" t="s">
        <v>10</v>
      </c>
      <c r="F222" s="40" t="s">
        <v>389</v>
      </c>
      <c r="G222" s="40" t="s">
        <v>417</v>
      </c>
      <c r="H222" s="39" t="s">
        <v>383</v>
      </c>
      <c r="I222" s="43">
        <v>406036871101</v>
      </c>
      <c r="J222" s="42">
        <v>40221</v>
      </c>
      <c r="K222" s="42"/>
      <c r="L222" s="42">
        <v>42278</v>
      </c>
      <c r="M222" s="44">
        <v>419</v>
      </c>
      <c r="N222" s="40" t="s">
        <v>10</v>
      </c>
      <c r="O222" s="44">
        <v>561</v>
      </c>
      <c r="P222" s="44">
        <v>561</v>
      </c>
      <c r="Q222" s="44">
        <f>P222-M222</f>
        <v>142</v>
      </c>
      <c r="R222" s="29">
        <f t="shared" si="27"/>
        <v>1704</v>
      </c>
      <c r="S222" s="29">
        <f t="shared" si="36"/>
        <v>0</v>
      </c>
      <c r="T222" s="65">
        <f t="shared" ca="1" si="28"/>
        <v>16.830000000000002</v>
      </c>
      <c r="U222" s="29">
        <f t="shared" si="29"/>
        <v>120</v>
      </c>
      <c r="V222" s="29">
        <f t="shared" si="30"/>
        <v>960</v>
      </c>
      <c r="W222" s="44">
        <f t="shared" si="31"/>
        <v>48</v>
      </c>
      <c r="X222" s="29">
        <f t="shared" si="32"/>
        <v>169</v>
      </c>
      <c r="Y222" s="29">
        <f t="shared" ca="1" si="33"/>
        <v>3159.83</v>
      </c>
      <c r="Z222" s="75"/>
      <c r="AA222" s="66">
        <f t="shared" ca="1" si="34"/>
        <v>1</v>
      </c>
      <c r="AB222" s="19"/>
      <c r="AC222" s="19"/>
      <c r="AD222" s="19"/>
      <c r="AE222" s="19"/>
    </row>
    <row r="223" spans="1:31 16366:16376" s="18" customFormat="1" ht="16.5" customHeight="1" x14ac:dyDescent="0.2">
      <c r="A223" s="39">
        <f t="shared" si="35"/>
        <v>220</v>
      </c>
      <c r="B223" s="40" t="s">
        <v>348</v>
      </c>
      <c r="C223" s="41">
        <v>1705665006</v>
      </c>
      <c r="D223" s="42">
        <v>18849</v>
      </c>
      <c r="E223" s="40" t="s">
        <v>10</v>
      </c>
      <c r="F223" s="40" t="s">
        <v>389</v>
      </c>
      <c r="G223" s="40" t="s">
        <v>420</v>
      </c>
      <c r="H223" s="39" t="s">
        <v>383</v>
      </c>
      <c r="I223" s="43">
        <v>10701000831</v>
      </c>
      <c r="J223" s="42">
        <v>40360</v>
      </c>
      <c r="K223" s="42"/>
      <c r="L223" s="42">
        <v>40360</v>
      </c>
      <c r="M223" s="44">
        <v>419</v>
      </c>
      <c r="N223" s="40" t="s">
        <v>10</v>
      </c>
      <c r="O223" s="44">
        <v>561</v>
      </c>
      <c r="P223" s="44">
        <v>561</v>
      </c>
      <c r="Q223" s="44">
        <f>P223-M223</f>
        <v>142</v>
      </c>
      <c r="R223" s="29">
        <f t="shared" si="27"/>
        <v>1704</v>
      </c>
      <c r="S223" s="29">
        <f t="shared" si="36"/>
        <v>0</v>
      </c>
      <c r="T223" s="65">
        <f t="shared" ca="1" si="28"/>
        <v>100.98000000000002</v>
      </c>
      <c r="U223" s="29">
        <f t="shared" si="29"/>
        <v>120</v>
      </c>
      <c r="V223" s="29">
        <f t="shared" si="30"/>
        <v>960</v>
      </c>
      <c r="W223" s="44">
        <f t="shared" si="31"/>
        <v>48</v>
      </c>
      <c r="X223" s="29">
        <f t="shared" si="32"/>
        <v>169</v>
      </c>
      <c r="Y223" s="29">
        <f t="shared" ca="1" si="33"/>
        <v>3243.98</v>
      </c>
      <c r="Z223" s="75"/>
      <c r="AA223" s="66">
        <f t="shared" ca="1" si="34"/>
        <v>6</v>
      </c>
      <c r="AB223" s="19"/>
      <c r="AC223" s="19"/>
      <c r="AD223" s="19"/>
      <c r="AE223" s="19"/>
    </row>
    <row r="224" spans="1:31 16366:16376" s="18" customFormat="1" ht="16.5" customHeight="1" x14ac:dyDescent="0.2">
      <c r="A224" s="39">
        <f t="shared" si="35"/>
        <v>221</v>
      </c>
      <c r="B224" s="40" t="s">
        <v>364</v>
      </c>
      <c r="C224" s="41">
        <v>702801945</v>
      </c>
      <c r="D224" s="42">
        <v>27325</v>
      </c>
      <c r="E224" s="40" t="s">
        <v>10</v>
      </c>
      <c r="F224" s="40" t="s">
        <v>389</v>
      </c>
      <c r="G224" s="40" t="s">
        <v>417</v>
      </c>
      <c r="H224" s="39" t="s">
        <v>383</v>
      </c>
      <c r="I224" s="43">
        <v>406040006300</v>
      </c>
      <c r="J224" s="42">
        <v>39569</v>
      </c>
      <c r="K224" s="42"/>
      <c r="L224" s="42">
        <v>39569</v>
      </c>
      <c r="M224" s="44">
        <v>419</v>
      </c>
      <c r="N224" s="40" t="s">
        <v>10</v>
      </c>
      <c r="O224" s="44">
        <v>561</v>
      </c>
      <c r="P224" s="44">
        <v>561</v>
      </c>
      <c r="Q224" s="44">
        <f>P224-M224</f>
        <v>142</v>
      </c>
      <c r="R224" s="29">
        <f t="shared" si="27"/>
        <v>1704</v>
      </c>
      <c r="S224" s="29">
        <f t="shared" si="36"/>
        <v>87.84</v>
      </c>
      <c r="T224" s="65">
        <f t="shared" ca="1" si="28"/>
        <v>134.64000000000001</v>
      </c>
      <c r="U224" s="29">
        <f t="shared" si="29"/>
        <v>120</v>
      </c>
      <c r="V224" s="29">
        <f t="shared" si="30"/>
        <v>960</v>
      </c>
      <c r="W224" s="44">
        <f t="shared" si="31"/>
        <v>48</v>
      </c>
      <c r="X224" s="29">
        <f t="shared" si="32"/>
        <v>169</v>
      </c>
      <c r="Y224" s="29">
        <f t="shared" ca="1" si="33"/>
        <v>3365.48</v>
      </c>
      <c r="Z224" s="75">
        <v>2</v>
      </c>
      <c r="AA224" s="66">
        <f t="shared" ca="1" si="34"/>
        <v>8</v>
      </c>
      <c r="AB224" s="19"/>
      <c r="AC224" s="19"/>
      <c r="AD224" s="19"/>
      <c r="AE224" s="19"/>
    </row>
    <row r="225" spans="1:31 16366:16376" s="18" customFormat="1" ht="16.5" customHeight="1" x14ac:dyDescent="0.2">
      <c r="A225" s="39">
        <f t="shared" si="35"/>
        <v>222</v>
      </c>
      <c r="B225" s="40" t="s">
        <v>151</v>
      </c>
      <c r="C225" s="41">
        <v>929312544</v>
      </c>
      <c r="D225" s="42">
        <v>35458</v>
      </c>
      <c r="E225" s="40" t="s">
        <v>152</v>
      </c>
      <c r="F225" s="40" t="s">
        <v>389</v>
      </c>
      <c r="G225" s="40" t="s">
        <v>417</v>
      </c>
      <c r="H225" s="39" t="s">
        <v>383</v>
      </c>
      <c r="I225" s="43">
        <v>406074239605</v>
      </c>
      <c r="J225" s="42">
        <v>42261</v>
      </c>
      <c r="K225" s="42"/>
      <c r="L225" s="42">
        <v>42261</v>
      </c>
      <c r="M225" s="44">
        <v>419</v>
      </c>
      <c r="N225" s="40" t="s">
        <v>152</v>
      </c>
      <c r="O225" s="44">
        <v>561</v>
      </c>
      <c r="P225" s="44">
        <v>561</v>
      </c>
      <c r="Q225" s="44">
        <f>P225-M225</f>
        <v>142</v>
      </c>
      <c r="R225" s="29">
        <f t="shared" si="27"/>
        <v>1704</v>
      </c>
      <c r="S225" s="29">
        <f t="shared" si="36"/>
        <v>0</v>
      </c>
      <c r="T225" s="65">
        <f t="shared" ca="1" si="28"/>
        <v>16.830000000000002</v>
      </c>
      <c r="U225" s="29">
        <f t="shared" si="29"/>
        <v>120</v>
      </c>
      <c r="V225" s="29">
        <f t="shared" si="30"/>
        <v>960</v>
      </c>
      <c r="W225" s="44">
        <f t="shared" si="31"/>
        <v>48</v>
      </c>
      <c r="X225" s="29">
        <f t="shared" si="32"/>
        <v>169</v>
      </c>
      <c r="Y225" s="29">
        <f t="shared" ca="1" si="33"/>
        <v>3159.83</v>
      </c>
      <c r="Z225" s="75"/>
      <c r="AA225" s="66">
        <f t="shared" ca="1" si="34"/>
        <v>1</v>
      </c>
      <c r="AB225" s="19"/>
      <c r="AC225" s="19"/>
      <c r="AD225" s="19"/>
      <c r="AE225" s="19"/>
    </row>
    <row r="226" spans="1:31 16366:16376" s="18" customFormat="1" ht="16.5" customHeight="1" x14ac:dyDescent="0.2">
      <c r="A226" s="39">
        <f t="shared" si="35"/>
        <v>223</v>
      </c>
      <c r="B226" s="40" t="s">
        <v>118</v>
      </c>
      <c r="C226" s="41">
        <v>702115965</v>
      </c>
      <c r="D226" s="42">
        <v>23971</v>
      </c>
      <c r="E226" s="40" t="s">
        <v>119</v>
      </c>
      <c r="F226" s="40" t="s">
        <v>387</v>
      </c>
      <c r="G226" s="40" t="s">
        <v>384</v>
      </c>
      <c r="H226" s="39" t="s">
        <v>383</v>
      </c>
      <c r="I226" s="43">
        <v>1320033043</v>
      </c>
      <c r="J226" s="42">
        <v>41365</v>
      </c>
      <c r="K226" s="42"/>
      <c r="L226" s="42">
        <v>41365</v>
      </c>
      <c r="M226" s="44">
        <v>561</v>
      </c>
      <c r="N226" s="40" t="s">
        <v>119</v>
      </c>
      <c r="O226" s="44">
        <v>561</v>
      </c>
      <c r="P226" s="44">
        <v>561</v>
      </c>
      <c r="Q226" s="44">
        <f>P226-M226</f>
        <v>0</v>
      </c>
      <c r="R226" s="29">
        <f t="shared" si="27"/>
        <v>0</v>
      </c>
      <c r="S226" s="29">
        <f t="shared" si="36"/>
        <v>0</v>
      </c>
      <c r="T226" s="65">
        <f t="shared" ca="1" si="28"/>
        <v>50.490000000000009</v>
      </c>
      <c r="U226" s="29">
        <f t="shared" si="29"/>
        <v>120</v>
      </c>
      <c r="V226" s="29">
        <f t="shared" si="30"/>
        <v>960</v>
      </c>
      <c r="W226" s="44">
        <f t="shared" si="31"/>
        <v>48</v>
      </c>
      <c r="X226" s="29">
        <f t="shared" si="32"/>
        <v>169</v>
      </c>
      <c r="Y226" s="29">
        <f t="shared" ca="1" si="33"/>
        <v>1347.49</v>
      </c>
      <c r="Z226" s="75"/>
      <c r="AA226" s="66">
        <f t="shared" ca="1" si="34"/>
        <v>3</v>
      </c>
      <c r="AB226" s="19"/>
      <c r="AC226" s="19"/>
      <c r="AD226" s="19"/>
      <c r="AE226" s="19"/>
      <c r="XEL226" s="17"/>
      <c r="XEV226" s="17"/>
    </row>
    <row r="227" spans="1:31 16366:16376" s="18" customFormat="1" ht="16.5" customHeight="1" x14ac:dyDescent="0.2">
      <c r="A227" s="39">
        <f t="shared" si="35"/>
        <v>224</v>
      </c>
      <c r="B227" s="40" t="s">
        <v>404</v>
      </c>
      <c r="C227" s="41">
        <v>1100312303</v>
      </c>
      <c r="D227" s="42">
        <v>17053</v>
      </c>
      <c r="E227" s="40" t="s">
        <v>9</v>
      </c>
      <c r="F227" s="40" t="s">
        <v>387</v>
      </c>
      <c r="G227" s="40" t="s">
        <v>384</v>
      </c>
      <c r="H227" s="39" t="s">
        <v>383</v>
      </c>
      <c r="I227" s="43">
        <v>1100023748</v>
      </c>
      <c r="J227" s="42">
        <v>28985</v>
      </c>
      <c r="K227" s="42">
        <v>42582</v>
      </c>
      <c r="L227" s="42">
        <v>28985</v>
      </c>
      <c r="M227" s="44">
        <v>614.17999999999995</v>
      </c>
      <c r="N227" s="40" t="s">
        <v>433</v>
      </c>
      <c r="O227" s="44">
        <v>773</v>
      </c>
      <c r="P227" s="44">
        <v>773</v>
      </c>
      <c r="Q227" s="44">
        <f>P227-M227</f>
        <v>158.82000000000005</v>
      </c>
      <c r="R227" s="29">
        <f>Q227*7</f>
        <v>1111.7400000000002</v>
      </c>
      <c r="S227" s="29">
        <f t="shared" si="36"/>
        <v>0</v>
      </c>
      <c r="T227" s="65">
        <f t="shared" ca="1" si="28"/>
        <v>278.28000000000003</v>
      </c>
      <c r="U227" s="29">
        <f t="shared" si="29"/>
        <v>120</v>
      </c>
      <c r="V227" s="29">
        <f t="shared" si="30"/>
        <v>960</v>
      </c>
      <c r="W227" s="44">
        <f t="shared" si="31"/>
        <v>48</v>
      </c>
      <c r="X227" s="29">
        <f t="shared" si="32"/>
        <v>169</v>
      </c>
      <c r="Y227" s="29">
        <f t="shared" ca="1" si="33"/>
        <v>2845.84</v>
      </c>
      <c r="Z227" s="75"/>
      <c r="AA227" s="66">
        <f t="shared" ca="1" si="34"/>
        <v>12</v>
      </c>
      <c r="AB227" s="19"/>
      <c r="AC227" s="19"/>
      <c r="AD227" s="19"/>
      <c r="AE227" s="19"/>
    </row>
    <row r="228" spans="1:31 16366:16376" s="18" customFormat="1" ht="16.5" customHeight="1" x14ac:dyDescent="0.2">
      <c r="A228" s="39">
        <f t="shared" si="35"/>
        <v>225</v>
      </c>
      <c r="B228" s="40" t="s">
        <v>413</v>
      </c>
      <c r="C228" s="41">
        <v>706056314</v>
      </c>
      <c r="D228" s="42">
        <v>32875</v>
      </c>
      <c r="E228" s="40" t="s">
        <v>9</v>
      </c>
      <c r="F228" s="40" t="s">
        <v>387</v>
      </c>
      <c r="G228" s="40" t="s">
        <v>386</v>
      </c>
      <c r="H228" s="39" t="s">
        <v>383</v>
      </c>
      <c r="I228" s="43">
        <v>2202280007</v>
      </c>
      <c r="J228" s="42">
        <v>42095</v>
      </c>
      <c r="K228" s="42">
        <v>42674</v>
      </c>
      <c r="L228" s="42">
        <v>42095</v>
      </c>
      <c r="M228" s="44">
        <v>563.28</v>
      </c>
      <c r="N228" s="40" t="s">
        <v>433</v>
      </c>
      <c r="O228" s="44">
        <v>773</v>
      </c>
      <c r="P228" s="44">
        <v>773</v>
      </c>
      <c r="Q228" s="44">
        <f>P228-M228</f>
        <v>209.72000000000003</v>
      </c>
      <c r="R228" s="29">
        <f>Q228*10</f>
        <v>2097.2000000000003</v>
      </c>
      <c r="S228" s="29">
        <f t="shared" si="36"/>
        <v>0</v>
      </c>
      <c r="T228" s="65">
        <f t="shared" ca="1" si="28"/>
        <v>23.19</v>
      </c>
      <c r="U228" s="29">
        <f t="shared" si="29"/>
        <v>120</v>
      </c>
      <c r="V228" s="29">
        <f t="shared" si="30"/>
        <v>960</v>
      </c>
      <c r="W228" s="44">
        <f t="shared" si="31"/>
        <v>48</v>
      </c>
      <c r="X228" s="29">
        <f t="shared" si="32"/>
        <v>169</v>
      </c>
      <c r="Y228" s="29">
        <f t="shared" ca="1" si="33"/>
        <v>3627.11</v>
      </c>
      <c r="Z228" s="75"/>
      <c r="AA228" s="66">
        <f t="shared" ca="1" si="34"/>
        <v>1</v>
      </c>
      <c r="AB228" s="19"/>
      <c r="AC228" s="19"/>
      <c r="AD228" s="19"/>
      <c r="AE228" s="19"/>
    </row>
    <row r="229" spans="1:31 16366:16376" s="18" customFormat="1" ht="16.5" customHeight="1" x14ac:dyDescent="0.2">
      <c r="A229" s="39">
        <f t="shared" si="35"/>
        <v>226</v>
      </c>
      <c r="B229" s="40" t="s">
        <v>415</v>
      </c>
      <c r="C229" s="41">
        <v>700583065</v>
      </c>
      <c r="D229" s="42">
        <v>16689</v>
      </c>
      <c r="E229" s="40" t="s">
        <v>9</v>
      </c>
      <c r="F229" s="40" t="s">
        <v>387</v>
      </c>
      <c r="G229" s="40" t="s">
        <v>384</v>
      </c>
      <c r="H229" s="39" t="s">
        <v>383</v>
      </c>
      <c r="I229" s="43">
        <v>130273912</v>
      </c>
      <c r="J229" s="42">
        <v>28765</v>
      </c>
      <c r="K229" s="42">
        <v>42582</v>
      </c>
      <c r="L229" s="42">
        <v>28765</v>
      </c>
      <c r="M229" s="44">
        <v>587</v>
      </c>
      <c r="N229" s="40" t="s">
        <v>433</v>
      </c>
      <c r="O229" s="44">
        <v>773</v>
      </c>
      <c r="P229" s="44">
        <v>773</v>
      </c>
      <c r="Q229" s="44">
        <f>P229-M229</f>
        <v>186</v>
      </c>
      <c r="R229" s="29">
        <f>Q229*7</f>
        <v>1302</v>
      </c>
      <c r="S229" s="29">
        <f t="shared" si="36"/>
        <v>0</v>
      </c>
      <c r="T229" s="65">
        <f t="shared" ca="1" si="28"/>
        <v>278.28000000000003</v>
      </c>
      <c r="U229" s="29">
        <f t="shared" si="29"/>
        <v>120</v>
      </c>
      <c r="V229" s="29">
        <f t="shared" si="30"/>
        <v>960</v>
      </c>
      <c r="W229" s="44">
        <f t="shared" si="31"/>
        <v>48</v>
      </c>
      <c r="X229" s="29">
        <f t="shared" si="32"/>
        <v>169</v>
      </c>
      <c r="Y229" s="29">
        <f t="shared" ca="1" si="33"/>
        <v>3063.2799999999997</v>
      </c>
      <c r="Z229" s="75"/>
      <c r="AA229" s="66">
        <f t="shared" ca="1" si="34"/>
        <v>12</v>
      </c>
      <c r="AB229" s="19"/>
      <c r="AC229" s="19"/>
      <c r="AD229" s="19"/>
      <c r="AE229" s="19"/>
    </row>
    <row r="230" spans="1:31 16366:16376" s="18" customFormat="1" ht="16.5" customHeight="1" x14ac:dyDescent="0.2">
      <c r="A230" s="39">
        <f t="shared" si="35"/>
        <v>227</v>
      </c>
      <c r="B230" s="40" t="s">
        <v>416</v>
      </c>
      <c r="C230" s="41">
        <v>700585045</v>
      </c>
      <c r="D230" s="42">
        <v>17953</v>
      </c>
      <c r="E230" s="40" t="s">
        <v>9</v>
      </c>
      <c r="F230" s="40" t="s">
        <v>387</v>
      </c>
      <c r="G230" s="40" t="s">
        <v>384</v>
      </c>
      <c r="H230" s="39" t="s">
        <v>383</v>
      </c>
      <c r="I230" s="43">
        <v>1100023535</v>
      </c>
      <c r="J230" s="42">
        <v>28765</v>
      </c>
      <c r="K230" s="42">
        <v>42643</v>
      </c>
      <c r="L230" s="42">
        <v>28765</v>
      </c>
      <c r="M230" s="44">
        <v>602</v>
      </c>
      <c r="N230" s="40" t="s">
        <v>433</v>
      </c>
      <c r="O230" s="44">
        <v>773</v>
      </c>
      <c r="P230" s="44">
        <v>773</v>
      </c>
      <c r="Q230" s="44">
        <f>P230-M230</f>
        <v>171</v>
      </c>
      <c r="R230" s="29">
        <f>Q230*9</f>
        <v>1539</v>
      </c>
      <c r="S230" s="29">
        <f t="shared" si="36"/>
        <v>0</v>
      </c>
      <c r="T230" s="65">
        <f t="shared" ca="1" si="28"/>
        <v>278.28000000000003</v>
      </c>
      <c r="U230" s="29">
        <f t="shared" si="29"/>
        <v>120</v>
      </c>
      <c r="V230" s="29">
        <f t="shared" si="30"/>
        <v>960</v>
      </c>
      <c r="W230" s="44">
        <f t="shared" si="31"/>
        <v>48</v>
      </c>
      <c r="X230" s="29">
        <f t="shared" si="32"/>
        <v>169</v>
      </c>
      <c r="Y230" s="29">
        <f t="shared" ca="1" si="33"/>
        <v>3285.2799999999997</v>
      </c>
      <c r="Z230" s="75"/>
      <c r="AA230" s="66">
        <f t="shared" ca="1" si="34"/>
        <v>12</v>
      </c>
      <c r="AB230" s="19"/>
      <c r="AC230" s="19"/>
      <c r="AD230" s="19"/>
      <c r="AE230" s="19"/>
    </row>
    <row r="231" spans="1:31 16366:16376" s="18" customFormat="1" ht="16.5" customHeight="1" x14ac:dyDescent="0.2">
      <c r="A231" s="39">
        <f t="shared" si="35"/>
        <v>228</v>
      </c>
      <c r="B231" s="40" t="s">
        <v>56</v>
      </c>
      <c r="C231" s="41">
        <v>702638933</v>
      </c>
      <c r="D231" s="42">
        <v>26602</v>
      </c>
      <c r="E231" s="40" t="s">
        <v>9</v>
      </c>
      <c r="F231" s="40" t="s">
        <v>387</v>
      </c>
      <c r="G231" s="40" t="s">
        <v>384</v>
      </c>
      <c r="H231" s="39" t="s">
        <v>383</v>
      </c>
      <c r="I231" s="43">
        <v>1010808436</v>
      </c>
      <c r="J231" s="42">
        <v>40252</v>
      </c>
      <c r="K231" s="42"/>
      <c r="L231" s="42">
        <v>40252</v>
      </c>
      <c r="M231" s="44">
        <v>556.63</v>
      </c>
      <c r="N231" s="40" t="s">
        <v>433</v>
      </c>
      <c r="O231" s="44">
        <v>773</v>
      </c>
      <c r="P231" s="44">
        <v>773</v>
      </c>
      <c r="Q231" s="44">
        <f>P231-M231</f>
        <v>216.37</v>
      </c>
      <c r="R231" s="29">
        <f t="shared" si="27"/>
        <v>2596.44</v>
      </c>
      <c r="S231" s="29">
        <f t="shared" si="36"/>
        <v>0</v>
      </c>
      <c r="T231" s="65">
        <f t="shared" ca="1" si="28"/>
        <v>139.14000000000001</v>
      </c>
      <c r="U231" s="29">
        <f t="shared" si="29"/>
        <v>120</v>
      </c>
      <c r="V231" s="29">
        <f t="shared" si="30"/>
        <v>960</v>
      </c>
      <c r="W231" s="44">
        <f t="shared" si="31"/>
        <v>48</v>
      </c>
      <c r="X231" s="29">
        <f t="shared" si="32"/>
        <v>169</v>
      </c>
      <c r="Y231" s="29">
        <f t="shared" ca="1" si="33"/>
        <v>4248.95</v>
      </c>
      <c r="Z231" s="75"/>
      <c r="AA231" s="66">
        <f t="shared" ca="1" si="34"/>
        <v>6</v>
      </c>
      <c r="AB231" s="19"/>
      <c r="AC231" s="19"/>
      <c r="AD231" s="19"/>
      <c r="AE231" s="19"/>
    </row>
    <row r="232" spans="1:31 16366:16376" s="18" customFormat="1" ht="16.5" customHeight="1" x14ac:dyDescent="0.2">
      <c r="A232" s="39">
        <f t="shared" si="35"/>
        <v>229</v>
      </c>
      <c r="B232" s="40" t="s">
        <v>68</v>
      </c>
      <c r="C232" s="41">
        <v>701176687</v>
      </c>
      <c r="D232" s="42">
        <v>19954</v>
      </c>
      <c r="E232" s="40" t="s">
        <v>9</v>
      </c>
      <c r="F232" s="40" t="s">
        <v>387</v>
      </c>
      <c r="G232" s="40" t="s">
        <v>384</v>
      </c>
      <c r="H232" s="39" t="s">
        <v>383</v>
      </c>
      <c r="I232" s="43">
        <v>1100023071</v>
      </c>
      <c r="J232" s="42">
        <v>28769</v>
      </c>
      <c r="K232" s="42"/>
      <c r="L232" s="42">
        <v>28769</v>
      </c>
      <c r="M232" s="44">
        <v>588.73</v>
      </c>
      <c r="N232" s="40" t="s">
        <v>433</v>
      </c>
      <c r="O232" s="44">
        <v>773</v>
      </c>
      <c r="P232" s="44">
        <v>773</v>
      </c>
      <c r="Q232" s="44">
        <f>P232-M232</f>
        <v>184.26999999999998</v>
      </c>
      <c r="R232" s="29">
        <f t="shared" si="27"/>
        <v>2211.2399999999998</v>
      </c>
      <c r="S232" s="29">
        <f t="shared" si="36"/>
        <v>0</v>
      </c>
      <c r="T232" s="65">
        <f t="shared" ca="1" si="28"/>
        <v>278.28000000000003</v>
      </c>
      <c r="U232" s="29">
        <f t="shared" si="29"/>
        <v>120</v>
      </c>
      <c r="V232" s="29">
        <f t="shared" si="30"/>
        <v>960</v>
      </c>
      <c r="W232" s="44">
        <f t="shared" si="31"/>
        <v>48</v>
      </c>
      <c r="X232" s="29">
        <f t="shared" si="32"/>
        <v>169</v>
      </c>
      <c r="Y232" s="29">
        <f t="shared" ca="1" si="33"/>
        <v>3970.79</v>
      </c>
      <c r="Z232" s="75"/>
      <c r="AA232" s="66">
        <f t="shared" ca="1" si="34"/>
        <v>12</v>
      </c>
      <c r="AB232" s="19"/>
      <c r="AC232" s="19"/>
      <c r="AD232" s="19"/>
      <c r="AE232" s="19"/>
    </row>
    <row r="233" spans="1:31 16366:16376" s="18" customFormat="1" ht="16.5" customHeight="1" x14ac:dyDescent="0.2">
      <c r="A233" s="39">
        <f t="shared" si="35"/>
        <v>230</v>
      </c>
      <c r="B233" s="40" t="s">
        <v>84</v>
      </c>
      <c r="C233" s="41">
        <v>705843498</v>
      </c>
      <c r="D233" s="42">
        <v>34744</v>
      </c>
      <c r="E233" s="40" t="s">
        <v>9</v>
      </c>
      <c r="F233" s="40" t="s">
        <v>387</v>
      </c>
      <c r="G233" s="40" t="s">
        <v>420</v>
      </c>
      <c r="H233" s="39" t="s">
        <v>383</v>
      </c>
      <c r="I233" s="43">
        <v>10102043225</v>
      </c>
      <c r="J233" s="42">
        <v>41554</v>
      </c>
      <c r="K233" s="42"/>
      <c r="L233" s="42">
        <v>42095</v>
      </c>
      <c r="M233" s="44">
        <v>563.28</v>
      </c>
      <c r="N233" s="40" t="s">
        <v>433</v>
      </c>
      <c r="O233" s="44">
        <v>773</v>
      </c>
      <c r="P233" s="44">
        <v>773</v>
      </c>
      <c r="Q233" s="44">
        <f>P233-M233</f>
        <v>209.72000000000003</v>
      </c>
      <c r="R233" s="29">
        <f t="shared" si="27"/>
        <v>2516.6400000000003</v>
      </c>
      <c r="S233" s="29">
        <f t="shared" si="36"/>
        <v>0</v>
      </c>
      <c r="T233" s="65">
        <f t="shared" ca="1" si="28"/>
        <v>23.19</v>
      </c>
      <c r="U233" s="29">
        <f t="shared" si="29"/>
        <v>120</v>
      </c>
      <c r="V233" s="29">
        <f t="shared" si="30"/>
        <v>960</v>
      </c>
      <c r="W233" s="44">
        <f t="shared" si="31"/>
        <v>48</v>
      </c>
      <c r="X233" s="29">
        <f t="shared" si="32"/>
        <v>169</v>
      </c>
      <c r="Y233" s="29">
        <f t="shared" ca="1" si="33"/>
        <v>4046.5500000000006</v>
      </c>
      <c r="Z233" s="75"/>
      <c r="AA233" s="66">
        <f t="shared" ca="1" si="34"/>
        <v>1</v>
      </c>
      <c r="AB233" s="19"/>
      <c r="AC233" s="19"/>
      <c r="AD233" s="19"/>
      <c r="AE233" s="19"/>
    </row>
    <row r="234" spans="1:31 16366:16376" s="18" customFormat="1" ht="16.5" customHeight="1" x14ac:dyDescent="0.2">
      <c r="A234" s="39">
        <f t="shared" si="35"/>
        <v>231</v>
      </c>
      <c r="B234" s="40" t="s">
        <v>86</v>
      </c>
      <c r="C234" s="41">
        <v>701031700</v>
      </c>
      <c r="D234" s="42">
        <v>20156</v>
      </c>
      <c r="E234" s="40" t="s">
        <v>9</v>
      </c>
      <c r="F234" s="40" t="s">
        <v>387</v>
      </c>
      <c r="G234" s="40" t="s">
        <v>384</v>
      </c>
      <c r="H234" s="39" t="s">
        <v>383</v>
      </c>
      <c r="I234" s="43">
        <v>1010232356</v>
      </c>
      <c r="J234" s="42">
        <v>29221</v>
      </c>
      <c r="K234" s="42"/>
      <c r="L234" s="42">
        <v>29221</v>
      </c>
      <c r="M234" s="44">
        <v>587</v>
      </c>
      <c r="N234" s="40" t="s">
        <v>433</v>
      </c>
      <c r="O234" s="44">
        <v>773</v>
      </c>
      <c r="P234" s="44">
        <v>773</v>
      </c>
      <c r="Q234" s="44">
        <f>P234-M234</f>
        <v>186</v>
      </c>
      <c r="R234" s="29">
        <f t="shared" si="27"/>
        <v>2232</v>
      </c>
      <c r="S234" s="29">
        <f t="shared" si="36"/>
        <v>0</v>
      </c>
      <c r="T234" s="65">
        <f t="shared" ca="1" si="28"/>
        <v>278.28000000000003</v>
      </c>
      <c r="U234" s="29">
        <f t="shared" si="29"/>
        <v>120</v>
      </c>
      <c r="V234" s="29">
        <f t="shared" si="30"/>
        <v>960</v>
      </c>
      <c r="W234" s="44">
        <f t="shared" si="31"/>
        <v>48</v>
      </c>
      <c r="X234" s="29">
        <f t="shared" si="32"/>
        <v>169</v>
      </c>
      <c r="Y234" s="29">
        <f t="shared" ca="1" si="33"/>
        <v>3993.28</v>
      </c>
      <c r="Z234" s="75"/>
      <c r="AA234" s="66">
        <f t="shared" ca="1" si="34"/>
        <v>12</v>
      </c>
      <c r="AB234" s="19"/>
      <c r="AC234" s="19"/>
      <c r="AD234" s="19"/>
      <c r="AE234" s="19"/>
    </row>
    <row r="235" spans="1:31 16366:16376" s="18" customFormat="1" ht="16.5" customHeight="1" x14ac:dyDescent="0.2">
      <c r="A235" s="39">
        <f t="shared" si="35"/>
        <v>232</v>
      </c>
      <c r="B235" s="40" t="s">
        <v>89</v>
      </c>
      <c r="C235" s="41">
        <v>703843961</v>
      </c>
      <c r="D235" s="42">
        <v>31014</v>
      </c>
      <c r="E235" s="40" t="s">
        <v>9</v>
      </c>
      <c r="F235" s="40" t="s">
        <v>387</v>
      </c>
      <c r="G235" s="40" t="s">
        <v>420</v>
      </c>
      <c r="H235" s="39" t="s">
        <v>383</v>
      </c>
      <c r="I235" s="43">
        <v>10202017320</v>
      </c>
      <c r="J235" s="42">
        <v>42156</v>
      </c>
      <c r="K235" s="42"/>
      <c r="L235" s="42">
        <v>42156</v>
      </c>
      <c r="M235" s="44">
        <v>588.73</v>
      </c>
      <c r="N235" s="40" t="s">
        <v>433</v>
      </c>
      <c r="O235" s="44">
        <v>773</v>
      </c>
      <c r="P235" s="44">
        <v>773</v>
      </c>
      <c r="Q235" s="44">
        <f>P235-M235</f>
        <v>184.26999999999998</v>
      </c>
      <c r="R235" s="29">
        <f t="shared" si="27"/>
        <v>2211.2399999999998</v>
      </c>
      <c r="S235" s="29">
        <f t="shared" si="36"/>
        <v>0</v>
      </c>
      <c r="T235" s="65">
        <f t="shared" ca="1" si="28"/>
        <v>23.19</v>
      </c>
      <c r="U235" s="29">
        <f t="shared" si="29"/>
        <v>120</v>
      </c>
      <c r="V235" s="29">
        <f t="shared" si="30"/>
        <v>960</v>
      </c>
      <c r="W235" s="44">
        <f t="shared" si="31"/>
        <v>48</v>
      </c>
      <c r="X235" s="29">
        <f t="shared" si="32"/>
        <v>169</v>
      </c>
      <c r="Y235" s="29">
        <f t="shared" ca="1" si="33"/>
        <v>3715.7</v>
      </c>
      <c r="Z235" s="75"/>
      <c r="AA235" s="66">
        <f t="shared" ca="1" si="34"/>
        <v>1</v>
      </c>
      <c r="AB235" s="19"/>
      <c r="AC235" s="19"/>
      <c r="AD235" s="19"/>
      <c r="AE235" s="19"/>
    </row>
    <row r="236" spans="1:31 16366:16376" s="18" customFormat="1" ht="16.5" customHeight="1" x14ac:dyDescent="0.2">
      <c r="A236" s="39">
        <f t="shared" si="35"/>
        <v>233</v>
      </c>
      <c r="B236" s="40" t="s">
        <v>95</v>
      </c>
      <c r="C236" s="41">
        <v>701452500</v>
      </c>
      <c r="D236" s="42">
        <v>20167</v>
      </c>
      <c r="E236" s="40" t="s">
        <v>9</v>
      </c>
      <c r="F236" s="40" t="s">
        <v>387</v>
      </c>
      <c r="G236" s="40" t="s">
        <v>384</v>
      </c>
      <c r="H236" s="39" t="s">
        <v>383</v>
      </c>
      <c r="I236" s="43">
        <v>1010177681</v>
      </c>
      <c r="J236" s="42">
        <v>32357</v>
      </c>
      <c r="K236" s="42"/>
      <c r="L236" s="42">
        <v>32357</v>
      </c>
      <c r="M236" s="44">
        <v>603.12</v>
      </c>
      <c r="N236" s="40" t="s">
        <v>433</v>
      </c>
      <c r="O236" s="44">
        <v>773</v>
      </c>
      <c r="P236" s="44">
        <v>773</v>
      </c>
      <c r="Q236" s="44">
        <f>P236-M236</f>
        <v>169.88</v>
      </c>
      <c r="R236" s="29">
        <f t="shared" si="27"/>
        <v>2038.56</v>
      </c>
      <c r="S236" s="29">
        <f t="shared" si="36"/>
        <v>0</v>
      </c>
      <c r="T236" s="65">
        <f t="shared" ca="1" si="28"/>
        <v>278.28000000000003</v>
      </c>
      <c r="U236" s="29">
        <f t="shared" si="29"/>
        <v>120</v>
      </c>
      <c r="V236" s="29">
        <f t="shared" si="30"/>
        <v>960</v>
      </c>
      <c r="W236" s="44">
        <f t="shared" si="31"/>
        <v>48</v>
      </c>
      <c r="X236" s="29">
        <f t="shared" si="32"/>
        <v>169</v>
      </c>
      <c r="Y236" s="29">
        <f t="shared" ca="1" si="33"/>
        <v>3783.7200000000003</v>
      </c>
      <c r="Z236" s="75"/>
      <c r="AA236" s="66">
        <f t="shared" ca="1" si="34"/>
        <v>12</v>
      </c>
      <c r="AB236" s="19"/>
      <c r="AC236" s="19"/>
      <c r="AD236" s="19"/>
      <c r="AE236" s="19"/>
    </row>
    <row r="237" spans="1:31 16366:16376" s="18" customFormat="1" ht="16.5" customHeight="1" x14ac:dyDescent="0.2">
      <c r="A237" s="39">
        <f t="shared" si="35"/>
        <v>234</v>
      </c>
      <c r="B237" s="40" t="s">
        <v>111</v>
      </c>
      <c r="C237" s="41">
        <v>703581231</v>
      </c>
      <c r="D237" s="42">
        <v>28243</v>
      </c>
      <c r="E237" s="40" t="s">
        <v>9</v>
      </c>
      <c r="F237" s="40" t="s">
        <v>387</v>
      </c>
      <c r="G237" s="40" t="s">
        <v>384</v>
      </c>
      <c r="H237" s="39" t="s">
        <v>383</v>
      </c>
      <c r="I237" s="43">
        <v>1010747909</v>
      </c>
      <c r="J237" s="42">
        <v>42102</v>
      </c>
      <c r="K237" s="42"/>
      <c r="L237" s="42">
        <v>42102</v>
      </c>
      <c r="M237" s="44">
        <v>563.28</v>
      </c>
      <c r="N237" s="40" t="s">
        <v>433</v>
      </c>
      <c r="O237" s="44">
        <v>773</v>
      </c>
      <c r="P237" s="44">
        <v>773</v>
      </c>
      <c r="Q237" s="44">
        <f>P237-M237</f>
        <v>209.72000000000003</v>
      </c>
      <c r="R237" s="29">
        <f t="shared" si="27"/>
        <v>2516.6400000000003</v>
      </c>
      <c r="S237" s="29">
        <f t="shared" si="36"/>
        <v>0</v>
      </c>
      <c r="T237" s="65">
        <f t="shared" ca="1" si="28"/>
        <v>23.19</v>
      </c>
      <c r="U237" s="29">
        <f t="shared" si="29"/>
        <v>120</v>
      </c>
      <c r="V237" s="29">
        <f t="shared" si="30"/>
        <v>960</v>
      </c>
      <c r="W237" s="44">
        <f t="shared" si="31"/>
        <v>48</v>
      </c>
      <c r="X237" s="29">
        <f t="shared" si="32"/>
        <v>169</v>
      </c>
      <c r="Y237" s="29">
        <f t="shared" ca="1" si="33"/>
        <v>4046.5500000000006</v>
      </c>
      <c r="Z237" s="75"/>
      <c r="AA237" s="66">
        <f t="shared" ca="1" si="34"/>
        <v>1</v>
      </c>
      <c r="AB237" s="19"/>
      <c r="AC237" s="19"/>
      <c r="AD237" s="19"/>
      <c r="AE237" s="19"/>
    </row>
    <row r="238" spans="1:31 16366:16376" s="18" customFormat="1" ht="16.5" customHeight="1" x14ac:dyDescent="0.2">
      <c r="A238" s="39">
        <f t="shared" si="35"/>
        <v>235</v>
      </c>
      <c r="B238" s="40" t="s">
        <v>133</v>
      </c>
      <c r="C238" s="41">
        <v>701899031</v>
      </c>
      <c r="D238" s="42">
        <v>23392</v>
      </c>
      <c r="E238" s="40" t="s">
        <v>9</v>
      </c>
      <c r="F238" s="40" t="s">
        <v>387</v>
      </c>
      <c r="G238" s="40" t="s">
        <v>384</v>
      </c>
      <c r="H238" s="39" t="s">
        <v>383</v>
      </c>
      <c r="I238" s="43">
        <v>1010176049</v>
      </c>
      <c r="J238" s="42">
        <v>33909</v>
      </c>
      <c r="K238" s="42"/>
      <c r="L238" s="42">
        <v>33909</v>
      </c>
      <c r="M238" s="44">
        <v>603.12</v>
      </c>
      <c r="N238" s="40" t="s">
        <v>433</v>
      </c>
      <c r="O238" s="44">
        <v>773</v>
      </c>
      <c r="P238" s="44">
        <v>773</v>
      </c>
      <c r="Q238" s="44">
        <f>P238-M238</f>
        <v>169.88</v>
      </c>
      <c r="R238" s="29">
        <f t="shared" si="27"/>
        <v>2038.56</v>
      </c>
      <c r="S238" s="29">
        <f t="shared" si="36"/>
        <v>43.92</v>
      </c>
      <c r="T238" s="65">
        <f t="shared" ca="1" si="28"/>
        <v>278.28000000000003</v>
      </c>
      <c r="U238" s="29">
        <f t="shared" si="29"/>
        <v>120</v>
      </c>
      <c r="V238" s="29">
        <f t="shared" si="30"/>
        <v>960</v>
      </c>
      <c r="W238" s="44">
        <f t="shared" si="31"/>
        <v>48</v>
      </c>
      <c r="X238" s="29">
        <f t="shared" si="32"/>
        <v>169</v>
      </c>
      <c r="Y238" s="29">
        <f t="shared" ca="1" si="33"/>
        <v>3827.6400000000003</v>
      </c>
      <c r="Z238" s="75">
        <v>1</v>
      </c>
      <c r="AA238" s="66">
        <f t="shared" ca="1" si="34"/>
        <v>12</v>
      </c>
      <c r="AB238" s="19"/>
      <c r="AC238" s="19"/>
      <c r="AD238" s="19"/>
      <c r="AE238" s="19"/>
    </row>
    <row r="239" spans="1:31 16366:16376" s="18" customFormat="1" ht="16.5" customHeight="1" x14ac:dyDescent="0.2">
      <c r="A239" s="39">
        <f t="shared" si="35"/>
        <v>236</v>
      </c>
      <c r="B239" s="40" t="s">
        <v>148</v>
      </c>
      <c r="C239" s="41">
        <v>705068864</v>
      </c>
      <c r="D239" s="42">
        <v>31651</v>
      </c>
      <c r="E239" s="40" t="s">
        <v>9</v>
      </c>
      <c r="F239" s="40" t="s">
        <v>387</v>
      </c>
      <c r="G239" s="40" t="s">
        <v>386</v>
      </c>
      <c r="H239" s="39" t="s">
        <v>383</v>
      </c>
      <c r="I239" s="43">
        <v>5853217500</v>
      </c>
      <c r="J239" s="42">
        <v>42156</v>
      </c>
      <c r="K239" s="42"/>
      <c r="L239" s="42">
        <v>42156</v>
      </c>
      <c r="M239" s="44">
        <v>594</v>
      </c>
      <c r="N239" s="40" t="s">
        <v>433</v>
      </c>
      <c r="O239" s="44">
        <v>773</v>
      </c>
      <c r="P239" s="44">
        <v>773</v>
      </c>
      <c r="Q239" s="44">
        <f>P239-M239</f>
        <v>179</v>
      </c>
      <c r="R239" s="29">
        <f t="shared" si="27"/>
        <v>2148</v>
      </c>
      <c r="S239" s="29">
        <f t="shared" si="36"/>
        <v>0</v>
      </c>
      <c r="T239" s="65">
        <f t="shared" ca="1" si="28"/>
        <v>23.19</v>
      </c>
      <c r="U239" s="29">
        <f t="shared" si="29"/>
        <v>120</v>
      </c>
      <c r="V239" s="29">
        <f t="shared" si="30"/>
        <v>960</v>
      </c>
      <c r="W239" s="44">
        <f t="shared" si="31"/>
        <v>48</v>
      </c>
      <c r="X239" s="29">
        <f t="shared" si="32"/>
        <v>169</v>
      </c>
      <c r="Y239" s="29">
        <f t="shared" ca="1" si="33"/>
        <v>3647.19</v>
      </c>
      <c r="Z239" s="75"/>
      <c r="AA239" s="66">
        <f t="shared" ca="1" si="34"/>
        <v>1</v>
      </c>
      <c r="AB239" s="19"/>
      <c r="AC239" s="19"/>
      <c r="AD239" s="19"/>
      <c r="AE239" s="19"/>
    </row>
    <row r="240" spans="1:31 16366:16376" s="18" customFormat="1" ht="16.5" customHeight="1" x14ac:dyDescent="0.2">
      <c r="A240" s="39">
        <f t="shared" si="35"/>
        <v>237</v>
      </c>
      <c r="B240" s="40" t="s">
        <v>156</v>
      </c>
      <c r="C240" s="41">
        <v>701181968</v>
      </c>
      <c r="D240" s="42">
        <v>20886</v>
      </c>
      <c r="E240" s="40" t="s">
        <v>9</v>
      </c>
      <c r="F240" s="40" t="s">
        <v>387</v>
      </c>
      <c r="G240" s="40" t="s">
        <v>384</v>
      </c>
      <c r="H240" s="39" t="s">
        <v>383</v>
      </c>
      <c r="I240" s="43">
        <v>130183980</v>
      </c>
      <c r="J240" s="42">
        <v>28765</v>
      </c>
      <c r="K240" s="42"/>
      <c r="L240" s="42">
        <v>28765</v>
      </c>
      <c r="M240" s="44">
        <v>602</v>
      </c>
      <c r="N240" s="40" t="s">
        <v>433</v>
      </c>
      <c r="O240" s="44">
        <v>773</v>
      </c>
      <c r="P240" s="44">
        <v>773</v>
      </c>
      <c r="Q240" s="44">
        <f>P240-M240</f>
        <v>171</v>
      </c>
      <c r="R240" s="29">
        <f t="shared" si="27"/>
        <v>2052</v>
      </c>
      <c r="S240" s="29">
        <f t="shared" si="36"/>
        <v>0</v>
      </c>
      <c r="T240" s="65">
        <f t="shared" ca="1" si="28"/>
        <v>278.28000000000003</v>
      </c>
      <c r="U240" s="29">
        <f t="shared" si="29"/>
        <v>120</v>
      </c>
      <c r="V240" s="29">
        <f t="shared" si="30"/>
        <v>960</v>
      </c>
      <c r="W240" s="44">
        <f t="shared" si="31"/>
        <v>48</v>
      </c>
      <c r="X240" s="29">
        <f t="shared" si="32"/>
        <v>169</v>
      </c>
      <c r="Y240" s="29">
        <f t="shared" ca="1" si="33"/>
        <v>3798.28</v>
      </c>
      <c r="Z240" s="75"/>
      <c r="AA240" s="66">
        <f t="shared" ca="1" si="34"/>
        <v>12</v>
      </c>
      <c r="AB240" s="19"/>
      <c r="AC240" s="19"/>
      <c r="AD240" s="19"/>
      <c r="AE240" s="19"/>
    </row>
    <row r="241" spans="1:31" s="18" customFormat="1" ht="16.5" customHeight="1" x14ac:dyDescent="0.2">
      <c r="A241" s="39">
        <f t="shared" si="35"/>
        <v>238</v>
      </c>
      <c r="B241" s="40" t="s">
        <v>192</v>
      </c>
      <c r="C241" s="41">
        <v>704742279</v>
      </c>
      <c r="D241" s="42">
        <v>30822</v>
      </c>
      <c r="E241" s="40" t="s">
        <v>9</v>
      </c>
      <c r="F241" s="40" t="s">
        <v>387</v>
      </c>
      <c r="G241" s="40" t="s">
        <v>384</v>
      </c>
      <c r="H241" s="39" t="s">
        <v>383</v>
      </c>
      <c r="I241" s="43">
        <v>1020540237</v>
      </c>
      <c r="J241" s="42">
        <v>40277</v>
      </c>
      <c r="K241" s="42"/>
      <c r="L241" s="42">
        <v>40277</v>
      </c>
      <c r="M241" s="44">
        <v>556.63</v>
      </c>
      <c r="N241" s="40" t="s">
        <v>433</v>
      </c>
      <c r="O241" s="44">
        <v>773</v>
      </c>
      <c r="P241" s="44">
        <v>773</v>
      </c>
      <c r="Q241" s="44">
        <f>P241-M241</f>
        <v>216.37</v>
      </c>
      <c r="R241" s="29">
        <f t="shared" si="27"/>
        <v>2596.44</v>
      </c>
      <c r="S241" s="29">
        <f t="shared" si="36"/>
        <v>0</v>
      </c>
      <c r="T241" s="65">
        <f t="shared" ca="1" si="28"/>
        <v>139.14000000000001</v>
      </c>
      <c r="U241" s="29">
        <f t="shared" si="29"/>
        <v>120</v>
      </c>
      <c r="V241" s="29">
        <f t="shared" si="30"/>
        <v>960</v>
      </c>
      <c r="W241" s="44">
        <f t="shared" si="31"/>
        <v>48</v>
      </c>
      <c r="X241" s="29">
        <f t="shared" si="32"/>
        <v>169</v>
      </c>
      <c r="Y241" s="29">
        <f t="shared" ca="1" si="33"/>
        <v>4248.95</v>
      </c>
      <c r="Z241" s="75"/>
      <c r="AA241" s="66">
        <f t="shared" ca="1" si="34"/>
        <v>6</v>
      </c>
      <c r="AB241" s="19"/>
      <c r="AC241" s="19"/>
      <c r="AD241" s="19"/>
      <c r="AE241" s="19"/>
    </row>
    <row r="242" spans="1:31" s="18" customFormat="1" ht="16.5" customHeight="1" x14ac:dyDescent="0.2">
      <c r="A242" s="39">
        <f t="shared" si="35"/>
        <v>239</v>
      </c>
      <c r="B242" s="40" t="s">
        <v>199</v>
      </c>
      <c r="C242" s="41">
        <v>700985161</v>
      </c>
      <c r="D242" s="42">
        <v>20360</v>
      </c>
      <c r="E242" s="40" t="s">
        <v>9</v>
      </c>
      <c r="F242" s="40" t="s">
        <v>387</v>
      </c>
      <c r="G242" s="40" t="s">
        <v>384</v>
      </c>
      <c r="H242" s="39" t="s">
        <v>383</v>
      </c>
      <c r="I242" s="43">
        <v>1010176332</v>
      </c>
      <c r="J242" s="42">
        <v>30104</v>
      </c>
      <c r="K242" s="42"/>
      <c r="L242" s="42">
        <v>30104</v>
      </c>
      <c r="M242" s="44">
        <v>569.91999999999996</v>
      </c>
      <c r="N242" s="40" t="s">
        <v>433</v>
      </c>
      <c r="O242" s="44">
        <v>773</v>
      </c>
      <c r="P242" s="44">
        <v>773</v>
      </c>
      <c r="Q242" s="44">
        <f>P242-M242</f>
        <v>203.08000000000004</v>
      </c>
      <c r="R242" s="29">
        <f t="shared" si="27"/>
        <v>2436.9600000000005</v>
      </c>
      <c r="S242" s="29">
        <f t="shared" si="36"/>
        <v>0</v>
      </c>
      <c r="T242" s="65">
        <f t="shared" ca="1" si="28"/>
        <v>278.28000000000003</v>
      </c>
      <c r="U242" s="29">
        <f t="shared" si="29"/>
        <v>120</v>
      </c>
      <c r="V242" s="29">
        <f t="shared" si="30"/>
        <v>960</v>
      </c>
      <c r="W242" s="44">
        <f t="shared" si="31"/>
        <v>48</v>
      </c>
      <c r="X242" s="29">
        <f t="shared" si="32"/>
        <v>169</v>
      </c>
      <c r="Y242" s="29">
        <f t="shared" ca="1" si="33"/>
        <v>4215.3200000000006</v>
      </c>
      <c r="Z242" s="75"/>
      <c r="AA242" s="66">
        <f t="shared" ca="1" si="34"/>
        <v>12</v>
      </c>
      <c r="AB242" s="19"/>
      <c r="AC242" s="19"/>
      <c r="AD242" s="19"/>
      <c r="AE242" s="19"/>
    </row>
    <row r="243" spans="1:31" s="18" customFormat="1" ht="16.5" customHeight="1" x14ac:dyDescent="0.2">
      <c r="A243" s="39">
        <f t="shared" si="35"/>
        <v>240</v>
      </c>
      <c r="B243" s="40" t="s">
        <v>213</v>
      </c>
      <c r="C243" s="41">
        <v>701642183</v>
      </c>
      <c r="D243" s="42">
        <v>22585</v>
      </c>
      <c r="E243" s="40" t="s">
        <v>9</v>
      </c>
      <c r="F243" s="40" t="s">
        <v>387</v>
      </c>
      <c r="G243" s="40" t="s">
        <v>384</v>
      </c>
      <c r="H243" s="39" t="s">
        <v>383</v>
      </c>
      <c r="I243" s="43">
        <v>1010177088</v>
      </c>
      <c r="J243" s="42">
        <v>32448</v>
      </c>
      <c r="K243" s="42"/>
      <c r="L243" s="42">
        <v>32448</v>
      </c>
      <c r="M243" s="44">
        <v>563.28</v>
      </c>
      <c r="N243" s="40" t="s">
        <v>433</v>
      </c>
      <c r="O243" s="44">
        <v>773</v>
      </c>
      <c r="P243" s="44">
        <v>773</v>
      </c>
      <c r="Q243" s="44">
        <f>P243-M243</f>
        <v>209.72000000000003</v>
      </c>
      <c r="R243" s="29">
        <f t="shared" si="27"/>
        <v>2516.6400000000003</v>
      </c>
      <c r="S243" s="29">
        <f t="shared" si="36"/>
        <v>87.84</v>
      </c>
      <c r="T243" s="65">
        <f t="shared" ca="1" si="28"/>
        <v>278.28000000000003</v>
      </c>
      <c r="U243" s="29">
        <f t="shared" si="29"/>
        <v>120</v>
      </c>
      <c r="V243" s="29">
        <f t="shared" si="30"/>
        <v>960</v>
      </c>
      <c r="W243" s="44">
        <f t="shared" si="31"/>
        <v>48</v>
      </c>
      <c r="X243" s="29">
        <f t="shared" si="32"/>
        <v>169</v>
      </c>
      <c r="Y243" s="29">
        <f t="shared" ca="1" si="33"/>
        <v>4389.4800000000014</v>
      </c>
      <c r="Z243" s="75">
        <v>2</v>
      </c>
      <c r="AA243" s="66">
        <f t="shared" ca="1" si="34"/>
        <v>12</v>
      </c>
      <c r="AB243" s="19"/>
      <c r="AC243" s="19"/>
      <c r="AD243" s="19"/>
      <c r="AE243" s="19"/>
    </row>
    <row r="244" spans="1:31" s="18" customFormat="1" ht="16.5" customHeight="1" x14ac:dyDescent="0.2">
      <c r="A244" s="39">
        <f t="shared" si="35"/>
        <v>241</v>
      </c>
      <c r="B244" s="40" t="s">
        <v>249</v>
      </c>
      <c r="C244" s="41">
        <v>701260606</v>
      </c>
      <c r="D244" s="42">
        <v>21301</v>
      </c>
      <c r="E244" s="40" t="s">
        <v>9</v>
      </c>
      <c r="F244" s="40" t="s">
        <v>387</v>
      </c>
      <c r="G244" s="40" t="s">
        <v>384</v>
      </c>
      <c r="H244" s="39" t="s">
        <v>383</v>
      </c>
      <c r="I244" s="43">
        <v>1010177444</v>
      </c>
      <c r="J244" s="42">
        <v>31076</v>
      </c>
      <c r="K244" s="42"/>
      <c r="L244" s="42">
        <v>31076</v>
      </c>
      <c r="M244" s="44">
        <v>579.88</v>
      </c>
      <c r="N244" s="40" t="s">
        <v>433</v>
      </c>
      <c r="O244" s="44">
        <v>773</v>
      </c>
      <c r="P244" s="44">
        <v>773</v>
      </c>
      <c r="Q244" s="44">
        <f>P244-M244</f>
        <v>193.12</v>
      </c>
      <c r="R244" s="29">
        <f t="shared" si="27"/>
        <v>2317.44</v>
      </c>
      <c r="S244" s="29">
        <f t="shared" si="36"/>
        <v>0</v>
      </c>
      <c r="T244" s="65">
        <f t="shared" ca="1" si="28"/>
        <v>278.28000000000003</v>
      </c>
      <c r="U244" s="29">
        <f t="shared" si="29"/>
        <v>120</v>
      </c>
      <c r="V244" s="29">
        <f t="shared" si="30"/>
        <v>960</v>
      </c>
      <c r="W244" s="44">
        <f t="shared" si="31"/>
        <v>48</v>
      </c>
      <c r="X244" s="29">
        <f t="shared" si="32"/>
        <v>169</v>
      </c>
      <c r="Y244" s="29">
        <f t="shared" ca="1" si="33"/>
        <v>4085.84</v>
      </c>
      <c r="Z244" s="75"/>
      <c r="AA244" s="66">
        <f t="shared" ca="1" si="34"/>
        <v>12</v>
      </c>
      <c r="AB244" s="19"/>
      <c r="AC244" s="19"/>
      <c r="AD244" s="19"/>
      <c r="AE244" s="19"/>
    </row>
    <row r="245" spans="1:31" s="18" customFormat="1" ht="16.5" customHeight="1" x14ac:dyDescent="0.2">
      <c r="A245" s="39">
        <f t="shared" si="35"/>
        <v>242</v>
      </c>
      <c r="B245" s="40" t="s">
        <v>272</v>
      </c>
      <c r="C245" s="41">
        <v>703108944</v>
      </c>
      <c r="D245" s="42">
        <v>27515</v>
      </c>
      <c r="E245" s="40" t="s">
        <v>9</v>
      </c>
      <c r="F245" s="40" t="s">
        <v>387</v>
      </c>
      <c r="G245" s="40" t="s">
        <v>418</v>
      </c>
      <c r="H245" s="39" t="s">
        <v>383</v>
      </c>
      <c r="I245" s="43">
        <v>380101023864</v>
      </c>
      <c r="J245" s="42">
        <v>42095</v>
      </c>
      <c r="K245" s="42"/>
      <c r="L245" s="42">
        <v>42095</v>
      </c>
      <c r="M245" s="44">
        <v>587</v>
      </c>
      <c r="N245" s="40" t="s">
        <v>433</v>
      </c>
      <c r="O245" s="44">
        <v>773</v>
      </c>
      <c r="P245" s="44">
        <v>773</v>
      </c>
      <c r="Q245" s="44">
        <f>P245-M245</f>
        <v>186</v>
      </c>
      <c r="R245" s="29">
        <f t="shared" si="27"/>
        <v>2232</v>
      </c>
      <c r="S245" s="29">
        <f t="shared" si="36"/>
        <v>0</v>
      </c>
      <c r="T245" s="65">
        <f t="shared" ca="1" si="28"/>
        <v>23.19</v>
      </c>
      <c r="U245" s="29">
        <f t="shared" si="29"/>
        <v>120</v>
      </c>
      <c r="V245" s="29">
        <f t="shared" si="30"/>
        <v>960</v>
      </c>
      <c r="W245" s="44">
        <f t="shared" si="31"/>
        <v>48</v>
      </c>
      <c r="X245" s="29">
        <f t="shared" si="32"/>
        <v>169</v>
      </c>
      <c r="Y245" s="29">
        <f t="shared" ca="1" si="33"/>
        <v>3738.19</v>
      </c>
      <c r="Z245" s="75"/>
      <c r="AA245" s="66">
        <f t="shared" ca="1" si="34"/>
        <v>1</v>
      </c>
      <c r="AB245" s="19"/>
      <c r="AC245" s="19"/>
      <c r="AD245" s="19"/>
      <c r="AE245" s="19"/>
    </row>
    <row r="246" spans="1:31" s="18" customFormat="1" ht="16.5" customHeight="1" x14ac:dyDescent="0.2">
      <c r="A246" s="39">
        <f t="shared" si="35"/>
        <v>243</v>
      </c>
      <c r="B246" s="40" t="s">
        <v>290</v>
      </c>
      <c r="C246" s="41">
        <v>702736844</v>
      </c>
      <c r="D246" s="42">
        <v>27018</v>
      </c>
      <c r="E246" s="40" t="s">
        <v>9</v>
      </c>
      <c r="F246" s="40" t="s">
        <v>387</v>
      </c>
      <c r="G246" s="40" t="s">
        <v>384</v>
      </c>
      <c r="H246" s="39" t="s">
        <v>383</v>
      </c>
      <c r="I246" s="43">
        <v>1100036459</v>
      </c>
      <c r="J246" s="42">
        <v>40029</v>
      </c>
      <c r="K246" s="42"/>
      <c r="L246" s="42">
        <v>40029</v>
      </c>
      <c r="M246" s="44">
        <v>556.63</v>
      </c>
      <c r="N246" s="40" t="s">
        <v>433</v>
      </c>
      <c r="O246" s="44">
        <v>773</v>
      </c>
      <c r="P246" s="44">
        <v>773</v>
      </c>
      <c r="Q246" s="44">
        <f>P246-M246</f>
        <v>216.37</v>
      </c>
      <c r="R246" s="29">
        <f t="shared" si="27"/>
        <v>2596.44</v>
      </c>
      <c r="S246" s="29">
        <f t="shared" si="36"/>
        <v>0</v>
      </c>
      <c r="T246" s="65">
        <f t="shared" ca="1" si="28"/>
        <v>162.32999999999998</v>
      </c>
      <c r="U246" s="29">
        <f t="shared" si="29"/>
        <v>120</v>
      </c>
      <c r="V246" s="29">
        <f t="shared" si="30"/>
        <v>960</v>
      </c>
      <c r="W246" s="44">
        <f t="shared" si="31"/>
        <v>48</v>
      </c>
      <c r="X246" s="29">
        <f t="shared" si="32"/>
        <v>169</v>
      </c>
      <c r="Y246" s="29">
        <f t="shared" ca="1" si="33"/>
        <v>4272.1399999999994</v>
      </c>
      <c r="Z246" s="75"/>
      <c r="AA246" s="66">
        <f t="shared" ca="1" si="34"/>
        <v>7</v>
      </c>
      <c r="AB246" s="19"/>
      <c r="AC246" s="19"/>
      <c r="AD246" s="19"/>
      <c r="AE246" s="19"/>
    </row>
    <row r="247" spans="1:31" s="18" customFormat="1" ht="16.5" customHeight="1" x14ac:dyDescent="0.2">
      <c r="A247" s="39">
        <f t="shared" si="35"/>
        <v>244</v>
      </c>
      <c r="B247" s="40" t="s">
        <v>302</v>
      </c>
      <c r="C247" s="41">
        <v>703779520</v>
      </c>
      <c r="D247" s="42">
        <v>28568</v>
      </c>
      <c r="E247" s="40" t="s">
        <v>9</v>
      </c>
      <c r="F247" s="40" t="s">
        <v>387</v>
      </c>
      <c r="G247" s="40" t="s">
        <v>384</v>
      </c>
      <c r="H247" s="39" t="s">
        <v>383</v>
      </c>
      <c r="I247" s="43">
        <v>1010716280</v>
      </c>
      <c r="J247" s="42">
        <v>40266</v>
      </c>
      <c r="K247" s="42"/>
      <c r="L247" s="42">
        <v>40266</v>
      </c>
      <c r="M247" s="44">
        <v>572.12</v>
      </c>
      <c r="N247" s="40" t="s">
        <v>433</v>
      </c>
      <c r="O247" s="44">
        <v>773</v>
      </c>
      <c r="P247" s="44">
        <v>773</v>
      </c>
      <c r="Q247" s="44">
        <f>P247-M247</f>
        <v>200.88</v>
      </c>
      <c r="R247" s="29">
        <f t="shared" si="27"/>
        <v>2410.56</v>
      </c>
      <c r="S247" s="29">
        <f t="shared" si="36"/>
        <v>87.84</v>
      </c>
      <c r="T247" s="65">
        <f t="shared" ca="1" si="28"/>
        <v>139.14000000000001</v>
      </c>
      <c r="U247" s="29">
        <f t="shared" si="29"/>
        <v>120</v>
      </c>
      <c r="V247" s="29">
        <f t="shared" si="30"/>
        <v>960</v>
      </c>
      <c r="W247" s="44">
        <f t="shared" si="31"/>
        <v>48</v>
      </c>
      <c r="X247" s="29">
        <f t="shared" si="32"/>
        <v>169</v>
      </c>
      <c r="Y247" s="29">
        <f t="shared" ca="1" si="33"/>
        <v>4135.42</v>
      </c>
      <c r="Z247" s="75">
        <v>2</v>
      </c>
      <c r="AA247" s="66">
        <f t="shared" ca="1" si="34"/>
        <v>6</v>
      </c>
      <c r="AB247" s="19"/>
      <c r="AC247" s="19"/>
      <c r="AD247" s="19"/>
      <c r="AE247" s="19"/>
    </row>
    <row r="248" spans="1:31" s="18" customFormat="1" ht="16.5" customHeight="1" x14ac:dyDescent="0.2">
      <c r="A248" s="39">
        <f t="shared" si="35"/>
        <v>245</v>
      </c>
      <c r="B248" s="40" t="s">
        <v>307</v>
      </c>
      <c r="C248" s="41">
        <v>701300238</v>
      </c>
      <c r="D248" s="42">
        <v>20708</v>
      </c>
      <c r="E248" s="40" t="s">
        <v>9</v>
      </c>
      <c r="F248" s="40" t="s">
        <v>387</v>
      </c>
      <c r="G248" s="40" t="s">
        <v>384</v>
      </c>
      <c r="H248" s="39" t="s">
        <v>383</v>
      </c>
      <c r="I248" s="43">
        <v>1010508017</v>
      </c>
      <c r="J248" s="42">
        <v>32356</v>
      </c>
      <c r="K248" s="42"/>
      <c r="L248" s="42">
        <v>32356</v>
      </c>
      <c r="M248" s="44">
        <v>556.63</v>
      </c>
      <c r="N248" s="40" t="s">
        <v>433</v>
      </c>
      <c r="O248" s="44">
        <v>773</v>
      </c>
      <c r="P248" s="44">
        <v>773</v>
      </c>
      <c r="Q248" s="44">
        <f>P248-M248</f>
        <v>216.37</v>
      </c>
      <c r="R248" s="29">
        <f t="shared" si="27"/>
        <v>2596.44</v>
      </c>
      <c r="S248" s="29">
        <f t="shared" si="36"/>
        <v>0</v>
      </c>
      <c r="T248" s="65">
        <f t="shared" ca="1" si="28"/>
        <v>278.28000000000003</v>
      </c>
      <c r="U248" s="29">
        <f t="shared" si="29"/>
        <v>120</v>
      </c>
      <c r="V248" s="29">
        <f t="shared" si="30"/>
        <v>960</v>
      </c>
      <c r="W248" s="44">
        <f t="shared" si="31"/>
        <v>48</v>
      </c>
      <c r="X248" s="29">
        <f t="shared" si="32"/>
        <v>169</v>
      </c>
      <c r="Y248" s="29">
        <f t="shared" ca="1" si="33"/>
        <v>4388.09</v>
      </c>
      <c r="Z248" s="75"/>
      <c r="AA248" s="66">
        <f t="shared" ca="1" si="34"/>
        <v>12</v>
      </c>
      <c r="AB248" s="19"/>
      <c r="AC248" s="19"/>
      <c r="AD248" s="19"/>
      <c r="AE248" s="19"/>
    </row>
    <row r="249" spans="1:31" s="18" customFormat="1" ht="16.5" customHeight="1" x14ac:dyDescent="0.2">
      <c r="A249" s="39">
        <f t="shared" si="35"/>
        <v>246</v>
      </c>
      <c r="B249" s="40" t="s">
        <v>325</v>
      </c>
      <c r="C249" s="41">
        <v>703907634</v>
      </c>
      <c r="D249" s="42">
        <v>30621</v>
      </c>
      <c r="E249" s="40" t="s">
        <v>9</v>
      </c>
      <c r="F249" s="40" t="s">
        <v>387</v>
      </c>
      <c r="G249" s="40" t="s">
        <v>397</v>
      </c>
      <c r="H249" s="39" t="s">
        <v>383</v>
      </c>
      <c r="I249" s="43">
        <v>1041740769</v>
      </c>
      <c r="J249" s="42">
        <v>40277</v>
      </c>
      <c r="K249" s="42"/>
      <c r="L249" s="42">
        <v>40277</v>
      </c>
      <c r="M249" s="44">
        <v>556.63</v>
      </c>
      <c r="N249" s="40" t="s">
        <v>433</v>
      </c>
      <c r="O249" s="44">
        <v>773</v>
      </c>
      <c r="P249" s="44">
        <v>773</v>
      </c>
      <c r="Q249" s="44">
        <f>P249-M249</f>
        <v>216.37</v>
      </c>
      <c r="R249" s="29">
        <f t="shared" si="27"/>
        <v>2596.44</v>
      </c>
      <c r="S249" s="29">
        <f t="shared" si="36"/>
        <v>131.76</v>
      </c>
      <c r="T249" s="65">
        <f t="shared" ca="1" si="28"/>
        <v>139.14000000000001</v>
      </c>
      <c r="U249" s="29">
        <f t="shared" si="29"/>
        <v>120</v>
      </c>
      <c r="V249" s="29">
        <f t="shared" si="30"/>
        <v>960</v>
      </c>
      <c r="W249" s="44">
        <f t="shared" si="31"/>
        <v>48</v>
      </c>
      <c r="X249" s="29">
        <f t="shared" si="32"/>
        <v>169</v>
      </c>
      <c r="Y249" s="29">
        <f t="shared" ca="1" si="33"/>
        <v>4380.7099999999991</v>
      </c>
      <c r="Z249" s="75">
        <v>3</v>
      </c>
      <c r="AA249" s="66">
        <f t="shared" ca="1" si="34"/>
        <v>6</v>
      </c>
      <c r="AB249" s="19"/>
      <c r="AC249" s="19"/>
      <c r="AD249" s="19"/>
      <c r="AE249" s="19"/>
    </row>
    <row r="250" spans="1:31" s="18" customFormat="1" ht="16.5" customHeight="1" x14ac:dyDescent="0.2">
      <c r="A250" s="39">
        <f t="shared" si="35"/>
        <v>247</v>
      </c>
      <c r="B250" s="40" t="s">
        <v>346</v>
      </c>
      <c r="C250" s="41">
        <v>701089427</v>
      </c>
      <c r="D250" s="42">
        <v>20721</v>
      </c>
      <c r="E250" s="40" t="s">
        <v>9</v>
      </c>
      <c r="F250" s="40" t="s">
        <v>387</v>
      </c>
      <c r="G250" s="40" t="s">
        <v>384</v>
      </c>
      <c r="H250" s="39" t="s">
        <v>383</v>
      </c>
      <c r="I250" s="43">
        <v>1010181506</v>
      </c>
      <c r="J250" s="42">
        <v>28800</v>
      </c>
      <c r="K250" s="42"/>
      <c r="L250" s="42">
        <v>28800</v>
      </c>
      <c r="M250" s="44">
        <v>572.12</v>
      </c>
      <c r="N250" s="40" t="s">
        <v>433</v>
      </c>
      <c r="O250" s="44">
        <v>773</v>
      </c>
      <c r="P250" s="44">
        <v>773</v>
      </c>
      <c r="Q250" s="44">
        <f>P250-M250</f>
        <v>200.88</v>
      </c>
      <c r="R250" s="29">
        <f t="shared" si="27"/>
        <v>2410.56</v>
      </c>
      <c r="S250" s="29">
        <f t="shared" si="36"/>
        <v>0</v>
      </c>
      <c r="T250" s="65">
        <f t="shared" ca="1" si="28"/>
        <v>278.28000000000003</v>
      </c>
      <c r="U250" s="29">
        <f t="shared" si="29"/>
        <v>120</v>
      </c>
      <c r="V250" s="29">
        <f t="shared" si="30"/>
        <v>960</v>
      </c>
      <c r="W250" s="44">
        <f t="shared" si="31"/>
        <v>48</v>
      </c>
      <c r="X250" s="29">
        <f t="shared" si="32"/>
        <v>169</v>
      </c>
      <c r="Y250" s="29">
        <f t="shared" ca="1" si="33"/>
        <v>4186.72</v>
      </c>
      <c r="Z250" s="75"/>
      <c r="AA250" s="66">
        <f t="shared" ca="1" si="34"/>
        <v>12</v>
      </c>
      <c r="AB250" s="19"/>
      <c r="AC250" s="19"/>
      <c r="AD250" s="19"/>
      <c r="AE250" s="19"/>
    </row>
    <row r="251" spans="1:31" s="18" customFormat="1" ht="16.5" customHeight="1" x14ac:dyDescent="0.2">
      <c r="A251" s="39">
        <f t="shared" si="35"/>
        <v>248</v>
      </c>
      <c r="B251" s="40" t="s">
        <v>349</v>
      </c>
      <c r="C251" s="41">
        <v>702597097</v>
      </c>
      <c r="D251" s="42">
        <v>27338</v>
      </c>
      <c r="E251" s="40" t="s">
        <v>9</v>
      </c>
      <c r="F251" s="40" t="s">
        <v>387</v>
      </c>
      <c r="G251" s="40" t="s">
        <v>384</v>
      </c>
      <c r="H251" s="39" t="s">
        <v>383</v>
      </c>
      <c r="I251" s="43">
        <v>1010397584</v>
      </c>
      <c r="J251" s="42">
        <v>39569</v>
      </c>
      <c r="K251" s="42"/>
      <c r="L251" s="42">
        <v>39569</v>
      </c>
      <c r="M251" s="44">
        <v>602</v>
      </c>
      <c r="N251" s="40" t="s">
        <v>433</v>
      </c>
      <c r="O251" s="44">
        <v>773</v>
      </c>
      <c r="P251" s="44">
        <v>773</v>
      </c>
      <c r="Q251" s="44">
        <f>P251-M251</f>
        <v>171</v>
      </c>
      <c r="R251" s="29">
        <f t="shared" si="27"/>
        <v>2052</v>
      </c>
      <c r="S251" s="29">
        <f t="shared" si="36"/>
        <v>0</v>
      </c>
      <c r="T251" s="65">
        <f t="shared" ca="1" si="28"/>
        <v>185.52</v>
      </c>
      <c r="U251" s="29">
        <f t="shared" si="29"/>
        <v>120</v>
      </c>
      <c r="V251" s="29">
        <f t="shared" si="30"/>
        <v>960</v>
      </c>
      <c r="W251" s="44">
        <f t="shared" si="31"/>
        <v>48</v>
      </c>
      <c r="X251" s="29">
        <f t="shared" si="32"/>
        <v>169</v>
      </c>
      <c r="Y251" s="29">
        <f t="shared" ca="1" si="33"/>
        <v>3705.52</v>
      </c>
      <c r="Z251" s="75"/>
      <c r="AA251" s="66">
        <f t="shared" ca="1" si="34"/>
        <v>8</v>
      </c>
      <c r="AB251" s="19"/>
      <c r="AC251" s="19"/>
      <c r="AD251" s="19"/>
      <c r="AE251" s="19"/>
    </row>
    <row r="252" spans="1:31" s="18" customFormat="1" ht="16.5" customHeight="1" x14ac:dyDescent="0.2">
      <c r="A252" s="39">
        <f t="shared" si="35"/>
        <v>249</v>
      </c>
      <c r="B252" s="40" t="s">
        <v>361</v>
      </c>
      <c r="C252" s="41">
        <v>701780603</v>
      </c>
      <c r="D252" s="42">
        <v>23439</v>
      </c>
      <c r="E252" s="40" t="s">
        <v>9</v>
      </c>
      <c r="F252" s="40" t="s">
        <v>387</v>
      </c>
      <c r="G252" s="40" t="s">
        <v>386</v>
      </c>
      <c r="H252" s="39" t="s">
        <v>383</v>
      </c>
      <c r="I252" s="43">
        <v>5055596000</v>
      </c>
      <c r="J252" s="42">
        <v>33686</v>
      </c>
      <c r="K252" s="42"/>
      <c r="L252" s="42">
        <v>33686</v>
      </c>
      <c r="M252" s="44">
        <v>587</v>
      </c>
      <c r="N252" s="40" t="s">
        <v>433</v>
      </c>
      <c r="O252" s="44">
        <v>773</v>
      </c>
      <c r="P252" s="44">
        <v>773</v>
      </c>
      <c r="Q252" s="44">
        <f>P252-M252</f>
        <v>186</v>
      </c>
      <c r="R252" s="29">
        <f t="shared" si="27"/>
        <v>2232</v>
      </c>
      <c r="S252" s="29">
        <f t="shared" si="36"/>
        <v>43.92</v>
      </c>
      <c r="T252" s="65">
        <f t="shared" ca="1" si="28"/>
        <v>278.28000000000003</v>
      </c>
      <c r="U252" s="29">
        <f t="shared" si="29"/>
        <v>120</v>
      </c>
      <c r="V252" s="29">
        <f t="shared" si="30"/>
        <v>960</v>
      </c>
      <c r="W252" s="44">
        <f t="shared" si="31"/>
        <v>48</v>
      </c>
      <c r="X252" s="29">
        <f t="shared" si="32"/>
        <v>169</v>
      </c>
      <c r="Y252" s="29">
        <f t="shared" ca="1" si="33"/>
        <v>4037.2000000000003</v>
      </c>
      <c r="Z252" s="75">
        <v>1</v>
      </c>
      <c r="AA252" s="66">
        <f t="shared" ca="1" si="34"/>
        <v>12</v>
      </c>
      <c r="AB252" s="19"/>
      <c r="AC252" s="19"/>
      <c r="AD252" s="19"/>
      <c r="AE252" s="19"/>
    </row>
    <row r="253" spans="1:31" s="18" customFormat="1" ht="16.5" customHeight="1" x14ac:dyDescent="0.2">
      <c r="A253" s="39">
        <f t="shared" si="35"/>
        <v>250</v>
      </c>
      <c r="B253" s="40" t="s">
        <v>107</v>
      </c>
      <c r="C253" s="41">
        <v>701980443</v>
      </c>
      <c r="D253" s="42">
        <v>24093</v>
      </c>
      <c r="E253" s="40" t="s">
        <v>108</v>
      </c>
      <c r="F253" s="40" t="s">
        <v>389</v>
      </c>
      <c r="G253" s="40" t="s">
        <v>384</v>
      </c>
      <c r="H253" s="39" t="s">
        <v>383</v>
      </c>
      <c r="I253" s="43">
        <v>1010730178</v>
      </c>
      <c r="J253" s="42">
        <v>39569</v>
      </c>
      <c r="K253" s="42"/>
      <c r="L253" s="42">
        <v>39569</v>
      </c>
      <c r="M253" s="44">
        <v>675</v>
      </c>
      <c r="N253" s="40" t="s">
        <v>108</v>
      </c>
      <c r="O253" s="44">
        <v>773</v>
      </c>
      <c r="P253" s="44">
        <v>773</v>
      </c>
      <c r="Q253" s="44">
        <f>P253-M253</f>
        <v>98</v>
      </c>
      <c r="R253" s="29">
        <f t="shared" si="27"/>
        <v>1176</v>
      </c>
      <c r="S253" s="29">
        <f t="shared" si="36"/>
        <v>0</v>
      </c>
      <c r="T253" s="65">
        <f t="shared" ca="1" si="28"/>
        <v>185.52</v>
      </c>
      <c r="U253" s="29">
        <f t="shared" si="29"/>
        <v>120</v>
      </c>
      <c r="V253" s="29">
        <f t="shared" si="30"/>
        <v>960</v>
      </c>
      <c r="W253" s="44">
        <f t="shared" si="31"/>
        <v>48</v>
      </c>
      <c r="X253" s="29">
        <f t="shared" si="32"/>
        <v>169</v>
      </c>
      <c r="Y253" s="29">
        <f t="shared" ca="1" si="33"/>
        <v>2756.52</v>
      </c>
      <c r="Z253" s="75"/>
      <c r="AA253" s="66">
        <f t="shared" ca="1" si="34"/>
        <v>8</v>
      </c>
      <c r="AB253" s="19"/>
      <c r="AC253" s="19"/>
      <c r="AD253" s="19"/>
      <c r="AE253" s="19"/>
    </row>
    <row r="254" spans="1:31" s="18" customFormat="1" ht="16.5" customHeight="1" x14ac:dyDescent="0.2">
      <c r="A254" s="39">
        <f t="shared" si="35"/>
        <v>251</v>
      </c>
      <c r="B254" s="40" t="s">
        <v>91</v>
      </c>
      <c r="C254" s="41">
        <v>703201962</v>
      </c>
      <c r="D254" s="42">
        <v>31270</v>
      </c>
      <c r="E254" s="40" t="s">
        <v>92</v>
      </c>
      <c r="F254" s="40" t="s">
        <v>422</v>
      </c>
      <c r="G254" s="40" t="s">
        <v>384</v>
      </c>
      <c r="H254" s="39" t="s">
        <v>383</v>
      </c>
      <c r="I254" s="43">
        <v>1010730240</v>
      </c>
      <c r="J254" s="42">
        <v>39569</v>
      </c>
      <c r="K254" s="42"/>
      <c r="L254" s="42">
        <v>39569</v>
      </c>
      <c r="M254" s="44">
        <v>587</v>
      </c>
      <c r="N254" s="40" t="s">
        <v>92</v>
      </c>
      <c r="O254" s="44">
        <v>773</v>
      </c>
      <c r="P254" s="44">
        <v>773</v>
      </c>
      <c r="Q254" s="44">
        <f>P254-M254</f>
        <v>186</v>
      </c>
      <c r="R254" s="29">
        <f t="shared" si="27"/>
        <v>2232</v>
      </c>
      <c r="S254" s="29">
        <f t="shared" si="36"/>
        <v>43.92</v>
      </c>
      <c r="T254" s="65">
        <f t="shared" ca="1" si="28"/>
        <v>185.52</v>
      </c>
      <c r="U254" s="29">
        <f t="shared" si="29"/>
        <v>120</v>
      </c>
      <c r="V254" s="29">
        <f t="shared" si="30"/>
        <v>960</v>
      </c>
      <c r="W254" s="44">
        <f t="shared" si="31"/>
        <v>48</v>
      </c>
      <c r="X254" s="29">
        <f t="shared" si="32"/>
        <v>169</v>
      </c>
      <c r="Y254" s="29">
        <f t="shared" ca="1" si="33"/>
        <v>3944.44</v>
      </c>
      <c r="Z254" s="75">
        <v>1</v>
      </c>
      <c r="AA254" s="66">
        <f t="shared" ca="1" si="34"/>
        <v>8</v>
      </c>
      <c r="AB254" s="19"/>
      <c r="AC254" s="19"/>
      <c r="AD254" s="19"/>
      <c r="AE254" s="19"/>
    </row>
    <row r="255" spans="1:31" s="18" customFormat="1" ht="16.5" customHeight="1" x14ac:dyDescent="0.2">
      <c r="A255" s="39">
        <f t="shared" si="35"/>
        <v>252</v>
      </c>
      <c r="B255" s="40" t="s">
        <v>412</v>
      </c>
      <c r="C255" s="41">
        <v>704754548</v>
      </c>
      <c r="D255" s="42">
        <v>31009</v>
      </c>
      <c r="E255" s="40" t="s">
        <v>94</v>
      </c>
      <c r="F255" s="40" t="s">
        <v>421</v>
      </c>
      <c r="G255" s="40" t="s">
        <v>420</v>
      </c>
      <c r="H255" s="39" t="s">
        <v>383</v>
      </c>
      <c r="I255" s="43">
        <v>10602002770</v>
      </c>
      <c r="J255" s="42">
        <v>41214</v>
      </c>
      <c r="K255" s="42">
        <v>42400</v>
      </c>
      <c r="L255" s="42">
        <v>41214</v>
      </c>
      <c r="M255" s="44">
        <v>419</v>
      </c>
      <c r="N255" s="40" t="s">
        <v>94</v>
      </c>
      <c r="O255" s="44">
        <v>561</v>
      </c>
      <c r="P255" s="44">
        <v>561</v>
      </c>
      <c r="Q255" s="44">
        <f>P255-M255</f>
        <v>142</v>
      </c>
      <c r="R255" s="29">
        <f>Q255*1</f>
        <v>142</v>
      </c>
      <c r="S255" s="29">
        <f t="shared" si="36"/>
        <v>0</v>
      </c>
      <c r="T255" s="65">
        <f t="shared" ca="1" si="28"/>
        <v>67.320000000000007</v>
      </c>
      <c r="U255" s="29">
        <f t="shared" si="29"/>
        <v>120</v>
      </c>
      <c r="V255" s="29">
        <f t="shared" si="30"/>
        <v>960</v>
      </c>
      <c r="W255" s="44">
        <f t="shared" si="31"/>
        <v>48</v>
      </c>
      <c r="X255" s="29">
        <f t="shared" si="32"/>
        <v>169</v>
      </c>
      <c r="Y255" s="29">
        <f t="shared" ca="1" si="33"/>
        <v>1648.32</v>
      </c>
      <c r="Z255" s="75"/>
      <c r="AA255" s="66">
        <f t="shared" ca="1" si="34"/>
        <v>4</v>
      </c>
      <c r="AB255" s="19"/>
      <c r="AC255" s="19"/>
      <c r="AD255" s="19"/>
      <c r="AE255" s="19"/>
    </row>
    <row r="256" spans="1:31" s="18" customFormat="1" ht="16.5" customHeight="1" x14ac:dyDescent="0.2">
      <c r="A256" s="39">
        <f t="shared" si="35"/>
        <v>253</v>
      </c>
      <c r="B256" s="40" t="s">
        <v>93</v>
      </c>
      <c r="C256" s="41">
        <v>704707751</v>
      </c>
      <c r="D256" s="42">
        <v>32591</v>
      </c>
      <c r="E256" s="40" t="s">
        <v>94</v>
      </c>
      <c r="F256" s="40" t="s">
        <v>385</v>
      </c>
      <c r="G256" s="40" t="s">
        <v>417</v>
      </c>
      <c r="H256" s="39" t="s">
        <v>383</v>
      </c>
      <c r="I256" s="43">
        <v>406037372907</v>
      </c>
      <c r="J256" s="42">
        <v>41699</v>
      </c>
      <c r="K256" s="42"/>
      <c r="L256" s="42">
        <v>41699</v>
      </c>
      <c r="M256" s="44">
        <v>419</v>
      </c>
      <c r="N256" s="40" t="s">
        <v>94</v>
      </c>
      <c r="O256" s="44">
        <v>561</v>
      </c>
      <c r="P256" s="44">
        <v>561</v>
      </c>
      <c r="Q256" s="44">
        <f>P256-M256</f>
        <v>142</v>
      </c>
      <c r="R256" s="29">
        <f t="shared" si="27"/>
        <v>1704</v>
      </c>
      <c r="S256" s="29">
        <f t="shared" si="36"/>
        <v>0</v>
      </c>
      <c r="T256" s="65">
        <f t="shared" ca="1" si="28"/>
        <v>33.660000000000004</v>
      </c>
      <c r="U256" s="29">
        <f t="shared" si="29"/>
        <v>120</v>
      </c>
      <c r="V256" s="29">
        <f t="shared" si="30"/>
        <v>960</v>
      </c>
      <c r="W256" s="44">
        <f t="shared" si="31"/>
        <v>48</v>
      </c>
      <c r="X256" s="29">
        <f t="shared" si="32"/>
        <v>169</v>
      </c>
      <c r="Y256" s="29">
        <f t="shared" ca="1" si="33"/>
        <v>3176.66</v>
      </c>
      <c r="Z256" s="75"/>
      <c r="AA256" s="66">
        <f t="shared" ca="1" si="34"/>
        <v>2</v>
      </c>
      <c r="AB256" s="19"/>
      <c r="AC256" s="19"/>
      <c r="AD256" s="19"/>
      <c r="AE256" s="19"/>
    </row>
    <row r="257" spans="1:31 16366:16376" s="18" customFormat="1" ht="16.5" customHeight="1" x14ac:dyDescent="0.2">
      <c r="A257" s="39">
        <f t="shared" si="35"/>
        <v>254</v>
      </c>
      <c r="B257" s="40" t="s">
        <v>139</v>
      </c>
      <c r="C257" s="41">
        <v>703072645</v>
      </c>
      <c r="D257" s="42">
        <v>27074</v>
      </c>
      <c r="E257" s="40" t="s">
        <v>94</v>
      </c>
      <c r="F257" s="40" t="s">
        <v>421</v>
      </c>
      <c r="G257" s="40" t="s">
        <v>417</v>
      </c>
      <c r="H257" s="39" t="s">
        <v>383</v>
      </c>
      <c r="I257" s="43">
        <v>406020480609</v>
      </c>
      <c r="J257" s="42">
        <v>40383</v>
      </c>
      <c r="K257" s="42"/>
      <c r="L257" s="42">
        <v>40383</v>
      </c>
      <c r="M257" s="44">
        <v>419</v>
      </c>
      <c r="N257" s="40" t="s">
        <v>94</v>
      </c>
      <c r="O257" s="44">
        <v>561</v>
      </c>
      <c r="P257" s="44">
        <v>561</v>
      </c>
      <c r="Q257" s="44">
        <f>P257-M257</f>
        <v>142</v>
      </c>
      <c r="R257" s="29">
        <f t="shared" si="27"/>
        <v>1704</v>
      </c>
      <c r="S257" s="29">
        <f t="shared" si="36"/>
        <v>0</v>
      </c>
      <c r="T257" s="65">
        <f t="shared" ca="1" si="28"/>
        <v>100.98000000000002</v>
      </c>
      <c r="U257" s="29">
        <f t="shared" si="29"/>
        <v>120</v>
      </c>
      <c r="V257" s="29">
        <f t="shared" si="30"/>
        <v>960</v>
      </c>
      <c r="W257" s="44">
        <f t="shared" si="31"/>
        <v>48</v>
      </c>
      <c r="X257" s="29">
        <f t="shared" si="32"/>
        <v>169</v>
      </c>
      <c r="Y257" s="29">
        <f t="shared" ca="1" si="33"/>
        <v>3243.98</v>
      </c>
      <c r="Z257" s="75"/>
      <c r="AA257" s="66">
        <f t="shared" ca="1" si="34"/>
        <v>6</v>
      </c>
      <c r="AB257" s="19"/>
      <c r="AC257" s="19"/>
      <c r="AD257" s="19"/>
      <c r="AE257" s="19"/>
    </row>
    <row r="258" spans="1:31 16366:16376" s="18" customFormat="1" ht="16.5" customHeight="1" x14ac:dyDescent="0.2">
      <c r="A258" s="39">
        <f t="shared" si="35"/>
        <v>255</v>
      </c>
      <c r="B258" s="40" t="s">
        <v>168</v>
      </c>
      <c r="C258" s="41">
        <v>705613255</v>
      </c>
      <c r="D258" s="42">
        <v>34230</v>
      </c>
      <c r="E258" s="40" t="s">
        <v>94</v>
      </c>
      <c r="F258" s="40" t="s">
        <v>421</v>
      </c>
      <c r="G258" s="40" t="s">
        <v>417</v>
      </c>
      <c r="H258" s="39" t="s">
        <v>383</v>
      </c>
      <c r="I258" s="43">
        <v>406041601104</v>
      </c>
      <c r="J258" s="42">
        <v>41214</v>
      </c>
      <c r="K258" s="42"/>
      <c r="L258" s="42">
        <v>41214</v>
      </c>
      <c r="M258" s="44">
        <v>419</v>
      </c>
      <c r="N258" s="40" t="s">
        <v>94</v>
      </c>
      <c r="O258" s="44">
        <v>561</v>
      </c>
      <c r="P258" s="44">
        <v>561</v>
      </c>
      <c r="Q258" s="44">
        <f>P258-M258</f>
        <v>142</v>
      </c>
      <c r="R258" s="29">
        <f t="shared" si="27"/>
        <v>1704</v>
      </c>
      <c r="S258" s="29">
        <f t="shared" si="36"/>
        <v>0</v>
      </c>
      <c r="T258" s="65">
        <f t="shared" ca="1" si="28"/>
        <v>67.320000000000007</v>
      </c>
      <c r="U258" s="29">
        <f t="shared" si="29"/>
        <v>120</v>
      </c>
      <c r="V258" s="29">
        <f t="shared" si="30"/>
        <v>960</v>
      </c>
      <c r="W258" s="44">
        <f t="shared" si="31"/>
        <v>48</v>
      </c>
      <c r="X258" s="29">
        <f t="shared" si="32"/>
        <v>169</v>
      </c>
      <c r="Y258" s="29">
        <f t="shared" ca="1" si="33"/>
        <v>3210.3199999999997</v>
      </c>
      <c r="Z258" s="75"/>
      <c r="AA258" s="66">
        <f t="shared" ca="1" si="34"/>
        <v>4</v>
      </c>
      <c r="AB258" s="19"/>
      <c r="AC258" s="19"/>
      <c r="AD258" s="19"/>
      <c r="AE258" s="19"/>
    </row>
    <row r="259" spans="1:31 16366:16376" s="18" customFormat="1" ht="16.5" customHeight="1" x14ac:dyDescent="0.2">
      <c r="A259" s="39">
        <f t="shared" si="35"/>
        <v>256</v>
      </c>
      <c r="B259" s="40" t="s">
        <v>172</v>
      </c>
      <c r="C259" s="41">
        <v>704931187</v>
      </c>
      <c r="D259" s="42">
        <v>31585</v>
      </c>
      <c r="E259" s="40" t="s">
        <v>94</v>
      </c>
      <c r="F259" s="40" t="s">
        <v>421</v>
      </c>
      <c r="G259" s="40" t="s">
        <v>398</v>
      </c>
      <c r="H259" s="39" t="s">
        <v>383</v>
      </c>
      <c r="I259" s="43">
        <v>4004077586</v>
      </c>
      <c r="J259" s="42">
        <v>41456</v>
      </c>
      <c r="K259" s="42"/>
      <c r="L259" s="42">
        <v>41456</v>
      </c>
      <c r="M259" s="44">
        <v>419</v>
      </c>
      <c r="N259" s="40" t="s">
        <v>94</v>
      </c>
      <c r="O259" s="44">
        <v>561</v>
      </c>
      <c r="P259" s="44">
        <v>561</v>
      </c>
      <c r="Q259" s="44">
        <f>P259-M259</f>
        <v>142</v>
      </c>
      <c r="R259" s="29">
        <f t="shared" si="27"/>
        <v>1704</v>
      </c>
      <c r="S259" s="29">
        <f t="shared" si="36"/>
        <v>0</v>
      </c>
      <c r="T259" s="65">
        <f t="shared" ca="1" si="28"/>
        <v>50.490000000000009</v>
      </c>
      <c r="U259" s="29">
        <f t="shared" si="29"/>
        <v>120</v>
      </c>
      <c r="V259" s="29">
        <f t="shared" si="30"/>
        <v>960</v>
      </c>
      <c r="W259" s="44">
        <f t="shared" si="31"/>
        <v>48</v>
      </c>
      <c r="X259" s="29">
        <f t="shared" si="32"/>
        <v>169</v>
      </c>
      <c r="Y259" s="29">
        <f t="shared" ca="1" si="33"/>
        <v>3193.49</v>
      </c>
      <c r="Z259" s="75"/>
      <c r="AA259" s="66">
        <f t="shared" ca="1" si="34"/>
        <v>3</v>
      </c>
      <c r="AB259" s="19"/>
      <c r="AC259" s="19"/>
      <c r="AD259" s="19"/>
      <c r="AE259" s="19"/>
    </row>
    <row r="260" spans="1:31 16366:16376" s="18" customFormat="1" ht="16.5" customHeight="1" x14ac:dyDescent="0.2">
      <c r="A260" s="39">
        <f t="shared" si="35"/>
        <v>257</v>
      </c>
      <c r="B260" s="40" t="s">
        <v>201</v>
      </c>
      <c r="C260" s="41">
        <v>706295490</v>
      </c>
      <c r="D260" s="42">
        <v>34649</v>
      </c>
      <c r="E260" s="40" t="s">
        <v>94</v>
      </c>
      <c r="F260" s="40" t="s">
        <v>421</v>
      </c>
      <c r="G260" s="40" t="s">
        <v>398</v>
      </c>
      <c r="H260" s="39" t="s">
        <v>383</v>
      </c>
      <c r="I260" s="43">
        <v>4001058630</v>
      </c>
      <c r="J260" s="42">
        <v>41044</v>
      </c>
      <c r="K260" s="42"/>
      <c r="L260" s="42">
        <v>41044</v>
      </c>
      <c r="M260" s="44">
        <v>419</v>
      </c>
      <c r="N260" s="40" t="s">
        <v>94</v>
      </c>
      <c r="O260" s="44">
        <v>561</v>
      </c>
      <c r="P260" s="44">
        <v>561</v>
      </c>
      <c r="Q260" s="44">
        <f>P260-M260</f>
        <v>142</v>
      </c>
      <c r="R260" s="29">
        <f t="shared" si="27"/>
        <v>1704</v>
      </c>
      <c r="S260" s="29">
        <f t="shared" si="36"/>
        <v>0</v>
      </c>
      <c r="T260" s="65">
        <f t="shared" ca="1" si="28"/>
        <v>67.320000000000007</v>
      </c>
      <c r="U260" s="29">
        <f t="shared" si="29"/>
        <v>120</v>
      </c>
      <c r="V260" s="29">
        <f t="shared" si="30"/>
        <v>960</v>
      </c>
      <c r="W260" s="44">
        <f t="shared" si="31"/>
        <v>48</v>
      </c>
      <c r="X260" s="29">
        <f t="shared" si="32"/>
        <v>169</v>
      </c>
      <c r="Y260" s="29">
        <f t="shared" ca="1" si="33"/>
        <v>3210.3199999999997</v>
      </c>
      <c r="Z260" s="75"/>
      <c r="AA260" s="66">
        <f t="shared" ca="1" si="34"/>
        <v>4</v>
      </c>
      <c r="AB260" s="19"/>
      <c r="AC260" s="19"/>
      <c r="AD260" s="19"/>
      <c r="AE260" s="19"/>
      <c r="XEL260" s="17"/>
      <c r="XEV260" s="17"/>
    </row>
    <row r="261" spans="1:31 16366:16376" s="18" customFormat="1" ht="16.5" customHeight="1" x14ac:dyDescent="0.2">
      <c r="A261" s="39">
        <f t="shared" si="35"/>
        <v>258</v>
      </c>
      <c r="B261" s="40" t="s">
        <v>216</v>
      </c>
      <c r="C261" s="41">
        <v>704636877</v>
      </c>
      <c r="D261" s="42">
        <v>30981</v>
      </c>
      <c r="E261" s="40" t="s">
        <v>94</v>
      </c>
      <c r="F261" s="40" t="s">
        <v>421</v>
      </c>
      <c r="G261" s="40" t="s">
        <v>420</v>
      </c>
      <c r="H261" s="39" t="s">
        <v>383</v>
      </c>
      <c r="I261" s="43">
        <v>10101035943</v>
      </c>
      <c r="J261" s="42">
        <v>40940</v>
      </c>
      <c r="K261" s="42"/>
      <c r="L261" s="42">
        <v>40940</v>
      </c>
      <c r="M261" s="44">
        <v>419</v>
      </c>
      <c r="N261" s="40" t="s">
        <v>94</v>
      </c>
      <c r="O261" s="44">
        <v>561</v>
      </c>
      <c r="P261" s="44">
        <v>561</v>
      </c>
      <c r="Q261" s="44">
        <f>P261-M261</f>
        <v>142</v>
      </c>
      <c r="R261" s="29">
        <f t="shared" ref="R261:R324" si="37">Q261*12</f>
        <v>1704</v>
      </c>
      <c r="S261" s="29">
        <f t="shared" si="36"/>
        <v>0</v>
      </c>
      <c r="T261" s="65">
        <f t="shared" ref="T261:T324" ca="1" si="38">P261*$T$3*AA261*12</f>
        <v>67.320000000000007</v>
      </c>
      <c r="U261" s="29">
        <f t="shared" ref="U261:U324" si="39">$U$3*20*12</f>
        <v>120</v>
      </c>
      <c r="V261" s="29">
        <f t="shared" ref="V261:V324" si="40">$V$3*20*12</f>
        <v>960</v>
      </c>
      <c r="W261" s="44">
        <f t="shared" ref="W261:W324" si="41">$W$3*12</f>
        <v>48</v>
      </c>
      <c r="X261" s="29">
        <f t="shared" ref="X261:X324" si="42">$X$3</f>
        <v>169</v>
      </c>
      <c r="Y261" s="29">
        <f t="shared" ref="Y261:Y324" ca="1" si="43">SUM(Q261:X261)</f>
        <v>3210.3199999999997</v>
      </c>
      <c r="Z261" s="75"/>
      <c r="AA261" s="66">
        <f t="shared" ref="AA261:AA324" ca="1" si="44">IF(YEAR(L261)&gt;2003,(YEAR(TODAY())-YEAR(L261)),12)</f>
        <v>4</v>
      </c>
      <c r="AB261" s="19"/>
      <c r="AC261" s="19"/>
      <c r="AD261" s="19"/>
      <c r="AE261" s="19"/>
      <c r="XEV261" s="17"/>
    </row>
    <row r="262" spans="1:31 16366:16376" s="18" customFormat="1" ht="16.5" customHeight="1" x14ac:dyDescent="0.2">
      <c r="A262" s="39">
        <f t="shared" si="35"/>
        <v>259</v>
      </c>
      <c r="B262" s="40" t="s">
        <v>217</v>
      </c>
      <c r="C262" s="41">
        <v>705617983</v>
      </c>
      <c r="D262" s="42">
        <v>33269</v>
      </c>
      <c r="E262" s="40" t="s">
        <v>94</v>
      </c>
      <c r="F262" s="40" t="s">
        <v>421</v>
      </c>
      <c r="G262" s="40" t="s">
        <v>417</v>
      </c>
      <c r="H262" s="39" t="s">
        <v>383</v>
      </c>
      <c r="I262" s="43">
        <v>406036626301</v>
      </c>
      <c r="J262" s="42">
        <v>41306</v>
      </c>
      <c r="K262" s="42"/>
      <c r="L262" s="42">
        <v>41306</v>
      </c>
      <c r="M262" s="44">
        <v>419</v>
      </c>
      <c r="N262" s="40" t="s">
        <v>94</v>
      </c>
      <c r="O262" s="44">
        <v>561</v>
      </c>
      <c r="P262" s="44">
        <v>561</v>
      </c>
      <c r="Q262" s="44">
        <f>P262-M262</f>
        <v>142</v>
      </c>
      <c r="R262" s="29">
        <f t="shared" si="37"/>
        <v>1704</v>
      </c>
      <c r="S262" s="29">
        <f t="shared" si="36"/>
        <v>0</v>
      </c>
      <c r="T262" s="65">
        <f t="shared" ca="1" si="38"/>
        <v>50.490000000000009</v>
      </c>
      <c r="U262" s="29">
        <f t="shared" si="39"/>
        <v>120</v>
      </c>
      <c r="V262" s="29">
        <f t="shared" si="40"/>
        <v>960</v>
      </c>
      <c r="W262" s="44">
        <f t="shared" si="41"/>
        <v>48</v>
      </c>
      <c r="X262" s="29">
        <f t="shared" si="42"/>
        <v>169</v>
      </c>
      <c r="Y262" s="29">
        <f t="shared" ca="1" si="43"/>
        <v>3193.49</v>
      </c>
      <c r="Z262" s="75"/>
      <c r="AA262" s="66">
        <f t="shared" ca="1" si="44"/>
        <v>3</v>
      </c>
      <c r="AB262" s="19"/>
      <c r="AC262" s="19"/>
      <c r="AD262" s="19"/>
      <c r="AE262" s="19"/>
    </row>
    <row r="263" spans="1:31 16366:16376" s="18" customFormat="1" ht="16.5" customHeight="1" x14ac:dyDescent="0.2">
      <c r="A263" s="39">
        <f t="shared" ref="A263:A326" si="45">A262+1</f>
        <v>260</v>
      </c>
      <c r="B263" s="40" t="s">
        <v>291</v>
      </c>
      <c r="C263" s="41">
        <v>705925220</v>
      </c>
      <c r="D263" s="42">
        <v>32924</v>
      </c>
      <c r="E263" s="40" t="s">
        <v>94</v>
      </c>
      <c r="F263" s="40" t="s">
        <v>421</v>
      </c>
      <c r="G263" s="40" t="s">
        <v>420</v>
      </c>
      <c r="H263" s="39" t="s">
        <v>383</v>
      </c>
      <c r="I263" s="43">
        <v>10202021192</v>
      </c>
      <c r="J263" s="42">
        <v>41640</v>
      </c>
      <c r="K263" s="42"/>
      <c r="L263" s="42">
        <v>41640</v>
      </c>
      <c r="M263" s="44">
        <v>419</v>
      </c>
      <c r="N263" s="40" t="s">
        <v>94</v>
      </c>
      <c r="O263" s="44">
        <v>561</v>
      </c>
      <c r="P263" s="44">
        <v>561</v>
      </c>
      <c r="Q263" s="44">
        <f>P263-M263</f>
        <v>142</v>
      </c>
      <c r="R263" s="29">
        <f t="shared" si="37"/>
        <v>1704</v>
      </c>
      <c r="S263" s="29">
        <f t="shared" ref="S263:S326" si="46">$S$3*1%*Z263*12</f>
        <v>0</v>
      </c>
      <c r="T263" s="65">
        <f t="shared" ca="1" si="38"/>
        <v>33.660000000000004</v>
      </c>
      <c r="U263" s="29">
        <f t="shared" si="39"/>
        <v>120</v>
      </c>
      <c r="V263" s="29">
        <f t="shared" si="40"/>
        <v>960</v>
      </c>
      <c r="W263" s="44">
        <f t="shared" si="41"/>
        <v>48</v>
      </c>
      <c r="X263" s="29">
        <f t="shared" si="42"/>
        <v>169</v>
      </c>
      <c r="Y263" s="29">
        <f t="shared" ca="1" si="43"/>
        <v>3176.66</v>
      </c>
      <c r="Z263" s="75"/>
      <c r="AA263" s="66">
        <f t="shared" ca="1" si="44"/>
        <v>2</v>
      </c>
      <c r="AB263" s="19"/>
      <c r="AC263" s="19"/>
      <c r="AD263" s="19"/>
      <c r="AE263" s="19"/>
    </row>
    <row r="264" spans="1:31 16366:16376" s="18" customFormat="1" ht="16.5" customHeight="1" x14ac:dyDescent="0.2">
      <c r="A264" s="39">
        <f t="shared" si="45"/>
        <v>261</v>
      </c>
      <c r="B264" s="40" t="s">
        <v>311</v>
      </c>
      <c r="C264" s="41">
        <v>704031020</v>
      </c>
      <c r="D264" s="42">
        <v>29249</v>
      </c>
      <c r="E264" s="40" t="s">
        <v>94</v>
      </c>
      <c r="F264" s="40" t="s">
        <v>421</v>
      </c>
      <c r="G264" s="40" t="s">
        <v>417</v>
      </c>
      <c r="H264" s="39" t="s">
        <v>383</v>
      </c>
      <c r="I264" s="43">
        <v>406007943608</v>
      </c>
      <c r="J264" s="42">
        <v>40940</v>
      </c>
      <c r="K264" s="42"/>
      <c r="L264" s="42">
        <v>40940</v>
      </c>
      <c r="M264" s="44">
        <v>419</v>
      </c>
      <c r="N264" s="40" t="s">
        <v>94</v>
      </c>
      <c r="O264" s="44">
        <v>561</v>
      </c>
      <c r="P264" s="44">
        <v>561</v>
      </c>
      <c r="Q264" s="44">
        <f>P264-M264</f>
        <v>142</v>
      </c>
      <c r="R264" s="29">
        <f t="shared" si="37"/>
        <v>1704</v>
      </c>
      <c r="S264" s="29">
        <f t="shared" si="46"/>
        <v>0</v>
      </c>
      <c r="T264" s="65">
        <f t="shared" ca="1" si="38"/>
        <v>67.320000000000007</v>
      </c>
      <c r="U264" s="29">
        <f t="shared" si="39"/>
        <v>120</v>
      </c>
      <c r="V264" s="29">
        <f t="shared" si="40"/>
        <v>960</v>
      </c>
      <c r="W264" s="44">
        <f t="shared" si="41"/>
        <v>48</v>
      </c>
      <c r="X264" s="29">
        <f t="shared" si="42"/>
        <v>169</v>
      </c>
      <c r="Y264" s="29">
        <f t="shared" ca="1" si="43"/>
        <v>3210.3199999999997</v>
      </c>
      <c r="Z264" s="75"/>
      <c r="AA264" s="66">
        <f t="shared" ca="1" si="44"/>
        <v>4</v>
      </c>
      <c r="AB264" s="19"/>
      <c r="AC264" s="19"/>
      <c r="AD264" s="19"/>
      <c r="AE264" s="19"/>
    </row>
    <row r="265" spans="1:31 16366:16376" s="18" customFormat="1" ht="16.5" customHeight="1" x14ac:dyDescent="0.2">
      <c r="A265" s="39">
        <f t="shared" si="45"/>
        <v>262</v>
      </c>
      <c r="B265" s="40" t="s">
        <v>314</v>
      </c>
      <c r="C265" s="41">
        <v>704707991</v>
      </c>
      <c r="D265" s="42">
        <v>30479</v>
      </c>
      <c r="E265" s="40" t="s">
        <v>94</v>
      </c>
      <c r="F265" s="40" t="s">
        <v>385</v>
      </c>
      <c r="G265" s="40" t="s">
        <v>417</v>
      </c>
      <c r="H265" s="39" t="s">
        <v>383</v>
      </c>
      <c r="I265" s="43">
        <v>406024068001</v>
      </c>
      <c r="J265" s="42">
        <v>41078</v>
      </c>
      <c r="K265" s="42"/>
      <c r="L265" s="42">
        <v>41078</v>
      </c>
      <c r="M265" s="44">
        <v>419</v>
      </c>
      <c r="N265" s="40" t="s">
        <v>94</v>
      </c>
      <c r="O265" s="44">
        <v>561</v>
      </c>
      <c r="P265" s="44">
        <v>561</v>
      </c>
      <c r="Q265" s="44">
        <f>P265-M265</f>
        <v>142</v>
      </c>
      <c r="R265" s="29">
        <f t="shared" si="37"/>
        <v>1704</v>
      </c>
      <c r="S265" s="29">
        <f t="shared" si="46"/>
        <v>87.84</v>
      </c>
      <c r="T265" s="65">
        <f t="shared" ca="1" si="38"/>
        <v>67.320000000000007</v>
      </c>
      <c r="U265" s="29">
        <f t="shared" si="39"/>
        <v>120</v>
      </c>
      <c r="V265" s="29">
        <f t="shared" si="40"/>
        <v>960</v>
      </c>
      <c r="W265" s="44">
        <f t="shared" si="41"/>
        <v>48</v>
      </c>
      <c r="X265" s="29">
        <f t="shared" si="42"/>
        <v>169</v>
      </c>
      <c r="Y265" s="29">
        <f t="shared" ca="1" si="43"/>
        <v>3298.16</v>
      </c>
      <c r="Z265" s="75">
        <v>2</v>
      </c>
      <c r="AA265" s="66">
        <f t="shared" ca="1" si="44"/>
        <v>4</v>
      </c>
      <c r="AB265" s="19"/>
      <c r="AC265" s="19"/>
      <c r="AD265" s="19"/>
      <c r="AE265" s="19"/>
    </row>
    <row r="266" spans="1:31 16366:16376" s="18" customFormat="1" ht="16.5" customHeight="1" x14ac:dyDescent="0.2">
      <c r="A266" s="39">
        <f t="shared" si="45"/>
        <v>263</v>
      </c>
      <c r="B266" s="40" t="s">
        <v>316</v>
      </c>
      <c r="C266" s="41">
        <v>705819514</v>
      </c>
      <c r="D266" s="42">
        <v>32979</v>
      </c>
      <c r="E266" s="40" t="s">
        <v>94</v>
      </c>
      <c r="F266" s="40" t="s">
        <v>421</v>
      </c>
      <c r="G266" s="40" t="s">
        <v>420</v>
      </c>
      <c r="H266" s="39" t="s">
        <v>383</v>
      </c>
      <c r="I266" s="43">
        <v>10601002759</v>
      </c>
      <c r="J266" s="42">
        <v>40604</v>
      </c>
      <c r="K266" s="42"/>
      <c r="L266" s="42">
        <v>40604</v>
      </c>
      <c r="M266" s="44">
        <v>419</v>
      </c>
      <c r="N266" s="40" t="s">
        <v>94</v>
      </c>
      <c r="O266" s="44">
        <v>561</v>
      </c>
      <c r="P266" s="44">
        <v>561</v>
      </c>
      <c r="Q266" s="44">
        <f>P266-M266</f>
        <v>142</v>
      </c>
      <c r="R266" s="29">
        <f t="shared" si="37"/>
        <v>1704</v>
      </c>
      <c r="S266" s="29">
        <f t="shared" si="46"/>
        <v>0</v>
      </c>
      <c r="T266" s="65">
        <f t="shared" ca="1" si="38"/>
        <v>84.15</v>
      </c>
      <c r="U266" s="29">
        <f t="shared" si="39"/>
        <v>120</v>
      </c>
      <c r="V266" s="29">
        <f t="shared" si="40"/>
        <v>960</v>
      </c>
      <c r="W266" s="44">
        <f t="shared" si="41"/>
        <v>48</v>
      </c>
      <c r="X266" s="29">
        <f t="shared" si="42"/>
        <v>169</v>
      </c>
      <c r="Y266" s="29">
        <f t="shared" ca="1" si="43"/>
        <v>3227.15</v>
      </c>
      <c r="Z266" s="75"/>
      <c r="AA266" s="66">
        <f t="shared" ca="1" si="44"/>
        <v>5</v>
      </c>
      <c r="AB266" s="19"/>
      <c r="AC266" s="19"/>
      <c r="AD266" s="19"/>
      <c r="AE266" s="19"/>
    </row>
    <row r="267" spans="1:31 16366:16376" s="18" customFormat="1" ht="16.5" customHeight="1" x14ac:dyDescent="0.2">
      <c r="A267" s="39">
        <f t="shared" si="45"/>
        <v>264</v>
      </c>
      <c r="B267" s="40" t="s">
        <v>48</v>
      </c>
      <c r="C267" s="41">
        <v>705212249</v>
      </c>
      <c r="D267" s="42">
        <v>32476</v>
      </c>
      <c r="E267" s="40" t="s">
        <v>49</v>
      </c>
      <c r="F267" s="40" t="s">
        <v>422</v>
      </c>
      <c r="G267" s="40" t="s">
        <v>393</v>
      </c>
      <c r="H267" s="39" t="s">
        <v>383</v>
      </c>
      <c r="I267" s="43">
        <v>8200858900</v>
      </c>
      <c r="J267" s="42">
        <v>39946</v>
      </c>
      <c r="K267" s="42"/>
      <c r="L267" s="42">
        <v>39946</v>
      </c>
      <c r="M267" s="44">
        <v>461</v>
      </c>
      <c r="N267" s="40" t="s">
        <v>49</v>
      </c>
      <c r="O267" s="44">
        <v>578</v>
      </c>
      <c r="P267" s="44">
        <v>578</v>
      </c>
      <c r="Q267" s="44">
        <f>P267-M267</f>
        <v>117</v>
      </c>
      <c r="R267" s="29">
        <f t="shared" si="37"/>
        <v>1404</v>
      </c>
      <c r="S267" s="29">
        <f t="shared" si="46"/>
        <v>0</v>
      </c>
      <c r="T267" s="65">
        <f t="shared" ca="1" si="38"/>
        <v>121.38</v>
      </c>
      <c r="U267" s="29">
        <f t="shared" si="39"/>
        <v>120</v>
      </c>
      <c r="V267" s="29">
        <f t="shared" si="40"/>
        <v>960</v>
      </c>
      <c r="W267" s="44">
        <f t="shared" si="41"/>
        <v>48</v>
      </c>
      <c r="X267" s="29">
        <f t="shared" si="42"/>
        <v>169</v>
      </c>
      <c r="Y267" s="29">
        <f t="shared" ca="1" si="43"/>
        <v>2939.38</v>
      </c>
      <c r="Z267" s="75"/>
      <c r="AA267" s="66">
        <f t="shared" ca="1" si="44"/>
        <v>7</v>
      </c>
      <c r="AB267" s="19"/>
      <c r="AC267" s="19"/>
      <c r="AD267" s="19"/>
      <c r="AE267" s="19"/>
    </row>
    <row r="268" spans="1:31 16366:16376" s="18" customFormat="1" ht="16.5" customHeight="1" x14ac:dyDescent="0.2">
      <c r="A268" s="39">
        <f t="shared" si="45"/>
        <v>265</v>
      </c>
      <c r="B268" s="40" t="s">
        <v>253</v>
      </c>
      <c r="C268" s="41">
        <v>705342376</v>
      </c>
      <c r="D268" s="42">
        <v>32858</v>
      </c>
      <c r="E268" s="40" t="s">
        <v>49</v>
      </c>
      <c r="F268" s="40" t="s">
        <v>422</v>
      </c>
      <c r="G268" s="40" t="s">
        <v>384</v>
      </c>
      <c r="H268" s="39" t="s">
        <v>383</v>
      </c>
      <c r="I268" s="43">
        <v>1010768086</v>
      </c>
      <c r="J268" s="42">
        <v>39940</v>
      </c>
      <c r="K268" s="42"/>
      <c r="L268" s="42">
        <v>39940</v>
      </c>
      <c r="M268" s="44">
        <v>433</v>
      </c>
      <c r="N268" s="40" t="s">
        <v>49</v>
      </c>
      <c r="O268" s="44">
        <v>578</v>
      </c>
      <c r="P268" s="44">
        <v>578</v>
      </c>
      <c r="Q268" s="44">
        <f>P268-M268</f>
        <v>145</v>
      </c>
      <c r="R268" s="29">
        <f t="shared" si="37"/>
        <v>1740</v>
      </c>
      <c r="S268" s="29">
        <f t="shared" si="46"/>
        <v>0</v>
      </c>
      <c r="T268" s="65">
        <f t="shared" ca="1" si="38"/>
        <v>121.38</v>
      </c>
      <c r="U268" s="29">
        <f t="shared" si="39"/>
        <v>120</v>
      </c>
      <c r="V268" s="29">
        <f t="shared" si="40"/>
        <v>960</v>
      </c>
      <c r="W268" s="44">
        <f t="shared" si="41"/>
        <v>48</v>
      </c>
      <c r="X268" s="29">
        <f t="shared" si="42"/>
        <v>169</v>
      </c>
      <c r="Y268" s="29">
        <f t="shared" ca="1" si="43"/>
        <v>3303.38</v>
      </c>
      <c r="Z268" s="75"/>
      <c r="AA268" s="66">
        <f t="shared" ca="1" si="44"/>
        <v>7</v>
      </c>
      <c r="AB268" s="19"/>
      <c r="AC268" s="19"/>
      <c r="AD268" s="19"/>
      <c r="AE268" s="19"/>
    </row>
    <row r="269" spans="1:31 16366:16376" s="18" customFormat="1" ht="16.5" customHeight="1" x14ac:dyDescent="0.2">
      <c r="A269" s="39">
        <f t="shared" si="45"/>
        <v>266</v>
      </c>
      <c r="B269" s="40" t="s">
        <v>24</v>
      </c>
      <c r="C269" s="41">
        <v>703465567</v>
      </c>
      <c r="D269" s="42">
        <v>27406</v>
      </c>
      <c r="E269" s="40" t="s">
        <v>25</v>
      </c>
      <c r="F269" s="40" t="s">
        <v>385</v>
      </c>
      <c r="G269" s="40" t="s">
        <v>393</v>
      </c>
      <c r="H269" s="39" t="s">
        <v>383</v>
      </c>
      <c r="I269" s="43">
        <v>8201133100</v>
      </c>
      <c r="J269" s="42">
        <v>39947</v>
      </c>
      <c r="K269" s="42"/>
      <c r="L269" s="42">
        <v>39947</v>
      </c>
      <c r="M269" s="44">
        <v>559</v>
      </c>
      <c r="N269" s="40" t="s">
        <v>432</v>
      </c>
      <c r="O269" s="44">
        <v>738</v>
      </c>
      <c r="P269" s="44">
        <v>738</v>
      </c>
      <c r="Q269" s="44">
        <f>P269-M269</f>
        <v>179</v>
      </c>
      <c r="R269" s="29">
        <f t="shared" si="37"/>
        <v>2148</v>
      </c>
      <c r="S269" s="29">
        <f t="shared" si="46"/>
        <v>0</v>
      </c>
      <c r="T269" s="65">
        <f t="shared" ca="1" si="38"/>
        <v>154.97999999999999</v>
      </c>
      <c r="U269" s="29">
        <f t="shared" si="39"/>
        <v>120</v>
      </c>
      <c r="V269" s="29">
        <f t="shared" si="40"/>
        <v>960</v>
      </c>
      <c r="W269" s="44">
        <f t="shared" si="41"/>
        <v>48</v>
      </c>
      <c r="X269" s="29">
        <f t="shared" si="42"/>
        <v>169</v>
      </c>
      <c r="Y269" s="29">
        <f t="shared" ca="1" si="43"/>
        <v>3778.98</v>
      </c>
      <c r="Z269" s="75"/>
      <c r="AA269" s="66">
        <f t="shared" ca="1" si="44"/>
        <v>7</v>
      </c>
      <c r="AB269" s="19"/>
      <c r="AC269" s="19"/>
      <c r="AD269" s="19"/>
      <c r="AE269" s="19"/>
    </row>
    <row r="270" spans="1:31 16366:16376" s="18" customFormat="1" ht="16.5" customHeight="1" x14ac:dyDescent="0.2">
      <c r="A270" s="39">
        <f t="shared" si="45"/>
        <v>267</v>
      </c>
      <c r="B270" s="40" t="s">
        <v>28</v>
      </c>
      <c r="C270" s="41">
        <v>702103078</v>
      </c>
      <c r="D270" s="42">
        <v>23690</v>
      </c>
      <c r="E270" s="40" t="s">
        <v>25</v>
      </c>
      <c r="F270" s="40" t="s">
        <v>385</v>
      </c>
      <c r="G270" s="40" t="s">
        <v>384</v>
      </c>
      <c r="H270" s="39" t="s">
        <v>383</v>
      </c>
      <c r="I270" s="43">
        <v>1010729714</v>
      </c>
      <c r="J270" s="42">
        <v>39569</v>
      </c>
      <c r="K270" s="42"/>
      <c r="L270" s="42">
        <v>39569</v>
      </c>
      <c r="M270" s="44">
        <v>559</v>
      </c>
      <c r="N270" s="40" t="s">
        <v>432</v>
      </c>
      <c r="O270" s="44">
        <v>738</v>
      </c>
      <c r="P270" s="44">
        <v>738</v>
      </c>
      <c r="Q270" s="44">
        <f>P270-M270</f>
        <v>179</v>
      </c>
      <c r="R270" s="29">
        <f t="shared" si="37"/>
        <v>2148</v>
      </c>
      <c r="S270" s="29">
        <f t="shared" si="46"/>
        <v>87.84</v>
      </c>
      <c r="T270" s="65">
        <f t="shared" ca="1" si="38"/>
        <v>177.12</v>
      </c>
      <c r="U270" s="29">
        <f t="shared" si="39"/>
        <v>120</v>
      </c>
      <c r="V270" s="29">
        <f t="shared" si="40"/>
        <v>960</v>
      </c>
      <c r="W270" s="44">
        <f t="shared" si="41"/>
        <v>48</v>
      </c>
      <c r="X270" s="29">
        <f t="shared" si="42"/>
        <v>169</v>
      </c>
      <c r="Y270" s="29">
        <f t="shared" ca="1" si="43"/>
        <v>3888.96</v>
      </c>
      <c r="Z270" s="75">
        <v>2</v>
      </c>
      <c r="AA270" s="66">
        <f t="shared" ca="1" si="44"/>
        <v>8</v>
      </c>
      <c r="AB270" s="19"/>
      <c r="AC270" s="19"/>
      <c r="AD270" s="19"/>
      <c r="AE270" s="19"/>
    </row>
    <row r="271" spans="1:31 16366:16376" s="18" customFormat="1" ht="16.5" customHeight="1" x14ac:dyDescent="0.2">
      <c r="A271" s="39">
        <f t="shared" si="45"/>
        <v>268</v>
      </c>
      <c r="B271" s="40" t="s">
        <v>35</v>
      </c>
      <c r="C271" s="41">
        <v>1707675615</v>
      </c>
      <c r="D271" s="42">
        <v>22516</v>
      </c>
      <c r="E271" s="40" t="s">
        <v>25</v>
      </c>
      <c r="F271" s="40" t="s">
        <v>385</v>
      </c>
      <c r="G271" s="40" t="s">
        <v>384</v>
      </c>
      <c r="H271" s="39" t="s">
        <v>383</v>
      </c>
      <c r="I271" s="43">
        <v>1010729897</v>
      </c>
      <c r="J271" s="42">
        <v>39569</v>
      </c>
      <c r="K271" s="42"/>
      <c r="L271" s="42">
        <v>39569</v>
      </c>
      <c r="M271" s="44">
        <v>559</v>
      </c>
      <c r="N271" s="40" t="s">
        <v>432</v>
      </c>
      <c r="O271" s="44">
        <v>738</v>
      </c>
      <c r="P271" s="44">
        <v>738</v>
      </c>
      <c r="Q271" s="44">
        <f>P271-M271</f>
        <v>179</v>
      </c>
      <c r="R271" s="29">
        <f t="shared" si="37"/>
        <v>2148</v>
      </c>
      <c r="S271" s="29">
        <f t="shared" si="46"/>
        <v>43.92</v>
      </c>
      <c r="T271" s="65">
        <f t="shared" ca="1" si="38"/>
        <v>177.12</v>
      </c>
      <c r="U271" s="29">
        <f t="shared" si="39"/>
        <v>120</v>
      </c>
      <c r="V271" s="29">
        <f t="shared" si="40"/>
        <v>960</v>
      </c>
      <c r="W271" s="44">
        <f t="shared" si="41"/>
        <v>48</v>
      </c>
      <c r="X271" s="29">
        <f t="shared" si="42"/>
        <v>169</v>
      </c>
      <c r="Y271" s="29">
        <f t="shared" ca="1" si="43"/>
        <v>3845.04</v>
      </c>
      <c r="Z271" s="75">
        <v>1</v>
      </c>
      <c r="AA271" s="66">
        <f t="shared" ca="1" si="44"/>
        <v>8</v>
      </c>
      <c r="AB271" s="19"/>
      <c r="AC271" s="19"/>
      <c r="AD271" s="19"/>
      <c r="AE271" s="19"/>
    </row>
    <row r="272" spans="1:31 16366:16376" s="18" customFormat="1" ht="16.5" customHeight="1" x14ac:dyDescent="0.2">
      <c r="A272" s="39">
        <f t="shared" si="45"/>
        <v>269</v>
      </c>
      <c r="B272" s="40" t="s">
        <v>50</v>
      </c>
      <c r="C272" s="41">
        <v>704986165</v>
      </c>
      <c r="D272" s="42">
        <v>31600</v>
      </c>
      <c r="E272" s="40" t="s">
        <v>25</v>
      </c>
      <c r="F272" s="40" t="s">
        <v>385</v>
      </c>
      <c r="G272" s="40" t="s">
        <v>384</v>
      </c>
      <c r="H272" s="39" t="s">
        <v>383</v>
      </c>
      <c r="I272" s="43">
        <v>1010733282</v>
      </c>
      <c r="J272" s="42">
        <v>39587</v>
      </c>
      <c r="K272" s="42"/>
      <c r="L272" s="42">
        <v>41061</v>
      </c>
      <c r="M272" s="44">
        <v>559</v>
      </c>
      <c r="N272" s="40" t="s">
        <v>432</v>
      </c>
      <c r="O272" s="44">
        <v>738</v>
      </c>
      <c r="P272" s="44">
        <v>738</v>
      </c>
      <c r="Q272" s="44">
        <f>P272-M272</f>
        <v>179</v>
      </c>
      <c r="R272" s="29">
        <f t="shared" si="37"/>
        <v>2148</v>
      </c>
      <c r="S272" s="29">
        <f t="shared" si="46"/>
        <v>0</v>
      </c>
      <c r="T272" s="65">
        <f t="shared" ca="1" si="38"/>
        <v>88.56</v>
      </c>
      <c r="U272" s="29">
        <f t="shared" si="39"/>
        <v>120</v>
      </c>
      <c r="V272" s="29">
        <f t="shared" si="40"/>
        <v>960</v>
      </c>
      <c r="W272" s="44">
        <f t="shared" si="41"/>
        <v>48</v>
      </c>
      <c r="X272" s="29">
        <f t="shared" si="42"/>
        <v>169</v>
      </c>
      <c r="Y272" s="29">
        <f t="shared" ca="1" si="43"/>
        <v>3712.56</v>
      </c>
      <c r="Z272" s="75"/>
      <c r="AA272" s="66">
        <f t="shared" ca="1" si="44"/>
        <v>4</v>
      </c>
      <c r="AB272" s="19"/>
      <c r="AC272" s="19"/>
      <c r="AD272" s="19"/>
      <c r="AE272" s="19"/>
    </row>
    <row r="273" spans="1:31 16366:16376" s="18" customFormat="1" ht="16.5" customHeight="1" x14ac:dyDescent="0.2">
      <c r="A273" s="39">
        <f t="shared" si="45"/>
        <v>270</v>
      </c>
      <c r="B273" s="40" t="s">
        <v>53</v>
      </c>
      <c r="C273" s="41">
        <v>702746397</v>
      </c>
      <c r="D273" s="42">
        <v>26529</v>
      </c>
      <c r="E273" s="40" t="s">
        <v>25</v>
      </c>
      <c r="F273" s="40" t="s">
        <v>385</v>
      </c>
      <c r="G273" s="40" t="s">
        <v>384</v>
      </c>
      <c r="H273" s="39" t="s">
        <v>383</v>
      </c>
      <c r="I273" s="43">
        <v>1090744697</v>
      </c>
      <c r="J273" s="42">
        <v>39569</v>
      </c>
      <c r="K273" s="42"/>
      <c r="L273" s="42">
        <v>39569</v>
      </c>
      <c r="M273" s="44">
        <v>559</v>
      </c>
      <c r="N273" s="40" t="s">
        <v>432</v>
      </c>
      <c r="O273" s="44">
        <v>738</v>
      </c>
      <c r="P273" s="44">
        <v>738</v>
      </c>
      <c r="Q273" s="44">
        <f>P273-M273</f>
        <v>179</v>
      </c>
      <c r="R273" s="29">
        <f t="shared" si="37"/>
        <v>2148</v>
      </c>
      <c r="S273" s="29">
        <f t="shared" si="46"/>
        <v>0</v>
      </c>
      <c r="T273" s="65">
        <f t="shared" ca="1" si="38"/>
        <v>177.12</v>
      </c>
      <c r="U273" s="29">
        <f t="shared" si="39"/>
        <v>120</v>
      </c>
      <c r="V273" s="29">
        <f t="shared" si="40"/>
        <v>960</v>
      </c>
      <c r="W273" s="44">
        <f t="shared" si="41"/>
        <v>48</v>
      </c>
      <c r="X273" s="29">
        <f t="shared" si="42"/>
        <v>169</v>
      </c>
      <c r="Y273" s="29">
        <f t="shared" ca="1" si="43"/>
        <v>3801.12</v>
      </c>
      <c r="Z273" s="75"/>
      <c r="AA273" s="66">
        <f t="shared" ca="1" si="44"/>
        <v>8</v>
      </c>
      <c r="AB273" s="19"/>
      <c r="AC273" s="19"/>
      <c r="AD273" s="19"/>
      <c r="AE273" s="19"/>
    </row>
    <row r="274" spans="1:31 16366:16376" s="18" customFormat="1" ht="16.5" customHeight="1" x14ac:dyDescent="0.2">
      <c r="A274" s="39">
        <f t="shared" si="45"/>
        <v>271</v>
      </c>
      <c r="B274" s="40" t="s">
        <v>58</v>
      </c>
      <c r="C274" s="41">
        <v>704539790</v>
      </c>
      <c r="D274" s="42">
        <v>30067</v>
      </c>
      <c r="E274" s="40" t="s">
        <v>25</v>
      </c>
      <c r="F274" s="40" t="s">
        <v>385</v>
      </c>
      <c r="G274" s="40" t="s">
        <v>384</v>
      </c>
      <c r="H274" s="39" t="s">
        <v>383</v>
      </c>
      <c r="I274" s="43">
        <v>1010735013</v>
      </c>
      <c r="J274" s="42">
        <v>39601</v>
      </c>
      <c r="K274" s="42"/>
      <c r="L274" s="42">
        <v>41061</v>
      </c>
      <c r="M274" s="44">
        <v>559</v>
      </c>
      <c r="N274" s="40" t="s">
        <v>432</v>
      </c>
      <c r="O274" s="44">
        <v>738</v>
      </c>
      <c r="P274" s="44">
        <v>738</v>
      </c>
      <c r="Q274" s="44">
        <f>P274-M274</f>
        <v>179</v>
      </c>
      <c r="R274" s="29">
        <f t="shared" si="37"/>
        <v>2148</v>
      </c>
      <c r="S274" s="29">
        <f t="shared" si="46"/>
        <v>0</v>
      </c>
      <c r="T274" s="65">
        <f t="shared" ca="1" si="38"/>
        <v>88.56</v>
      </c>
      <c r="U274" s="29">
        <f t="shared" si="39"/>
        <v>120</v>
      </c>
      <c r="V274" s="29">
        <f t="shared" si="40"/>
        <v>960</v>
      </c>
      <c r="W274" s="44">
        <f t="shared" si="41"/>
        <v>48</v>
      </c>
      <c r="X274" s="29">
        <f t="shared" si="42"/>
        <v>169</v>
      </c>
      <c r="Y274" s="29">
        <f t="shared" ca="1" si="43"/>
        <v>3712.56</v>
      </c>
      <c r="Z274" s="75"/>
      <c r="AA274" s="66">
        <f t="shared" ca="1" si="44"/>
        <v>4</v>
      </c>
      <c r="AB274" s="19"/>
      <c r="AC274" s="19"/>
      <c r="AD274" s="19"/>
      <c r="AE274" s="19"/>
    </row>
    <row r="275" spans="1:31 16366:16376" s="18" customFormat="1" ht="16.5" customHeight="1" x14ac:dyDescent="0.2">
      <c r="A275" s="39">
        <f t="shared" si="45"/>
        <v>272</v>
      </c>
      <c r="B275" s="40" t="s">
        <v>67</v>
      </c>
      <c r="C275" s="41">
        <v>704347574</v>
      </c>
      <c r="D275" s="42">
        <v>30161</v>
      </c>
      <c r="E275" s="40" t="s">
        <v>25</v>
      </c>
      <c r="F275" s="40" t="s">
        <v>385</v>
      </c>
      <c r="G275" s="40" t="s">
        <v>384</v>
      </c>
      <c r="H275" s="39" t="s">
        <v>383</v>
      </c>
      <c r="I275" s="43">
        <v>1010607139</v>
      </c>
      <c r="J275" s="42">
        <v>39569</v>
      </c>
      <c r="K275" s="42"/>
      <c r="L275" s="42">
        <v>39569</v>
      </c>
      <c r="M275" s="44">
        <v>559</v>
      </c>
      <c r="N275" s="40" t="s">
        <v>432</v>
      </c>
      <c r="O275" s="44">
        <v>738</v>
      </c>
      <c r="P275" s="44">
        <v>738</v>
      </c>
      <c r="Q275" s="44">
        <f>P275-M275</f>
        <v>179</v>
      </c>
      <c r="R275" s="29">
        <f t="shared" si="37"/>
        <v>2148</v>
      </c>
      <c r="S275" s="29">
        <f t="shared" si="46"/>
        <v>43.92</v>
      </c>
      <c r="T275" s="65">
        <f t="shared" ca="1" si="38"/>
        <v>177.12</v>
      </c>
      <c r="U275" s="29">
        <f t="shared" si="39"/>
        <v>120</v>
      </c>
      <c r="V275" s="29">
        <f t="shared" si="40"/>
        <v>960</v>
      </c>
      <c r="W275" s="44">
        <f t="shared" si="41"/>
        <v>48</v>
      </c>
      <c r="X275" s="29">
        <f t="shared" si="42"/>
        <v>169</v>
      </c>
      <c r="Y275" s="29">
        <f t="shared" ca="1" si="43"/>
        <v>3845.04</v>
      </c>
      <c r="Z275" s="75">
        <v>1</v>
      </c>
      <c r="AA275" s="66">
        <f t="shared" ca="1" si="44"/>
        <v>8</v>
      </c>
      <c r="AB275" s="19"/>
      <c r="AC275" s="19"/>
      <c r="AD275" s="19"/>
      <c r="AE275" s="19"/>
    </row>
    <row r="276" spans="1:31 16366:16376" s="18" customFormat="1" ht="16.5" customHeight="1" x14ac:dyDescent="0.2">
      <c r="A276" s="39">
        <f t="shared" si="45"/>
        <v>273</v>
      </c>
      <c r="B276" s="40" t="s">
        <v>69</v>
      </c>
      <c r="C276" s="41">
        <v>1102685888</v>
      </c>
      <c r="D276" s="42">
        <v>25503</v>
      </c>
      <c r="E276" s="40" t="s">
        <v>25</v>
      </c>
      <c r="F276" s="40" t="s">
        <v>385</v>
      </c>
      <c r="G276" s="40" t="s">
        <v>398</v>
      </c>
      <c r="H276" s="39" t="s">
        <v>383</v>
      </c>
      <c r="I276" s="43">
        <v>150262320</v>
      </c>
      <c r="J276" s="42">
        <v>39946</v>
      </c>
      <c r="K276" s="42"/>
      <c r="L276" s="42">
        <v>39946</v>
      </c>
      <c r="M276" s="44">
        <v>559</v>
      </c>
      <c r="N276" s="40" t="s">
        <v>432</v>
      </c>
      <c r="O276" s="44">
        <v>738</v>
      </c>
      <c r="P276" s="44">
        <v>738</v>
      </c>
      <c r="Q276" s="44">
        <f>P276-M276</f>
        <v>179</v>
      </c>
      <c r="R276" s="29">
        <f t="shared" si="37"/>
        <v>2148</v>
      </c>
      <c r="S276" s="29">
        <f t="shared" si="46"/>
        <v>43.92</v>
      </c>
      <c r="T276" s="65">
        <f t="shared" ca="1" si="38"/>
        <v>154.97999999999999</v>
      </c>
      <c r="U276" s="29">
        <f t="shared" si="39"/>
        <v>120</v>
      </c>
      <c r="V276" s="29">
        <f t="shared" si="40"/>
        <v>960</v>
      </c>
      <c r="W276" s="44">
        <f t="shared" si="41"/>
        <v>48</v>
      </c>
      <c r="X276" s="29">
        <f t="shared" si="42"/>
        <v>169</v>
      </c>
      <c r="Y276" s="29">
        <f t="shared" ca="1" si="43"/>
        <v>3822.9</v>
      </c>
      <c r="Z276" s="75">
        <v>1</v>
      </c>
      <c r="AA276" s="66">
        <f t="shared" ca="1" si="44"/>
        <v>7</v>
      </c>
      <c r="AB276" s="19"/>
      <c r="AC276" s="19"/>
      <c r="AD276" s="19"/>
      <c r="AE276" s="19"/>
    </row>
    <row r="277" spans="1:31 16366:16376" s="18" customFormat="1" ht="16.5" customHeight="1" x14ac:dyDescent="0.2">
      <c r="A277" s="39">
        <f t="shared" si="45"/>
        <v>274</v>
      </c>
      <c r="B277" s="40" t="s">
        <v>70</v>
      </c>
      <c r="C277" s="41">
        <v>703470047</v>
      </c>
      <c r="D277" s="42">
        <v>29575</v>
      </c>
      <c r="E277" s="40" t="s">
        <v>25</v>
      </c>
      <c r="F277" s="40" t="s">
        <v>385</v>
      </c>
      <c r="G277" s="40" t="s">
        <v>417</v>
      </c>
      <c r="H277" s="39" t="s">
        <v>383</v>
      </c>
      <c r="I277" s="43">
        <v>406029694105</v>
      </c>
      <c r="J277" s="42">
        <v>39569</v>
      </c>
      <c r="K277" s="42"/>
      <c r="L277" s="42">
        <v>39569</v>
      </c>
      <c r="M277" s="44">
        <v>559</v>
      </c>
      <c r="N277" s="40" t="s">
        <v>432</v>
      </c>
      <c r="O277" s="44">
        <v>738</v>
      </c>
      <c r="P277" s="44">
        <v>738</v>
      </c>
      <c r="Q277" s="44">
        <f>P277-M277</f>
        <v>179</v>
      </c>
      <c r="R277" s="29">
        <f t="shared" si="37"/>
        <v>2148</v>
      </c>
      <c r="S277" s="29">
        <f t="shared" si="46"/>
        <v>87.84</v>
      </c>
      <c r="T277" s="65">
        <f t="shared" ca="1" si="38"/>
        <v>177.12</v>
      </c>
      <c r="U277" s="29">
        <f t="shared" si="39"/>
        <v>120</v>
      </c>
      <c r="V277" s="29">
        <f t="shared" si="40"/>
        <v>960</v>
      </c>
      <c r="W277" s="44">
        <f t="shared" si="41"/>
        <v>48</v>
      </c>
      <c r="X277" s="29">
        <f t="shared" si="42"/>
        <v>169</v>
      </c>
      <c r="Y277" s="29">
        <f t="shared" ca="1" si="43"/>
        <v>3888.96</v>
      </c>
      <c r="Z277" s="75">
        <v>2</v>
      </c>
      <c r="AA277" s="66">
        <f t="shared" ca="1" si="44"/>
        <v>8</v>
      </c>
      <c r="AB277" s="19"/>
      <c r="AC277" s="19"/>
      <c r="AD277" s="19"/>
      <c r="AE277" s="19"/>
    </row>
    <row r="278" spans="1:31 16366:16376" s="18" customFormat="1" ht="16.5" customHeight="1" x14ac:dyDescent="0.2">
      <c r="A278" s="39">
        <f t="shared" si="45"/>
        <v>275</v>
      </c>
      <c r="B278" s="40" t="s">
        <v>75</v>
      </c>
      <c r="C278" s="41">
        <v>704287184</v>
      </c>
      <c r="D278" s="42">
        <v>32447</v>
      </c>
      <c r="E278" s="40" t="s">
        <v>25</v>
      </c>
      <c r="F278" s="40" t="s">
        <v>385</v>
      </c>
      <c r="G278" s="40" t="s">
        <v>393</v>
      </c>
      <c r="H278" s="39" t="s">
        <v>383</v>
      </c>
      <c r="I278" s="43">
        <v>8200784100</v>
      </c>
      <c r="J278" s="42">
        <v>39944</v>
      </c>
      <c r="K278" s="42"/>
      <c r="L278" s="42">
        <v>41061</v>
      </c>
      <c r="M278" s="44">
        <v>559</v>
      </c>
      <c r="N278" s="40" t="s">
        <v>432</v>
      </c>
      <c r="O278" s="44">
        <v>738</v>
      </c>
      <c r="P278" s="44">
        <v>738</v>
      </c>
      <c r="Q278" s="44">
        <f>P278-M278</f>
        <v>179</v>
      </c>
      <c r="R278" s="29">
        <f t="shared" si="37"/>
        <v>2148</v>
      </c>
      <c r="S278" s="29">
        <f t="shared" si="46"/>
        <v>0</v>
      </c>
      <c r="T278" s="65">
        <f t="shared" ca="1" si="38"/>
        <v>88.56</v>
      </c>
      <c r="U278" s="29">
        <f t="shared" si="39"/>
        <v>120</v>
      </c>
      <c r="V278" s="29">
        <f t="shared" si="40"/>
        <v>960</v>
      </c>
      <c r="W278" s="44">
        <f t="shared" si="41"/>
        <v>48</v>
      </c>
      <c r="X278" s="29">
        <f t="shared" si="42"/>
        <v>169</v>
      </c>
      <c r="Y278" s="29">
        <f t="shared" ca="1" si="43"/>
        <v>3712.56</v>
      </c>
      <c r="Z278" s="75"/>
      <c r="AA278" s="66">
        <f t="shared" ca="1" si="44"/>
        <v>4</v>
      </c>
      <c r="AB278" s="19"/>
      <c r="AC278" s="19"/>
      <c r="AD278" s="19"/>
      <c r="AE278" s="19"/>
    </row>
    <row r="279" spans="1:31 16366:16376" s="18" customFormat="1" ht="16.5" customHeight="1" x14ac:dyDescent="0.2">
      <c r="A279" s="39">
        <f t="shared" si="45"/>
        <v>276</v>
      </c>
      <c r="B279" s="40" t="s">
        <v>101</v>
      </c>
      <c r="C279" s="41">
        <v>704454719</v>
      </c>
      <c r="D279" s="42">
        <v>30168</v>
      </c>
      <c r="E279" s="40" t="s">
        <v>25</v>
      </c>
      <c r="F279" s="40" t="s">
        <v>385</v>
      </c>
      <c r="G279" s="40" t="s">
        <v>397</v>
      </c>
      <c r="H279" s="39" t="s">
        <v>383</v>
      </c>
      <c r="I279" s="43">
        <v>1049566059</v>
      </c>
      <c r="J279" s="42">
        <v>41367</v>
      </c>
      <c r="K279" s="42"/>
      <c r="L279" s="42">
        <v>41367</v>
      </c>
      <c r="M279" s="44">
        <v>559</v>
      </c>
      <c r="N279" s="40" t="s">
        <v>432</v>
      </c>
      <c r="O279" s="44">
        <v>738</v>
      </c>
      <c r="P279" s="44">
        <v>738</v>
      </c>
      <c r="Q279" s="44">
        <f>P279-M279</f>
        <v>179</v>
      </c>
      <c r="R279" s="29">
        <f t="shared" si="37"/>
        <v>2148</v>
      </c>
      <c r="S279" s="29">
        <f t="shared" si="46"/>
        <v>43.92</v>
      </c>
      <c r="T279" s="65">
        <f t="shared" ca="1" si="38"/>
        <v>66.42</v>
      </c>
      <c r="U279" s="29">
        <f t="shared" si="39"/>
        <v>120</v>
      </c>
      <c r="V279" s="29">
        <f t="shared" si="40"/>
        <v>960</v>
      </c>
      <c r="W279" s="44">
        <f t="shared" si="41"/>
        <v>48</v>
      </c>
      <c r="X279" s="29">
        <f t="shared" si="42"/>
        <v>169</v>
      </c>
      <c r="Y279" s="29">
        <f t="shared" ca="1" si="43"/>
        <v>3734.34</v>
      </c>
      <c r="Z279" s="75">
        <v>1</v>
      </c>
      <c r="AA279" s="66">
        <f t="shared" ca="1" si="44"/>
        <v>3</v>
      </c>
      <c r="AB279" s="19"/>
      <c r="AC279" s="19"/>
      <c r="AD279" s="19"/>
      <c r="AE279" s="19"/>
    </row>
    <row r="280" spans="1:31 16366:16376" s="18" customFormat="1" ht="16.5" customHeight="1" x14ac:dyDescent="0.2">
      <c r="A280" s="39">
        <f t="shared" si="45"/>
        <v>277</v>
      </c>
      <c r="B280" s="40" t="s">
        <v>109</v>
      </c>
      <c r="C280" s="41">
        <v>701013344</v>
      </c>
      <c r="D280" s="42">
        <v>20377</v>
      </c>
      <c r="E280" s="40" t="s">
        <v>25</v>
      </c>
      <c r="F280" s="40" t="s">
        <v>385</v>
      </c>
      <c r="G280" s="40" t="s">
        <v>384</v>
      </c>
      <c r="H280" s="39" t="s">
        <v>383</v>
      </c>
      <c r="I280" s="43">
        <v>1010414020</v>
      </c>
      <c r="J280" s="42">
        <v>39569</v>
      </c>
      <c r="K280" s="42"/>
      <c r="L280" s="42">
        <v>39569</v>
      </c>
      <c r="M280" s="44">
        <v>559</v>
      </c>
      <c r="N280" s="40" t="s">
        <v>432</v>
      </c>
      <c r="O280" s="44">
        <v>738</v>
      </c>
      <c r="P280" s="44">
        <v>738</v>
      </c>
      <c r="Q280" s="44">
        <f>P280-M280</f>
        <v>179</v>
      </c>
      <c r="R280" s="29">
        <f t="shared" si="37"/>
        <v>2148</v>
      </c>
      <c r="S280" s="29">
        <f t="shared" si="46"/>
        <v>0</v>
      </c>
      <c r="T280" s="65">
        <f t="shared" ca="1" si="38"/>
        <v>177.12</v>
      </c>
      <c r="U280" s="29">
        <f t="shared" si="39"/>
        <v>120</v>
      </c>
      <c r="V280" s="29">
        <f t="shared" si="40"/>
        <v>960</v>
      </c>
      <c r="W280" s="44">
        <f t="shared" si="41"/>
        <v>48</v>
      </c>
      <c r="X280" s="29">
        <f t="shared" si="42"/>
        <v>169</v>
      </c>
      <c r="Y280" s="29">
        <f t="shared" ca="1" si="43"/>
        <v>3801.12</v>
      </c>
      <c r="Z280" s="75"/>
      <c r="AA280" s="66">
        <f t="shared" ca="1" si="44"/>
        <v>8</v>
      </c>
      <c r="AB280" s="19"/>
      <c r="AC280" s="19"/>
      <c r="AD280" s="19"/>
      <c r="AE280" s="19"/>
    </row>
    <row r="281" spans="1:31 16366:16376" s="18" customFormat="1" ht="16.5" customHeight="1" x14ac:dyDescent="0.2">
      <c r="A281" s="39">
        <f t="shared" si="45"/>
        <v>278</v>
      </c>
      <c r="B281" s="40" t="s">
        <v>126</v>
      </c>
      <c r="C281" s="41">
        <v>703704130</v>
      </c>
      <c r="D281" s="42">
        <v>29922</v>
      </c>
      <c r="E281" s="40" t="s">
        <v>25</v>
      </c>
      <c r="F281" s="40" t="s">
        <v>385</v>
      </c>
      <c r="G281" s="40" t="s">
        <v>384</v>
      </c>
      <c r="H281" s="39" t="s">
        <v>383</v>
      </c>
      <c r="I281" s="43">
        <v>1010560795</v>
      </c>
      <c r="J281" s="42">
        <v>39569</v>
      </c>
      <c r="K281" s="42"/>
      <c r="L281" s="42">
        <v>41061</v>
      </c>
      <c r="M281" s="44">
        <v>559</v>
      </c>
      <c r="N281" s="40" t="s">
        <v>432</v>
      </c>
      <c r="O281" s="44">
        <v>738</v>
      </c>
      <c r="P281" s="44">
        <v>738</v>
      </c>
      <c r="Q281" s="44">
        <f>P281-M281</f>
        <v>179</v>
      </c>
      <c r="R281" s="29">
        <f t="shared" si="37"/>
        <v>2148</v>
      </c>
      <c r="S281" s="29">
        <f t="shared" si="46"/>
        <v>0</v>
      </c>
      <c r="T281" s="65">
        <f t="shared" ca="1" si="38"/>
        <v>88.56</v>
      </c>
      <c r="U281" s="29">
        <f t="shared" si="39"/>
        <v>120</v>
      </c>
      <c r="V281" s="29">
        <f t="shared" si="40"/>
        <v>960</v>
      </c>
      <c r="W281" s="44">
        <f t="shared" si="41"/>
        <v>48</v>
      </c>
      <c r="X281" s="29">
        <f t="shared" si="42"/>
        <v>169</v>
      </c>
      <c r="Y281" s="29">
        <f t="shared" ca="1" si="43"/>
        <v>3712.56</v>
      </c>
      <c r="Z281" s="75"/>
      <c r="AA281" s="66">
        <f t="shared" ca="1" si="44"/>
        <v>4</v>
      </c>
      <c r="AB281" s="19"/>
      <c r="AC281" s="19"/>
      <c r="AD281" s="19"/>
      <c r="AE281" s="19"/>
    </row>
    <row r="282" spans="1:31 16366:16376" s="18" customFormat="1" ht="16.5" customHeight="1" x14ac:dyDescent="0.2">
      <c r="A282" s="39">
        <f t="shared" si="45"/>
        <v>279</v>
      </c>
      <c r="B282" s="40" t="s">
        <v>127</v>
      </c>
      <c r="C282" s="41">
        <v>702425281</v>
      </c>
      <c r="D282" s="42">
        <v>24760</v>
      </c>
      <c r="E282" s="40" t="s">
        <v>25</v>
      </c>
      <c r="F282" s="40" t="s">
        <v>385</v>
      </c>
      <c r="G282" s="40" t="s">
        <v>384</v>
      </c>
      <c r="H282" s="39" t="s">
        <v>383</v>
      </c>
      <c r="I282" s="43">
        <v>1010730720</v>
      </c>
      <c r="J282" s="42">
        <v>39569</v>
      </c>
      <c r="K282" s="42"/>
      <c r="L282" s="42">
        <v>39569</v>
      </c>
      <c r="M282" s="44">
        <v>559</v>
      </c>
      <c r="N282" s="40" t="s">
        <v>432</v>
      </c>
      <c r="O282" s="44">
        <v>738</v>
      </c>
      <c r="P282" s="44">
        <v>738</v>
      </c>
      <c r="Q282" s="44">
        <f>P282-M282</f>
        <v>179</v>
      </c>
      <c r="R282" s="29">
        <f t="shared" si="37"/>
        <v>2148</v>
      </c>
      <c r="S282" s="29">
        <f t="shared" si="46"/>
        <v>43.92</v>
      </c>
      <c r="T282" s="65">
        <f t="shared" ca="1" si="38"/>
        <v>177.12</v>
      </c>
      <c r="U282" s="29">
        <f t="shared" si="39"/>
        <v>120</v>
      </c>
      <c r="V282" s="29">
        <f t="shared" si="40"/>
        <v>960</v>
      </c>
      <c r="W282" s="44">
        <f t="shared" si="41"/>
        <v>48</v>
      </c>
      <c r="X282" s="29">
        <f t="shared" si="42"/>
        <v>169</v>
      </c>
      <c r="Y282" s="29">
        <f t="shared" ca="1" si="43"/>
        <v>3845.04</v>
      </c>
      <c r="Z282" s="75">
        <v>1</v>
      </c>
      <c r="AA282" s="66">
        <f t="shared" ca="1" si="44"/>
        <v>8</v>
      </c>
      <c r="AB282" s="19"/>
      <c r="AC282" s="19"/>
      <c r="AD282" s="19"/>
      <c r="AE282" s="19"/>
    </row>
    <row r="283" spans="1:31 16366:16376" s="18" customFormat="1" ht="16.5" customHeight="1" x14ac:dyDescent="0.2">
      <c r="A283" s="39">
        <f t="shared" si="45"/>
        <v>280</v>
      </c>
      <c r="B283" s="40" t="s">
        <v>134</v>
      </c>
      <c r="C283" s="41">
        <v>702296898</v>
      </c>
      <c r="D283" s="42">
        <v>25416</v>
      </c>
      <c r="E283" s="40" t="s">
        <v>25</v>
      </c>
      <c r="F283" s="40" t="s">
        <v>385</v>
      </c>
      <c r="G283" s="40" t="s">
        <v>397</v>
      </c>
      <c r="H283" s="39" t="s">
        <v>383</v>
      </c>
      <c r="I283" s="43">
        <v>1049666177</v>
      </c>
      <c r="J283" s="42">
        <v>40940</v>
      </c>
      <c r="K283" s="42"/>
      <c r="L283" s="42">
        <v>40940</v>
      </c>
      <c r="M283" s="44">
        <v>559</v>
      </c>
      <c r="N283" s="40" t="s">
        <v>432</v>
      </c>
      <c r="O283" s="44">
        <v>738</v>
      </c>
      <c r="P283" s="44">
        <v>738</v>
      </c>
      <c r="Q283" s="44">
        <f>P283-M283</f>
        <v>179</v>
      </c>
      <c r="R283" s="29">
        <f t="shared" si="37"/>
        <v>2148</v>
      </c>
      <c r="S283" s="29">
        <f t="shared" si="46"/>
        <v>87.84</v>
      </c>
      <c r="T283" s="65">
        <f t="shared" ca="1" si="38"/>
        <v>88.56</v>
      </c>
      <c r="U283" s="29">
        <f t="shared" si="39"/>
        <v>120</v>
      </c>
      <c r="V283" s="29">
        <f t="shared" si="40"/>
        <v>960</v>
      </c>
      <c r="W283" s="44">
        <f t="shared" si="41"/>
        <v>48</v>
      </c>
      <c r="X283" s="29">
        <f t="shared" si="42"/>
        <v>169</v>
      </c>
      <c r="Y283" s="29">
        <f t="shared" ca="1" si="43"/>
        <v>3800.4</v>
      </c>
      <c r="Z283" s="75">
        <v>2</v>
      </c>
      <c r="AA283" s="66">
        <f t="shared" ca="1" si="44"/>
        <v>4</v>
      </c>
      <c r="AB283" s="19"/>
      <c r="AC283" s="19"/>
      <c r="AD283" s="19"/>
      <c r="AE283" s="19"/>
    </row>
    <row r="284" spans="1:31 16366:16376" s="18" customFormat="1" ht="16.5" customHeight="1" x14ac:dyDescent="0.2">
      <c r="A284" s="39">
        <f t="shared" si="45"/>
        <v>281</v>
      </c>
      <c r="B284" s="40" t="s">
        <v>141</v>
      </c>
      <c r="C284" s="41">
        <v>700883069</v>
      </c>
      <c r="D284" s="42">
        <v>19035</v>
      </c>
      <c r="E284" s="40" t="s">
        <v>25</v>
      </c>
      <c r="F284" s="40" t="s">
        <v>385</v>
      </c>
      <c r="G284" s="40" t="s">
        <v>384</v>
      </c>
      <c r="H284" s="39" t="s">
        <v>383</v>
      </c>
      <c r="I284" s="43">
        <v>1010735765</v>
      </c>
      <c r="J284" s="42">
        <v>39569</v>
      </c>
      <c r="K284" s="42"/>
      <c r="L284" s="42">
        <v>39569</v>
      </c>
      <c r="M284" s="44">
        <v>559</v>
      </c>
      <c r="N284" s="40" t="s">
        <v>432</v>
      </c>
      <c r="O284" s="44">
        <v>738</v>
      </c>
      <c r="P284" s="44">
        <v>738</v>
      </c>
      <c r="Q284" s="44">
        <f>P284-M284</f>
        <v>179</v>
      </c>
      <c r="R284" s="29">
        <f t="shared" si="37"/>
        <v>2148</v>
      </c>
      <c r="S284" s="29">
        <f t="shared" si="46"/>
        <v>0</v>
      </c>
      <c r="T284" s="65">
        <f t="shared" ca="1" si="38"/>
        <v>177.12</v>
      </c>
      <c r="U284" s="29">
        <f t="shared" si="39"/>
        <v>120</v>
      </c>
      <c r="V284" s="29">
        <f t="shared" si="40"/>
        <v>960</v>
      </c>
      <c r="W284" s="44">
        <f t="shared" si="41"/>
        <v>48</v>
      </c>
      <c r="X284" s="29">
        <f t="shared" si="42"/>
        <v>169</v>
      </c>
      <c r="Y284" s="29">
        <f t="shared" ca="1" si="43"/>
        <v>3801.12</v>
      </c>
      <c r="Z284" s="75"/>
      <c r="AA284" s="66">
        <f t="shared" ca="1" si="44"/>
        <v>8</v>
      </c>
      <c r="AB284" s="19"/>
      <c r="AC284" s="19"/>
      <c r="AD284" s="19"/>
      <c r="AE284" s="19"/>
    </row>
    <row r="285" spans="1:31 16366:16376" s="18" customFormat="1" ht="16.5" customHeight="1" x14ac:dyDescent="0.2">
      <c r="A285" s="39">
        <f t="shared" si="45"/>
        <v>282</v>
      </c>
      <c r="B285" s="40" t="s">
        <v>142</v>
      </c>
      <c r="C285" s="41">
        <v>701515157</v>
      </c>
      <c r="D285" s="42">
        <v>22759</v>
      </c>
      <c r="E285" s="40" t="s">
        <v>25</v>
      </c>
      <c r="F285" s="40" t="s">
        <v>385</v>
      </c>
      <c r="G285" s="40" t="s">
        <v>384</v>
      </c>
      <c r="H285" s="39" t="s">
        <v>383</v>
      </c>
      <c r="I285" s="43">
        <v>1010606531</v>
      </c>
      <c r="J285" s="42">
        <v>39569</v>
      </c>
      <c r="K285" s="42"/>
      <c r="L285" s="42">
        <v>39569</v>
      </c>
      <c r="M285" s="44">
        <v>559</v>
      </c>
      <c r="N285" s="40" t="s">
        <v>432</v>
      </c>
      <c r="O285" s="44">
        <v>738</v>
      </c>
      <c r="P285" s="44">
        <v>738</v>
      </c>
      <c r="Q285" s="44">
        <f>P285-M285</f>
        <v>179</v>
      </c>
      <c r="R285" s="29">
        <f t="shared" si="37"/>
        <v>2148</v>
      </c>
      <c r="S285" s="29">
        <f t="shared" si="46"/>
        <v>0</v>
      </c>
      <c r="T285" s="65">
        <f t="shared" ca="1" si="38"/>
        <v>177.12</v>
      </c>
      <c r="U285" s="29">
        <f t="shared" si="39"/>
        <v>120</v>
      </c>
      <c r="V285" s="29">
        <f t="shared" si="40"/>
        <v>960</v>
      </c>
      <c r="W285" s="44">
        <f t="shared" si="41"/>
        <v>48</v>
      </c>
      <c r="X285" s="29">
        <f t="shared" si="42"/>
        <v>169</v>
      </c>
      <c r="Y285" s="29">
        <f t="shared" ca="1" si="43"/>
        <v>3801.12</v>
      </c>
      <c r="Z285" s="75"/>
      <c r="AA285" s="66">
        <f t="shared" ca="1" si="44"/>
        <v>8</v>
      </c>
      <c r="AB285" s="19"/>
      <c r="AC285" s="19"/>
      <c r="AD285" s="19"/>
      <c r="AE285" s="19"/>
    </row>
    <row r="286" spans="1:31 16366:16376" s="18" customFormat="1" ht="16.5" customHeight="1" x14ac:dyDescent="0.2">
      <c r="A286" s="39">
        <f t="shared" si="45"/>
        <v>283</v>
      </c>
      <c r="B286" s="40" t="s">
        <v>145</v>
      </c>
      <c r="C286" s="41">
        <v>703136960</v>
      </c>
      <c r="D286" s="42">
        <v>27176</v>
      </c>
      <c r="E286" s="40" t="s">
        <v>25</v>
      </c>
      <c r="F286" s="40" t="s">
        <v>385</v>
      </c>
      <c r="G286" s="40" t="s">
        <v>384</v>
      </c>
      <c r="H286" s="39" t="s">
        <v>383</v>
      </c>
      <c r="I286" s="43">
        <v>1180072248</v>
      </c>
      <c r="J286" s="42">
        <v>39569</v>
      </c>
      <c r="K286" s="42"/>
      <c r="L286" s="42">
        <v>39569</v>
      </c>
      <c r="M286" s="44">
        <v>559</v>
      </c>
      <c r="N286" s="40" t="s">
        <v>432</v>
      </c>
      <c r="O286" s="44">
        <v>738</v>
      </c>
      <c r="P286" s="44">
        <v>738</v>
      </c>
      <c r="Q286" s="44">
        <f>P286-M286</f>
        <v>179</v>
      </c>
      <c r="R286" s="29">
        <f t="shared" si="37"/>
        <v>2148</v>
      </c>
      <c r="S286" s="29">
        <f t="shared" si="46"/>
        <v>131.76</v>
      </c>
      <c r="T286" s="65">
        <f t="shared" ca="1" si="38"/>
        <v>177.12</v>
      </c>
      <c r="U286" s="29">
        <f t="shared" si="39"/>
        <v>120</v>
      </c>
      <c r="V286" s="29">
        <f t="shared" si="40"/>
        <v>960</v>
      </c>
      <c r="W286" s="44">
        <f t="shared" si="41"/>
        <v>48</v>
      </c>
      <c r="X286" s="29">
        <f t="shared" si="42"/>
        <v>169</v>
      </c>
      <c r="Y286" s="29">
        <f t="shared" ca="1" si="43"/>
        <v>3932.88</v>
      </c>
      <c r="Z286" s="75">
        <v>3</v>
      </c>
      <c r="AA286" s="66">
        <f t="shared" ca="1" si="44"/>
        <v>8</v>
      </c>
      <c r="AB286" s="19"/>
      <c r="AC286" s="19"/>
      <c r="AD286" s="19"/>
      <c r="AE286" s="19"/>
      <c r="XEL286" s="17"/>
      <c r="XEV286" s="17"/>
    </row>
    <row r="287" spans="1:31 16366:16376" s="18" customFormat="1" ht="16.5" customHeight="1" x14ac:dyDescent="0.2">
      <c r="A287" s="39">
        <f t="shared" si="45"/>
        <v>284</v>
      </c>
      <c r="B287" s="40" t="s">
        <v>149</v>
      </c>
      <c r="C287" s="41">
        <v>701480188</v>
      </c>
      <c r="D287" s="42">
        <v>22157</v>
      </c>
      <c r="E287" s="40" t="s">
        <v>25</v>
      </c>
      <c r="F287" s="40" t="s">
        <v>385</v>
      </c>
      <c r="G287" s="40" t="s">
        <v>397</v>
      </c>
      <c r="H287" s="39" t="s">
        <v>383</v>
      </c>
      <c r="I287" s="43">
        <v>1049962507</v>
      </c>
      <c r="J287" s="42">
        <v>39569</v>
      </c>
      <c r="K287" s="42"/>
      <c r="L287" s="42">
        <v>41061</v>
      </c>
      <c r="M287" s="44">
        <v>559</v>
      </c>
      <c r="N287" s="40" t="s">
        <v>432</v>
      </c>
      <c r="O287" s="44">
        <v>738</v>
      </c>
      <c r="P287" s="44">
        <v>738</v>
      </c>
      <c r="Q287" s="44">
        <f>P287-M287</f>
        <v>179</v>
      </c>
      <c r="R287" s="29">
        <f t="shared" si="37"/>
        <v>2148</v>
      </c>
      <c r="S287" s="29">
        <f t="shared" si="46"/>
        <v>0</v>
      </c>
      <c r="T287" s="65">
        <f t="shared" ca="1" si="38"/>
        <v>88.56</v>
      </c>
      <c r="U287" s="29">
        <f t="shared" si="39"/>
        <v>120</v>
      </c>
      <c r="V287" s="29">
        <f t="shared" si="40"/>
        <v>960</v>
      </c>
      <c r="W287" s="44">
        <f t="shared" si="41"/>
        <v>48</v>
      </c>
      <c r="X287" s="29">
        <f t="shared" si="42"/>
        <v>169</v>
      </c>
      <c r="Y287" s="29">
        <f t="shared" ca="1" si="43"/>
        <v>3712.56</v>
      </c>
      <c r="Z287" s="75"/>
      <c r="AA287" s="66">
        <f t="shared" ca="1" si="44"/>
        <v>4</v>
      </c>
      <c r="AB287" s="19"/>
      <c r="AC287" s="19"/>
      <c r="AD287" s="19"/>
      <c r="AE287" s="19"/>
      <c r="XEL287" s="17"/>
      <c r="XEV287" s="17"/>
    </row>
    <row r="288" spans="1:31 16366:16376" s="18" customFormat="1" ht="16.5" customHeight="1" x14ac:dyDescent="0.2">
      <c r="A288" s="39">
        <f t="shared" si="45"/>
        <v>285</v>
      </c>
      <c r="B288" s="40" t="s">
        <v>158</v>
      </c>
      <c r="C288" s="41">
        <v>1900420819</v>
      </c>
      <c r="D288" s="42">
        <v>28973</v>
      </c>
      <c r="E288" s="40" t="s">
        <v>25</v>
      </c>
      <c r="F288" s="40" t="s">
        <v>385</v>
      </c>
      <c r="G288" s="40" t="s">
        <v>384</v>
      </c>
      <c r="H288" s="39" t="s">
        <v>383</v>
      </c>
      <c r="I288" s="43">
        <v>1170097269</v>
      </c>
      <c r="J288" s="42">
        <v>39972</v>
      </c>
      <c r="K288" s="42"/>
      <c r="L288" s="42">
        <v>39972</v>
      </c>
      <c r="M288" s="44">
        <v>559</v>
      </c>
      <c r="N288" s="40" t="s">
        <v>432</v>
      </c>
      <c r="O288" s="44">
        <v>738</v>
      </c>
      <c r="P288" s="44">
        <v>738</v>
      </c>
      <c r="Q288" s="44">
        <f>P288-M288</f>
        <v>179</v>
      </c>
      <c r="R288" s="29">
        <f t="shared" si="37"/>
        <v>2148</v>
      </c>
      <c r="S288" s="29">
        <f t="shared" si="46"/>
        <v>131.76</v>
      </c>
      <c r="T288" s="65">
        <f t="shared" ca="1" si="38"/>
        <v>154.97999999999999</v>
      </c>
      <c r="U288" s="29">
        <f t="shared" si="39"/>
        <v>120</v>
      </c>
      <c r="V288" s="29">
        <f t="shared" si="40"/>
        <v>960</v>
      </c>
      <c r="W288" s="44">
        <f t="shared" si="41"/>
        <v>48</v>
      </c>
      <c r="X288" s="29">
        <f t="shared" si="42"/>
        <v>169</v>
      </c>
      <c r="Y288" s="29">
        <f t="shared" ca="1" si="43"/>
        <v>3910.7400000000002</v>
      </c>
      <c r="Z288" s="75">
        <v>3</v>
      </c>
      <c r="AA288" s="66">
        <f t="shared" ca="1" si="44"/>
        <v>7</v>
      </c>
      <c r="AB288" s="19"/>
      <c r="AC288" s="19"/>
      <c r="AD288" s="19"/>
      <c r="AE288" s="19"/>
    </row>
    <row r="289" spans="1:31 16366:16376" s="18" customFormat="1" ht="16.5" customHeight="1" x14ac:dyDescent="0.2">
      <c r="A289" s="39">
        <f t="shared" si="45"/>
        <v>286</v>
      </c>
      <c r="B289" s="40" t="s">
        <v>180</v>
      </c>
      <c r="C289" s="41">
        <v>702688771</v>
      </c>
      <c r="D289" s="42">
        <v>26045</v>
      </c>
      <c r="E289" s="40" t="s">
        <v>25</v>
      </c>
      <c r="F289" s="40" t="s">
        <v>385</v>
      </c>
      <c r="G289" s="40" t="s">
        <v>384</v>
      </c>
      <c r="H289" s="39" t="s">
        <v>383</v>
      </c>
      <c r="I289" s="43">
        <v>1010730046</v>
      </c>
      <c r="J289" s="42">
        <v>39569</v>
      </c>
      <c r="K289" s="42"/>
      <c r="L289" s="42">
        <v>39569</v>
      </c>
      <c r="M289" s="44">
        <v>559</v>
      </c>
      <c r="N289" s="40" t="s">
        <v>432</v>
      </c>
      <c r="O289" s="44">
        <v>738</v>
      </c>
      <c r="P289" s="44">
        <v>738</v>
      </c>
      <c r="Q289" s="44">
        <f>P289-M289</f>
        <v>179</v>
      </c>
      <c r="R289" s="29">
        <f t="shared" si="37"/>
        <v>2148</v>
      </c>
      <c r="S289" s="29">
        <f t="shared" si="46"/>
        <v>43.92</v>
      </c>
      <c r="T289" s="65">
        <f t="shared" ca="1" si="38"/>
        <v>177.12</v>
      </c>
      <c r="U289" s="29">
        <f t="shared" si="39"/>
        <v>120</v>
      </c>
      <c r="V289" s="29">
        <f t="shared" si="40"/>
        <v>960</v>
      </c>
      <c r="W289" s="44">
        <f t="shared" si="41"/>
        <v>48</v>
      </c>
      <c r="X289" s="29">
        <f t="shared" si="42"/>
        <v>169</v>
      </c>
      <c r="Y289" s="29">
        <f t="shared" ca="1" si="43"/>
        <v>3845.04</v>
      </c>
      <c r="Z289" s="75">
        <v>1</v>
      </c>
      <c r="AA289" s="66">
        <f t="shared" ca="1" si="44"/>
        <v>8</v>
      </c>
      <c r="AB289" s="19"/>
      <c r="AC289" s="19"/>
      <c r="AD289" s="19"/>
      <c r="AE289" s="19"/>
    </row>
    <row r="290" spans="1:31 16366:16376" s="18" customFormat="1" ht="16.5" customHeight="1" x14ac:dyDescent="0.2">
      <c r="A290" s="39">
        <f t="shared" si="45"/>
        <v>287</v>
      </c>
      <c r="B290" s="40" t="s">
        <v>181</v>
      </c>
      <c r="C290" s="41">
        <v>704023472</v>
      </c>
      <c r="D290" s="42">
        <v>28972</v>
      </c>
      <c r="E290" s="40" t="s">
        <v>25</v>
      </c>
      <c r="F290" s="40" t="s">
        <v>385</v>
      </c>
      <c r="G290" s="40" t="s">
        <v>384</v>
      </c>
      <c r="H290" s="39" t="s">
        <v>383</v>
      </c>
      <c r="I290" s="43">
        <v>1010731085</v>
      </c>
      <c r="J290" s="42">
        <v>39569</v>
      </c>
      <c r="K290" s="42"/>
      <c r="L290" s="42">
        <v>39569</v>
      </c>
      <c r="M290" s="44">
        <v>559</v>
      </c>
      <c r="N290" s="40" t="s">
        <v>432</v>
      </c>
      <c r="O290" s="44">
        <v>738</v>
      </c>
      <c r="P290" s="44">
        <v>738</v>
      </c>
      <c r="Q290" s="44">
        <f>P290-M290</f>
        <v>179</v>
      </c>
      <c r="R290" s="29">
        <f t="shared" si="37"/>
        <v>2148</v>
      </c>
      <c r="S290" s="29">
        <f t="shared" si="46"/>
        <v>0</v>
      </c>
      <c r="T290" s="65">
        <f t="shared" ca="1" si="38"/>
        <v>177.12</v>
      </c>
      <c r="U290" s="29">
        <f t="shared" si="39"/>
        <v>120</v>
      </c>
      <c r="V290" s="29">
        <f t="shared" si="40"/>
        <v>960</v>
      </c>
      <c r="W290" s="44">
        <f t="shared" si="41"/>
        <v>48</v>
      </c>
      <c r="X290" s="29">
        <f t="shared" si="42"/>
        <v>169</v>
      </c>
      <c r="Y290" s="29">
        <f t="shared" ca="1" si="43"/>
        <v>3801.12</v>
      </c>
      <c r="Z290" s="75"/>
      <c r="AA290" s="66">
        <f t="shared" ca="1" si="44"/>
        <v>8</v>
      </c>
      <c r="AB290" s="19"/>
      <c r="AC290" s="19"/>
      <c r="AD290" s="19"/>
      <c r="AE290" s="19"/>
    </row>
    <row r="291" spans="1:31 16366:16376" s="18" customFormat="1" ht="16.5" customHeight="1" x14ac:dyDescent="0.2">
      <c r="A291" s="39">
        <f t="shared" si="45"/>
        <v>288</v>
      </c>
      <c r="B291" s="40" t="s">
        <v>182</v>
      </c>
      <c r="C291" s="41">
        <v>702326638</v>
      </c>
      <c r="D291" s="42">
        <v>24593</v>
      </c>
      <c r="E291" s="40" t="s">
        <v>25</v>
      </c>
      <c r="F291" s="40" t="s">
        <v>385</v>
      </c>
      <c r="G291" s="40" t="s">
        <v>384</v>
      </c>
      <c r="H291" s="39" t="s">
        <v>383</v>
      </c>
      <c r="I291" s="43">
        <v>1010730623</v>
      </c>
      <c r="J291" s="42">
        <v>39569</v>
      </c>
      <c r="K291" s="42"/>
      <c r="L291" s="42">
        <v>39569</v>
      </c>
      <c r="M291" s="44">
        <v>559</v>
      </c>
      <c r="N291" s="40" t="s">
        <v>432</v>
      </c>
      <c r="O291" s="44">
        <v>738</v>
      </c>
      <c r="P291" s="44">
        <v>738</v>
      </c>
      <c r="Q291" s="44">
        <f>P291-M291</f>
        <v>179</v>
      </c>
      <c r="R291" s="29">
        <f t="shared" si="37"/>
        <v>2148</v>
      </c>
      <c r="S291" s="29">
        <f t="shared" si="46"/>
        <v>131.76</v>
      </c>
      <c r="T291" s="65">
        <f t="shared" ca="1" si="38"/>
        <v>177.12</v>
      </c>
      <c r="U291" s="29">
        <f t="shared" si="39"/>
        <v>120</v>
      </c>
      <c r="V291" s="29">
        <f t="shared" si="40"/>
        <v>960</v>
      </c>
      <c r="W291" s="44">
        <f t="shared" si="41"/>
        <v>48</v>
      </c>
      <c r="X291" s="29">
        <f t="shared" si="42"/>
        <v>169</v>
      </c>
      <c r="Y291" s="29">
        <f t="shared" ca="1" si="43"/>
        <v>3932.88</v>
      </c>
      <c r="Z291" s="75">
        <v>3</v>
      </c>
      <c r="AA291" s="66">
        <f t="shared" ca="1" si="44"/>
        <v>8</v>
      </c>
      <c r="AB291" s="19"/>
      <c r="AC291" s="19"/>
      <c r="AD291" s="19"/>
      <c r="AE291" s="19"/>
    </row>
    <row r="292" spans="1:31 16366:16376" s="18" customFormat="1" ht="16.5" customHeight="1" x14ac:dyDescent="0.2">
      <c r="A292" s="39">
        <f t="shared" si="45"/>
        <v>289</v>
      </c>
      <c r="B292" s="40" t="s">
        <v>194</v>
      </c>
      <c r="C292" s="41">
        <v>702091067</v>
      </c>
      <c r="D292" s="42">
        <v>23958</v>
      </c>
      <c r="E292" s="40" t="s">
        <v>25</v>
      </c>
      <c r="F292" s="40" t="s">
        <v>385</v>
      </c>
      <c r="G292" s="40" t="s">
        <v>384</v>
      </c>
      <c r="H292" s="39" t="s">
        <v>383</v>
      </c>
      <c r="I292" s="43">
        <v>1010731336</v>
      </c>
      <c r="J292" s="42">
        <v>39569</v>
      </c>
      <c r="K292" s="42"/>
      <c r="L292" s="42">
        <v>39569</v>
      </c>
      <c r="M292" s="44">
        <v>559</v>
      </c>
      <c r="N292" s="40" t="s">
        <v>432</v>
      </c>
      <c r="O292" s="44">
        <v>738</v>
      </c>
      <c r="P292" s="44">
        <v>738</v>
      </c>
      <c r="Q292" s="44">
        <f>P292-M292</f>
        <v>179</v>
      </c>
      <c r="R292" s="29">
        <f t="shared" si="37"/>
        <v>2148</v>
      </c>
      <c r="S292" s="29">
        <f t="shared" si="46"/>
        <v>43.92</v>
      </c>
      <c r="T292" s="65">
        <f t="shared" ca="1" si="38"/>
        <v>177.12</v>
      </c>
      <c r="U292" s="29">
        <f t="shared" si="39"/>
        <v>120</v>
      </c>
      <c r="V292" s="29">
        <f t="shared" si="40"/>
        <v>960</v>
      </c>
      <c r="W292" s="44">
        <f t="shared" si="41"/>
        <v>48</v>
      </c>
      <c r="X292" s="29">
        <f t="shared" si="42"/>
        <v>169</v>
      </c>
      <c r="Y292" s="29">
        <f t="shared" ca="1" si="43"/>
        <v>3845.04</v>
      </c>
      <c r="Z292" s="75">
        <v>1</v>
      </c>
      <c r="AA292" s="66">
        <f t="shared" ca="1" si="44"/>
        <v>8</v>
      </c>
      <c r="AB292" s="19"/>
      <c r="AC292" s="19"/>
      <c r="AD292" s="19"/>
      <c r="AE292" s="19"/>
    </row>
    <row r="293" spans="1:31 16366:16376" s="18" customFormat="1" ht="16.5" customHeight="1" x14ac:dyDescent="0.2">
      <c r="A293" s="39">
        <f t="shared" si="45"/>
        <v>290</v>
      </c>
      <c r="B293" s="40" t="s">
        <v>198</v>
      </c>
      <c r="C293" s="41">
        <v>704684570</v>
      </c>
      <c r="D293" s="42">
        <v>31981</v>
      </c>
      <c r="E293" s="40" t="s">
        <v>25</v>
      </c>
      <c r="F293" s="40" t="s">
        <v>385</v>
      </c>
      <c r="G293" s="40" t="s">
        <v>384</v>
      </c>
      <c r="H293" s="39" t="s">
        <v>383</v>
      </c>
      <c r="I293" s="43">
        <v>1010607066</v>
      </c>
      <c r="J293" s="42">
        <v>39965</v>
      </c>
      <c r="K293" s="42"/>
      <c r="L293" s="42">
        <v>40486</v>
      </c>
      <c r="M293" s="44">
        <v>559</v>
      </c>
      <c r="N293" s="40" t="s">
        <v>432</v>
      </c>
      <c r="O293" s="44">
        <v>738</v>
      </c>
      <c r="P293" s="44">
        <v>738</v>
      </c>
      <c r="Q293" s="44">
        <f>P293-M293</f>
        <v>179</v>
      </c>
      <c r="R293" s="29">
        <f t="shared" si="37"/>
        <v>2148</v>
      </c>
      <c r="S293" s="29">
        <f t="shared" si="46"/>
        <v>0</v>
      </c>
      <c r="T293" s="65">
        <f t="shared" ca="1" si="38"/>
        <v>132.84</v>
      </c>
      <c r="U293" s="29">
        <f t="shared" si="39"/>
        <v>120</v>
      </c>
      <c r="V293" s="29">
        <f t="shared" si="40"/>
        <v>960</v>
      </c>
      <c r="W293" s="44">
        <f t="shared" si="41"/>
        <v>48</v>
      </c>
      <c r="X293" s="29">
        <f t="shared" si="42"/>
        <v>169</v>
      </c>
      <c r="Y293" s="29">
        <f t="shared" ca="1" si="43"/>
        <v>3756.84</v>
      </c>
      <c r="Z293" s="75"/>
      <c r="AA293" s="66">
        <f t="shared" ca="1" si="44"/>
        <v>6</v>
      </c>
      <c r="AB293" s="19"/>
      <c r="AC293" s="19"/>
      <c r="AD293" s="19"/>
      <c r="AE293" s="19"/>
      <c r="XEL293" s="17"/>
      <c r="XEV293" s="17"/>
    </row>
    <row r="294" spans="1:31 16366:16376" s="18" customFormat="1" ht="16.5" customHeight="1" x14ac:dyDescent="0.2">
      <c r="A294" s="39">
        <f t="shared" si="45"/>
        <v>291</v>
      </c>
      <c r="B294" s="40" t="s">
        <v>203</v>
      </c>
      <c r="C294" s="41">
        <v>702844895</v>
      </c>
      <c r="D294" s="42">
        <v>27314</v>
      </c>
      <c r="E294" s="40" t="s">
        <v>25</v>
      </c>
      <c r="F294" s="40" t="s">
        <v>385</v>
      </c>
      <c r="G294" s="40" t="s">
        <v>384</v>
      </c>
      <c r="H294" s="39" t="s">
        <v>383</v>
      </c>
      <c r="I294" s="43">
        <v>1010566092</v>
      </c>
      <c r="J294" s="42">
        <v>39569</v>
      </c>
      <c r="K294" s="42"/>
      <c r="L294" s="42">
        <v>39569</v>
      </c>
      <c r="M294" s="44">
        <v>559</v>
      </c>
      <c r="N294" s="40" t="s">
        <v>432</v>
      </c>
      <c r="O294" s="44">
        <v>738</v>
      </c>
      <c r="P294" s="44">
        <v>738</v>
      </c>
      <c r="Q294" s="44">
        <f>P294-M294</f>
        <v>179</v>
      </c>
      <c r="R294" s="29">
        <f t="shared" si="37"/>
        <v>2148</v>
      </c>
      <c r="S294" s="29">
        <f t="shared" si="46"/>
        <v>0</v>
      </c>
      <c r="T294" s="65">
        <f t="shared" ca="1" si="38"/>
        <v>177.12</v>
      </c>
      <c r="U294" s="29">
        <f t="shared" si="39"/>
        <v>120</v>
      </c>
      <c r="V294" s="29">
        <f t="shared" si="40"/>
        <v>960</v>
      </c>
      <c r="W294" s="44">
        <f t="shared" si="41"/>
        <v>48</v>
      </c>
      <c r="X294" s="29">
        <f t="shared" si="42"/>
        <v>169</v>
      </c>
      <c r="Y294" s="29">
        <f t="shared" ca="1" si="43"/>
        <v>3801.12</v>
      </c>
      <c r="Z294" s="75"/>
      <c r="AA294" s="66">
        <f t="shared" ca="1" si="44"/>
        <v>8</v>
      </c>
      <c r="AB294" s="19"/>
      <c r="AC294" s="19"/>
      <c r="AD294" s="19"/>
      <c r="AE294" s="19"/>
    </row>
    <row r="295" spans="1:31 16366:16376" s="18" customFormat="1" ht="16.5" customHeight="1" x14ac:dyDescent="0.2">
      <c r="A295" s="39">
        <f t="shared" si="45"/>
        <v>292</v>
      </c>
      <c r="B295" s="40" t="s">
        <v>212</v>
      </c>
      <c r="C295" s="41">
        <v>1310107881</v>
      </c>
      <c r="D295" s="42">
        <v>29275</v>
      </c>
      <c r="E295" s="40" t="s">
        <v>25</v>
      </c>
      <c r="F295" s="40" t="s">
        <v>385</v>
      </c>
      <c r="G295" s="40" t="s">
        <v>386</v>
      </c>
      <c r="H295" s="39" t="s">
        <v>383</v>
      </c>
      <c r="I295" s="43">
        <v>3414308900</v>
      </c>
      <c r="J295" s="42">
        <v>39958</v>
      </c>
      <c r="K295" s="42"/>
      <c r="L295" s="42">
        <v>41061</v>
      </c>
      <c r="M295" s="44">
        <v>559</v>
      </c>
      <c r="N295" s="40" t="s">
        <v>432</v>
      </c>
      <c r="O295" s="44">
        <v>738</v>
      </c>
      <c r="P295" s="44">
        <v>738</v>
      </c>
      <c r="Q295" s="44">
        <f>P295-M295</f>
        <v>179</v>
      </c>
      <c r="R295" s="29">
        <f t="shared" si="37"/>
        <v>2148</v>
      </c>
      <c r="S295" s="29">
        <f t="shared" si="46"/>
        <v>87.84</v>
      </c>
      <c r="T295" s="65">
        <f t="shared" ca="1" si="38"/>
        <v>88.56</v>
      </c>
      <c r="U295" s="29">
        <f t="shared" si="39"/>
        <v>120</v>
      </c>
      <c r="V295" s="29">
        <f t="shared" si="40"/>
        <v>960</v>
      </c>
      <c r="W295" s="44">
        <f t="shared" si="41"/>
        <v>48</v>
      </c>
      <c r="X295" s="29">
        <f t="shared" si="42"/>
        <v>169</v>
      </c>
      <c r="Y295" s="29">
        <f t="shared" ca="1" si="43"/>
        <v>3800.4</v>
      </c>
      <c r="Z295" s="75">
        <v>2</v>
      </c>
      <c r="AA295" s="66">
        <f t="shared" ca="1" si="44"/>
        <v>4</v>
      </c>
      <c r="AB295" s="19"/>
      <c r="AC295" s="19"/>
      <c r="AD295" s="19"/>
      <c r="AE295" s="19"/>
    </row>
    <row r="296" spans="1:31 16366:16376" s="18" customFormat="1" ht="16.5" customHeight="1" x14ac:dyDescent="0.2">
      <c r="A296" s="39">
        <f t="shared" si="45"/>
        <v>293</v>
      </c>
      <c r="B296" s="40" t="s">
        <v>219</v>
      </c>
      <c r="C296" s="41">
        <v>2100094925</v>
      </c>
      <c r="D296" s="42">
        <v>26434</v>
      </c>
      <c r="E296" s="40" t="s">
        <v>25</v>
      </c>
      <c r="F296" s="40" t="s">
        <v>385</v>
      </c>
      <c r="G296" s="40" t="s">
        <v>384</v>
      </c>
      <c r="H296" s="39" t="s">
        <v>383</v>
      </c>
      <c r="I296" s="43">
        <v>1010729846</v>
      </c>
      <c r="J296" s="42">
        <v>39569</v>
      </c>
      <c r="K296" s="42"/>
      <c r="L296" s="42">
        <v>39569</v>
      </c>
      <c r="M296" s="44">
        <v>559</v>
      </c>
      <c r="N296" s="40" t="s">
        <v>432</v>
      </c>
      <c r="O296" s="44">
        <v>738</v>
      </c>
      <c r="P296" s="44">
        <v>738</v>
      </c>
      <c r="Q296" s="44">
        <f>P296-M296</f>
        <v>179</v>
      </c>
      <c r="R296" s="29">
        <f t="shared" si="37"/>
        <v>2148</v>
      </c>
      <c r="S296" s="29">
        <f t="shared" si="46"/>
        <v>43.92</v>
      </c>
      <c r="T296" s="65">
        <f t="shared" ca="1" si="38"/>
        <v>177.12</v>
      </c>
      <c r="U296" s="29">
        <f t="shared" si="39"/>
        <v>120</v>
      </c>
      <c r="V296" s="29">
        <f t="shared" si="40"/>
        <v>960</v>
      </c>
      <c r="W296" s="44">
        <f t="shared" si="41"/>
        <v>48</v>
      </c>
      <c r="X296" s="29">
        <f t="shared" si="42"/>
        <v>169</v>
      </c>
      <c r="Y296" s="29">
        <f t="shared" ca="1" si="43"/>
        <v>3845.04</v>
      </c>
      <c r="Z296" s="75">
        <v>1</v>
      </c>
      <c r="AA296" s="66">
        <f t="shared" ca="1" si="44"/>
        <v>8</v>
      </c>
      <c r="AB296" s="19"/>
      <c r="AC296" s="19"/>
      <c r="AD296" s="19"/>
      <c r="AE296" s="19"/>
    </row>
    <row r="297" spans="1:31 16366:16376" s="18" customFormat="1" ht="16.5" customHeight="1" x14ac:dyDescent="0.2">
      <c r="A297" s="39">
        <f t="shared" si="45"/>
        <v>294</v>
      </c>
      <c r="B297" s="40" t="s">
        <v>230</v>
      </c>
      <c r="C297" s="41">
        <v>1201005525</v>
      </c>
      <c r="D297" s="42">
        <v>20495</v>
      </c>
      <c r="E297" s="40" t="s">
        <v>25</v>
      </c>
      <c r="F297" s="40" t="s">
        <v>385</v>
      </c>
      <c r="G297" s="40" t="s">
        <v>384</v>
      </c>
      <c r="H297" s="39" t="s">
        <v>383</v>
      </c>
      <c r="I297" s="43">
        <v>1010560779</v>
      </c>
      <c r="J297" s="42">
        <v>39569</v>
      </c>
      <c r="K297" s="42"/>
      <c r="L297" s="42">
        <v>39569</v>
      </c>
      <c r="M297" s="44">
        <v>559</v>
      </c>
      <c r="N297" s="40" t="s">
        <v>432</v>
      </c>
      <c r="O297" s="44">
        <v>738</v>
      </c>
      <c r="P297" s="44">
        <v>738</v>
      </c>
      <c r="Q297" s="44">
        <f>P297-M297</f>
        <v>179</v>
      </c>
      <c r="R297" s="29">
        <f t="shared" si="37"/>
        <v>2148</v>
      </c>
      <c r="S297" s="29">
        <f t="shared" si="46"/>
        <v>43.92</v>
      </c>
      <c r="T297" s="65">
        <f t="shared" ca="1" si="38"/>
        <v>177.12</v>
      </c>
      <c r="U297" s="29">
        <f t="shared" si="39"/>
        <v>120</v>
      </c>
      <c r="V297" s="29">
        <f t="shared" si="40"/>
        <v>960</v>
      </c>
      <c r="W297" s="44">
        <f t="shared" si="41"/>
        <v>48</v>
      </c>
      <c r="X297" s="29">
        <f t="shared" si="42"/>
        <v>169</v>
      </c>
      <c r="Y297" s="29">
        <f t="shared" ca="1" si="43"/>
        <v>3845.04</v>
      </c>
      <c r="Z297" s="75">
        <v>1</v>
      </c>
      <c r="AA297" s="66">
        <f t="shared" ca="1" si="44"/>
        <v>8</v>
      </c>
      <c r="AB297" s="19"/>
      <c r="AC297" s="19"/>
      <c r="AD297" s="19"/>
      <c r="AE297" s="19"/>
    </row>
    <row r="298" spans="1:31 16366:16376" s="18" customFormat="1" ht="16.5" customHeight="1" x14ac:dyDescent="0.2">
      <c r="A298" s="39">
        <f t="shared" si="45"/>
        <v>295</v>
      </c>
      <c r="B298" s="40" t="s">
        <v>231</v>
      </c>
      <c r="C298" s="41">
        <v>702423203</v>
      </c>
      <c r="D298" s="42">
        <v>25318</v>
      </c>
      <c r="E298" s="40" t="s">
        <v>25</v>
      </c>
      <c r="F298" s="40" t="s">
        <v>385</v>
      </c>
      <c r="G298" s="40" t="s">
        <v>384</v>
      </c>
      <c r="H298" s="39" t="s">
        <v>383</v>
      </c>
      <c r="I298" s="43">
        <v>1010177282</v>
      </c>
      <c r="J298" s="42">
        <v>33548</v>
      </c>
      <c r="K298" s="42"/>
      <c r="L298" s="42">
        <v>33548</v>
      </c>
      <c r="M298" s="44">
        <v>559</v>
      </c>
      <c r="N298" s="40" t="s">
        <v>432</v>
      </c>
      <c r="O298" s="44">
        <v>738</v>
      </c>
      <c r="P298" s="44">
        <v>738</v>
      </c>
      <c r="Q298" s="44">
        <f>P298-M298</f>
        <v>179</v>
      </c>
      <c r="R298" s="29">
        <f t="shared" si="37"/>
        <v>2148</v>
      </c>
      <c r="S298" s="29">
        <f t="shared" si="46"/>
        <v>131.76</v>
      </c>
      <c r="T298" s="65">
        <f t="shared" ca="1" si="38"/>
        <v>265.68</v>
      </c>
      <c r="U298" s="29">
        <f t="shared" si="39"/>
        <v>120</v>
      </c>
      <c r="V298" s="29">
        <f t="shared" si="40"/>
        <v>960</v>
      </c>
      <c r="W298" s="44">
        <f t="shared" si="41"/>
        <v>48</v>
      </c>
      <c r="X298" s="29">
        <f t="shared" si="42"/>
        <v>169</v>
      </c>
      <c r="Y298" s="29">
        <f t="shared" ca="1" si="43"/>
        <v>4021.44</v>
      </c>
      <c r="Z298" s="75">
        <v>3</v>
      </c>
      <c r="AA298" s="66">
        <f t="shared" ca="1" si="44"/>
        <v>12</v>
      </c>
      <c r="AB298" s="19"/>
      <c r="AC298" s="19"/>
      <c r="AD298" s="19"/>
      <c r="AE298" s="19"/>
    </row>
    <row r="299" spans="1:31 16366:16376" s="18" customFormat="1" ht="16.5" customHeight="1" x14ac:dyDescent="0.2">
      <c r="A299" s="39">
        <f t="shared" si="45"/>
        <v>296</v>
      </c>
      <c r="B299" s="40" t="s">
        <v>233</v>
      </c>
      <c r="C299" s="41">
        <v>702571167</v>
      </c>
      <c r="D299" s="42">
        <v>25900</v>
      </c>
      <c r="E299" s="40" t="s">
        <v>25</v>
      </c>
      <c r="F299" s="40" t="s">
        <v>385</v>
      </c>
      <c r="G299" s="40" t="s">
        <v>384</v>
      </c>
      <c r="H299" s="39" t="s">
        <v>383</v>
      </c>
      <c r="I299" s="43">
        <v>1010729838</v>
      </c>
      <c r="J299" s="42">
        <v>39569</v>
      </c>
      <c r="K299" s="42"/>
      <c r="L299" s="42">
        <v>39569</v>
      </c>
      <c r="M299" s="44">
        <v>559</v>
      </c>
      <c r="N299" s="40" t="s">
        <v>432</v>
      </c>
      <c r="O299" s="44">
        <v>738</v>
      </c>
      <c r="P299" s="44">
        <v>738</v>
      </c>
      <c r="Q299" s="44">
        <f>P299-M299</f>
        <v>179</v>
      </c>
      <c r="R299" s="29">
        <f t="shared" si="37"/>
        <v>2148</v>
      </c>
      <c r="S299" s="29">
        <f t="shared" si="46"/>
        <v>43.92</v>
      </c>
      <c r="T299" s="65">
        <f t="shared" ca="1" si="38"/>
        <v>177.12</v>
      </c>
      <c r="U299" s="29">
        <f t="shared" si="39"/>
        <v>120</v>
      </c>
      <c r="V299" s="29">
        <f t="shared" si="40"/>
        <v>960</v>
      </c>
      <c r="W299" s="44">
        <f t="shared" si="41"/>
        <v>48</v>
      </c>
      <c r="X299" s="29">
        <f t="shared" si="42"/>
        <v>169</v>
      </c>
      <c r="Y299" s="29">
        <f t="shared" ca="1" si="43"/>
        <v>3845.04</v>
      </c>
      <c r="Z299" s="75">
        <v>1</v>
      </c>
      <c r="AA299" s="66">
        <f t="shared" ca="1" si="44"/>
        <v>8</v>
      </c>
      <c r="AB299" s="19"/>
      <c r="AC299" s="19"/>
      <c r="AD299" s="19"/>
      <c r="AE299" s="19"/>
    </row>
    <row r="300" spans="1:31 16366:16376" s="18" customFormat="1" ht="16.5" customHeight="1" x14ac:dyDescent="0.2">
      <c r="A300" s="39">
        <f t="shared" si="45"/>
        <v>297</v>
      </c>
      <c r="B300" s="40" t="s">
        <v>240</v>
      </c>
      <c r="C300" s="41">
        <v>1703624674</v>
      </c>
      <c r="D300" s="42">
        <v>19038</v>
      </c>
      <c r="E300" s="40" t="s">
        <v>25</v>
      </c>
      <c r="F300" s="40" t="s">
        <v>385</v>
      </c>
      <c r="G300" s="40" t="s">
        <v>417</v>
      </c>
      <c r="H300" s="39" t="s">
        <v>383</v>
      </c>
      <c r="I300" s="43">
        <v>406062732705</v>
      </c>
      <c r="J300" s="42">
        <v>39569</v>
      </c>
      <c r="K300" s="42"/>
      <c r="L300" s="42">
        <v>39937</v>
      </c>
      <c r="M300" s="44">
        <v>559</v>
      </c>
      <c r="N300" s="40" t="s">
        <v>432</v>
      </c>
      <c r="O300" s="44">
        <v>738</v>
      </c>
      <c r="P300" s="44">
        <v>738</v>
      </c>
      <c r="Q300" s="44">
        <f>P300-M300</f>
        <v>179</v>
      </c>
      <c r="R300" s="29">
        <f t="shared" si="37"/>
        <v>2148</v>
      </c>
      <c r="S300" s="29">
        <f t="shared" si="46"/>
        <v>43.92</v>
      </c>
      <c r="T300" s="65">
        <f t="shared" ca="1" si="38"/>
        <v>154.97999999999999</v>
      </c>
      <c r="U300" s="29">
        <f t="shared" si="39"/>
        <v>120</v>
      </c>
      <c r="V300" s="29">
        <f t="shared" si="40"/>
        <v>960</v>
      </c>
      <c r="W300" s="44">
        <f t="shared" si="41"/>
        <v>48</v>
      </c>
      <c r="X300" s="29">
        <f t="shared" si="42"/>
        <v>169</v>
      </c>
      <c r="Y300" s="29">
        <f t="shared" ca="1" si="43"/>
        <v>3822.9</v>
      </c>
      <c r="Z300" s="75">
        <v>1</v>
      </c>
      <c r="AA300" s="66">
        <f t="shared" ca="1" si="44"/>
        <v>7</v>
      </c>
      <c r="AB300" s="19"/>
      <c r="AC300" s="19"/>
      <c r="AD300" s="19"/>
      <c r="AE300" s="19"/>
    </row>
    <row r="301" spans="1:31 16366:16376" s="18" customFormat="1" ht="16.5" customHeight="1" x14ac:dyDescent="0.2">
      <c r="A301" s="39">
        <f t="shared" si="45"/>
        <v>298</v>
      </c>
      <c r="B301" s="40" t="s">
        <v>241</v>
      </c>
      <c r="C301" s="41">
        <v>704059682</v>
      </c>
      <c r="D301" s="42">
        <v>31551</v>
      </c>
      <c r="E301" s="40" t="s">
        <v>25</v>
      </c>
      <c r="F301" s="40" t="s">
        <v>385</v>
      </c>
      <c r="G301" s="40" t="s">
        <v>384</v>
      </c>
      <c r="H301" s="39" t="s">
        <v>383</v>
      </c>
      <c r="I301" s="43">
        <v>1010780809</v>
      </c>
      <c r="J301" s="42">
        <v>40087</v>
      </c>
      <c r="K301" s="42"/>
      <c r="L301" s="42">
        <v>41061</v>
      </c>
      <c r="M301" s="44">
        <v>559</v>
      </c>
      <c r="N301" s="40" t="s">
        <v>432</v>
      </c>
      <c r="O301" s="44">
        <v>738</v>
      </c>
      <c r="P301" s="44">
        <v>738</v>
      </c>
      <c r="Q301" s="44">
        <f>P301-M301</f>
        <v>179</v>
      </c>
      <c r="R301" s="29">
        <f t="shared" si="37"/>
        <v>2148</v>
      </c>
      <c r="S301" s="29">
        <f t="shared" si="46"/>
        <v>43.92</v>
      </c>
      <c r="T301" s="65">
        <f t="shared" ca="1" si="38"/>
        <v>88.56</v>
      </c>
      <c r="U301" s="29">
        <f t="shared" si="39"/>
        <v>120</v>
      </c>
      <c r="V301" s="29">
        <f t="shared" si="40"/>
        <v>960</v>
      </c>
      <c r="W301" s="44">
        <f t="shared" si="41"/>
        <v>48</v>
      </c>
      <c r="X301" s="29">
        <f t="shared" si="42"/>
        <v>169</v>
      </c>
      <c r="Y301" s="29">
        <f t="shared" ca="1" si="43"/>
        <v>3756.48</v>
      </c>
      <c r="Z301" s="75">
        <v>1</v>
      </c>
      <c r="AA301" s="66">
        <f t="shared" ca="1" si="44"/>
        <v>4</v>
      </c>
      <c r="AB301" s="19"/>
      <c r="AC301" s="19"/>
      <c r="AD301" s="19"/>
      <c r="AE301" s="19"/>
    </row>
    <row r="302" spans="1:31 16366:16376" s="18" customFormat="1" ht="16.5" customHeight="1" x14ac:dyDescent="0.2">
      <c r="A302" s="39">
        <f t="shared" si="45"/>
        <v>299</v>
      </c>
      <c r="B302" s="40" t="s">
        <v>242</v>
      </c>
      <c r="C302" s="41">
        <v>1600051609</v>
      </c>
      <c r="D302" s="42">
        <v>17581</v>
      </c>
      <c r="E302" s="40" t="s">
        <v>25</v>
      </c>
      <c r="F302" s="40" t="s">
        <v>385</v>
      </c>
      <c r="G302" s="40" t="s">
        <v>384</v>
      </c>
      <c r="H302" s="39" t="s">
        <v>383</v>
      </c>
      <c r="I302" s="43">
        <v>1010731069</v>
      </c>
      <c r="J302" s="42">
        <v>39569</v>
      </c>
      <c r="K302" s="42"/>
      <c r="L302" s="42">
        <v>39569</v>
      </c>
      <c r="M302" s="44">
        <v>559</v>
      </c>
      <c r="N302" s="40" t="s">
        <v>432</v>
      </c>
      <c r="O302" s="44">
        <v>738</v>
      </c>
      <c r="P302" s="44">
        <v>738</v>
      </c>
      <c r="Q302" s="44">
        <f>P302-M302</f>
        <v>179</v>
      </c>
      <c r="R302" s="29">
        <f t="shared" si="37"/>
        <v>2148</v>
      </c>
      <c r="S302" s="29">
        <f t="shared" si="46"/>
        <v>43.92</v>
      </c>
      <c r="T302" s="65">
        <f t="shared" ca="1" si="38"/>
        <v>177.12</v>
      </c>
      <c r="U302" s="29">
        <f t="shared" si="39"/>
        <v>120</v>
      </c>
      <c r="V302" s="29">
        <f t="shared" si="40"/>
        <v>960</v>
      </c>
      <c r="W302" s="44">
        <f t="shared" si="41"/>
        <v>48</v>
      </c>
      <c r="X302" s="29">
        <f t="shared" si="42"/>
        <v>169</v>
      </c>
      <c r="Y302" s="29">
        <f t="shared" ca="1" si="43"/>
        <v>3845.04</v>
      </c>
      <c r="Z302" s="75">
        <v>1</v>
      </c>
      <c r="AA302" s="66">
        <f t="shared" ca="1" si="44"/>
        <v>8</v>
      </c>
      <c r="AB302" s="19"/>
      <c r="AC302" s="19"/>
      <c r="AD302" s="19"/>
      <c r="AE302" s="19"/>
      <c r="XEL302" s="17"/>
      <c r="XEV302" s="17"/>
    </row>
    <row r="303" spans="1:31 16366:16376" s="18" customFormat="1" ht="16.5" customHeight="1" x14ac:dyDescent="0.2">
      <c r="A303" s="39">
        <f t="shared" si="45"/>
        <v>300</v>
      </c>
      <c r="B303" s="40" t="s">
        <v>247</v>
      </c>
      <c r="C303" s="41">
        <v>701377699</v>
      </c>
      <c r="D303" s="42">
        <v>21749</v>
      </c>
      <c r="E303" s="40" t="s">
        <v>25</v>
      </c>
      <c r="F303" s="40" t="s">
        <v>385</v>
      </c>
      <c r="G303" s="40" t="s">
        <v>384</v>
      </c>
      <c r="H303" s="39" t="s">
        <v>383</v>
      </c>
      <c r="I303" s="43">
        <v>1010730275</v>
      </c>
      <c r="J303" s="42">
        <v>39569</v>
      </c>
      <c r="K303" s="42"/>
      <c r="L303" s="42">
        <v>39569</v>
      </c>
      <c r="M303" s="44">
        <v>559</v>
      </c>
      <c r="N303" s="40" t="s">
        <v>432</v>
      </c>
      <c r="O303" s="44">
        <v>738</v>
      </c>
      <c r="P303" s="44">
        <v>738</v>
      </c>
      <c r="Q303" s="44">
        <f>P303-M303</f>
        <v>179</v>
      </c>
      <c r="R303" s="29">
        <f t="shared" si="37"/>
        <v>2148</v>
      </c>
      <c r="S303" s="29">
        <f t="shared" si="46"/>
        <v>0</v>
      </c>
      <c r="T303" s="65">
        <f t="shared" ca="1" si="38"/>
        <v>177.12</v>
      </c>
      <c r="U303" s="29">
        <f t="shared" si="39"/>
        <v>120</v>
      </c>
      <c r="V303" s="29">
        <f t="shared" si="40"/>
        <v>960</v>
      </c>
      <c r="W303" s="44">
        <f t="shared" si="41"/>
        <v>48</v>
      </c>
      <c r="X303" s="29">
        <f t="shared" si="42"/>
        <v>169</v>
      </c>
      <c r="Y303" s="29">
        <f t="shared" ca="1" si="43"/>
        <v>3801.12</v>
      </c>
      <c r="Z303" s="75"/>
      <c r="AA303" s="66">
        <f t="shared" ca="1" si="44"/>
        <v>8</v>
      </c>
      <c r="AB303" s="19"/>
      <c r="AC303" s="19"/>
      <c r="AD303" s="19"/>
      <c r="AE303" s="19"/>
    </row>
    <row r="304" spans="1:31 16366:16376" s="18" customFormat="1" ht="16.5" customHeight="1" x14ac:dyDescent="0.2">
      <c r="A304" s="39">
        <f t="shared" si="45"/>
        <v>301</v>
      </c>
      <c r="B304" s="40" t="s">
        <v>254</v>
      </c>
      <c r="C304" s="41">
        <v>1103905996</v>
      </c>
      <c r="D304" s="42">
        <v>28978</v>
      </c>
      <c r="E304" s="40" t="s">
        <v>25</v>
      </c>
      <c r="F304" s="40" t="s">
        <v>385</v>
      </c>
      <c r="G304" s="40" t="s">
        <v>386</v>
      </c>
      <c r="H304" s="39" t="s">
        <v>383</v>
      </c>
      <c r="I304" s="43">
        <v>3476627700</v>
      </c>
      <c r="J304" s="42">
        <v>40273</v>
      </c>
      <c r="K304" s="42"/>
      <c r="L304" s="42">
        <v>40940</v>
      </c>
      <c r="M304" s="44">
        <v>559</v>
      </c>
      <c r="N304" s="40" t="s">
        <v>432</v>
      </c>
      <c r="O304" s="44">
        <v>738</v>
      </c>
      <c r="P304" s="44">
        <v>738</v>
      </c>
      <c r="Q304" s="44">
        <f>P304-M304</f>
        <v>179</v>
      </c>
      <c r="R304" s="29">
        <f t="shared" si="37"/>
        <v>2148</v>
      </c>
      <c r="S304" s="29">
        <f t="shared" si="46"/>
        <v>0</v>
      </c>
      <c r="T304" s="65">
        <f t="shared" ca="1" si="38"/>
        <v>88.56</v>
      </c>
      <c r="U304" s="29">
        <f t="shared" si="39"/>
        <v>120</v>
      </c>
      <c r="V304" s="29">
        <f t="shared" si="40"/>
        <v>960</v>
      </c>
      <c r="W304" s="44">
        <f t="shared" si="41"/>
        <v>48</v>
      </c>
      <c r="X304" s="29">
        <f t="shared" si="42"/>
        <v>169</v>
      </c>
      <c r="Y304" s="29">
        <f t="shared" ca="1" si="43"/>
        <v>3712.56</v>
      </c>
      <c r="Z304" s="75"/>
      <c r="AA304" s="66">
        <f t="shared" ca="1" si="44"/>
        <v>4</v>
      </c>
      <c r="AB304" s="19"/>
      <c r="AC304" s="19"/>
      <c r="AD304" s="19"/>
      <c r="AE304" s="19"/>
    </row>
    <row r="305" spans="1:31 16376:16376" s="18" customFormat="1" ht="16.5" customHeight="1" x14ac:dyDescent="0.2">
      <c r="A305" s="39">
        <f t="shared" si="45"/>
        <v>302</v>
      </c>
      <c r="B305" s="40" t="s">
        <v>260</v>
      </c>
      <c r="C305" s="41">
        <v>700948219</v>
      </c>
      <c r="D305" s="42">
        <v>19831</v>
      </c>
      <c r="E305" s="40" t="s">
        <v>25</v>
      </c>
      <c r="F305" s="40" t="s">
        <v>385</v>
      </c>
      <c r="G305" s="40" t="s">
        <v>384</v>
      </c>
      <c r="H305" s="39" t="s">
        <v>383</v>
      </c>
      <c r="I305" s="43">
        <v>1010729811</v>
      </c>
      <c r="J305" s="42">
        <v>39569</v>
      </c>
      <c r="K305" s="42"/>
      <c r="L305" s="42">
        <v>39937</v>
      </c>
      <c r="M305" s="44">
        <v>559</v>
      </c>
      <c r="N305" s="40" t="s">
        <v>432</v>
      </c>
      <c r="O305" s="44">
        <v>738</v>
      </c>
      <c r="P305" s="44">
        <v>738</v>
      </c>
      <c r="Q305" s="44">
        <f>P305-M305</f>
        <v>179</v>
      </c>
      <c r="R305" s="29">
        <f t="shared" si="37"/>
        <v>2148</v>
      </c>
      <c r="S305" s="29">
        <f t="shared" si="46"/>
        <v>0</v>
      </c>
      <c r="T305" s="65">
        <f t="shared" ca="1" si="38"/>
        <v>154.97999999999999</v>
      </c>
      <c r="U305" s="29">
        <f t="shared" si="39"/>
        <v>120</v>
      </c>
      <c r="V305" s="29">
        <f t="shared" si="40"/>
        <v>960</v>
      </c>
      <c r="W305" s="44">
        <f t="shared" si="41"/>
        <v>48</v>
      </c>
      <c r="X305" s="29">
        <f t="shared" si="42"/>
        <v>169</v>
      </c>
      <c r="Y305" s="29">
        <f t="shared" ca="1" si="43"/>
        <v>3778.98</v>
      </c>
      <c r="Z305" s="75"/>
      <c r="AA305" s="66">
        <f t="shared" ca="1" si="44"/>
        <v>7</v>
      </c>
      <c r="AB305" s="19"/>
      <c r="AC305" s="19"/>
      <c r="AD305" s="19"/>
      <c r="AE305" s="19"/>
    </row>
    <row r="306" spans="1:31 16376:16376" s="18" customFormat="1" ht="16.5" customHeight="1" x14ac:dyDescent="0.2">
      <c r="A306" s="39">
        <f t="shared" si="45"/>
        <v>303</v>
      </c>
      <c r="B306" s="40" t="s">
        <v>263</v>
      </c>
      <c r="C306" s="41">
        <v>700465875</v>
      </c>
      <c r="D306" s="42">
        <v>17755</v>
      </c>
      <c r="E306" s="40" t="s">
        <v>25</v>
      </c>
      <c r="F306" s="40" t="s">
        <v>385</v>
      </c>
      <c r="G306" s="40" t="s">
        <v>386</v>
      </c>
      <c r="H306" s="39" t="s">
        <v>383</v>
      </c>
      <c r="I306" s="43">
        <v>4480606600</v>
      </c>
      <c r="J306" s="42">
        <v>39569</v>
      </c>
      <c r="K306" s="42"/>
      <c r="L306" s="42">
        <v>39569</v>
      </c>
      <c r="M306" s="44">
        <v>559</v>
      </c>
      <c r="N306" s="40" t="s">
        <v>432</v>
      </c>
      <c r="O306" s="44">
        <v>738</v>
      </c>
      <c r="P306" s="44">
        <v>738</v>
      </c>
      <c r="Q306" s="44">
        <f>P306-M306</f>
        <v>179</v>
      </c>
      <c r="R306" s="29">
        <f t="shared" si="37"/>
        <v>2148</v>
      </c>
      <c r="S306" s="29">
        <f t="shared" si="46"/>
        <v>0</v>
      </c>
      <c r="T306" s="65">
        <f t="shared" ca="1" si="38"/>
        <v>177.12</v>
      </c>
      <c r="U306" s="29">
        <f t="shared" si="39"/>
        <v>120</v>
      </c>
      <c r="V306" s="29">
        <f t="shared" si="40"/>
        <v>960</v>
      </c>
      <c r="W306" s="44">
        <f t="shared" si="41"/>
        <v>48</v>
      </c>
      <c r="X306" s="29">
        <f t="shared" si="42"/>
        <v>169</v>
      </c>
      <c r="Y306" s="29">
        <f t="shared" ca="1" si="43"/>
        <v>3801.12</v>
      </c>
      <c r="Z306" s="75"/>
      <c r="AA306" s="66">
        <f t="shared" ca="1" si="44"/>
        <v>8</v>
      </c>
      <c r="AB306" s="19"/>
      <c r="AC306" s="19"/>
      <c r="AD306" s="19"/>
      <c r="AE306" s="19"/>
    </row>
    <row r="307" spans="1:31 16376:16376" s="18" customFormat="1" ht="16.5" customHeight="1" x14ac:dyDescent="0.2">
      <c r="A307" s="39">
        <f t="shared" si="45"/>
        <v>304</v>
      </c>
      <c r="B307" s="40" t="s">
        <v>265</v>
      </c>
      <c r="C307" s="41">
        <v>701653966</v>
      </c>
      <c r="D307" s="42">
        <v>22136</v>
      </c>
      <c r="E307" s="40" t="s">
        <v>25</v>
      </c>
      <c r="F307" s="40" t="s">
        <v>385</v>
      </c>
      <c r="G307" s="40" t="s">
        <v>384</v>
      </c>
      <c r="H307" s="39" t="s">
        <v>383</v>
      </c>
      <c r="I307" s="43">
        <v>1020539263</v>
      </c>
      <c r="J307" s="42">
        <v>40189</v>
      </c>
      <c r="K307" s="42"/>
      <c r="L307" s="42">
        <v>40189</v>
      </c>
      <c r="M307" s="44">
        <v>559</v>
      </c>
      <c r="N307" s="40" t="s">
        <v>432</v>
      </c>
      <c r="O307" s="44">
        <v>738</v>
      </c>
      <c r="P307" s="44">
        <v>738</v>
      </c>
      <c r="Q307" s="44">
        <f>P307-M307</f>
        <v>179</v>
      </c>
      <c r="R307" s="29">
        <f t="shared" si="37"/>
        <v>2148</v>
      </c>
      <c r="S307" s="29">
        <f t="shared" si="46"/>
        <v>0</v>
      </c>
      <c r="T307" s="65">
        <f t="shared" ca="1" si="38"/>
        <v>132.84</v>
      </c>
      <c r="U307" s="29">
        <f t="shared" si="39"/>
        <v>120</v>
      </c>
      <c r="V307" s="29">
        <f t="shared" si="40"/>
        <v>960</v>
      </c>
      <c r="W307" s="44">
        <f t="shared" si="41"/>
        <v>48</v>
      </c>
      <c r="X307" s="29">
        <f t="shared" si="42"/>
        <v>169</v>
      </c>
      <c r="Y307" s="29">
        <f t="shared" ca="1" si="43"/>
        <v>3756.84</v>
      </c>
      <c r="Z307" s="75"/>
      <c r="AA307" s="66">
        <f t="shared" ca="1" si="44"/>
        <v>6</v>
      </c>
      <c r="AB307" s="19"/>
      <c r="AC307" s="19"/>
      <c r="AD307" s="19"/>
      <c r="AE307" s="19"/>
    </row>
    <row r="308" spans="1:31 16376:16376" s="18" customFormat="1" ht="16.5" customHeight="1" x14ac:dyDescent="0.2">
      <c r="A308" s="39">
        <f t="shared" si="45"/>
        <v>305</v>
      </c>
      <c r="B308" s="40" t="s">
        <v>268</v>
      </c>
      <c r="C308" s="41">
        <v>700663305</v>
      </c>
      <c r="D308" s="42">
        <v>18149</v>
      </c>
      <c r="E308" s="40" t="s">
        <v>25</v>
      </c>
      <c r="F308" s="40" t="s">
        <v>385</v>
      </c>
      <c r="G308" s="40" t="s">
        <v>384</v>
      </c>
      <c r="H308" s="39" t="s">
        <v>383</v>
      </c>
      <c r="I308" s="43">
        <v>1010730291</v>
      </c>
      <c r="J308" s="42">
        <v>39569</v>
      </c>
      <c r="K308" s="42"/>
      <c r="L308" s="42">
        <v>39569</v>
      </c>
      <c r="M308" s="44">
        <v>559</v>
      </c>
      <c r="N308" s="40" t="s">
        <v>432</v>
      </c>
      <c r="O308" s="44">
        <v>738</v>
      </c>
      <c r="P308" s="44">
        <v>738</v>
      </c>
      <c r="Q308" s="44">
        <f>P308-M308</f>
        <v>179</v>
      </c>
      <c r="R308" s="29">
        <f t="shared" si="37"/>
        <v>2148</v>
      </c>
      <c r="S308" s="29">
        <f t="shared" si="46"/>
        <v>0</v>
      </c>
      <c r="T308" s="65">
        <f t="shared" ca="1" si="38"/>
        <v>177.12</v>
      </c>
      <c r="U308" s="29">
        <f t="shared" si="39"/>
        <v>120</v>
      </c>
      <c r="V308" s="29">
        <f t="shared" si="40"/>
        <v>960</v>
      </c>
      <c r="W308" s="44">
        <f t="shared" si="41"/>
        <v>48</v>
      </c>
      <c r="X308" s="29">
        <f t="shared" si="42"/>
        <v>169</v>
      </c>
      <c r="Y308" s="29">
        <f t="shared" ca="1" si="43"/>
        <v>3801.12</v>
      </c>
      <c r="Z308" s="75"/>
      <c r="AA308" s="66">
        <f t="shared" ca="1" si="44"/>
        <v>8</v>
      </c>
      <c r="AB308" s="19"/>
      <c r="AC308" s="19"/>
      <c r="AD308" s="19"/>
      <c r="AE308" s="19"/>
    </row>
    <row r="309" spans="1:31 16376:16376" s="18" customFormat="1" ht="16.5" customHeight="1" x14ac:dyDescent="0.2">
      <c r="A309" s="39">
        <f t="shared" si="45"/>
        <v>306</v>
      </c>
      <c r="B309" s="40" t="s">
        <v>269</v>
      </c>
      <c r="C309" s="41">
        <v>703577916</v>
      </c>
      <c r="D309" s="42">
        <v>28991</v>
      </c>
      <c r="E309" s="40" t="s">
        <v>25</v>
      </c>
      <c r="F309" s="40" t="s">
        <v>385</v>
      </c>
      <c r="G309" s="40" t="s">
        <v>384</v>
      </c>
      <c r="H309" s="39" t="s">
        <v>383</v>
      </c>
      <c r="I309" s="43">
        <v>1010560752</v>
      </c>
      <c r="J309" s="42">
        <v>39569</v>
      </c>
      <c r="K309" s="42"/>
      <c r="L309" s="42">
        <v>39569</v>
      </c>
      <c r="M309" s="44">
        <v>559</v>
      </c>
      <c r="N309" s="40" t="s">
        <v>432</v>
      </c>
      <c r="O309" s="44">
        <v>738</v>
      </c>
      <c r="P309" s="44">
        <v>738</v>
      </c>
      <c r="Q309" s="44">
        <f>P309-M309</f>
        <v>179</v>
      </c>
      <c r="R309" s="29">
        <f t="shared" si="37"/>
        <v>2148</v>
      </c>
      <c r="S309" s="29">
        <f t="shared" si="46"/>
        <v>87.84</v>
      </c>
      <c r="T309" s="65">
        <f t="shared" ca="1" si="38"/>
        <v>177.12</v>
      </c>
      <c r="U309" s="29">
        <f t="shared" si="39"/>
        <v>120</v>
      </c>
      <c r="V309" s="29">
        <f t="shared" si="40"/>
        <v>960</v>
      </c>
      <c r="W309" s="44">
        <f t="shared" si="41"/>
        <v>48</v>
      </c>
      <c r="X309" s="29">
        <f t="shared" si="42"/>
        <v>169</v>
      </c>
      <c r="Y309" s="29">
        <f t="shared" ca="1" si="43"/>
        <v>3888.96</v>
      </c>
      <c r="Z309" s="75">
        <v>2</v>
      </c>
      <c r="AA309" s="66">
        <f t="shared" ca="1" si="44"/>
        <v>8</v>
      </c>
      <c r="AB309" s="19"/>
      <c r="AC309" s="19"/>
      <c r="AD309" s="19"/>
      <c r="AE309" s="19"/>
    </row>
    <row r="310" spans="1:31 16376:16376" s="18" customFormat="1" ht="16.5" customHeight="1" x14ac:dyDescent="0.2">
      <c r="A310" s="39">
        <f t="shared" si="45"/>
        <v>307</v>
      </c>
      <c r="B310" s="40" t="s">
        <v>271</v>
      </c>
      <c r="C310" s="41">
        <v>701716490</v>
      </c>
      <c r="D310" s="42">
        <v>22776</v>
      </c>
      <c r="E310" s="40" t="s">
        <v>25</v>
      </c>
      <c r="F310" s="40" t="s">
        <v>385</v>
      </c>
      <c r="G310" s="40" t="s">
        <v>384</v>
      </c>
      <c r="H310" s="39" t="s">
        <v>383</v>
      </c>
      <c r="I310" s="43">
        <v>1100023624</v>
      </c>
      <c r="J310" s="42">
        <v>30502</v>
      </c>
      <c r="K310" s="42"/>
      <c r="L310" s="42">
        <v>30502</v>
      </c>
      <c r="M310" s="44">
        <v>586.51</v>
      </c>
      <c r="N310" s="40" t="s">
        <v>432</v>
      </c>
      <c r="O310" s="44">
        <v>738</v>
      </c>
      <c r="P310" s="44">
        <v>738</v>
      </c>
      <c r="Q310" s="44">
        <f>P310-M310</f>
        <v>151.49</v>
      </c>
      <c r="R310" s="29">
        <f t="shared" si="37"/>
        <v>1817.88</v>
      </c>
      <c r="S310" s="29">
        <f t="shared" si="46"/>
        <v>0</v>
      </c>
      <c r="T310" s="65">
        <f t="shared" ca="1" si="38"/>
        <v>265.68</v>
      </c>
      <c r="U310" s="29">
        <f t="shared" si="39"/>
        <v>120</v>
      </c>
      <c r="V310" s="29">
        <f t="shared" si="40"/>
        <v>960</v>
      </c>
      <c r="W310" s="44">
        <f t="shared" si="41"/>
        <v>48</v>
      </c>
      <c r="X310" s="29">
        <f t="shared" si="42"/>
        <v>169</v>
      </c>
      <c r="Y310" s="29">
        <f t="shared" ca="1" si="43"/>
        <v>3532.05</v>
      </c>
      <c r="Z310" s="75"/>
      <c r="AA310" s="66">
        <f t="shared" ca="1" si="44"/>
        <v>12</v>
      </c>
      <c r="AB310" s="19"/>
      <c r="AC310" s="19"/>
      <c r="AD310" s="19"/>
      <c r="AE310" s="19"/>
    </row>
    <row r="311" spans="1:31 16376:16376" s="18" customFormat="1" ht="16.5" customHeight="1" x14ac:dyDescent="0.2">
      <c r="A311" s="39">
        <f t="shared" si="45"/>
        <v>308</v>
      </c>
      <c r="B311" s="40" t="s">
        <v>276</v>
      </c>
      <c r="C311" s="41">
        <v>705915825</v>
      </c>
      <c r="D311" s="42">
        <v>32777</v>
      </c>
      <c r="E311" s="40" t="s">
        <v>25</v>
      </c>
      <c r="F311" s="40" t="s">
        <v>385</v>
      </c>
      <c r="G311" s="40" t="s">
        <v>384</v>
      </c>
      <c r="H311" s="39" t="s">
        <v>383</v>
      </c>
      <c r="I311" s="43">
        <v>1090787280</v>
      </c>
      <c r="J311" s="42">
        <v>39622</v>
      </c>
      <c r="K311" s="42"/>
      <c r="L311" s="42">
        <v>41061</v>
      </c>
      <c r="M311" s="44">
        <v>559</v>
      </c>
      <c r="N311" s="40" t="s">
        <v>432</v>
      </c>
      <c r="O311" s="44">
        <v>738</v>
      </c>
      <c r="P311" s="44">
        <v>738</v>
      </c>
      <c r="Q311" s="44">
        <f>P311-M311</f>
        <v>179</v>
      </c>
      <c r="R311" s="29">
        <f t="shared" si="37"/>
        <v>2148</v>
      </c>
      <c r="S311" s="29">
        <f t="shared" si="46"/>
        <v>0</v>
      </c>
      <c r="T311" s="65">
        <f t="shared" ca="1" si="38"/>
        <v>88.56</v>
      </c>
      <c r="U311" s="29">
        <f t="shared" si="39"/>
        <v>120</v>
      </c>
      <c r="V311" s="29">
        <f t="shared" si="40"/>
        <v>960</v>
      </c>
      <c r="W311" s="44">
        <f t="shared" si="41"/>
        <v>48</v>
      </c>
      <c r="X311" s="29">
        <f t="shared" si="42"/>
        <v>169</v>
      </c>
      <c r="Y311" s="29">
        <f t="shared" ca="1" si="43"/>
        <v>3712.56</v>
      </c>
      <c r="Z311" s="75"/>
      <c r="AA311" s="66">
        <f t="shared" ca="1" si="44"/>
        <v>4</v>
      </c>
      <c r="AB311" s="19"/>
      <c r="AC311" s="19"/>
      <c r="AD311" s="19"/>
      <c r="AE311" s="19"/>
    </row>
    <row r="312" spans="1:31 16376:16376" s="18" customFormat="1" ht="16.5" customHeight="1" x14ac:dyDescent="0.2">
      <c r="A312" s="39">
        <f t="shared" si="45"/>
        <v>309</v>
      </c>
      <c r="B312" s="40" t="s">
        <v>280</v>
      </c>
      <c r="C312" s="41">
        <v>703164756</v>
      </c>
      <c r="D312" s="42">
        <v>27237</v>
      </c>
      <c r="E312" s="40" t="s">
        <v>25</v>
      </c>
      <c r="F312" s="40" t="s">
        <v>385</v>
      </c>
      <c r="G312" s="40" t="s">
        <v>384</v>
      </c>
      <c r="H312" s="39" t="s">
        <v>383</v>
      </c>
      <c r="I312" s="43">
        <v>1010731131</v>
      </c>
      <c r="J312" s="42">
        <v>39569</v>
      </c>
      <c r="K312" s="42"/>
      <c r="L312" s="42">
        <v>39569</v>
      </c>
      <c r="M312" s="44">
        <v>559</v>
      </c>
      <c r="N312" s="40" t="s">
        <v>432</v>
      </c>
      <c r="O312" s="44">
        <v>738</v>
      </c>
      <c r="P312" s="44">
        <v>738</v>
      </c>
      <c r="Q312" s="44">
        <f>P312-M312</f>
        <v>179</v>
      </c>
      <c r="R312" s="29">
        <f t="shared" si="37"/>
        <v>2148</v>
      </c>
      <c r="S312" s="29">
        <f t="shared" si="46"/>
        <v>0</v>
      </c>
      <c r="T312" s="65">
        <f t="shared" ca="1" si="38"/>
        <v>177.12</v>
      </c>
      <c r="U312" s="29">
        <f t="shared" si="39"/>
        <v>120</v>
      </c>
      <c r="V312" s="29">
        <f t="shared" si="40"/>
        <v>960</v>
      </c>
      <c r="W312" s="44">
        <f t="shared" si="41"/>
        <v>48</v>
      </c>
      <c r="X312" s="29">
        <f t="shared" si="42"/>
        <v>169</v>
      </c>
      <c r="Y312" s="29">
        <f t="shared" ca="1" si="43"/>
        <v>3801.12</v>
      </c>
      <c r="Z312" s="75"/>
      <c r="AA312" s="66">
        <f t="shared" ca="1" si="44"/>
        <v>8</v>
      </c>
      <c r="AB312" s="19"/>
      <c r="AC312" s="19"/>
      <c r="AD312" s="19"/>
      <c r="AE312" s="19"/>
    </row>
    <row r="313" spans="1:31 16376:16376" s="18" customFormat="1" ht="16.5" customHeight="1" x14ac:dyDescent="0.2">
      <c r="A313" s="39">
        <f t="shared" si="45"/>
        <v>310</v>
      </c>
      <c r="B313" s="40" t="s">
        <v>288</v>
      </c>
      <c r="C313" s="41">
        <v>704454693</v>
      </c>
      <c r="D313" s="42">
        <v>30062</v>
      </c>
      <c r="E313" s="40" t="s">
        <v>25</v>
      </c>
      <c r="F313" s="40" t="s">
        <v>385</v>
      </c>
      <c r="G313" s="40" t="s">
        <v>384</v>
      </c>
      <c r="H313" s="39" t="s">
        <v>383</v>
      </c>
      <c r="I313" s="43">
        <v>1020523219</v>
      </c>
      <c r="J313" s="42">
        <v>39569</v>
      </c>
      <c r="K313" s="42"/>
      <c r="L313" s="42">
        <v>39569</v>
      </c>
      <c r="M313" s="44">
        <v>559</v>
      </c>
      <c r="N313" s="40" t="s">
        <v>432</v>
      </c>
      <c r="O313" s="44">
        <v>738</v>
      </c>
      <c r="P313" s="44">
        <v>738</v>
      </c>
      <c r="Q313" s="44">
        <f>P313-M313</f>
        <v>179</v>
      </c>
      <c r="R313" s="29">
        <f t="shared" si="37"/>
        <v>2148</v>
      </c>
      <c r="S313" s="29">
        <f t="shared" si="46"/>
        <v>0</v>
      </c>
      <c r="T313" s="65">
        <f t="shared" ca="1" si="38"/>
        <v>177.12</v>
      </c>
      <c r="U313" s="29">
        <f t="shared" si="39"/>
        <v>120</v>
      </c>
      <c r="V313" s="29">
        <f t="shared" si="40"/>
        <v>960</v>
      </c>
      <c r="W313" s="44">
        <f t="shared" si="41"/>
        <v>48</v>
      </c>
      <c r="X313" s="29">
        <f t="shared" si="42"/>
        <v>169</v>
      </c>
      <c r="Y313" s="29">
        <f t="shared" ca="1" si="43"/>
        <v>3801.12</v>
      </c>
      <c r="Z313" s="75"/>
      <c r="AA313" s="66">
        <f t="shared" ca="1" si="44"/>
        <v>8</v>
      </c>
      <c r="AB313" s="19"/>
      <c r="AC313" s="19"/>
      <c r="AD313" s="19"/>
      <c r="AE313" s="19"/>
    </row>
    <row r="314" spans="1:31 16376:16376" s="18" customFormat="1" ht="16.5" customHeight="1" x14ac:dyDescent="0.2">
      <c r="A314" s="39">
        <f t="shared" si="45"/>
        <v>311</v>
      </c>
      <c r="B314" s="40" t="s">
        <v>295</v>
      </c>
      <c r="C314" s="41">
        <v>702885682</v>
      </c>
      <c r="D314" s="42">
        <v>26349</v>
      </c>
      <c r="E314" s="40" t="s">
        <v>25</v>
      </c>
      <c r="F314" s="40" t="s">
        <v>385</v>
      </c>
      <c r="G314" s="40" t="s">
        <v>384</v>
      </c>
      <c r="H314" s="39" t="s">
        <v>383</v>
      </c>
      <c r="I314" s="43">
        <v>1040663432</v>
      </c>
      <c r="J314" s="42">
        <v>40133</v>
      </c>
      <c r="K314" s="42"/>
      <c r="L314" s="42">
        <v>41061</v>
      </c>
      <c r="M314" s="44">
        <v>559</v>
      </c>
      <c r="N314" s="40" t="s">
        <v>432</v>
      </c>
      <c r="O314" s="44">
        <v>738</v>
      </c>
      <c r="P314" s="44">
        <v>738</v>
      </c>
      <c r="Q314" s="44">
        <f>P314-M314</f>
        <v>179</v>
      </c>
      <c r="R314" s="29">
        <f t="shared" si="37"/>
        <v>2148</v>
      </c>
      <c r="S314" s="29">
        <f t="shared" si="46"/>
        <v>0</v>
      </c>
      <c r="T314" s="65">
        <f t="shared" ca="1" si="38"/>
        <v>88.56</v>
      </c>
      <c r="U314" s="29">
        <f t="shared" si="39"/>
        <v>120</v>
      </c>
      <c r="V314" s="29">
        <f t="shared" si="40"/>
        <v>960</v>
      </c>
      <c r="W314" s="44">
        <f t="shared" si="41"/>
        <v>48</v>
      </c>
      <c r="X314" s="29">
        <f t="shared" si="42"/>
        <v>169</v>
      </c>
      <c r="Y314" s="29">
        <f t="shared" ca="1" si="43"/>
        <v>3712.56</v>
      </c>
      <c r="Z314" s="75"/>
      <c r="AA314" s="66">
        <f t="shared" ca="1" si="44"/>
        <v>4</v>
      </c>
      <c r="AB314" s="19"/>
      <c r="AC314" s="19"/>
      <c r="AD314" s="19"/>
      <c r="AE314" s="19"/>
    </row>
    <row r="315" spans="1:31 16376:16376" s="18" customFormat="1" ht="16.5" customHeight="1" x14ac:dyDescent="0.2">
      <c r="A315" s="39">
        <f t="shared" si="45"/>
        <v>312</v>
      </c>
      <c r="B315" s="40" t="s">
        <v>300</v>
      </c>
      <c r="C315" s="41">
        <v>705152502</v>
      </c>
      <c r="D315" s="42">
        <v>31817</v>
      </c>
      <c r="E315" s="40" t="s">
        <v>25</v>
      </c>
      <c r="F315" s="40" t="s">
        <v>385</v>
      </c>
      <c r="G315" s="40" t="s">
        <v>384</v>
      </c>
      <c r="H315" s="39" t="s">
        <v>383</v>
      </c>
      <c r="I315" s="43">
        <v>1010769252</v>
      </c>
      <c r="J315" s="42">
        <v>39965</v>
      </c>
      <c r="K315" s="42"/>
      <c r="L315" s="42">
        <v>39965</v>
      </c>
      <c r="M315" s="44">
        <v>559</v>
      </c>
      <c r="N315" s="40" t="s">
        <v>432</v>
      </c>
      <c r="O315" s="44">
        <v>738</v>
      </c>
      <c r="P315" s="44">
        <v>738</v>
      </c>
      <c r="Q315" s="44">
        <f>P315-M315</f>
        <v>179</v>
      </c>
      <c r="R315" s="29">
        <f t="shared" si="37"/>
        <v>2148</v>
      </c>
      <c r="S315" s="29">
        <f t="shared" si="46"/>
        <v>0</v>
      </c>
      <c r="T315" s="65">
        <f t="shared" ca="1" si="38"/>
        <v>154.97999999999999</v>
      </c>
      <c r="U315" s="29">
        <f t="shared" si="39"/>
        <v>120</v>
      </c>
      <c r="V315" s="29">
        <f t="shared" si="40"/>
        <v>960</v>
      </c>
      <c r="W315" s="44">
        <f t="shared" si="41"/>
        <v>48</v>
      </c>
      <c r="X315" s="29">
        <f t="shared" si="42"/>
        <v>169</v>
      </c>
      <c r="Y315" s="29">
        <f t="shared" ca="1" si="43"/>
        <v>3778.98</v>
      </c>
      <c r="Z315" s="75"/>
      <c r="AA315" s="66">
        <f t="shared" ca="1" si="44"/>
        <v>7</v>
      </c>
      <c r="AB315" s="19"/>
      <c r="AC315" s="19"/>
      <c r="AD315" s="19"/>
      <c r="AE315" s="19"/>
      <c r="XEV315" s="17"/>
    </row>
    <row r="316" spans="1:31 16376:16376" s="18" customFormat="1" ht="16.5" customHeight="1" x14ac:dyDescent="0.2">
      <c r="A316" s="39">
        <f t="shared" si="45"/>
        <v>313</v>
      </c>
      <c r="B316" s="40" t="s">
        <v>301</v>
      </c>
      <c r="C316" s="41">
        <v>702835117</v>
      </c>
      <c r="D316" s="42">
        <v>26441</v>
      </c>
      <c r="E316" s="40" t="s">
        <v>25</v>
      </c>
      <c r="F316" s="40" t="s">
        <v>385</v>
      </c>
      <c r="G316" s="40" t="s">
        <v>386</v>
      </c>
      <c r="H316" s="39" t="s">
        <v>383</v>
      </c>
      <c r="I316" s="43">
        <v>5309991500</v>
      </c>
      <c r="J316" s="42">
        <v>39995</v>
      </c>
      <c r="K316" s="42"/>
      <c r="L316" s="42">
        <v>41061</v>
      </c>
      <c r="M316" s="44">
        <v>559</v>
      </c>
      <c r="N316" s="40" t="s">
        <v>432</v>
      </c>
      <c r="O316" s="44">
        <v>738</v>
      </c>
      <c r="P316" s="44">
        <v>738</v>
      </c>
      <c r="Q316" s="44">
        <f>P316-M316</f>
        <v>179</v>
      </c>
      <c r="R316" s="29">
        <f t="shared" si="37"/>
        <v>2148</v>
      </c>
      <c r="S316" s="29">
        <f t="shared" si="46"/>
        <v>87.84</v>
      </c>
      <c r="T316" s="65">
        <f t="shared" ca="1" si="38"/>
        <v>88.56</v>
      </c>
      <c r="U316" s="29">
        <f t="shared" si="39"/>
        <v>120</v>
      </c>
      <c r="V316" s="29">
        <f t="shared" si="40"/>
        <v>960</v>
      </c>
      <c r="W316" s="44">
        <f t="shared" si="41"/>
        <v>48</v>
      </c>
      <c r="X316" s="29">
        <f t="shared" si="42"/>
        <v>169</v>
      </c>
      <c r="Y316" s="29">
        <f t="shared" ca="1" si="43"/>
        <v>3800.4</v>
      </c>
      <c r="Z316" s="75">
        <v>2</v>
      </c>
      <c r="AA316" s="66">
        <f t="shared" ca="1" si="44"/>
        <v>4</v>
      </c>
      <c r="AB316" s="19"/>
      <c r="AC316" s="19"/>
      <c r="AD316" s="19"/>
      <c r="AE316" s="19"/>
    </row>
    <row r="317" spans="1:31 16376:16376" s="18" customFormat="1" ht="16.5" customHeight="1" x14ac:dyDescent="0.2">
      <c r="A317" s="39">
        <f t="shared" si="45"/>
        <v>314</v>
      </c>
      <c r="B317" s="40" t="s">
        <v>305</v>
      </c>
      <c r="C317" s="41">
        <v>703465559</v>
      </c>
      <c r="D317" s="42">
        <v>28425</v>
      </c>
      <c r="E317" s="40" t="s">
        <v>25</v>
      </c>
      <c r="F317" s="40" t="s">
        <v>385</v>
      </c>
      <c r="G317" s="40" t="s">
        <v>384</v>
      </c>
      <c r="H317" s="39" t="s">
        <v>383</v>
      </c>
      <c r="I317" s="43">
        <v>1090766542</v>
      </c>
      <c r="J317" s="42">
        <v>39570</v>
      </c>
      <c r="K317" s="42"/>
      <c r="L317" s="42">
        <v>39570</v>
      </c>
      <c r="M317" s="44">
        <v>559</v>
      </c>
      <c r="N317" s="40" t="s">
        <v>432</v>
      </c>
      <c r="O317" s="44">
        <v>738</v>
      </c>
      <c r="P317" s="44">
        <v>738</v>
      </c>
      <c r="Q317" s="44">
        <f>P317-M317</f>
        <v>179</v>
      </c>
      <c r="R317" s="29">
        <f t="shared" si="37"/>
        <v>2148</v>
      </c>
      <c r="S317" s="29">
        <f t="shared" si="46"/>
        <v>87.84</v>
      </c>
      <c r="T317" s="65">
        <f t="shared" ca="1" si="38"/>
        <v>177.12</v>
      </c>
      <c r="U317" s="29">
        <f t="shared" si="39"/>
        <v>120</v>
      </c>
      <c r="V317" s="29">
        <f t="shared" si="40"/>
        <v>960</v>
      </c>
      <c r="W317" s="44">
        <f t="shared" si="41"/>
        <v>48</v>
      </c>
      <c r="X317" s="29">
        <f t="shared" si="42"/>
        <v>169</v>
      </c>
      <c r="Y317" s="29">
        <f t="shared" ca="1" si="43"/>
        <v>3888.96</v>
      </c>
      <c r="Z317" s="75">
        <v>2</v>
      </c>
      <c r="AA317" s="66">
        <f t="shared" ca="1" si="44"/>
        <v>8</v>
      </c>
      <c r="AB317" s="19"/>
      <c r="AC317" s="19"/>
      <c r="AD317" s="19"/>
      <c r="AE317" s="19"/>
    </row>
    <row r="318" spans="1:31 16376:16376" s="18" customFormat="1" ht="16.5" customHeight="1" x14ac:dyDescent="0.2">
      <c r="A318" s="39">
        <f t="shared" si="45"/>
        <v>315</v>
      </c>
      <c r="B318" s="40" t="s">
        <v>306</v>
      </c>
      <c r="C318" s="41">
        <v>701023285</v>
      </c>
      <c r="D318" s="42">
        <v>21371</v>
      </c>
      <c r="E318" s="40" t="s">
        <v>25</v>
      </c>
      <c r="F318" s="40" t="s">
        <v>385</v>
      </c>
      <c r="G318" s="40" t="s">
        <v>384</v>
      </c>
      <c r="H318" s="39" t="s">
        <v>383</v>
      </c>
      <c r="I318" s="43">
        <v>1060541171</v>
      </c>
      <c r="J318" s="42">
        <v>39569</v>
      </c>
      <c r="K318" s="42"/>
      <c r="L318" s="42">
        <v>39569</v>
      </c>
      <c r="M318" s="44">
        <v>559</v>
      </c>
      <c r="N318" s="40" t="s">
        <v>432</v>
      </c>
      <c r="O318" s="44">
        <v>738</v>
      </c>
      <c r="P318" s="44">
        <v>738</v>
      </c>
      <c r="Q318" s="44">
        <f>P318-M318</f>
        <v>179</v>
      </c>
      <c r="R318" s="29">
        <f t="shared" si="37"/>
        <v>2148</v>
      </c>
      <c r="S318" s="29">
        <f t="shared" si="46"/>
        <v>0</v>
      </c>
      <c r="T318" s="65">
        <f t="shared" ca="1" si="38"/>
        <v>177.12</v>
      </c>
      <c r="U318" s="29">
        <f t="shared" si="39"/>
        <v>120</v>
      </c>
      <c r="V318" s="29">
        <f t="shared" si="40"/>
        <v>960</v>
      </c>
      <c r="W318" s="44">
        <f t="shared" si="41"/>
        <v>48</v>
      </c>
      <c r="X318" s="29">
        <f t="shared" si="42"/>
        <v>169</v>
      </c>
      <c r="Y318" s="29">
        <f t="shared" ca="1" si="43"/>
        <v>3801.12</v>
      </c>
      <c r="Z318" s="75"/>
      <c r="AA318" s="66">
        <f t="shared" ca="1" si="44"/>
        <v>8</v>
      </c>
      <c r="AB318" s="19"/>
      <c r="AC318" s="19"/>
      <c r="AD318" s="19"/>
      <c r="AE318" s="19"/>
    </row>
    <row r="319" spans="1:31 16376:16376" s="18" customFormat="1" ht="16.5" customHeight="1" x14ac:dyDescent="0.2">
      <c r="A319" s="39">
        <f t="shared" si="45"/>
        <v>316</v>
      </c>
      <c r="B319" s="40" t="s">
        <v>315</v>
      </c>
      <c r="C319" s="41">
        <v>702482001</v>
      </c>
      <c r="D319" s="42">
        <v>25172</v>
      </c>
      <c r="E319" s="40" t="s">
        <v>25</v>
      </c>
      <c r="F319" s="40" t="s">
        <v>385</v>
      </c>
      <c r="G319" s="40" t="s">
        <v>384</v>
      </c>
      <c r="H319" s="39" t="s">
        <v>383</v>
      </c>
      <c r="I319" s="43">
        <v>1010731409</v>
      </c>
      <c r="J319" s="42">
        <v>39569</v>
      </c>
      <c r="K319" s="42"/>
      <c r="L319" s="42">
        <v>39569</v>
      </c>
      <c r="M319" s="44">
        <v>559</v>
      </c>
      <c r="N319" s="40" t="s">
        <v>432</v>
      </c>
      <c r="O319" s="44">
        <v>738</v>
      </c>
      <c r="P319" s="44">
        <v>738</v>
      </c>
      <c r="Q319" s="44">
        <f>P319-M319</f>
        <v>179</v>
      </c>
      <c r="R319" s="29">
        <f t="shared" si="37"/>
        <v>2148</v>
      </c>
      <c r="S319" s="29">
        <f t="shared" si="46"/>
        <v>43.92</v>
      </c>
      <c r="T319" s="65">
        <f t="shared" ca="1" si="38"/>
        <v>177.12</v>
      </c>
      <c r="U319" s="29">
        <f t="shared" si="39"/>
        <v>120</v>
      </c>
      <c r="V319" s="29">
        <f t="shared" si="40"/>
        <v>960</v>
      </c>
      <c r="W319" s="44">
        <f t="shared" si="41"/>
        <v>48</v>
      </c>
      <c r="X319" s="29">
        <f t="shared" si="42"/>
        <v>169</v>
      </c>
      <c r="Y319" s="29">
        <f t="shared" ca="1" si="43"/>
        <v>3845.04</v>
      </c>
      <c r="Z319" s="75">
        <v>1</v>
      </c>
      <c r="AA319" s="66">
        <f t="shared" ca="1" si="44"/>
        <v>8</v>
      </c>
      <c r="AB319" s="19"/>
      <c r="AC319" s="19"/>
      <c r="AD319" s="19"/>
      <c r="AE319" s="19"/>
    </row>
    <row r="320" spans="1:31 16376:16376" s="18" customFormat="1" ht="16.5" customHeight="1" x14ac:dyDescent="0.2">
      <c r="A320" s="39">
        <f t="shared" si="45"/>
        <v>317</v>
      </c>
      <c r="B320" s="40" t="s">
        <v>326</v>
      </c>
      <c r="C320" s="41">
        <v>703298885</v>
      </c>
      <c r="D320" s="42">
        <v>29689</v>
      </c>
      <c r="E320" s="40" t="s">
        <v>25</v>
      </c>
      <c r="F320" s="40" t="s">
        <v>385</v>
      </c>
      <c r="G320" s="40" t="s">
        <v>384</v>
      </c>
      <c r="H320" s="39" t="s">
        <v>383</v>
      </c>
      <c r="I320" s="43">
        <v>1010730666</v>
      </c>
      <c r="J320" s="42">
        <v>39569</v>
      </c>
      <c r="K320" s="42"/>
      <c r="L320" s="42">
        <v>41061</v>
      </c>
      <c r="M320" s="44">
        <v>559</v>
      </c>
      <c r="N320" s="40" t="s">
        <v>432</v>
      </c>
      <c r="O320" s="44">
        <v>738</v>
      </c>
      <c r="P320" s="44">
        <v>738</v>
      </c>
      <c r="Q320" s="44">
        <f>P320-M320</f>
        <v>179</v>
      </c>
      <c r="R320" s="29">
        <f t="shared" si="37"/>
        <v>2148</v>
      </c>
      <c r="S320" s="29">
        <f t="shared" si="46"/>
        <v>0</v>
      </c>
      <c r="T320" s="65">
        <f t="shared" ca="1" si="38"/>
        <v>88.56</v>
      </c>
      <c r="U320" s="29">
        <f t="shared" si="39"/>
        <v>120</v>
      </c>
      <c r="V320" s="29">
        <f t="shared" si="40"/>
        <v>960</v>
      </c>
      <c r="W320" s="44">
        <f t="shared" si="41"/>
        <v>48</v>
      </c>
      <c r="X320" s="29">
        <f t="shared" si="42"/>
        <v>169</v>
      </c>
      <c r="Y320" s="29">
        <f t="shared" ca="1" si="43"/>
        <v>3712.56</v>
      </c>
      <c r="Z320" s="75"/>
      <c r="AA320" s="66">
        <f t="shared" ca="1" si="44"/>
        <v>4</v>
      </c>
      <c r="AB320" s="19"/>
      <c r="AC320" s="19"/>
      <c r="AD320" s="19"/>
      <c r="AE320" s="19"/>
    </row>
    <row r="321" spans="1:31 16376:16376" s="18" customFormat="1" ht="16.5" customHeight="1" x14ac:dyDescent="0.2">
      <c r="A321" s="39">
        <f t="shared" si="45"/>
        <v>318</v>
      </c>
      <c r="B321" s="40" t="s">
        <v>341</v>
      </c>
      <c r="C321" s="41">
        <v>703246645</v>
      </c>
      <c r="D321" s="42">
        <v>28186</v>
      </c>
      <c r="E321" s="40" t="s">
        <v>25</v>
      </c>
      <c r="F321" s="40" t="s">
        <v>385</v>
      </c>
      <c r="G321" s="40" t="s">
        <v>384</v>
      </c>
      <c r="H321" s="39" t="s">
        <v>383</v>
      </c>
      <c r="I321" s="43">
        <v>1010730038</v>
      </c>
      <c r="J321" s="42">
        <v>39569</v>
      </c>
      <c r="K321" s="42"/>
      <c r="L321" s="42">
        <v>39569</v>
      </c>
      <c r="M321" s="44">
        <v>559</v>
      </c>
      <c r="N321" s="40" t="s">
        <v>432</v>
      </c>
      <c r="O321" s="44">
        <v>738</v>
      </c>
      <c r="P321" s="44">
        <v>738</v>
      </c>
      <c r="Q321" s="44">
        <f>P321-M321</f>
        <v>179</v>
      </c>
      <c r="R321" s="29">
        <f t="shared" si="37"/>
        <v>2148</v>
      </c>
      <c r="S321" s="29">
        <f t="shared" si="46"/>
        <v>131.76</v>
      </c>
      <c r="T321" s="65">
        <f t="shared" ca="1" si="38"/>
        <v>177.12</v>
      </c>
      <c r="U321" s="29">
        <f t="shared" si="39"/>
        <v>120</v>
      </c>
      <c r="V321" s="29">
        <f t="shared" si="40"/>
        <v>960</v>
      </c>
      <c r="W321" s="44">
        <f t="shared" si="41"/>
        <v>48</v>
      </c>
      <c r="X321" s="29">
        <f t="shared" si="42"/>
        <v>169</v>
      </c>
      <c r="Y321" s="29">
        <f t="shared" ca="1" si="43"/>
        <v>3932.88</v>
      </c>
      <c r="Z321" s="75">
        <v>3</v>
      </c>
      <c r="AA321" s="66">
        <f t="shared" ca="1" si="44"/>
        <v>8</v>
      </c>
      <c r="AB321" s="19"/>
      <c r="AC321" s="19"/>
      <c r="AD321" s="19"/>
      <c r="AE321" s="19"/>
    </row>
    <row r="322" spans="1:31 16376:16376" s="18" customFormat="1" ht="16.5" customHeight="1" x14ac:dyDescent="0.2">
      <c r="A322" s="39">
        <f t="shared" si="45"/>
        <v>319</v>
      </c>
      <c r="B322" s="40" t="s">
        <v>15</v>
      </c>
      <c r="C322" s="41">
        <v>705058865</v>
      </c>
      <c r="D322" s="42">
        <v>32133</v>
      </c>
      <c r="E322" s="40" t="s">
        <v>16</v>
      </c>
      <c r="F322" s="40" t="s">
        <v>387</v>
      </c>
      <c r="G322" s="40" t="s">
        <v>420</v>
      </c>
      <c r="H322" s="39" t="s">
        <v>383</v>
      </c>
      <c r="I322" s="43">
        <v>10502003821</v>
      </c>
      <c r="J322" s="42">
        <v>41596</v>
      </c>
      <c r="K322" s="42"/>
      <c r="L322" s="42">
        <v>41596</v>
      </c>
      <c r="M322" s="44">
        <v>559</v>
      </c>
      <c r="N322" s="40" t="s">
        <v>16</v>
      </c>
      <c r="O322" s="44">
        <v>738</v>
      </c>
      <c r="P322" s="44">
        <v>738</v>
      </c>
      <c r="Q322" s="44">
        <f>P322-M322</f>
        <v>179</v>
      </c>
      <c r="R322" s="29">
        <f t="shared" si="37"/>
        <v>2148</v>
      </c>
      <c r="S322" s="29">
        <f t="shared" si="46"/>
        <v>0</v>
      </c>
      <c r="T322" s="65">
        <f t="shared" ca="1" si="38"/>
        <v>66.42</v>
      </c>
      <c r="U322" s="29">
        <f t="shared" si="39"/>
        <v>120</v>
      </c>
      <c r="V322" s="29">
        <f t="shared" si="40"/>
        <v>960</v>
      </c>
      <c r="W322" s="44">
        <f t="shared" si="41"/>
        <v>48</v>
      </c>
      <c r="X322" s="29">
        <f t="shared" si="42"/>
        <v>169</v>
      </c>
      <c r="Y322" s="29">
        <f t="shared" ca="1" si="43"/>
        <v>3690.42</v>
      </c>
      <c r="Z322" s="75"/>
      <c r="AA322" s="66">
        <f t="shared" ca="1" si="44"/>
        <v>3</v>
      </c>
      <c r="AB322" s="19"/>
      <c r="AC322" s="19"/>
      <c r="AD322" s="19"/>
      <c r="AE322" s="19"/>
    </row>
    <row r="323" spans="1:31 16376:16376" s="18" customFormat="1" ht="16.5" customHeight="1" x14ac:dyDescent="0.2">
      <c r="A323" s="39">
        <f t="shared" si="45"/>
        <v>320</v>
      </c>
      <c r="B323" s="40" t="s">
        <v>54</v>
      </c>
      <c r="C323" s="41">
        <v>702749854</v>
      </c>
      <c r="D323" s="42">
        <v>28093</v>
      </c>
      <c r="E323" s="40" t="s">
        <v>16</v>
      </c>
      <c r="F323" s="40" t="s">
        <v>387</v>
      </c>
      <c r="G323" s="40" t="s">
        <v>417</v>
      </c>
      <c r="H323" s="39" t="s">
        <v>383</v>
      </c>
      <c r="I323" s="43">
        <v>406019000407</v>
      </c>
      <c r="J323" s="42">
        <v>42095</v>
      </c>
      <c r="K323" s="42"/>
      <c r="L323" s="42">
        <v>42095</v>
      </c>
      <c r="M323" s="44">
        <v>559</v>
      </c>
      <c r="N323" s="40" t="s">
        <v>16</v>
      </c>
      <c r="O323" s="44">
        <v>738</v>
      </c>
      <c r="P323" s="44">
        <v>738</v>
      </c>
      <c r="Q323" s="44">
        <f>P323-M323</f>
        <v>179</v>
      </c>
      <c r="R323" s="29">
        <f t="shared" si="37"/>
        <v>2148</v>
      </c>
      <c r="S323" s="29">
        <f t="shared" si="46"/>
        <v>0</v>
      </c>
      <c r="T323" s="65">
        <f t="shared" ca="1" si="38"/>
        <v>22.14</v>
      </c>
      <c r="U323" s="29">
        <f t="shared" si="39"/>
        <v>120</v>
      </c>
      <c r="V323" s="29">
        <f t="shared" si="40"/>
        <v>960</v>
      </c>
      <c r="W323" s="44">
        <f t="shared" si="41"/>
        <v>48</v>
      </c>
      <c r="X323" s="29">
        <f t="shared" si="42"/>
        <v>169</v>
      </c>
      <c r="Y323" s="29">
        <f t="shared" ca="1" si="43"/>
        <v>3646.14</v>
      </c>
      <c r="Z323" s="75"/>
      <c r="AA323" s="66">
        <f t="shared" ca="1" si="44"/>
        <v>1</v>
      </c>
      <c r="AB323" s="19"/>
      <c r="AC323" s="19"/>
      <c r="AD323" s="19"/>
      <c r="AE323" s="19"/>
    </row>
    <row r="324" spans="1:31 16376:16376" s="18" customFormat="1" ht="16.5" customHeight="1" x14ac:dyDescent="0.2">
      <c r="A324" s="39">
        <f t="shared" si="45"/>
        <v>321</v>
      </c>
      <c r="B324" s="40" t="s">
        <v>87</v>
      </c>
      <c r="C324" s="41">
        <v>1305810432</v>
      </c>
      <c r="D324" s="42">
        <v>26761</v>
      </c>
      <c r="E324" s="40" t="s">
        <v>16</v>
      </c>
      <c r="F324" s="40" t="s">
        <v>385</v>
      </c>
      <c r="G324" s="40" t="s">
        <v>384</v>
      </c>
      <c r="H324" s="39" t="s">
        <v>383</v>
      </c>
      <c r="I324" s="43">
        <v>1010561538</v>
      </c>
      <c r="J324" s="42">
        <v>39569</v>
      </c>
      <c r="K324" s="42"/>
      <c r="L324" s="42">
        <v>39569</v>
      </c>
      <c r="M324" s="44">
        <v>559</v>
      </c>
      <c r="N324" s="40" t="s">
        <v>16</v>
      </c>
      <c r="O324" s="44">
        <v>738</v>
      </c>
      <c r="P324" s="44">
        <v>738</v>
      </c>
      <c r="Q324" s="44">
        <f>P324-M324</f>
        <v>179</v>
      </c>
      <c r="R324" s="29">
        <f t="shared" si="37"/>
        <v>2148</v>
      </c>
      <c r="S324" s="29">
        <f t="shared" si="46"/>
        <v>87.84</v>
      </c>
      <c r="T324" s="65">
        <f t="shared" ca="1" si="38"/>
        <v>177.12</v>
      </c>
      <c r="U324" s="29">
        <f t="shared" si="39"/>
        <v>120</v>
      </c>
      <c r="V324" s="29">
        <f t="shared" si="40"/>
        <v>960</v>
      </c>
      <c r="W324" s="44">
        <f t="shared" si="41"/>
        <v>48</v>
      </c>
      <c r="X324" s="29">
        <f t="shared" si="42"/>
        <v>169</v>
      </c>
      <c r="Y324" s="29">
        <f t="shared" ca="1" si="43"/>
        <v>3888.96</v>
      </c>
      <c r="Z324" s="75">
        <v>2</v>
      </c>
      <c r="AA324" s="66">
        <f t="shared" ca="1" si="44"/>
        <v>8</v>
      </c>
      <c r="AB324" s="19"/>
      <c r="AC324" s="19"/>
      <c r="AD324" s="19"/>
      <c r="AE324" s="19"/>
    </row>
    <row r="325" spans="1:31 16376:16376" s="18" customFormat="1" ht="16.5" customHeight="1" x14ac:dyDescent="0.2">
      <c r="A325" s="39">
        <f t="shared" si="45"/>
        <v>322</v>
      </c>
      <c r="B325" s="40" t="s">
        <v>155</v>
      </c>
      <c r="C325" s="41">
        <v>703712869</v>
      </c>
      <c r="D325" s="42">
        <v>28603</v>
      </c>
      <c r="E325" s="40" t="s">
        <v>16</v>
      </c>
      <c r="F325" s="40" t="s">
        <v>387</v>
      </c>
      <c r="G325" s="40" t="s">
        <v>384</v>
      </c>
      <c r="H325" s="39" t="s">
        <v>383</v>
      </c>
      <c r="I325" s="43">
        <v>1010716078</v>
      </c>
      <c r="J325" s="42">
        <v>41568</v>
      </c>
      <c r="K325" s="42"/>
      <c r="L325" s="42">
        <v>41568</v>
      </c>
      <c r="M325" s="44">
        <v>559</v>
      </c>
      <c r="N325" s="40" t="s">
        <v>16</v>
      </c>
      <c r="O325" s="44">
        <v>738</v>
      </c>
      <c r="P325" s="44">
        <v>738</v>
      </c>
      <c r="Q325" s="44">
        <f>P325-M325</f>
        <v>179</v>
      </c>
      <c r="R325" s="29">
        <f t="shared" ref="R325:R338" si="47">Q325*12</f>
        <v>2148</v>
      </c>
      <c r="S325" s="29">
        <f t="shared" si="46"/>
        <v>0</v>
      </c>
      <c r="T325" s="65">
        <f t="shared" ref="T325:T338" ca="1" si="48">P325*$T$3*AA325*12</f>
        <v>66.42</v>
      </c>
      <c r="U325" s="29">
        <f t="shared" ref="U325:U338" si="49">$U$3*20*12</f>
        <v>120</v>
      </c>
      <c r="V325" s="29">
        <f t="shared" ref="V325:V338" si="50">$V$3*20*12</f>
        <v>960</v>
      </c>
      <c r="W325" s="44">
        <f t="shared" ref="W325:W338" si="51">$W$3*12</f>
        <v>48</v>
      </c>
      <c r="X325" s="29">
        <f t="shared" ref="X325:X338" si="52">$X$3</f>
        <v>169</v>
      </c>
      <c r="Y325" s="29">
        <f t="shared" ref="Y325:Y338" ca="1" si="53">SUM(Q325:X325)</f>
        <v>3690.42</v>
      </c>
      <c r="Z325" s="75"/>
      <c r="AA325" s="66">
        <f t="shared" ref="AA325:AA338" ca="1" si="54">IF(YEAR(L325)&gt;2003,(YEAR(TODAY())-YEAR(L325)),12)</f>
        <v>3</v>
      </c>
      <c r="AB325" s="19"/>
      <c r="AC325" s="19"/>
      <c r="AD325" s="19"/>
      <c r="AE325" s="19"/>
    </row>
    <row r="326" spans="1:31 16376:16376" s="18" customFormat="1" ht="16.5" customHeight="1" x14ac:dyDescent="0.2">
      <c r="A326" s="39">
        <f t="shared" si="45"/>
        <v>323</v>
      </c>
      <c r="B326" s="40" t="s">
        <v>160</v>
      </c>
      <c r="C326" s="41">
        <v>702987868</v>
      </c>
      <c r="D326" s="42">
        <v>26449</v>
      </c>
      <c r="E326" s="40" t="s">
        <v>16</v>
      </c>
      <c r="F326" s="40" t="s">
        <v>387</v>
      </c>
      <c r="G326" s="40" t="s">
        <v>384</v>
      </c>
      <c r="H326" s="39" t="s">
        <v>383</v>
      </c>
      <c r="I326" s="43">
        <v>1010835646</v>
      </c>
      <c r="J326" s="42">
        <v>41275</v>
      </c>
      <c r="K326" s="42"/>
      <c r="L326" s="42">
        <v>41275</v>
      </c>
      <c r="M326" s="44">
        <v>559</v>
      </c>
      <c r="N326" s="40" t="s">
        <v>16</v>
      </c>
      <c r="O326" s="44">
        <v>738</v>
      </c>
      <c r="P326" s="44">
        <v>738</v>
      </c>
      <c r="Q326" s="44">
        <f>P326-M326</f>
        <v>179</v>
      </c>
      <c r="R326" s="29">
        <f t="shared" si="47"/>
        <v>2148</v>
      </c>
      <c r="S326" s="29">
        <f t="shared" si="46"/>
        <v>0</v>
      </c>
      <c r="T326" s="65">
        <f t="shared" ca="1" si="48"/>
        <v>66.42</v>
      </c>
      <c r="U326" s="29">
        <f t="shared" si="49"/>
        <v>120</v>
      </c>
      <c r="V326" s="29">
        <f t="shared" si="50"/>
        <v>960</v>
      </c>
      <c r="W326" s="44">
        <f t="shared" si="51"/>
        <v>48</v>
      </c>
      <c r="X326" s="29">
        <f t="shared" si="52"/>
        <v>169</v>
      </c>
      <c r="Y326" s="29">
        <f t="shared" ca="1" si="53"/>
        <v>3690.42</v>
      </c>
      <c r="Z326" s="75"/>
      <c r="AA326" s="66">
        <f t="shared" ca="1" si="54"/>
        <v>3</v>
      </c>
      <c r="AB326" s="19"/>
      <c r="AC326" s="19"/>
      <c r="AD326" s="19"/>
      <c r="AE326" s="19"/>
    </row>
    <row r="327" spans="1:31 16376:16376" s="18" customFormat="1" ht="16.5" customHeight="1" x14ac:dyDescent="0.2">
      <c r="A327" s="39">
        <f t="shared" ref="A327:A338" si="55">A326+1</f>
        <v>324</v>
      </c>
      <c r="B327" s="40" t="s">
        <v>161</v>
      </c>
      <c r="C327" s="41">
        <v>703199745</v>
      </c>
      <c r="D327" s="42">
        <v>27097</v>
      </c>
      <c r="E327" s="40" t="s">
        <v>16</v>
      </c>
      <c r="F327" s="40" t="s">
        <v>387</v>
      </c>
      <c r="G327" s="40" t="s">
        <v>398</v>
      </c>
      <c r="H327" s="39" t="s">
        <v>383</v>
      </c>
      <c r="I327" s="43">
        <v>610150918</v>
      </c>
      <c r="J327" s="42">
        <v>39974</v>
      </c>
      <c r="K327" s="42"/>
      <c r="L327" s="42">
        <v>39974</v>
      </c>
      <c r="M327" s="44">
        <v>559</v>
      </c>
      <c r="N327" s="40" t="s">
        <v>16</v>
      </c>
      <c r="O327" s="44">
        <v>738</v>
      </c>
      <c r="P327" s="44">
        <v>738</v>
      </c>
      <c r="Q327" s="44">
        <f>P327-M327</f>
        <v>179</v>
      </c>
      <c r="R327" s="29">
        <f t="shared" si="47"/>
        <v>2148</v>
      </c>
      <c r="S327" s="29">
        <f t="shared" ref="S327:S338" si="56">$S$3*1%*Z327*12</f>
        <v>0</v>
      </c>
      <c r="T327" s="65">
        <f t="shared" ca="1" si="48"/>
        <v>154.97999999999999</v>
      </c>
      <c r="U327" s="29">
        <f t="shared" si="49"/>
        <v>120</v>
      </c>
      <c r="V327" s="29">
        <f t="shared" si="50"/>
        <v>960</v>
      </c>
      <c r="W327" s="44">
        <f t="shared" si="51"/>
        <v>48</v>
      </c>
      <c r="X327" s="29">
        <f t="shared" si="52"/>
        <v>169</v>
      </c>
      <c r="Y327" s="29">
        <f t="shared" ca="1" si="53"/>
        <v>3778.98</v>
      </c>
      <c r="Z327" s="75"/>
      <c r="AA327" s="66">
        <f t="shared" ca="1" si="54"/>
        <v>7</v>
      </c>
      <c r="AB327" s="19"/>
      <c r="AC327" s="19"/>
      <c r="AD327" s="19"/>
      <c r="AE327" s="19"/>
    </row>
    <row r="328" spans="1:31 16376:16376" s="18" customFormat="1" ht="16.5" customHeight="1" x14ac:dyDescent="0.2">
      <c r="A328" s="39">
        <f t="shared" si="55"/>
        <v>325</v>
      </c>
      <c r="B328" s="40" t="s">
        <v>167</v>
      </c>
      <c r="C328" s="41">
        <v>702685074</v>
      </c>
      <c r="D328" s="42">
        <v>25875</v>
      </c>
      <c r="E328" s="40" t="s">
        <v>16</v>
      </c>
      <c r="F328" s="40" t="s">
        <v>387</v>
      </c>
      <c r="G328" s="40" t="s">
        <v>420</v>
      </c>
      <c r="H328" s="39" t="s">
        <v>383</v>
      </c>
      <c r="I328" s="43">
        <v>10401005027</v>
      </c>
      <c r="J328" s="42">
        <v>41498</v>
      </c>
      <c r="K328" s="42"/>
      <c r="L328" s="42">
        <v>42095</v>
      </c>
      <c r="M328" s="44">
        <v>559</v>
      </c>
      <c r="N328" s="40" t="s">
        <v>16</v>
      </c>
      <c r="O328" s="44">
        <v>738</v>
      </c>
      <c r="P328" s="44">
        <v>738</v>
      </c>
      <c r="Q328" s="44">
        <f>P328-M328</f>
        <v>179</v>
      </c>
      <c r="R328" s="29">
        <f t="shared" si="47"/>
        <v>2148</v>
      </c>
      <c r="S328" s="29">
        <f t="shared" si="56"/>
        <v>0</v>
      </c>
      <c r="T328" s="65">
        <f t="shared" ca="1" si="48"/>
        <v>22.14</v>
      </c>
      <c r="U328" s="29">
        <f t="shared" si="49"/>
        <v>120</v>
      </c>
      <c r="V328" s="29">
        <f t="shared" si="50"/>
        <v>960</v>
      </c>
      <c r="W328" s="44">
        <f t="shared" si="51"/>
        <v>48</v>
      </c>
      <c r="X328" s="29">
        <f t="shared" si="52"/>
        <v>169</v>
      </c>
      <c r="Y328" s="29">
        <f t="shared" ca="1" si="53"/>
        <v>3646.14</v>
      </c>
      <c r="Z328" s="75"/>
      <c r="AA328" s="66">
        <f t="shared" ca="1" si="54"/>
        <v>1</v>
      </c>
      <c r="AB328" s="19"/>
      <c r="AC328" s="19"/>
      <c r="AD328" s="19"/>
      <c r="AE328" s="19"/>
    </row>
    <row r="329" spans="1:31 16376:16376" s="18" customFormat="1" ht="16.5" customHeight="1" x14ac:dyDescent="0.2">
      <c r="A329" s="39">
        <f t="shared" si="55"/>
        <v>326</v>
      </c>
      <c r="B329" s="40" t="s">
        <v>297</v>
      </c>
      <c r="C329" s="41">
        <v>1104465412</v>
      </c>
      <c r="D329" s="42">
        <v>30891</v>
      </c>
      <c r="E329" s="40" t="s">
        <v>16</v>
      </c>
      <c r="F329" s="40" t="s">
        <v>387</v>
      </c>
      <c r="G329" s="40" t="s">
        <v>401</v>
      </c>
      <c r="H329" s="39" t="s">
        <v>383</v>
      </c>
      <c r="I329" s="43">
        <v>409568262</v>
      </c>
      <c r="J329" s="42">
        <v>41512</v>
      </c>
      <c r="K329" s="42"/>
      <c r="L329" s="42">
        <v>41512</v>
      </c>
      <c r="M329" s="44">
        <v>559</v>
      </c>
      <c r="N329" s="40" t="s">
        <v>16</v>
      </c>
      <c r="O329" s="44">
        <v>738</v>
      </c>
      <c r="P329" s="44">
        <v>738</v>
      </c>
      <c r="Q329" s="44">
        <f>P329-M329</f>
        <v>179</v>
      </c>
      <c r="R329" s="29">
        <f t="shared" si="47"/>
        <v>2148</v>
      </c>
      <c r="S329" s="29">
        <f t="shared" si="56"/>
        <v>0</v>
      </c>
      <c r="T329" s="65">
        <f t="shared" ca="1" si="48"/>
        <v>66.42</v>
      </c>
      <c r="U329" s="29">
        <f t="shared" si="49"/>
        <v>120</v>
      </c>
      <c r="V329" s="29">
        <f t="shared" si="50"/>
        <v>960</v>
      </c>
      <c r="W329" s="44">
        <f t="shared" si="51"/>
        <v>48</v>
      </c>
      <c r="X329" s="29">
        <f t="shared" si="52"/>
        <v>169</v>
      </c>
      <c r="Y329" s="29">
        <f t="shared" ca="1" si="53"/>
        <v>3690.42</v>
      </c>
      <c r="Z329" s="75"/>
      <c r="AA329" s="66">
        <f t="shared" ca="1" si="54"/>
        <v>3</v>
      </c>
      <c r="AB329" s="19"/>
      <c r="AC329" s="19"/>
      <c r="AD329" s="19"/>
      <c r="AE329" s="19"/>
    </row>
    <row r="330" spans="1:31 16376:16376" s="18" customFormat="1" ht="16.5" customHeight="1" x14ac:dyDescent="0.2">
      <c r="A330" s="39">
        <f t="shared" si="55"/>
        <v>327</v>
      </c>
      <c r="B330" s="40" t="s">
        <v>112</v>
      </c>
      <c r="C330" s="41">
        <v>703949487</v>
      </c>
      <c r="D330" s="42">
        <v>30170</v>
      </c>
      <c r="E330" s="40" t="s">
        <v>113</v>
      </c>
      <c r="F330" s="40" t="s">
        <v>387</v>
      </c>
      <c r="G330" s="40" t="s">
        <v>417</v>
      </c>
      <c r="H330" s="39" t="s">
        <v>383</v>
      </c>
      <c r="I330" s="43">
        <v>406012636004</v>
      </c>
      <c r="J330" s="42">
        <v>41514</v>
      </c>
      <c r="K330" s="42"/>
      <c r="L330" s="42">
        <v>41514</v>
      </c>
      <c r="M330" s="44">
        <v>559</v>
      </c>
      <c r="N330" s="40" t="s">
        <v>113</v>
      </c>
      <c r="O330" s="44">
        <v>738</v>
      </c>
      <c r="P330" s="44">
        <v>738</v>
      </c>
      <c r="Q330" s="44">
        <f>P330-M330</f>
        <v>179</v>
      </c>
      <c r="R330" s="29">
        <f t="shared" si="47"/>
        <v>2148</v>
      </c>
      <c r="S330" s="29">
        <f t="shared" si="56"/>
        <v>0</v>
      </c>
      <c r="T330" s="65">
        <f t="shared" ca="1" si="48"/>
        <v>66.42</v>
      </c>
      <c r="U330" s="29">
        <f t="shared" si="49"/>
        <v>120</v>
      </c>
      <c r="V330" s="29">
        <f t="shared" si="50"/>
        <v>960</v>
      </c>
      <c r="W330" s="44">
        <f t="shared" si="51"/>
        <v>48</v>
      </c>
      <c r="X330" s="29">
        <f t="shared" si="52"/>
        <v>169</v>
      </c>
      <c r="Y330" s="29">
        <f t="shared" ca="1" si="53"/>
        <v>3690.42</v>
      </c>
      <c r="Z330" s="75"/>
      <c r="AA330" s="66">
        <f t="shared" ca="1" si="54"/>
        <v>3</v>
      </c>
      <c r="AB330" s="19"/>
      <c r="AC330" s="19"/>
      <c r="AD330" s="19"/>
      <c r="AE330" s="19"/>
      <c r="XEV330" s="17"/>
    </row>
    <row r="331" spans="1:31 16376:16376" s="18" customFormat="1" ht="16.5" customHeight="1" x14ac:dyDescent="0.2">
      <c r="A331" s="39">
        <f t="shared" si="55"/>
        <v>328</v>
      </c>
      <c r="B331" s="40" t="s">
        <v>115</v>
      </c>
      <c r="C331" s="41">
        <v>1104056922</v>
      </c>
      <c r="D331" s="42">
        <v>30747</v>
      </c>
      <c r="E331" s="40" t="s">
        <v>113</v>
      </c>
      <c r="F331" s="40" t="s">
        <v>387</v>
      </c>
      <c r="G331" s="40" t="s">
        <v>417</v>
      </c>
      <c r="H331" s="39" t="s">
        <v>383</v>
      </c>
      <c r="I331" s="43">
        <v>406048226201</v>
      </c>
      <c r="J331" s="42">
        <v>41533</v>
      </c>
      <c r="K331" s="42"/>
      <c r="L331" s="42">
        <v>41533</v>
      </c>
      <c r="M331" s="44">
        <v>559</v>
      </c>
      <c r="N331" s="40" t="s">
        <v>113</v>
      </c>
      <c r="O331" s="44">
        <v>738</v>
      </c>
      <c r="P331" s="44">
        <v>738</v>
      </c>
      <c r="Q331" s="44">
        <f>P331-M331</f>
        <v>179</v>
      </c>
      <c r="R331" s="29">
        <f t="shared" si="47"/>
        <v>2148</v>
      </c>
      <c r="S331" s="29">
        <f t="shared" si="56"/>
        <v>0</v>
      </c>
      <c r="T331" s="65">
        <f t="shared" ca="1" si="48"/>
        <v>66.42</v>
      </c>
      <c r="U331" s="29">
        <f t="shared" si="49"/>
        <v>120</v>
      </c>
      <c r="V331" s="29">
        <f t="shared" si="50"/>
        <v>960</v>
      </c>
      <c r="W331" s="44">
        <f t="shared" si="51"/>
        <v>48</v>
      </c>
      <c r="X331" s="29">
        <f t="shared" si="52"/>
        <v>169</v>
      </c>
      <c r="Y331" s="29">
        <f t="shared" ca="1" si="53"/>
        <v>3690.42</v>
      </c>
      <c r="Z331" s="75"/>
      <c r="AA331" s="66">
        <f t="shared" ca="1" si="54"/>
        <v>3</v>
      </c>
      <c r="AB331" s="19"/>
      <c r="AC331" s="19"/>
      <c r="AD331" s="19"/>
      <c r="AE331" s="19"/>
    </row>
    <row r="332" spans="1:31 16376:16376" s="18" customFormat="1" ht="16.5" customHeight="1" x14ac:dyDescent="0.2">
      <c r="A332" s="45">
        <f t="shared" si="55"/>
        <v>329</v>
      </c>
      <c r="B332" s="46" t="s">
        <v>278</v>
      </c>
      <c r="C332" s="47">
        <v>705191369</v>
      </c>
      <c r="D332" s="48">
        <v>31920</v>
      </c>
      <c r="E332" s="46" t="s">
        <v>279</v>
      </c>
      <c r="F332" s="46" t="s">
        <v>385</v>
      </c>
      <c r="G332" s="46" t="s">
        <v>418</v>
      </c>
      <c r="H332" s="45" t="s">
        <v>383</v>
      </c>
      <c r="I332" s="49">
        <v>380301007532</v>
      </c>
      <c r="J332" s="48">
        <v>41477</v>
      </c>
      <c r="K332" s="48"/>
      <c r="L332" s="48">
        <v>41477</v>
      </c>
      <c r="M332" s="50">
        <v>559</v>
      </c>
      <c r="N332" s="46" t="s">
        <v>441</v>
      </c>
      <c r="O332" s="50">
        <v>738</v>
      </c>
      <c r="P332" s="50">
        <v>738</v>
      </c>
      <c r="Q332" s="50">
        <f>P332-M332</f>
        <v>179</v>
      </c>
      <c r="R332" s="50">
        <f t="shared" si="47"/>
        <v>2148</v>
      </c>
      <c r="S332" s="50">
        <f t="shared" si="56"/>
        <v>0</v>
      </c>
      <c r="T332" s="76">
        <f t="shared" ca="1" si="48"/>
        <v>66.42</v>
      </c>
      <c r="U332" s="50">
        <f t="shared" si="49"/>
        <v>120</v>
      </c>
      <c r="V332" s="50">
        <f t="shared" si="50"/>
        <v>960</v>
      </c>
      <c r="W332" s="50">
        <f t="shared" si="51"/>
        <v>48</v>
      </c>
      <c r="X332" s="50">
        <f t="shared" si="52"/>
        <v>169</v>
      </c>
      <c r="Y332" s="50">
        <f t="shared" ca="1" si="53"/>
        <v>3690.42</v>
      </c>
      <c r="Z332" s="77"/>
      <c r="AA332" s="66">
        <f t="shared" ca="1" si="54"/>
        <v>3</v>
      </c>
      <c r="AB332" s="19"/>
      <c r="AC332" s="19"/>
      <c r="AD332" s="19"/>
      <c r="AE332" s="19"/>
    </row>
    <row r="333" spans="1:31 16376:16376" s="18" customFormat="1" ht="16.5" customHeight="1" x14ac:dyDescent="0.2">
      <c r="A333" s="45">
        <f t="shared" si="55"/>
        <v>330</v>
      </c>
      <c r="B333" s="46" t="s">
        <v>356</v>
      </c>
      <c r="C333" s="47">
        <v>703366823</v>
      </c>
      <c r="D333" s="48">
        <v>27022</v>
      </c>
      <c r="E333" s="46" t="s">
        <v>357</v>
      </c>
      <c r="F333" s="46" t="s">
        <v>392</v>
      </c>
      <c r="G333" s="46" t="s">
        <v>417</v>
      </c>
      <c r="H333" s="45" t="s">
        <v>383</v>
      </c>
      <c r="I333" s="49">
        <v>406015097104</v>
      </c>
      <c r="J333" s="48">
        <v>42165</v>
      </c>
      <c r="K333" s="48"/>
      <c r="L333" s="48">
        <v>42165</v>
      </c>
      <c r="M333" s="50">
        <v>612</v>
      </c>
      <c r="N333" s="46"/>
      <c r="O333" s="50"/>
      <c r="P333" s="50">
        <v>612</v>
      </c>
      <c r="Q333" s="50">
        <f>P333-M333</f>
        <v>0</v>
      </c>
      <c r="R333" s="50">
        <f t="shared" si="47"/>
        <v>0</v>
      </c>
      <c r="S333" s="50">
        <f t="shared" si="56"/>
        <v>0</v>
      </c>
      <c r="T333" s="76">
        <f t="shared" ca="1" si="48"/>
        <v>18.36</v>
      </c>
      <c r="U333" s="50">
        <f t="shared" si="49"/>
        <v>120</v>
      </c>
      <c r="V333" s="50">
        <f t="shared" si="50"/>
        <v>960</v>
      </c>
      <c r="W333" s="50">
        <f t="shared" si="51"/>
        <v>48</v>
      </c>
      <c r="X333" s="50">
        <f t="shared" si="52"/>
        <v>169</v>
      </c>
      <c r="Y333" s="50">
        <f t="shared" ca="1" si="53"/>
        <v>1315.3600000000001</v>
      </c>
      <c r="Z333" s="77"/>
      <c r="AA333" s="66">
        <f t="shared" ca="1" si="54"/>
        <v>1</v>
      </c>
      <c r="AB333" s="19"/>
      <c r="AC333" s="19"/>
      <c r="AD333" s="19"/>
      <c r="AE333" s="19"/>
    </row>
    <row r="334" spans="1:31 16376:16376" s="18" customFormat="1" ht="16.5" customHeight="1" x14ac:dyDescent="0.2">
      <c r="A334" s="39">
        <f t="shared" si="55"/>
        <v>331</v>
      </c>
      <c r="B334" s="40" t="s">
        <v>193</v>
      </c>
      <c r="C334" s="41">
        <v>700188915</v>
      </c>
      <c r="D334" s="42">
        <v>17481</v>
      </c>
      <c r="E334" s="40" t="s">
        <v>33</v>
      </c>
      <c r="F334" s="40" t="s">
        <v>385</v>
      </c>
      <c r="G334" s="40" t="s">
        <v>384</v>
      </c>
      <c r="H334" s="39" t="s">
        <v>383</v>
      </c>
      <c r="I334" s="43">
        <v>130046550</v>
      </c>
      <c r="J334" s="42">
        <v>25090</v>
      </c>
      <c r="K334" s="42"/>
      <c r="L334" s="42">
        <v>25090</v>
      </c>
      <c r="M334" s="44">
        <v>609.75</v>
      </c>
      <c r="N334" s="40" t="s">
        <v>33</v>
      </c>
      <c r="O334" s="44">
        <v>561</v>
      </c>
      <c r="P334" s="44">
        <v>609.75</v>
      </c>
      <c r="Q334" s="44">
        <f>P334-M334</f>
        <v>0</v>
      </c>
      <c r="R334" s="29">
        <f t="shared" si="47"/>
        <v>0</v>
      </c>
      <c r="S334" s="29">
        <f t="shared" si="56"/>
        <v>0</v>
      </c>
      <c r="T334" s="65">
        <f t="shared" ca="1" si="48"/>
        <v>219.51</v>
      </c>
      <c r="U334" s="29">
        <f t="shared" si="49"/>
        <v>120</v>
      </c>
      <c r="V334" s="29">
        <f t="shared" si="50"/>
        <v>960</v>
      </c>
      <c r="W334" s="44">
        <f t="shared" si="51"/>
        <v>48</v>
      </c>
      <c r="X334" s="29">
        <f t="shared" si="52"/>
        <v>169</v>
      </c>
      <c r="Y334" s="29">
        <f t="shared" ca="1" si="53"/>
        <v>1516.51</v>
      </c>
      <c r="Z334" s="75"/>
      <c r="AA334" s="66">
        <f t="shared" ca="1" si="54"/>
        <v>12</v>
      </c>
      <c r="AB334" s="19"/>
      <c r="AC334" s="19"/>
      <c r="AD334" s="19"/>
      <c r="AE334" s="19"/>
    </row>
    <row r="335" spans="1:31 16376:16376" s="18" customFormat="1" ht="16.5" customHeight="1" x14ac:dyDescent="0.2">
      <c r="A335" s="39">
        <f t="shared" si="55"/>
        <v>332</v>
      </c>
      <c r="B335" s="40" t="s">
        <v>99</v>
      </c>
      <c r="C335" s="41">
        <v>702108507</v>
      </c>
      <c r="D335" s="42">
        <v>20705</v>
      </c>
      <c r="E335" s="40" t="s">
        <v>100</v>
      </c>
      <c r="F335" s="40" t="s">
        <v>422</v>
      </c>
      <c r="G335" s="40" t="s">
        <v>384</v>
      </c>
      <c r="H335" s="39" t="s">
        <v>383</v>
      </c>
      <c r="I335" s="43">
        <v>1010378164</v>
      </c>
      <c r="J335" s="42">
        <v>32559</v>
      </c>
      <c r="K335" s="42"/>
      <c r="L335" s="42">
        <v>32559</v>
      </c>
      <c r="M335" s="44">
        <v>545.57000000000005</v>
      </c>
      <c r="N335" s="40" t="s">
        <v>100</v>
      </c>
      <c r="O335" s="44">
        <v>578</v>
      </c>
      <c r="P335" s="44">
        <v>578</v>
      </c>
      <c r="Q335" s="44">
        <f>P335-M335</f>
        <v>32.42999999999995</v>
      </c>
      <c r="R335" s="29">
        <f t="shared" si="47"/>
        <v>389.1599999999994</v>
      </c>
      <c r="S335" s="29">
        <f t="shared" si="56"/>
        <v>0</v>
      </c>
      <c r="T335" s="65">
        <f t="shared" ca="1" si="48"/>
        <v>208.07999999999998</v>
      </c>
      <c r="U335" s="29">
        <f t="shared" si="49"/>
        <v>120</v>
      </c>
      <c r="V335" s="29">
        <f t="shared" si="50"/>
        <v>960</v>
      </c>
      <c r="W335" s="44">
        <f t="shared" si="51"/>
        <v>48</v>
      </c>
      <c r="X335" s="29">
        <f t="shared" si="52"/>
        <v>169</v>
      </c>
      <c r="Y335" s="29">
        <f t="shared" ca="1" si="53"/>
        <v>1926.6699999999994</v>
      </c>
      <c r="Z335" s="75"/>
      <c r="AA335" s="66">
        <f t="shared" ca="1" si="54"/>
        <v>12</v>
      </c>
      <c r="AB335" s="19"/>
      <c r="AC335" s="19"/>
      <c r="AD335" s="19"/>
      <c r="AE335" s="19"/>
    </row>
    <row r="336" spans="1:31 16376:16376" s="18" customFormat="1" ht="16.5" customHeight="1" x14ac:dyDescent="0.2">
      <c r="A336" s="39">
        <f t="shared" si="55"/>
        <v>333</v>
      </c>
      <c r="B336" s="40" t="s">
        <v>71</v>
      </c>
      <c r="C336" s="41">
        <v>704608561</v>
      </c>
      <c r="D336" s="42">
        <v>31507</v>
      </c>
      <c r="E336" s="40" t="s">
        <v>72</v>
      </c>
      <c r="F336" s="40" t="s">
        <v>421</v>
      </c>
      <c r="G336" s="40" t="s">
        <v>384</v>
      </c>
      <c r="H336" s="39" t="s">
        <v>383</v>
      </c>
      <c r="I336" s="43">
        <v>1320031040</v>
      </c>
      <c r="J336" s="42">
        <v>41031</v>
      </c>
      <c r="K336" s="42"/>
      <c r="L336" s="42">
        <v>41031</v>
      </c>
      <c r="M336" s="44">
        <v>600</v>
      </c>
      <c r="N336" s="40" t="s">
        <v>72</v>
      </c>
      <c r="O336" s="44">
        <v>773</v>
      </c>
      <c r="P336" s="44">
        <v>773</v>
      </c>
      <c r="Q336" s="44">
        <f>P336-M336</f>
        <v>173</v>
      </c>
      <c r="R336" s="29">
        <f t="shared" si="47"/>
        <v>2076</v>
      </c>
      <c r="S336" s="29">
        <f t="shared" si="56"/>
        <v>0</v>
      </c>
      <c r="T336" s="65">
        <f t="shared" ca="1" si="48"/>
        <v>92.76</v>
      </c>
      <c r="U336" s="29">
        <f t="shared" si="49"/>
        <v>120</v>
      </c>
      <c r="V336" s="29">
        <f t="shared" si="50"/>
        <v>960</v>
      </c>
      <c r="W336" s="44">
        <f t="shared" si="51"/>
        <v>48</v>
      </c>
      <c r="X336" s="29">
        <f t="shared" si="52"/>
        <v>169</v>
      </c>
      <c r="Y336" s="29">
        <f t="shared" ca="1" si="53"/>
        <v>3638.76</v>
      </c>
      <c r="Z336" s="75"/>
      <c r="AA336" s="66">
        <f t="shared" ca="1" si="54"/>
        <v>4</v>
      </c>
      <c r="AB336" s="19"/>
      <c r="AC336" s="19"/>
      <c r="AD336" s="19"/>
      <c r="AE336" s="19"/>
    </row>
    <row r="337" spans="1:31" s="18" customFormat="1" ht="16.5" customHeight="1" x14ac:dyDescent="0.2">
      <c r="A337" s="39">
        <f t="shared" si="55"/>
        <v>334</v>
      </c>
      <c r="B337" s="40" t="s">
        <v>228</v>
      </c>
      <c r="C337" s="41">
        <v>704533785</v>
      </c>
      <c r="D337" s="42">
        <v>30795</v>
      </c>
      <c r="E337" s="40" t="s">
        <v>229</v>
      </c>
      <c r="F337" s="40" t="s">
        <v>385</v>
      </c>
      <c r="G337" s="40" t="s">
        <v>386</v>
      </c>
      <c r="H337" s="39" t="s">
        <v>383</v>
      </c>
      <c r="I337" s="43">
        <v>3463384200</v>
      </c>
      <c r="J337" s="42">
        <v>42265</v>
      </c>
      <c r="K337" s="42"/>
      <c r="L337" s="42">
        <v>42265</v>
      </c>
      <c r="M337" s="44">
        <v>733</v>
      </c>
      <c r="N337" s="40" t="s">
        <v>229</v>
      </c>
      <c r="O337" s="44">
        <v>826</v>
      </c>
      <c r="P337" s="44">
        <v>826</v>
      </c>
      <c r="Q337" s="44">
        <f>P337-M337</f>
        <v>93</v>
      </c>
      <c r="R337" s="29">
        <f t="shared" si="47"/>
        <v>1116</v>
      </c>
      <c r="S337" s="29">
        <f t="shared" si="56"/>
        <v>0</v>
      </c>
      <c r="T337" s="65">
        <f t="shared" ca="1" si="48"/>
        <v>24.78</v>
      </c>
      <c r="U337" s="29">
        <f t="shared" si="49"/>
        <v>120</v>
      </c>
      <c r="V337" s="29">
        <f t="shared" si="50"/>
        <v>960</v>
      </c>
      <c r="W337" s="44">
        <f t="shared" si="51"/>
        <v>48</v>
      </c>
      <c r="X337" s="29">
        <f t="shared" si="52"/>
        <v>169</v>
      </c>
      <c r="Y337" s="29">
        <f t="shared" ca="1" si="53"/>
        <v>2530.7799999999997</v>
      </c>
      <c r="Z337" s="75"/>
      <c r="AA337" s="66">
        <f t="shared" ca="1" si="54"/>
        <v>1</v>
      </c>
      <c r="AB337" s="19"/>
      <c r="AC337" s="19"/>
      <c r="AD337" s="19"/>
      <c r="AE337" s="19"/>
    </row>
    <row r="338" spans="1:31" s="18" customFormat="1" ht="16.5" customHeight="1" x14ac:dyDescent="0.2">
      <c r="A338" s="39">
        <f t="shared" si="55"/>
        <v>335</v>
      </c>
      <c r="B338" s="26" t="s">
        <v>129</v>
      </c>
      <c r="C338" s="27">
        <v>704436948</v>
      </c>
      <c r="D338" s="28">
        <v>34358</v>
      </c>
      <c r="E338" s="26" t="s">
        <v>130</v>
      </c>
      <c r="F338" s="26" t="s">
        <v>385</v>
      </c>
      <c r="G338" s="26" t="s">
        <v>417</v>
      </c>
      <c r="H338" s="64" t="s">
        <v>383</v>
      </c>
      <c r="I338" s="32">
        <v>406065739409</v>
      </c>
      <c r="J338" s="28">
        <v>42278</v>
      </c>
      <c r="K338" s="28"/>
      <c r="L338" s="28">
        <v>42278</v>
      </c>
      <c r="M338" s="29">
        <v>578</v>
      </c>
      <c r="N338" s="26" t="s">
        <v>451</v>
      </c>
      <c r="O338" s="29">
        <v>578</v>
      </c>
      <c r="P338" s="29">
        <v>578</v>
      </c>
      <c r="Q338" s="29">
        <f>P338-M338</f>
        <v>0</v>
      </c>
      <c r="R338" s="29">
        <f t="shared" si="47"/>
        <v>0</v>
      </c>
      <c r="S338" s="29">
        <f t="shared" si="56"/>
        <v>0</v>
      </c>
      <c r="T338" s="65">
        <f t="shared" ca="1" si="48"/>
        <v>17.34</v>
      </c>
      <c r="U338" s="29">
        <f t="shared" si="49"/>
        <v>120</v>
      </c>
      <c r="V338" s="29">
        <f t="shared" si="50"/>
        <v>960</v>
      </c>
      <c r="W338" s="29">
        <f t="shared" si="51"/>
        <v>48</v>
      </c>
      <c r="X338" s="29">
        <f t="shared" si="52"/>
        <v>169</v>
      </c>
      <c r="Y338" s="29">
        <f t="shared" ca="1" si="53"/>
        <v>1314.34</v>
      </c>
      <c r="Z338" s="75"/>
      <c r="AA338" s="66">
        <f t="shared" ca="1" si="54"/>
        <v>1</v>
      </c>
      <c r="AB338" s="19"/>
      <c r="AC338" s="19"/>
      <c r="AD338" s="19"/>
      <c r="AE338" s="19"/>
    </row>
    <row r="339" spans="1:31" s="18" customFormat="1" ht="16.5" customHeight="1" x14ac:dyDescent="0.2">
      <c r="A339" s="52"/>
      <c r="B339" s="53" t="s">
        <v>452</v>
      </c>
      <c r="C339" s="54"/>
      <c r="D339" s="55"/>
      <c r="E339" s="55"/>
      <c r="F339" s="55"/>
      <c r="G339" s="55"/>
      <c r="H339" s="52"/>
      <c r="I339" s="56"/>
      <c r="J339" s="55"/>
      <c r="K339" s="55"/>
      <c r="L339" s="55"/>
      <c r="M339" s="57"/>
      <c r="N339" s="55"/>
      <c r="O339" s="57"/>
      <c r="P339" s="57"/>
      <c r="Q339" s="57"/>
      <c r="R339" s="58">
        <f>SUM(R4:R338)</f>
        <v>526326.66</v>
      </c>
      <c r="S339" s="58">
        <f>SUM(S4:S338)</f>
        <v>7993.4400000000087</v>
      </c>
      <c r="T339" s="58">
        <f ca="1">SUM(T4:T338)</f>
        <v>41885.718000000023</v>
      </c>
      <c r="U339" s="58">
        <f>SUM(U4:U338)</f>
        <v>40140</v>
      </c>
      <c r="V339" s="58">
        <f>SUM(V4:V338)</f>
        <v>321120</v>
      </c>
      <c r="W339" s="58">
        <f>SUM(W4:W338)</f>
        <v>16056</v>
      </c>
      <c r="X339" s="58">
        <f>SUM(X4:X338)</f>
        <v>56615</v>
      </c>
      <c r="Y339" s="58">
        <f ca="1">SUM(Y4:Y338)</f>
        <v>1054541.2780000006</v>
      </c>
      <c r="Z339" s="75"/>
      <c r="AA339" s="67"/>
      <c r="AB339" s="19"/>
      <c r="AC339" s="19"/>
      <c r="AD339" s="19"/>
      <c r="AE339" s="19"/>
    </row>
    <row r="340" spans="1:31" s="18" customFormat="1" x14ac:dyDescent="0.2">
      <c r="A340" s="59"/>
      <c r="B340" s="11"/>
      <c r="C340" s="60"/>
      <c r="D340" s="11"/>
      <c r="E340" s="11"/>
      <c r="F340" s="11"/>
      <c r="G340" s="11"/>
      <c r="H340" s="59"/>
      <c r="I340" s="61"/>
      <c r="J340" s="11"/>
      <c r="K340" s="11"/>
      <c r="L340" s="11"/>
      <c r="M340" s="62"/>
      <c r="N340" s="11"/>
      <c r="O340" s="62"/>
      <c r="P340" s="62"/>
      <c r="Q340" s="62"/>
      <c r="R340" s="19"/>
      <c r="S340" s="19"/>
      <c r="T340" s="19"/>
      <c r="U340" s="19"/>
      <c r="V340" s="19"/>
      <c r="W340" s="62"/>
      <c r="X340" s="19"/>
      <c r="Y340" s="19"/>
      <c r="Z340" s="31"/>
      <c r="AA340" s="68"/>
      <c r="AB340" s="19"/>
      <c r="AC340" s="19"/>
      <c r="AD340" s="19"/>
      <c r="AE340" s="19"/>
    </row>
  </sheetData>
  <sortState ref="B3:Q337">
    <sortCondition ref="E3:E337"/>
  </sortState>
  <mergeCells count="21">
    <mergeCell ref="D2:D3"/>
    <mergeCell ref="Y2:Y3"/>
    <mergeCell ref="Z2:Z3"/>
    <mergeCell ref="AA2:AA3"/>
    <mergeCell ref="R2:R3"/>
    <mergeCell ref="O2:O3"/>
    <mergeCell ref="E2:E3"/>
    <mergeCell ref="F2:F3"/>
    <mergeCell ref="K2:K3"/>
    <mergeCell ref="I2:I3"/>
    <mergeCell ref="G2:G3"/>
    <mergeCell ref="A2:A3"/>
    <mergeCell ref="B2:B3"/>
    <mergeCell ref="M2:M3"/>
    <mergeCell ref="N2:N3"/>
    <mergeCell ref="P2:P3"/>
    <mergeCell ref="Q2:Q3"/>
    <mergeCell ref="H2:H3"/>
    <mergeCell ref="J2:J3"/>
    <mergeCell ref="L2:L3"/>
    <mergeCell ref="C2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Titan Ultimate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Cabanilla</dc:creator>
  <cp:lastModifiedBy>Laura Cabanilla</cp:lastModifiedBy>
  <dcterms:created xsi:type="dcterms:W3CDTF">2016-12-08T21:37:19Z</dcterms:created>
  <dcterms:modified xsi:type="dcterms:W3CDTF">2016-12-09T19:47:53Z</dcterms:modified>
</cp:coreProperties>
</file>