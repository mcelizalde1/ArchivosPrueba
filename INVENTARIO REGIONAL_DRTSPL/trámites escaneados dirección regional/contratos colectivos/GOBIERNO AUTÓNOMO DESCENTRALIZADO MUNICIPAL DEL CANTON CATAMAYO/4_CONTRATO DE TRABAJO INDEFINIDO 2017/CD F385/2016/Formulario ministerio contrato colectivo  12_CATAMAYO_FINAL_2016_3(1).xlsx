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is Documentos\CONTRATO COLECTIVO\FORMULARIOS 12 CONTRATO COLECTIVO MIN FINANZA_2016\2016\"/>
    </mc:Choice>
  </mc:AlternateContent>
  <bookViews>
    <workbookView xWindow="0" yWindow="0" windowWidth="16995" windowHeight="8280" tabRatio="685" activeTab="3"/>
  </bookViews>
  <sheets>
    <sheet name="FORMULARIO 1" sheetId="21" r:id="rId1"/>
    <sheet name="FORMULARIO 2" sheetId="20" r:id="rId2"/>
    <sheet name="FORMULARIO 3" sheetId="23" r:id="rId3"/>
    <sheet name="FORMULARIO 4" sheetId="24" r:id="rId4"/>
    <sheet name="Hoja2" sheetId="26" state="hidden" r:id="rId5"/>
  </sheets>
  <definedNames>
    <definedName name="_xlnm.Print_Area" localSheetId="0">'FORMULARIO 1'!$A$1:$E$50</definedName>
    <definedName name="_xlnm.Print_Area" localSheetId="1">'FORMULARIO 2'!$A$1:$E$55</definedName>
  </definedNames>
  <calcPr calcId="152511"/>
</workbook>
</file>

<file path=xl/calcChain.xml><?xml version="1.0" encoding="utf-8"?>
<calcChain xmlns="http://schemas.openxmlformats.org/spreadsheetml/2006/main">
  <c r="F118" i="24" l="1"/>
  <c r="G118" i="24" s="1"/>
  <c r="H118" i="24" s="1"/>
  <c r="I118" i="24" s="1"/>
  <c r="F107" i="24"/>
  <c r="G107" i="24" s="1"/>
  <c r="H107" i="24" s="1"/>
  <c r="I107" i="24" s="1"/>
  <c r="F106" i="24"/>
  <c r="G106" i="24" s="1"/>
  <c r="H106" i="24" s="1"/>
  <c r="I106" i="24" s="1"/>
  <c r="F104" i="24"/>
  <c r="G104" i="24" s="1"/>
  <c r="H104" i="24" s="1"/>
  <c r="I104" i="24" s="1"/>
  <c r="F103" i="24"/>
  <c r="G103" i="24" s="1"/>
  <c r="H103" i="24" s="1"/>
  <c r="I103" i="24" s="1"/>
  <c r="F98" i="24"/>
  <c r="G98" i="24" s="1"/>
  <c r="H98" i="24" s="1"/>
  <c r="I98" i="24" s="1"/>
  <c r="F97" i="24"/>
  <c r="G97" i="24" s="1"/>
  <c r="H97" i="24" s="1"/>
  <c r="I97" i="24" s="1"/>
  <c r="F94" i="24"/>
  <c r="G94" i="24" s="1"/>
  <c r="H94" i="24" s="1"/>
  <c r="I94" i="24" s="1"/>
  <c r="F92" i="24"/>
  <c r="G92" i="24" s="1"/>
  <c r="H92" i="24" s="1"/>
  <c r="I92" i="24" s="1"/>
  <c r="F91" i="24"/>
  <c r="G91" i="24" s="1"/>
  <c r="H91" i="24" s="1"/>
  <c r="I91" i="24" s="1"/>
  <c r="F90" i="24"/>
  <c r="G90" i="24" s="1"/>
  <c r="H90" i="24" s="1"/>
  <c r="I90" i="24" s="1"/>
  <c r="F89" i="24"/>
  <c r="G89" i="24" s="1"/>
  <c r="H89" i="24" s="1"/>
  <c r="I89" i="24" s="1"/>
  <c r="F88" i="24"/>
  <c r="G88" i="24" s="1"/>
  <c r="H88" i="24" s="1"/>
  <c r="I88" i="24" s="1"/>
  <c r="F87" i="24"/>
  <c r="G87" i="24" s="1"/>
  <c r="H87" i="24" s="1"/>
  <c r="I87" i="24" s="1"/>
  <c r="F84" i="24"/>
  <c r="G84" i="24" s="1"/>
  <c r="H84" i="24" s="1"/>
  <c r="I84" i="24" s="1"/>
  <c r="F83" i="24"/>
  <c r="G83" i="24" s="1"/>
  <c r="H83" i="24" s="1"/>
  <c r="I83" i="24" s="1"/>
  <c r="F82" i="24"/>
  <c r="G82" i="24" s="1"/>
  <c r="H82" i="24" s="1"/>
  <c r="I82" i="24" s="1"/>
  <c r="F81" i="24"/>
  <c r="G81" i="24" s="1"/>
  <c r="H81" i="24" s="1"/>
  <c r="I81" i="24" s="1"/>
  <c r="F80" i="24"/>
  <c r="G80" i="24" s="1"/>
  <c r="H80" i="24" s="1"/>
  <c r="I80" i="24" s="1"/>
  <c r="F79" i="24"/>
  <c r="G79" i="24" s="1"/>
  <c r="H79" i="24" s="1"/>
  <c r="I79" i="24" s="1"/>
  <c r="F78" i="24"/>
  <c r="G78" i="24" s="1"/>
  <c r="H78" i="24" s="1"/>
  <c r="I78" i="24" s="1"/>
  <c r="G75" i="24" l="1"/>
  <c r="H75" i="24" s="1"/>
  <c r="I75" i="24" s="1"/>
  <c r="G71" i="24"/>
  <c r="H71" i="24" s="1"/>
  <c r="I71" i="24" s="1"/>
  <c r="G70" i="24"/>
  <c r="F70" i="24"/>
  <c r="H69" i="24"/>
  <c r="I69" i="24" s="1"/>
  <c r="G69" i="24"/>
  <c r="G68" i="24"/>
  <c r="H68" i="24" s="1"/>
  <c r="I68" i="24" s="1"/>
  <c r="G66" i="24"/>
  <c r="H66" i="24" s="1"/>
  <c r="I66" i="24" s="1"/>
  <c r="G61" i="24"/>
  <c r="H61" i="24" s="1"/>
  <c r="I61" i="24" s="1"/>
  <c r="G60" i="24"/>
  <c r="H60" i="24" s="1"/>
  <c r="I60" i="24" s="1"/>
  <c r="G58" i="24"/>
  <c r="H58" i="24" s="1"/>
  <c r="I58" i="24" s="1"/>
  <c r="G57" i="24"/>
  <c r="H57" i="24" s="1"/>
  <c r="I57" i="24" s="1"/>
  <c r="G55" i="24"/>
  <c r="H55" i="24" s="1"/>
  <c r="I55" i="24" s="1"/>
  <c r="G54" i="24"/>
  <c r="H54" i="24" s="1"/>
  <c r="I54" i="24" s="1"/>
  <c r="G51" i="24"/>
  <c r="H51" i="24" s="1"/>
  <c r="I51" i="24" s="1"/>
  <c r="G50" i="24"/>
  <c r="H50" i="24" s="1"/>
  <c r="I50" i="24" s="1"/>
  <c r="H49" i="24"/>
  <c r="I49" i="24" s="1"/>
  <c r="G49" i="24"/>
  <c r="G48" i="24"/>
  <c r="H48" i="24" s="1"/>
  <c r="I48" i="24" s="1"/>
  <c r="G47" i="24"/>
  <c r="H47" i="24" s="1"/>
  <c r="I47" i="24" s="1"/>
  <c r="G46" i="24"/>
  <c r="H46" i="24" s="1"/>
  <c r="I46" i="24" s="1"/>
  <c r="G45" i="24"/>
  <c r="H45" i="24" s="1"/>
  <c r="I45" i="24" s="1"/>
  <c r="G44" i="24"/>
  <c r="H44" i="24" s="1"/>
  <c r="I44" i="24" s="1"/>
  <c r="H41" i="24"/>
  <c r="I41" i="24" s="1"/>
  <c r="G41" i="24"/>
  <c r="G40" i="24"/>
  <c r="H40" i="24" s="1"/>
  <c r="I40" i="24" s="1"/>
  <c r="H39" i="24"/>
  <c r="I39" i="24" s="1"/>
  <c r="G39" i="24"/>
  <c r="G36" i="24"/>
  <c r="H36" i="24" s="1"/>
  <c r="I36" i="24" s="1"/>
  <c r="G35" i="24"/>
  <c r="H35" i="24" s="1"/>
  <c r="I35" i="24" s="1"/>
  <c r="F124" i="24"/>
  <c r="F122" i="24"/>
  <c r="F114" i="24"/>
  <c r="F75" i="24"/>
  <c r="F71" i="24"/>
  <c r="F69" i="24"/>
  <c r="F68" i="24"/>
  <c r="F66" i="24"/>
  <c r="F61" i="24"/>
  <c r="F60" i="24"/>
  <c r="F58" i="24"/>
  <c r="F57" i="24"/>
  <c r="F55" i="24"/>
  <c r="F54" i="24"/>
  <c r="F51" i="24"/>
  <c r="F50" i="24"/>
  <c r="F49" i="24"/>
  <c r="F48" i="24"/>
  <c r="F47" i="24"/>
  <c r="F46" i="24"/>
  <c r="F45" i="24"/>
  <c r="F44" i="24"/>
  <c r="F41" i="24"/>
  <c r="F40" i="24"/>
  <c r="F39" i="24"/>
  <c r="F36" i="24"/>
  <c r="F35" i="24"/>
  <c r="F28" i="24"/>
  <c r="F26" i="24"/>
  <c r="F25" i="24"/>
  <c r="F22" i="24"/>
  <c r="F21" i="24"/>
  <c r="F19" i="24"/>
  <c r="F16" i="24"/>
  <c r="F14" i="24"/>
  <c r="F13" i="24"/>
  <c r="F12" i="24"/>
  <c r="F11" i="24"/>
  <c r="E107" i="24"/>
  <c r="E75" i="24"/>
  <c r="E97" i="24"/>
  <c r="E98" i="24"/>
  <c r="E103" i="24"/>
  <c r="E104" i="24"/>
  <c r="E94" i="24"/>
  <c r="D101" i="24"/>
  <c r="E92" i="24"/>
  <c r="E91" i="24"/>
  <c r="E90" i="24"/>
  <c r="E89" i="24"/>
  <c r="E88" i="24"/>
  <c r="E87" i="24"/>
  <c r="E84" i="24"/>
  <c r="E83" i="24"/>
  <c r="E82" i="24"/>
  <c r="E81" i="24"/>
  <c r="E80" i="24"/>
  <c r="E79" i="24"/>
  <c r="E78" i="24"/>
  <c r="E60" i="24"/>
  <c r="E58" i="24"/>
  <c r="E57" i="24"/>
  <c r="E106" i="24"/>
  <c r="E55" i="24"/>
  <c r="E51" i="24"/>
  <c r="E50" i="24"/>
  <c r="E49" i="24"/>
  <c r="E48" i="24"/>
  <c r="E47" i="24"/>
  <c r="E46" i="24"/>
  <c r="E45" i="24"/>
  <c r="E44" i="24"/>
  <c r="E41" i="24"/>
  <c r="E40" i="24"/>
  <c r="E39" i="24"/>
  <c r="E36" i="24"/>
  <c r="E35" i="24"/>
  <c r="E71" i="24"/>
  <c r="E116" i="24"/>
  <c r="E69" i="24"/>
  <c r="E68" i="24"/>
  <c r="D98" i="24"/>
  <c r="D97" i="24"/>
  <c r="D94" i="24"/>
  <c r="D91" i="24"/>
  <c r="D103" i="24"/>
  <c r="D90" i="24"/>
  <c r="D92" i="24"/>
  <c r="D84" i="24"/>
  <c r="D89" i="24"/>
  <c r="D88" i="24"/>
  <c r="D87" i="24"/>
  <c r="D83" i="24"/>
  <c r="D82" i="24"/>
  <c r="D79" i="24"/>
  <c r="D104" i="24"/>
  <c r="D106" i="24"/>
  <c r="D78" i="24"/>
  <c r="D75" i="24"/>
  <c r="D61" i="24"/>
  <c r="D60" i="24"/>
  <c r="D58" i="24"/>
  <c r="D57" i="24"/>
  <c r="D55" i="24"/>
  <c r="D54" i="24"/>
  <c r="D51" i="24"/>
  <c r="D50" i="24"/>
  <c r="D49" i="24"/>
  <c r="D48" i="24"/>
  <c r="D47" i="24"/>
  <c r="D46" i="24"/>
  <c r="D45" i="24"/>
  <c r="D44" i="24"/>
  <c r="D41" i="24"/>
  <c r="D40" i="24"/>
  <c r="D39" i="24"/>
  <c r="D36" i="24"/>
  <c r="D35" i="24"/>
  <c r="D114" i="24"/>
  <c r="D71" i="24"/>
  <c r="D70" i="24"/>
  <c r="D69" i="24"/>
  <c r="D68" i="24"/>
  <c r="C97" i="24"/>
  <c r="C87" i="24"/>
  <c r="C94" i="24"/>
  <c r="C98" i="24"/>
  <c r="C103" i="24"/>
  <c r="C92" i="24"/>
  <c r="C91" i="24"/>
  <c r="C106" i="24"/>
  <c r="C90" i="24"/>
  <c r="C89" i="24"/>
  <c r="C88" i="24"/>
  <c r="C83" i="24"/>
  <c r="C82" i="24"/>
  <c r="C79" i="24"/>
  <c r="C78" i="24"/>
  <c r="C61" i="24"/>
  <c r="C60" i="24"/>
  <c r="C107" i="24"/>
  <c r="C75" i="24"/>
  <c r="C104" i="24"/>
  <c r="C54" i="24"/>
  <c r="C58" i="24"/>
  <c r="C55" i="24"/>
  <c r="C57" i="24"/>
  <c r="C51" i="24"/>
  <c r="C50" i="24"/>
  <c r="C49" i="24"/>
  <c r="C48" i="24"/>
  <c r="C47" i="24"/>
  <c r="C45" i="24"/>
  <c r="C44" i="24"/>
  <c r="C46" i="24"/>
  <c r="C41" i="24"/>
  <c r="C40" i="24"/>
  <c r="C39" i="24"/>
  <c r="C36" i="24"/>
  <c r="C35" i="24"/>
  <c r="C68" i="24" l="1"/>
  <c r="C26" i="24"/>
  <c r="C25" i="24"/>
  <c r="C16" i="24"/>
  <c r="C12" i="24"/>
  <c r="G28" i="24"/>
  <c r="H28" i="24" s="1"/>
  <c r="I28" i="24" s="1"/>
  <c r="E28" i="24"/>
  <c r="D28" i="24"/>
  <c r="C28" i="24"/>
  <c r="H26" i="24"/>
  <c r="I26" i="24" s="1"/>
  <c r="G26" i="24"/>
  <c r="E26" i="24"/>
  <c r="D26" i="24"/>
  <c r="G25" i="24"/>
  <c r="H25" i="24" s="1"/>
  <c r="I25" i="24" s="1"/>
  <c r="E25" i="24"/>
  <c r="D25" i="24"/>
  <c r="G22" i="24"/>
  <c r="H22" i="24" s="1"/>
  <c r="I22" i="24" s="1"/>
  <c r="E22" i="24"/>
  <c r="D22" i="24"/>
  <c r="C22" i="24"/>
  <c r="G21" i="24"/>
  <c r="H21" i="24" s="1"/>
  <c r="I21" i="24" s="1"/>
  <c r="E21" i="24"/>
  <c r="D21" i="24"/>
  <c r="C21" i="24"/>
  <c r="G19" i="24"/>
  <c r="H19" i="24" s="1"/>
  <c r="I19" i="24" s="1"/>
  <c r="E19" i="24"/>
  <c r="D19" i="24"/>
  <c r="C19" i="24"/>
  <c r="G16" i="24"/>
  <c r="H16" i="24" s="1"/>
  <c r="I16" i="24" s="1"/>
  <c r="E16" i="24"/>
  <c r="D16" i="24"/>
  <c r="G14" i="24"/>
  <c r="H14" i="24" s="1"/>
  <c r="I14" i="24" s="1"/>
  <c r="D14" i="24"/>
  <c r="C14" i="24"/>
  <c r="G13" i="24"/>
  <c r="H13" i="24" s="1"/>
  <c r="I13" i="24" s="1"/>
  <c r="G12" i="24"/>
  <c r="H12" i="24" s="1"/>
  <c r="I12" i="24" s="1"/>
  <c r="E12" i="24"/>
  <c r="D12" i="24"/>
  <c r="G11" i="24"/>
  <c r="H11" i="24" s="1"/>
  <c r="I11" i="24" s="1"/>
  <c r="E11" i="24"/>
  <c r="D11" i="24"/>
  <c r="E114" i="24" l="1"/>
  <c r="I122" i="24" l="1"/>
  <c r="G114" i="24"/>
  <c r="H114" i="24" s="1"/>
  <c r="I114" i="24" s="1"/>
  <c r="D118" i="24"/>
  <c r="C118" i="24"/>
  <c r="I124" i="24"/>
  <c r="G119" i="24"/>
  <c r="F119" i="24"/>
  <c r="E119" i="24"/>
  <c r="D119" i="24"/>
  <c r="C119" i="24"/>
  <c r="C114" i="24"/>
  <c r="H72" i="24" l="1"/>
  <c r="I119" i="24"/>
  <c r="H119" i="24"/>
  <c r="E79" i="20" l="1"/>
  <c r="D38" i="20"/>
  <c r="C38" i="20"/>
  <c r="C26" i="20" l="1"/>
  <c r="D23" i="20"/>
  <c r="C23" i="20"/>
  <c r="D19" i="20"/>
  <c r="C19" i="20"/>
  <c r="D18" i="20"/>
  <c r="C18" i="20"/>
  <c r="D15" i="20"/>
  <c r="C15" i="20"/>
  <c r="C14" i="20"/>
  <c r="C11" i="20"/>
  <c r="D26" i="20" l="1"/>
  <c r="H70" i="24"/>
  <c r="I70" i="24" s="1"/>
  <c r="E111" i="24"/>
  <c r="E9" i="24"/>
  <c r="I64" i="24" l="1"/>
  <c r="I72" i="24"/>
  <c r="E126" i="24"/>
  <c r="E33" i="24"/>
  <c r="E63" i="24" s="1"/>
  <c r="G9" i="24"/>
  <c r="I9" i="24"/>
  <c r="H64" i="24"/>
  <c r="H109" i="24" s="1"/>
  <c r="G33" i="24"/>
  <c r="G111" i="24"/>
  <c r="F9" i="24"/>
  <c r="F33" i="24"/>
  <c r="G64" i="24"/>
  <c r="F111" i="24"/>
  <c r="G72" i="24"/>
  <c r="G109" i="24" l="1"/>
  <c r="I109" i="24"/>
  <c r="G128" i="24"/>
  <c r="F126" i="24"/>
  <c r="G126" i="24"/>
  <c r="G63" i="24"/>
  <c r="H9" i="24"/>
  <c r="H33" i="24"/>
  <c r="I33" i="24"/>
  <c r="I63" i="24" s="1"/>
  <c r="F63" i="24"/>
  <c r="H111" i="24"/>
  <c r="I111" i="24"/>
  <c r="G110" i="24" l="1"/>
  <c r="I110" i="24"/>
  <c r="I126" i="24"/>
  <c r="I128" i="24"/>
  <c r="H126" i="24"/>
  <c r="H128" i="24"/>
  <c r="H63" i="24"/>
  <c r="H110" i="24" s="1"/>
  <c r="D111" i="24"/>
  <c r="D64" i="24"/>
  <c r="C111" i="24"/>
  <c r="C64" i="24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F183" i="23"/>
  <c r="F182" i="23"/>
  <c r="F181" i="23"/>
  <c r="F180" i="23"/>
  <c r="F179" i="23"/>
  <c r="F178" i="23"/>
  <c r="F177" i="23"/>
  <c r="F176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63" i="23"/>
  <c r="F162" i="23"/>
  <c r="F161" i="23"/>
  <c r="F160" i="23"/>
  <c r="F159" i="23"/>
  <c r="F15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D126" i="24" l="1"/>
  <c r="D9" i="24"/>
  <c r="D128" i="24" s="1"/>
  <c r="D33" i="24"/>
  <c r="D72" i="24"/>
  <c r="D109" i="24" s="1"/>
  <c r="C72" i="24"/>
  <c r="C109" i="24" s="1"/>
  <c r="C33" i="24"/>
  <c r="C9" i="24"/>
  <c r="C128" i="24" s="1"/>
  <c r="D63" i="24" l="1"/>
  <c r="D110" i="24" s="1"/>
  <c r="B30" i="26"/>
  <c r="B29" i="26"/>
  <c r="B27" i="26"/>
  <c r="B26" i="26"/>
  <c r="B24" i="26"/>
  <c r="B23" i="26"/>
  <c r="B20" i="26"/>
  <c r="B19" i="26"/>
  <c r="B12" i="26" l="1"/>
  <c r="B11" i="26"/>
  <c r="C6" i="26" l="1"/>
  <c r="C4" i="26"/>
  <c r="C30" i="20" l="1"/>
  <c r="C29" i="20"/>
  <c r="C40" i="20" l="1"/>
  <c r="E72" i="24"/>
  <c r="B16" i="26"/>
  <c r="C126" i="24"/>
  <c r="C63" i="24"/>
  <c r="C110" i="24" s="1"/>
  <c r="G185" i="23"/>
  <c r="F185" i="23"/>
  <c r="D14" i="20" l="1"/>
  <c r="D11" i="20"/>
  <c r="C34" i="21"/>
  <c r="B15" i="26"/>
  <c r="C35" i="21" l="1"/>
  <c r="E64" i="24"/>
  <c r="E109" i="24" s="1"/>
  <c r="E110" i="24" s="1"/>
  <c r="D30" i="20"/>
  <c r="D29" i="20"/>
  <c r="F72" i="24" l="1"/>
  <c r="E128" i="24"/>
  <c r="D40" i="20"/>
  <c r="D41" i="20" l="1"/>
  <c r="D34" i="21"/>
  <c r="D35" i="21" l="1"/>
  <c r="D36" i="21" s="1"/>
  <c r="F64" i="24"/>
  <c r="F109" i="24" s="1"/>
  <c r="F110" i="24" s="1"/>
  <c r="F128" i="24" l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8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<sst xmlns="http://schemas.openxmlformats.org/spreadsheetml/2006/main" count="810" uniqueCount="634">
  <si>
    <t>MINISTERIO DE FINANZAS</t>
  </si>
  <si>
    <t>FORMULARIO 1: "FUENTES DE FINANCIAMIENTO DEL PROYECTO DE CONTRATO COLECTIVO"</t>
  </si>
  <si>
    <t>DETALLE DE INGRESOS</t>
  </si>
  <si>
    <t>GOBIERNO AUTÓNOMO DESCENTRALIZADO MUNICIPAL DE CATAMAYO</t>
  </si>
  <si>
    <t xml:space="preserve">Nº PROYECTO CONTRATO COLECTIVO: DÉCIMO SEGUNDO </t>
  </si>
  <si>
    <t xml:space="preserve"> Nº ACTA TRANSACCIONAL ___________________________</t>
  </si>
  <si>
    <t>FUENTES DE FINANCIAMIENTO</t>
  </si>
  <si>
    <t>OBSERVACIONES</t>
  </si>
  <si>
    <t>INGRESOS CORRIENTES  Y PERMANENTES</t>
  </si>
  <si>
    <t>POR 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</si>
  <si>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</si>
  <si>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</si>
  <si>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</si>
  <si>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</si>
  <si>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</si>
  <si>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</si>
  <si>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</si>
  <si>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</si>
  <si>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</si>
  <si>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 xml:space="preserve">VENTA DE BIENES Y SERVICIOS </t>
  </si>
  <si>
    <t>RENTAS DE INVERSIONES Y MULTAS</t>
  </si>
  <si>
    <t xml:space="preserve">TRANSFERENCIAS Y DONACIONES CORRIENTES  </t>
  </si>
  <si>
    <t>COOTAD</t>
  </si>
  <si>
    <t>OTROS INGRESOS</t>
  </si>
  <si>
    <t>Garantías y Fianzas</t>
  </si>
  <si>
    <t>Indemnizaciones y valores no reclamados</t>
  </si>
  <si>
    <t>Otros no Operacionales</t>
  </si>
  <si>
    <t xml:space="preserve">TOTAL </t>
  </si>
  <si>
    <t>INCREMENTO PORCENTUAL %</t>
  </si>
  <si>
    <t>* De ser el caso,  se deberá incluir filas adicionales, para detallar los subgrupos o items correspondientes.</t>
  </si>
  <si>
    <t>* En caso de que en el contrato colectivo se negocie algún beneficio adicional a los expuestos favor incluir el item correspondiente.</t>
  </si>
  <si>
    <t>* La información de los formularios deberá remitirse en medio magnético (Excel) e impreso con las respectivas firmas de responsabilidad.</t>
  </si>
  <si>
    <t>FIRMA DIRECTOR (A) FINANCIERO (A) DEL GAD</t>
  </si>
  <si>
    <t>Sello Institucional</t>
  </si>
  <si>
    <t>FORMULARIO 2: "COSTOS DEL PROYECTO DE CONTRATO COLECTIVO"</t>
  </si>
  <si>
    <t>CLASIFICADOR PRESUPUESTARIO</t>
  </si>
  <si>
    <t>GASTO DEL PERSONAL</t>
  </si>
  <si>
    <t>GASTO PERSONAL</t>
  </si>
  <si>
    <t>REMUNERACIONES BASICAS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</si>
  <si>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</si>
  <si>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</si>
  <si>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</si>
  <si>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</si>
  <si>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</si>
  <si>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COMISARIATO</t>
  </si>
  <si>
    <t>SUBSIDIOS</t>
  </si>
  <si>
    <t>POR CARGAS FAMILIARES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</si>
  <si>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</si>
  <si>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</si>
  <si>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</si>
  <si>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</si>
  <si>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</si>
  <si>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>FONDO DE JUBILACION PATRONAL</t>
  </si>
  <si>
    <t xml:space="preserve">INDEMNIZACIONES </t>
  </si>
  <si>
    <t>COMPENSACION POR DESAHUCIO</t>
  </si>
  <si>
    <t xml:space="preserve">POR JUBILACIÓN 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</si>
  <si>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</si>
  <si>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DISTRIBUTIVO DE SALARIO UNIFICADO DESAGREGADO POR TRABAJADOR</t>
  </si>
  <si>
    <t>CEDULA</t>
  </si>
  <si>
    <t>APELLIDOS Y NOMBRES</t>
  </si>
  <si>
    <t>No. TRABAJADOR</t>
  </si>
  <si>
    <t>GRADO DEL CARGO O PUESTO</t>
  </si>
  <si>
    <t>DENOMINACIÓN DEL PUESTO O CARGO DE OCUPACIÓN</t>
  </si>
  <si>
    <t>SUMAN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</si>
  <si>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</si>
  <si>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</si>
  <si>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t>FORMULARIO 4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</si>
  <si>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</si>
  <si>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</si>
  <si>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</si>
  <si>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</si>
  <si>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</si>
  <si>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</si>
  <si>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AÑO 1</t>
  </si>
  <si>
    <t>AÑO 2</t>
  </si>
  <si>
    <t xml:space="preserve">AÑO 3 </t>
  </si>
  <si>
    <t>AÑO 4</t>
  </si>
  <si>
    <t>TOTAL INGRESOS CORRIENTES (1)</t>
  </si>
  <si>
    <t>Impuestos</t>
  </si>
  <si>
    <t xml:space="preserve">Tasas y contribuciones </t>
  </si>
  <si>
    <t>Venta de Bienes y Servicios</t>
  </si>
  <si>
    <t>Rentas de Invesiones y Multas</t>
  </si>
  <si>
    <t>Transferencias y Donaciones Corrientes</t>
  </si>
  <si>
    <t>Otros ingresos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</si>
  <si>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</si>
  <si>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</si>
  <si>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</si>
  <si>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</si>
  <si>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</si>
  <si>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</si>
  <si>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</si>
  <si>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</si>
  <si>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</si>
  <si>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</si>
  <si>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</si>
  <si>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</si>
  <si>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</si>
  <si>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</si>
  <si>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</si>
  <si>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</si>
  <si>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</si>
  <si>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</si>
  <si>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</si>
  <si>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</si>
  <si>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</si>
  <si>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</si>
  <si>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</si>
  <si>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</si>
  <si>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</si>
  <si>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</si>
  <si>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</si>
  <si>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</si>
  <si>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</si>
  <si>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</si>
  <si>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</si>
  <si>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</si>
  <si>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</si>
  <si>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</si>
  <si>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</si>
  <si>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</si>
  <si>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</si>
  <si>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</si>
  <si>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</si>
  <si>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</si>
  <si>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</si>
  <si>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</si>
  <si>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</si>
  <si>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</si>
  <si>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</si>
  <si>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</si>
  <si>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</si>
  <si>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</si>
  <si>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</si>
  <si>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</si>
  <si>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</si>
  <si>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</si>
  <si>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 - COPLAFIP y el artículo 136 al Reglamento al COPLAFIP.</t>
  </si>
  <si>
    <t>FIRMA MÁXIMA AUTORIDAD DEL GAD</t>
  </si>
  <si>
    <t>1103017040</t>
  </si>
  <si>
    <t>CARREÑO MARIN IVAN PATRICIO</t>
  </si>
  <si>
    <t>AUXILIAR DE SERV. MUNICIPALES</t>
  </si>
  <si>
    <t>1101175709</t>
  </si>
  <si>
    <t>CUESTA JIMENEZ MARCO ANTONIO</t>
  </si>
  <si>
    <t>JORNALERO DE PARQUES Y JARDINES</t>
  </si>
  <si>
    <t>1103654313</t>
  </si>
  <si>
    <t>MARIN SOLORZANO LEONARDO EZEQUIEL</t>
  </si>
  <si>
    <t>AUXILIAR ADM. DE TRAMITES</t>
  </si>
  <si>
    <t>1105156853</t>
  </si>
  <si>
    <t>MAZA GUAMAN GUIDO RENE</t>
  </si>
  <si>
    <t>AYUDANTE DE ALBAÑIL</t>
  </si>
  <si>
    <t>1101628483</t>
  </si>
  <si>
    <t>SACAPI LUIS ENRIQUE</t>
  </si>
  <si>
    <t>GUARDIAN ADMINISTRATIVO</t>
  </si>
  <si>
    <t>1100809993</t>
  </si>
  <si>
    <t>BALCAZAR RAMIREZ ANGEL TORIBIO</t>
  </si>
  <si>
    <t>1103256374</t>
  </si>
  <si>
    <t>BARRERA POLO HECTOR ENRIQUE</t>
  </si>
  <si>
    <t>AUXILIAR ADMINISTRATIVO 111</t>
  </si>
  <si>
    <t>1104721384</t>
  </si>
  <si>
    <t>BRICEÑO BRICEÑO DIEGO FERNANDO</t>
  </si>
  <si>
    <t>1102914007</t>
  </si>
  <si>
    <t>CABRERA GONZALEZ MANUEL IGNACIO</t>
  </si>
  <si>
    <t>1101055463</t>
  </si>
  <si>
    <t>CABRERA MACAS EFRAIN</t>
  </si>
  <si>
    <t>1101060588</t>
  </si>
  <si>
    <t>CARRION ENCALADA ELICEO</t>
  </si>
  <si>
    <t>1101431839</t>
  </si>
  <si>
    <t>CASTILLO FRANCO VICENTE</t>
  </si>
  <si>
    <t>1100607702</t>
  </si>
  <si>
    <t>CASTILLO RIOFRIO LUIS AMABLE</t>
  </si>
  <si>
    <t>1102276100</t>
  </si>
  <si>
    <t>CELI GALVAN QUILVER AUGUSTO</t>
  </si>
  <si>
    <t>1100604386</t>
  </si>
  <si>
    <t>CHAMBA MAZA VICENTE GONZALO</t>
  </si>
  <si>
    <t>1100036076</t>
  </si>
  <si>
    <t>CUENCA CANGO RAIMUNDO</t>
  </si>
  <si>
    <t>1101711818</t>
  </si>
  <si>
    <t>DIAZ CHAMBA JUANA</t>
  </si>
  <si>
    <t>REVISOR MUNICIPAL</t>
  </si>
  <si>
    <t>1102714795</t>
  </si>
  <si>
    <t>DIAZ JOSE MIGUEL</t>
  </si>
  <si>
    <t>1102190491</t>
  </si>
  <si>
    <t>DIAZ YAURE MIGUEL ALBERTO</t>
  </si>
  <si>
    <t>1703156552</t>
  </si>
  <si>
    <t>ENCALADA GALVEZ ANGEL SIGIFREDO</t>
  </si>
  <si>
    <t>1100379708</t>
  </si>
  <si>
    <t>GOMEZ CASTILLO PEDRO</t>
  </si>
  <si>
    <t>1100249745</t>
  </si>
  <si>
    <t>GONZALEZ EDUARDO CLEOFE</t>
  </si>
  <si>
    <t>1102332713</t>
  </si>
  <si>
    <t>GUAMAN VIÑAGUAZO PEDRO GUILLERMO</t>
  </si>
  <si>
    <t>1100152394</t>
  </si>
  <si>
    <t>IRENE OCHOA PEDRO</t>
  </si>
  <si>
    <t>0700831373</t>
  </si>
  <si>
    <t>JIMENEZ SANCHEZ MIGUEL ANGEL</t>
  </si>
  <si>
    <t>1101719258</t>
  </si>
  <si>
    <t>MACAS FREDY MANUEL</t>
  </si>
  <si>
    <t>1101762936</t>
  </si>
  <si>
    <t>MERIZALDE LILIA MARIA</t>
  </si>
  <si>
    <t>1103397525</t>
  </si>
  <si>
    <t>MINGA CHAMBA MERCY ESPERANZA</t>
  </si>
  <si>
    <t>1101751046</t>
  </si>
  <si>
    <t>NARVAEZ COFRE CARMEN</t>
  </si>
  <si>
    <t>0702084484</t>
  </si>
  <si>
    <t>OCHOA MENDOZA JUANA  ELOIZA</t>
  </si>
  <si>
    <t>1101765525</t>
  </si>
  <si>
    <t>ORDOÑEZ JIMENEZ JOSE ANTONIO</t>
  </si>
  <si>
    <t>1103350870</t>
  </si>
  <si>
    <t>PARDO JIMENEZ ULISES VICENTE</t>
  </si>
  <si>
    <t>1104232820</t>
  </si>
  <si>
    <t>PAZ QUEZADA CESAR VINICIO</t>
  </si>
  <si>
    <t>1100578168</t>
  </si>
  <si>
    <t>PEÑA MONTAÑO SEGUNDO LEOPOLDO</t>
  </si>
  <si>
    <t>1101357448</t>
  </si>
  <si>
    <t>PUCHA TAMBO ANGEL ERIBERTO</t>
  </si>
  <si>
    <t>1102358189</t>
  </si>
  <si>
    <t>RIOFRIO HERRERA EDGAR AGUSTIN</t>
  </si>
  <si>
    <t>1101444642</t>
  </si>
  <si>
    <t>RODRIGUEZ ERAZO ANGEL RICARDO</t>
  </si>
  <si>
    <t>1102031547</t>
  </si>
  <si>
    <t>ROJAS LUNA ANSELMO GABRIEL</t>
  </si>
  <si>
    <t>1101809901</t>
  </si>
  <si>
    <t>SOLORZANO ORDOÑEZ JESUS KLEVER</t>
  </si>
  <si>
    <t>1100130499</t>
  </si>
  <si>
    <t>VUELE RUQUE CRISTOBAL BALECIO</t>
  </si>
  <si>
    <t>1900336833</t>
  </si>
  <si>
    <t>ROSALES CORREA JOSE ROGELIO</t>
  </si>
  <si>
    <t>BOMBERO RAZO 111</t>
  </si>
  <si>
    <t>1102538558</t>
  </si>
  <si>
    <t>AGILA PIEDAD DE JESUS</t>
  </si>
  <si>
    <t>AUXILIAR DE SERVICIOS</t>
  </si>
  <si>
    <t>1101417176</t>
  </si>
  <si>
    <t>AZANZA HERRERA GLORIA</t>
  </si>
  <si>
    <t>COCINERA</t>
  </si>
  <si>
    <t>1100194180</t>
  </si>
  <si>
    <t>AZANZA RAMOS GEORGINA</t>
  </si>
  <si>
    <t>AYUDANTE DE COCINA</t>
  </si>
  <si>
    <t>0701553356</t>
  </si>
  <si>
    <t>BEJARANO AURORA LEONOR</t>
  </si>
  <si>
    <t>1103146328</t>
  </si>
  <si>
    <t>CARRION SARANGO CARMEN ELIZABETH</t>
  </si>
  <si>
    <t>1101366076</t>
  </si>
  <si>
    <t>CHAMBA VEINTIMILLA DELIA</t>
  </si>
  <si>
    <t>AUXILIAR DE ENFERMERIA</t>
  </si>
  <si>
    <t>1101772364</t>
  </si>
  <si>
    <t>CORDOVA MARIA ELIDA</t>
  </si>
  <si>
    <t>1102225255</t>
  </si>
  <si>
    <t>FERNANDEZ SANCHEZ JOSE EDUARDO</t>
  </si>
  <si>
    <t>CONSERJE</t>
  </si>
  <si>
    <t>1101924460</t>
  </si>
  <si>
    <t>PAUTA CARAGUAY LAURA ROSANA</t>
  </si>
  <si>
    <t>1102224415</t>
  </si>
  <si>
    <t>PAUTA CARAGUAY SABINA DE JESUS</t>
  </si>
  <si>
    <t>1703838035</t>
  </si>
  <si>
    <t>PEÑA MONTAÑO ZOILA ANTONIA</t>
  </si>
  <si>
    <t>1102849252</t>
  </si>
  <si>
    <t>PINTADO GONZALEZ MARIA ROSARIO</t>
  </si>
  <si>
    <t>1102041942</t>
  </si>
  <si>
    <t>SOLORZANO ORDÓÑEZ MARCELA</t>
  </si>
  <si>
    <t>1900174366</t>
  </si>
  <si>
    <t>TACURI MINGA CECILIA PIEDAD</t>
  </si>
  <si>
    <t>1101476883</t>
  </si>
  <si>
    <t>TANDAZO HIDALGO MARIA EUFIDES</t>
  </si>
  <si>
    <t>1100607728</t>
  </si>
  <si>
    <t>VILLAVICENCIO TOMIN LIDA</t>
  </si>
  <si>
    <t>1200705877</t>
  </si>
  <si>
    <t>ACHUPALLAS CESAR HUMBERTO</t>
  </si>
  <si>
    <t>BARREDOR</t>
  </si>
  <si>
    <t>1103406516</t>
  </si>
  <si>
    <t>ALEJANDRO CHAMBA CARLOS EDUARDO</t>
  </si>
  <si>
    <t>AYUD. DE CUIDADO Y ORNAMENTO JARDINES</t>
  </si>
  <si>
    <t>1101835765</t>
  </si>
  <si>
    <t>ARMIJOS ABRIGO AMABLE NICOLAS</t>
  </si>
  <si>
    <t>1102566161</t>
  </si>
  <si>
    <t>BRICEÑO CARMEN SENOVIA</t>
  </si>
  <si>
    <t>1500300700</t>
  </si>
  <si>
    <t>CASTILLO PAREDES SONIA MARIA</t>
  </si>
  <si>
    <t>1104777683</t>
  </si>
  <si>
    <t>CHAMBA TORRES ROBERTO CARLOS</t>
  </si>
  <si>
    <t>AYUDANTE RECOLECTOR</t>
  </si>
  <si>
    <t>1104774854</t>
  </si>
  <si>
    <t>CHAMBA TORRES ROMEL GUSTAVO</t>
  </si>
  <si>
    <t>1101840781</t>
  </si>
  <si>
    <t>CUENCA CABRERA JOSÉ FÉLIX</t>
  </si>
  <si>
    <t>1104417611</t>
  </si>
  <si>
    <t>CUEVA CASTILLO LUIS MIGUEL</t>
  </si>
  <si>
    <t>1101985727</t>
  </si>
  <si>
    <t>ENCALADA VICENTE  LUIS</t>
  </si>
  <si>
    <t>AYUDANTE RECOLECCION DE ASEO</t>
  </si>
  <si>
    <t>1101719621</t>
  </si>
  <si>
    <t>FLORES ERRAIS LUIS CORCINO</t>
  </si>
  <si>
    <t>1100414877</t>
  </si>
  <si>
    <t>GUAMAN GUIÑAGUAZO MANUEL DE LA CRUZ</t>
  </si>
  <si>
    <t>1103215438</t>
  </si>
  <si>
    <t>JARAMILLO PEÑA GABRIEL HERALDO</t>
  </si>
  <si>
    <t>1103617609</t>
  </si>
  <si>
    <t>JUMBO AGUILAR WILSON JOSE</t>
  </si>
  <si>
    <t>1102602131</t>
  </si>
  <si>
    <t>LAPO PALADINES WILFRIDO ANTONIO</t>
  </si>
  <si>
    <t>1101057717</t>
  </si>
  <si>
    <t>MACAS ROMAN SIXTO BOLIVAR</t>
  </si>
  <si>
    <t>1103917611</t>
  </si>
  <si>
    <t>MALDONADO LOAIZA OMAR JAVIER</t>
  </si>
  <si>
    <t>1900251388</t>
  </si>
  <si>
    <t>MAZA QUINCHE KLEBER GIOVANY</t>
  </si>
  <si>
    <t>1102436134</t>
  </si>
  <si>
    <t>MEDINA LAPO ALEJANDRO</t>
  </si>
  <si>
    <t>1102170543</t>
  </si>
  <si>
    <t>PALADINES TORRES JOSE DURVELIN</t>
  </si>
  <si>
    <t>1101758975</t>
  </si>
  <si>
    <t>QUILLE QUINCHE JUAN ISIDRO</t>
  </si>
  <si>
    <t>1101863726</t>
  </si>
  <si>
    <t>QUILLE QUINCHE SEGUNDO EDUARDO</t>
  </si>
  <si>
    <t>1102393772</t>
  </si>
  <si>
    <t>REYES GAONA ANGEL EZEQUIEL</t>
  </si>
  <si>
    <t>1104458086</t>
  </si>
  <si>
    <t>SARANGO SANCHEZ GEOVANY SAUL</t>
  </si>
  <si>
    <t>1104456494</t>
  </si>
  <si>
    <t>SARANGO SANCHEZ VICTOR JOSELITO</t>
  </si>
  <si>
    <t>1104715972</t>
  </si>
  <si>
    <t>TORRES SANCHEZ HERMEL REINALDO</t>
  </si>
  <si>
    <t>1102871751</t>
  </si>
  <si>
    <t>CARRION HERRERA ANGEL FELICIANO</t>
  </si>
  <si>
    <t>AYUDANTE ALCANTARILLADO</t>
  </si>
  <si>
    <t>1103181663</t>
  </si>
  <si>
    <t>GALAN PALADINES SERGIO AMABLE</t>
  </si>
  <si>
    <t>AYUDANTE GASFITERO</t>
  </si>
  <si>
    <t>1104244833</t>
  </si>
  <si>
    <t>JARAMILLO MARTINEZ CESAR AGUSTO</t>
  </si>
  <si>
    <t>AUX. MANTEN. DE REDES AGUA POTABLE</t>
  </si>
  <si>
    <t>1101996336</t>
  </si>
  <si>
    <t>JIMENEZ DAVILA CARLOS HUMBERTO</t>
  </si>
  <si>
    <t>1101858627</t>
  </si>
  <si>
    <t>MATAILO JOSE GONZALO</t>
  </si>
  <si>
    <t>1900090687</t>
  </si>
  <si>
    <t>MERINO CALVA JUSTO AGUSTIN</t>
  </si>
  <si>
    <t>AYU. DE CAMPO DE AGUA POTABLE</t>
  </si>
  <si>
    <t>1101667424</t>
  </si>
  <si>
    <t>ORDOÑEZ JIMENEZ MELQUE HUGO</t>
  </si>
  <si>
    <t>1105218927</t>
  </si>
  <si>
    <t>VICENTE GUERRERO ANGEL VINICIO</t>
  </si>
  <si>
    <t>LECTOR</t>
  </si>
  <si>
    <t>1101058764</t>
  </si>
  <si>
    <t>VIVANCO LIDER ANTONIO</t>
  </si>
  <si>
    <t>1100321510</t>
  </si>
  <si>
    <t>AGUIRRE CORDOVA MIGUEL IGNACIO</t>
  </si>
  <si>
    <t>MECANICO</t>
  </si>
  <si>
    <t>1103657860</t>
  </si>
  <si>
    <t>CHANTA CASTILLO ANGEL AUGUSTO</t>
  </si>
  <si>
    <t>1103571871</t>
  </si>
  <si>
    <t>CHAUNAY QUINCHE LIDER FABRICIO</t>
  </si>
  <si>
    <t>1103085039</t>
  </si>
  <si>
    <t>CORONEL  CEVALLOS NEANFO</t>
  </si>
  <si>
    <t>AYUDANTE MOTONIVELADORA</t>
  </si>
  <si>
    <t>1101800165</t>
  </si>
  <si>
    <t>CUENCA CELI LUIS MANUEL</t>
  </si>
  <si>
    <t>AYUDANTE DE MECANICA</t>
  </si>
  <si>
    <t>1104160781</t>
  </si>
  <si>
    <t>CUENCA YAGUANA LUIS FRANCISCO</t>
  </si>
  <si>
    <t>ALBAÑIL 1111</t>
  </si>
  <si>
    <t>1103592398</t>
  </si>
  <si>
    <t>GONZALEZ ABARCA ROBERT GUILLERMO</t>
  </si>
  <si>
    <t>1102837802</t>
  </si>
  <si>
    <t>GUAMAN MEDINA MANUEL AGUSTIN</t>
  </si>
  <si>
    <t>0800606253</t>
  </si>
  <si>
    <t>LAFAO MORÁN LUIS PELAYO</t>
  </si>
  <si>
    <t>CADENERO</t>
  </si>
  <si>
    <t>1103029235</t>
  </si>
  <si>
    <t>ORDOÑEZ CARMITA DEL ROSARIO</t>
  </si>
  <si>
    <t>1104365406</t>
  </si>
  <si>
    <t>PINOS ORDOÑEZ PABLO DAVID</t>
  </si>
  <si>
    <t>1103813844</t>
  </si>
  <si>
    <t>PUCHA NARVAEZ WILMER ERIBERTO</t>
  </si>
  <si>
    <t>AYUD. MECAN. DE QUIPO TY MAQUINARIA</t>
  </si>
  <si>
    <t>1101718094</t>
  </si>
  <si>
    <t>RAMIREZ JARAMILLO ENRIQUE BOLIVAR</t>
  </si>
  <si>
    <t>1103293385</t>
  </si>
  <si>
    <t>UCHUARI MEDINA ANGEL EFRÉN</t>
  </si>
  <si>
    <t>1102654413</t>
  </si>
  <si>
    <t>UCHUARI MEDINA ROSA ANGELICA</t>
  </si>
  <si>
    <t>1100765989</t>
  </si>
  <si>
    <t>YAGUANA POGO CESAR AMABLE</t>
  </si>
  <si>
    <t>1104395007</t>
  </si>
  <si>
    <t>JARAMILLO JARAMILLO DIEGO ARMANDO</t>
  </si>
  <si>
    <t>CONTROLADOR MANTENIMIENTO AGUA</t>
  </si>
  <si>
    <t>0701942575</t>
  </si>
  <si>
    <t>MACAS CHUNCHO FLORESMILO ADRIANO</t>
  </si>
  <si>
    <t>1103141899</t>
  </si>
  <si>
    <t>NAVARRO CHIRIBOGA NILO ALBERTO</t>
  </si>
  <si>
    <t>GASFITERO</t>
  </si>
  <si>
    <t>1102135652</t>
  </si>
  <si>
    <t>AGUIRRE GONZAGA WILMAN ORLANDO</t>
  </si>
  <si>
    <t>MAESTRO ALBAÑIL</t>
  </si>
  <si>
    <t>1101963427</t>
  </si>
  <si>
    <t>CASTILLO CUENCA JORGE ENRIQUE</t>
  </si>
  <si>
    <t>1102997705</t>
  </si>
  <si>
    <t>CHAMBA CUENCA OLGER EDUARDO</t>
  </si>
  <si>
    <t>1103292759</t>
  </si>
  <si>
    <t>JIMENEZ CHAMBA JORGE FELICITO</t>
  </si>
  <si>
    <t>1718055542</t>
  </si>
  <si>
    <t>RIVAS ALVAREZ LUIS RODRIGO</t>
  </si>
  <si>
    <t>MECANICO INDUSTRIAL</t>
  </si>
  <si>
    <t>0701121519</t>
  </si>
  <si>
    <t>RODRIGUEZ RODRIGUEZ ROBERT RAUL</t>
  </si>
  <si>
    <t>PINTOR AUTOMOTRIZ</t>
  </si>
  <si>
    <t>1102740154</t>
  </si>
  <si>
    <t>VASQUEZ FERNÁNDEZ HONORATO</t>
  </si>
  <si>
    <t>PINTOR</t>
  </si>
  <si>
    <t>1102773775</t>
  </si>
  <si>
    <t>VEGA VIÑAGUAZO JOSE AUGUSTO</t>
  </si>
  <si>
    <t>1100255023</t>
  </si>
  <si>
    <t>VILLALTA  TORRES LEONARDO AMADEO</t>
  </si>
  <si>
    <t>1103397004</t>
  </si>
  <si>
    <t>VILLALTA LÓPEZ HENRY BOLÍVAR</t>
  </si>
  <si>
    <t>1101395844</t>
  </si>
  <si>
    <t>VIÑAN ANGAMARCA MARCO</t>
  </si>
  <si>
    <t>ALBAÑIL 2222</t>
  </si>
  <si>
    <t>1103906689</t>
  </si>
  <si>
    <t>VIVANCO CUEVA EDI RENE</t>
  </si>
  <si>
    <t>VULCANIZADOR</t>
  </si>
  <si>
    <t>1101797171</t>
  </si>
  <si>
    <t>YAGUANA HERRERA FRANCISCO JAVIER</t>
  </si>
  <si>
    <t>1103230585</t>
  </si>
  <si>
    <t>SOLANO SOLANO JOSÉ RAMIRO</t>
  </si>
  <si>
    <t>CHOFER VEHICULOS LIVIANOS</t>
  </si>
  <si>
    <t>1103245146</t>
  </si>
  <si>
    <t>CHUBA QUITO CÉSAR ROLANDO</t>
  </si>
  <si>
    <t>1101347506</t>
  </si>
  <si>
    <t>GONZALEZ AYORA JUAN IGNACIO</t>
  </si>
  <si>
    <t>0101510477</t>
  </si>
  <si>
    <t>QUITO ENRIQUEZ LUIS MIGUEL</t>
  </si>
  <si>
    <t>MAESTRO ALBAÑIL 11</t>
  </si>
  <si>
    <t>1101673034</t>
  </si>
  <si>
    <t>VACA TAMAYO ANGEL SALVADOR</t>
  </si>
  <si>
    <t>CHOFER VEHICULOS PESADOS</t>
  </si>
  <si>
    <t>1101879482</t>
  </si>
  <si>
    <t>CARRILLO MARÍN JORGE NICOLÁS</t>
  </si>
  <si>
    <t>1104412398</t>
  </si>
  <si>
    <t>CRUZ VALDIVIEZO DIEGO FERNANDO</t>
  </si>
  <si>
    <t>1103908081</t>
  </si>
  <si>
    <t>ESCALERAS SANTUORUM CRISTOBAL COLON</t>
  </si>
  <si>
    <t>1102888854</t>
  </si>
  <si>
    <t>HIDALGO ORTIZ EDISON FRANKLIN</t>
  </si>
  <si>
    <t>CHOFER RECOLECTOR</t>
  </si>
  <si>
    <t>1706099841</t>
  </si>
  <si>
    <t>JARAMILLO SANCHEZ EFRAIN</t>
  </si>
  <si>
    <t>1104075195</t>
  </si>
  <si>
    <t>MERINO RODAS JOSE ANTONIO</t>
  </si>
  <si>
    <t>1104504509</t>
  </si>
  <si>
    <t>OGOÑO CARAGUAY ANGEL ROBERTO</t>
  </si>
  <si>
    <t>1101402434</t>
  </si>
  <si>
    <t>QUINDE ROSILLO FIDEL AGUSTIN</t>
  </si>
  <si>
    <t>1100583804</t>
  </si>
  <si>
    <t>RIOFRIO NARVAEZ BENIGNO</t>
  </si>
  <si>
    <t>1103162804</t>
  </si>
  <si>
    <t>ROJAS GAONA JIMMY RENÁN</t>
  </si>
  <si>
    <t>1102150636</t>
  </si>
  <si>
    <t>ROJAS ROJAS WALTER BENJAMIN</t>
  </si>
  <si>
    <t>1103029813</t>
  </si>
  <si>
    <t>RUALES AGUIRRE JUAN CARLOS</t>
  </si>
  <si>
    <t>1103625875</t>
  </si>
  <si>
    <t>SARANGO SANCHEZ DARWIN ELIZANDRO</t>
  </si>
  <si>
    <t>1103033724</t>
  </si>
  <si>
    <t>SUING VUELE ALBITO ROMEL</t>
  </si>
  <si>
    <t>1103390017</t>
  </si>
  <si>
    <t>TANDAZO ENCALADA HAMILTON</t>
  </si>
  <si>
    <t>1102487244</t>
  </si>
  <si>
    <t>ABAD FRANCO NOE</t>
  </si>
  <si>
    <t>OPERADOR ESTACION DE BOMBEO</t>
  </si>
  <si>
    <t>1102535182</t>
  </si>
  <si>
    <t>CARRION HERRERA SAÚL IVÁN</t>
  </si>
  <si>
    <t>OPERADOR PLANTA DE TRATAMIENTO DE AGUA</t>
  </si>
  <si>
    <t>1100807815</t>
  </si>
  <si>
    <t>CELI OBANDO LUIS HUMBERTO</t>
  </si>
  <si>
    <t xml:space="preserve">OPERADOR VALVULA SURTIDORA DE AGUA </t>
  </si>
  <si>
    <t>1101952412</t>
  </si>
  <si>
    <t>GUIÑAGUAZO CANGO HIPOLITO</t>
  </si>
  <si>
    <t>1102990825</t>
  </si>
  <si>
    <t>OCHOA BUSTAMANTE ÁNGEL ENRIQUE</t>
  </si>
  <si>
    <t>1102705330</t>
  </si>
  <si>
    <t>OCHOA BUSTAMANTE HUGO SALVADOR</t>
  </si>
  <si>
    <t xml:space="preserve">CONTROLADOR MANTENIMIENTO DE AGUA </t>
  </si>
  <si>
    <t>1102486600</t>
  </si>
  <si>
    <t>OCHOA BUSTAMANTE JORGE ALBERTO</t>
  </si>
  <si>
    <t>1103957385</t>
  </si>
  <si>
    <t>PARDO LEON GLORIA PATRICIA</t>
  </si>
  <si>
    <t>1103084800</t>
  </si>
  <si>
    <t>PAZ QUEZADA FLAVIO OLIVERIO</t>
  </si>
  <si>
    <t>1101613709</t>
  </si>
  <si>
    <t>PEREZ SILVERIO HIPOLITO LAURIANO</t>
  </si>
  <si>
    <t>1102265012</t>
  </si>
  <si>
    <t>PEREZ SILVERIO JUAN JAVIER</t>
  </si>
  <si>
    <t>1103379531</t>
  </si>
  <si>
    <t>ROJAS SALINAS LUCIO STALIN</t>
  </si>
  <si>
    <t>JEFE DE ALCANTARILLADO</t>
  </si>
  <si>
    <t>1101937736</t>
  </si>
  <si>
    <t>UCHUARI GUAMÁN CARLOS ALFONSO</t>
  </si>
  <si>
    <t>1102968144</t>
  </si>
  <si>
    <t>ACHIG RAMIREZ VICTOR HUGO</t>
  </si>
  <si>
    <t>OPERADOR AUTO TREN CAMA BAJA</t>
  </si>
  <si>
    <t>1101369856</t>
  </si>
  <si>
    <t>AJILA CANGO CORNELIO HUGO</t>
  </si>
  <si>
    <t>OPERADOR DE RODILLO</t>
  </si>
  <si>
    <t>1103835961</t>
  </si>
  <si>
    <t>CANO GODOY PATRICIO ARTURO</t>
  </si>
  <si>
    <t>1900523331</t>
  </si>
  <si>
    <t>CASTILLO TAMAYO LUIS ALFONSO</t>
  </si>
  <si>
    <t>OPERADOR CARGADORA</t>
  </si>
  <si>
    <t>1103541981</t>
  </si>
  <si>
    <t>CRIOLLO LOJAN DARWIN ROBERTO</t>
  </si>
  <si>
    <t>OPERADOR RETROEXCAVADORA</t>
  </si>
  <si>
    <t>0701412108</t>
  </si>
  <si>
    <t>MAZA GUERRERO CAMILO EDUARDO</t>
  </si>
  <si>
    <t>MAESTRO MAYOR EN MECANICO AUTOMOTRIZ</t>
  </si>
  <si>
    <t>0801447962</t>
  </si>
  <si>
    <t>ORTIZ CHEME MARCO ANTONIO</t>
  </si>
  <si>
    <t>1103462188</t>
  </si>
  <si>
    <t>PEÑA PEÑA ULISES ERVIN</t>
  </si>
  <si>
    <t>1101711941</t>
  </si>
  <si>
    <t>RUILOVA ROMERO FULVIO ARMANDO</t>
  </si>
  <si>
    <t>OPERADOR MOTONIVELADORA</t>
  </si>
  <si>
    <t>1103205090</t>
  </si>
  <si>
    <t>SANCHEZ TORRES LENIN EDUARDO</t>
  </si>
  <si>
    <t>OPERADOR EXCAVADORA</t>
  </si>
  <si>
    <t>1001457561</t>
  </si>
  <si>
    <t>TRUJILLO LUIS FRANCISCO</t>
  </si>
  <si>
    <t>MAESTRO MAYOR EN EBANISTERIA</t>
  </si>
  <si>
    <t>1709032195</t>
  </si>
  <si>
    <t>TRUJILLO TORRES HUGO NORBERTO</t>
  </si>
  <si>
    <t>1101438727</t>
  </si>
  <si>
    <t>VIVANCO MEJIA CRISTOBAL GONZALO</t>
  </si>
  <si>
    <t>1102047964</t>
  </si>
  <si>
    <t>CUENCA CELI ANGEL BENIGNO</t>
  </si>
  <si>
    <t>INSPECTOR REDES AGUA POTABLE</t>
  </si>
  <si>
    <t>1102334206</t>
  </si>
  <si>
    <t>AGURTO JIMENEZ CARLOS ENRIQUE</t>
  </si>
  <si>
    <t>MAESTRO MAYOR EN EJECUCION DE OBRAS</t>
  </si>
  <si>
    <t>0701803074</t>
  </si>
  <si>
    <t>GIRON RAMIREZ HUGO RAMIRO</t>
  </si>
  <si>
    <t>SUPERVISOR DE MANT. EQUIPO PESADO</t>
  </si>
  <si>
    <t>1103213730</t>
  </si>
  <si>
    <t>LOAIZA YAGUANA JOSÉ JULIO</t>
  </si>
  <si>
    <t>TECNICO DE ELECTRICIDAD</t>
  </si>
  <si>
    <t xml:space="preserve">SALARIOS UNIFICADOS </t>
  </si>
  <si>
    <t>total mensual salarios</t>
  </si>
  <si>
    <t xml:space="preserve">Decimo tercer sueldo </t>
  </si>
  <si>
    <t>Decimo cuarto</t>
  </si>
  <si>
    <t>Decimo Cuarto 2016</t>
  </si>
  <si>
    <t>se toma en cuenta 174 trabajadores por 366 que es el salario minimo unificado</t>
  </si>
  <si>
    <t>Decimo Cuarto 2017</t>
  </si>
  <si>
    <t>se toma en cuenta 174 trabajadores por 380 que es el salario minimo unificado</t>
  </si>
  <si>
    <t>Decimo Tercer 2016</t>
  </si>
  <si>
    <t>Decimo Tercer 2017</t>
  </si>
  <si>
    <t>ALIMENTACION</t>
  </si>
  <si>
    <t>Alimentacion 2014</t>
  </si>
  <si>
    <t>la alimentacion se considera 3 dola diarios por 22 dias del mes por 12 meses y por 188 trabajadores permanentes</t>
  </si>
  <si>
    <t>la alimentacion se considera 3 dola diarios por 22 dias del mes por 12 meses y por 176 trabajadores permanentes</t>
  </si>
  <si>
    <t>Alimentacion 2015</t>
  </si>
  <si>
    <t>Alimentacion 2016</t>
  </si>
  <si>
    <t>la alimentacion se considera 4 dola diarios por 22 dias del mes por 12 meses y por 174 trabajadores permanentes</t>
  </si>
  <si>
    <t>Alimentacion 2017</t>
  </si>
  <si>
    <t>transporte 2014</t>
  </si>
  <si>
    <t>transporte 2015</t>
  </si>
  <si>
    <t>la alimentacion se considera 0.5 dola diarios por 22 dias del mes por 12 meses y por 188 trabajadores permanentes</t>
  </si>
  <si>
    <t>la alimentacion se considera 0.5 dola diarios por 22 dias del mes por 12 meses y por 176 trabajadores permanentes</t>
  </si>
  <si>
    <t>transporte 2016</t>
  </si>
  <si>
    <t>transporte 2017</t>
  </si>
  <si>
    <t>la alimentacion se considera 0.5 dola diarios por 22 dias del mes por 12 meses y por 174 trabajadores permanentes</t>
  </si>
  <si>
    <t>subs. Familiar</t>
  </si>
  <si>
    <t>solo de marzo a diciembre 2015 7.08 de marzo y 10.62 de abril a diciembre de 2015</t>
  </si>
  <si>
    <t>Ventas de productos y materiales</t>
  </si>
  <si>
    <t>Ventas no industriales</t>
  </si>
  <si>
    <t>Rentas de inversiones</t>
  </si>
  <si>
    <t>Rentas por arrendamientos de bienes</t>
  </si>
  <si>
    <t>Multas</t>
  </si>
  <si>
    <t>Aporte y participación cooriente del Régimen Seccional Autónomo</t>
  </si>
  <si>
    <t>Venta de Activos no Financieros</t>
  </si>
  <si>
    <t>Bienes inmuebles</t>
  </si>
  <si>
    <t>Transferencias de capital e inversión del sector público</t>
  </si>
  <si>
    <t>Gobiernos Autónomos</t>
  </si>
  <si>
    <t>IVA</t>
  </si>
  <si>
    <t>Financiamiento público interno</t>
  </si>
  <si>
    <t>Cuentas pendientes por cobrar</t>
  </si>
  <si>
    <t>Servicios básicos</t>
  </si>
  <si>
    <t>Servicios generales</t>
  </si>
  <si>
    <t>Traslados, instalaciones, viáticos y subsistencias</t>
  </si>
  <si>
    <t>Instalación, mantenimiento y reparaciones</t>
  </si>
  <si>
    <t>Arrendamientos de bienes</t>
  </si>
  <si>
    <t>Contratación de estudios, investigaciones y servicios técnicos especial.</t>
  </si>
  <si>
    <t>Gastos en informática</t>
  </si>
  <si>
    <t>Bienes de uso y consumo corriente</t>
  </si>
  <si>
    <t>Bienes muebles no depreciables</t>
  </si>
  <si>
    <t>Títulos y valores en circulación</t>
  </si>
  <si>
    <t>Intereses y otros cargos de la deuda pública</t>
  </si>
  <si>
    <t>Impuestos, tasas y contribuciones</t>
  </si>
  <si>
    <t>Seguros, costos financieros y otros gastos</t>
  </si>
  <si>
    <t>Transferencias corrientes al sector público</t>
  </si>
  <si>
    <t>Donaciones corrientes al sector privado interno</t>
  </si>
  <si>
    <t>TOTAL GASTOS CORRIENTES  (2)</t>
  </si>
  <si>
    <t>Adquisiciones de productos terminados</t>
  </si>
  <si>
    <t>Bienes de uso y consumo de inversión</t>
  </si>
  <si>
    <t>Transferencias para inversión al sector público</t>
  </si>
  <si>
    <t>Donaciones de inversión al sector privado interno</t>
  </si>
  <si>
    <t xml:space="preserve">Bienes muebles </t>
  </si>
  <si>
    <t>Expropiación de bienes</t>
  </si>
  <si>
    <t>Amortización deuda interna</t>
  </si>
  <si>
    <t>Deuda flotante</t>
  </si>
  <si>
    <t>Donaciones de capital del sector externo</t>
  </si>
  <si>
    <t xml:space="preserve"> </t>
  </si>
  <si>
    <t>Saldos en caja bancos</t>
  </si>
  <si>
    <t>Segusros, costos financieros y otros gastos</t>
  </si>
  <si>
    <t>COSTO REAL DEL CONTRATO COLECTIVO VIGENTE USD (2015)</t>
  </si>
  <si>
    <t>COSTO ESTIMADO DEL CONTRATO COLECTIVO PROPUESTO USD (2016)</t>
  </si>
  <si>
    <t>710509</t>
  </si>
  <si>
    <t>710601</t>
  </si>
  <si>
    <t>710602</t>
  </si>
  <si>
    <t>710603</t>
  </si>
  <si>
    <t>BIENES DE USO Y CONUSMO DE INVERSIÓN</t>
  </si>
  <si>
    <t>VESTUARIO, LENCERÍA Y PRENDAS DE PROTECCIÓN</t>
  </si>
  <si>
    <t>FINANCIAMIENTO REAL DEL CONTRATO COLECTIVO VIGENTE USD (2015)</t>
  </si>
  <si>
    <t>FINANCIAMIENTO ESTIMADO DEL   CONTRATO COLECTIVO PROPUESTO USD (2016)</t>
  </si>
  <si>
    <t>REMUNERACIÓN UNIFICADA CONTRATO COLECTIVO VIGENTE USD (2015)</t>
  </si>
  <si>
    <t xml:space="preserve">REMUNERACIÓN UNIFICADA 2016 CONTRATO COLECTIVO PROPUESTO USD </t>
  </si>
  <si>
    <t>174 trabajadores</t>
  </si>
  <si>
    <t>Se considera un incremento del 1% en el año 3 y 4</t>
  </si>
  <si>
    <t>Se disminuye la cartera en el año 3 y 4</t>
  </si>
  <si>
    <t xml:space="preserve">              Dr. C.P.A. Julio Farinango Benalcázar</t>
  </si>
  <si>
    <t xml:space="preserve">                                         Dr. C.P.A. Julio Farinango Benalcázar</t>
  </si>
  <si>
    <t xml:space="preserve">                                Dr. C.P.A. Julio Farinango Benalcázar</t>
  </si>
  <si>
    <t xml:space="preserve">                                              Abg. Janet Guerrero Luzuriaga</t>
  </si>
  <si>
    <t xml:space="preserve">                                  Dr. C.P.A. Julio Farinango Benalcázar</t>
  </si>
  <si>
    <t>NOTA:</t>
  </si>
  <si>
    <t>Las partidas de inversión corresponden al PROGRAMA OTROS SERVICIOS COMUNALES</t>
  </si>
  <si>
    <t>Lugar y Fecha: Catamayo, 01/12/2016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</si>
</sst>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[$€]* #,##0.00_);_([$€]* \(#,##0.00\);_([$€]* &quot;-&quot;??_);_(@_)"/>
  </numFmts>
  <fonts count="45" x14ac:knownFonts="1">
    <font>
      <sz val="10"/>
      <name val="Arial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6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8"/>
      <color indexed="8"/>
      <name val="Arial"/>
      <charset val="1"/>
    </font>
    <font>
      <sz val="7"/>
      <color indexed="8"/>
      <name val="Arial"/>
      <charset val="1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9"/>
      <color rgb="FFFF0000"/>
      <name val="Times New Roman"/>
      <family val="1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" fillId="0" borderId="0"/>
  </cellStyleXfs>
  <cellXfs count="262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Border="1"/>
    <xf numFmtId="0" fontId="3" fillId="0" borderId="0" xfId="0" applyFont="1" applyFill="1" applyBorder="1" applyAlignment="1"/>
    <xf numFmtId="0" fontId="3" fillId="0" borderId="0" xfId="0" applyFont="1" applyBorder="1" applyAlignment="1"/>
    <xf numFmtId="0" fontId="13" fillId="0" borderId="0" xfId="0" applyFont="1"/>
    <xf numFmtId="4" fontId="5" fillId="0" borderId="0" xfId="0" applyNumberFormat="1" applyFont="1"/>
    <xf numFmtId="0" fontId="14" fillId="0" borderId="0" xfId="0" applyFont="1" applyBorder="1"/>
    <xf numFmtId="0" fontId="10" fillId="0" borderId="0" xfId="6"/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/>
    </xf>
    <xf numFmtId="0" fontId="17" fillId="2" borderId="4" xfId="6" applyFont="1" applyFill="1" applyBorder="1" applyAlignment="1">
      <alignment horizontal="center" vertical="center"/>
    </xf>
    <xf numFmtId="0" fontId="17" fillId="2" borderId="5" xfId="6" applyFont="1" applyFill="1" applyBorder="1" applyAlignment="1">
      <alignment horizontal="center" vertical="center"/>
    </xf>
    <xf numFmtId="0" fontId="11" fillId="2" borderId="6" xfId="6" applyFont="1" applyFill="1" applyBorder="1" applyAlignment="1">
      <alignment horizontal="center" vertical="center" wrapText="1"/>
    </xf>
    <xf numFmtId="0" fontId="11" fillId="2" borderId="3" xfId="6" applyFont="1" applyFill="1" applyBorder="1" applyAlignment="1">
      <alignment horizontal="center" vertical="center" wrapText="1"/>
    </xf>
    <xf numFmtId="0" fontId="18" fillId="3" borderId="7" xfId="6" applyFont="1" applyFill="1" applyBorder="1"/>
    <xf numFmtId="0" fontId="19" fillId="0" borderId="8" xfId="6" applyFont="1" applyBorder="1" applyAlignment="1">
      <alignment horizontal="left"/>
    </xf>
    <xf numFmtId="0" fontId="19" fillId="0" borderId="9" xfId="6" applyFont="1" applyBorder="1"/>
    <xf numFmtId="0" fontId="18" fillId="0" borderId="10" xfId="6" applyFont="1" applyBorder="1"/>
    <xf numFmtId="0" fontId="18" fillId="0" borderId="8" xfId="6" applyFont="1" applyBorder="1" applyAlignment="1">
      <alignment horizontal="center"/>
    </xf>
    <xf numFmtId="0" fontId="18" fillId="0" borderId="10" xfId="6" applyFont="1" applyBorder="1" applyAlignment="1">
      <alignment horizontal="left" indent="2"/>
    </xf>
    <xf numFmtId="0" fontId="18" fillId="0" borderId="11" xfId="6" applyFont="1" applyBorder="1"/>
    <xf numFmtId="0" fontId="18" fillId="0" borderId="12" xfId="6" applyFont="1" applyBorder="1"/>
    <xf numFmtId="0" fontId="10" fillId="0" borderId="13" xfId="6" applyBorder="1"/>
    <xf numFmtId="0" fontId="10" fillId="0" borderId="14" xfId="6" applyBorder="1"/>
    <xf numFmtId="0" fontId="10" fillId="0" borderId="12" xfId="6" applyBorder="1"/>
    <xf numFmtId="0" fontId="19" fillId="0" borderId="10" xfId="6" applyFont="1" applyBorder="1"/>
    <xf numFmtId="0" fontId="18" fillId="3" borderId="10" xfId="6" applyFont="1" applyFill="1" applyBorder="1"/>
    <xf numFmtId="0" fontId="19" fillId="0" borderId="15" xfId="6" applyFont="1" applyBorder="1"/>
    <xf numFmtId="0" fontId="20" fillId="4" borderId="10" xfId="6" applyFont="1" applyFill="1" applyBorder="1"/>
    <xf numFmtId="0" fontId="10" fillId="3" borderId="12" xfId="6" applyFill="1" applyBorder="1"/>
    <xf numFmtId="0" fontId="19" fillId="0" borderId="13" xfId="6" applyFont="1" applyBorder="1" applyAlignment="1">
      <alignment horizontal="left"/>
    </xf>
    <xf numFmtId="0" fontId="19" fillId="0" borderId="16" xfId="6" applyFont="1" applyBorder="1"/>
    <xf numFmtId="0" fontId="19" fillId="0" borderId="10" xfId="6" applyFont="1" applyBorder="1" applyAlignment="1">
      <alignment horizontal="left"/>
    </xf>
    <xf numFmtId="0" fontId="21" fillId="4" borderId="12" xfId="6" applyFont="1" applyFill="1" applyBorder="1"/>
    <xf numFmtId="0" fontId="22" fillId="2" borderId="10" xfId="6" applyFont="1" applyFill="1" applyBorder="1"/>
    <xf numFmtId="0" fontId="19" fillId="0" borderId="14" xfId="6" applyFont="1" applyBorder="1" applyAlignment="1">
      <alignment horizontal="left"/>
    </xf>
    <xf numFmtId="0" fontId="19" fillId="0" borderId="19" xfId="6" applyFont="1" applyBorder="1"/>
    <xf numFmtId="0" fontId="19" fillId="0" borderId="20" xfId="6" applyFont="1" applyBorder="1" applyAlignment="1">
      <alignment horizontal="left"/>
    </xf>
    <xf numFmtId="0" fontId="19" fillId="0" borderId="21" xfId="6" applyFont="1" applyBorder="1"/>
    <xf numFmtId="0" fontId="22" fillId="2" borderId="15" xfId="6" applyFont="1" applyFill="1" applyBorder="1"/>
    <xf numFmtId="0" fontId="22" fillId="0" borderId="0" xfId="6" applyFont="1" applyFill="1" applyBorder="1" applyAlignment="1">
      <alignment horizontal="center"/>
    </xf>
    <xf numFmtId="0" fontId="22" fillId="0" borderId="0" xfId="6" applyFont="1" applyFill="1" applyBorder="1"/>
    <xf numFmtId="0" fontId="10" fillId="0" borderId="0" xfId="6" applyFill="1"/>
    <xf numFmtId="0" fontId="12" fillId="0" borderId="22" xfId="6" applyFont="1" applyFill="1" applyBorder="1" applyAlignment="1">
      <alignment horizontal="center"/>
    </xf>
    <xf numFmtId="0" fontId="12" fillId="0" borderId="23" xfId="6" applyFont="1" applyFill="1" applyBorder="1" applyAlignment="1">
      <alignment horizontal="center"/>
    </xf>
    <xf numFmtId="0" fontId="12" fillId="0" borderId="24" xfId="6" applyFont="1" applyFill="1" applyBorder="1" applyAlignment="1">
      <alignment horizontal="center"/>
    </xf>
    <xf numFmtId="0" fontId="12" fillId="0" borderId="25" xfId="6" applyFont="1" applyFill="1" applyBorder="1" applyAlignment="1">
      <alignment horizontal="center"/>
    </xf>
    <xf numFmtId="0" fontId="12" fillId="0" borderId="26" xfId="6" applyFont="1" applyFill="1" applyBorder="1" applyAlignment="1">
      <alignment horizontal="center"/>
    </xf>
    <xf numFmtId="0" fontId="22" fillId="0" borderId="26" xfId="6" applyFont="1" applyFill="1" applyBorder="1"/>
    <xf numFmtId="0" fontId="22" fillId="0" borderId="27" xfId="6" applyFont="1" applyFill="1" applyBorder="1"/>
    <xf numFmtId="0" fontId="18" fillId="0" borderId="0" xfId="6" applyFont="1" applyFill="1" applyBorder="1"/>
    <xf numFmtId="0" fontId="12" fillId="0" borderId="0" xfId="6" applyFont="1"/>
    <xf numFmtId="0" fontId="23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23" fillId="0" borderId="0" xfId="0" applyFont="1" applyBorder="1" applyAlignment="1"/>
    <xf numFmtId="0" fontId="23" fillId="0" borderId="14" xfId="0" applyFont="1" applyBorder="1" applyAlignment="1">
      <alignment horizontal="center"/>
    </xf>
    <xf numFmtId="0" fontId="24" fillId="0" borderId="0" xfId="0" applyFont="1" applyBorder="1"/>
    <xf numFmtId="0" fontId="25" fillId="0" borderId="0" xfId="0" applyFont="1" applyBorder="1" applyAlignment="1">
      <alignment horizontal="center"/>
    </xf>
    <xf numFmtId="4" fontId="24" fillId="0" borderId="0" xfId="0" applyNumberFormat="1" applyFont="1" applyBorder="1"/>
    <xf numFmtId="0" fontId="24" fillId="0" borderId="28" xfId="0" applyFont="1" applyBorder="1"/>
    <xf numFmtId="0" fontId="24" fillId="0" borderId="0" xfId="0" applyFont="1"/>
    <xf numFmtId="0" fontId="26" fillId="0" borderId="0" xfId="0" applyFont="1" applyFill="1" applyBorder="1" applyAlignment="1"/>
    <xf numFmtId="0" fontId="26" fillId="0" borderId="0" xfId="0" applyFont="1" applyBorder="1" applyAlignment="1"/>
    <xf numFmtId="0" fontId="23" fillId="0" borderId="0" xfId="0" applyFont="1" applyFill="1" applyBorder="1" applyAlignment="1">
      <alignment horizontal="left"/>
    </xf>
    <xf numFmtId="0" fontId="27" fillId="0" borderId="0" xfId="0" applyFont="1" applyFill="1" applyBorder="1" applyAlignment="1"/>
    <xf numFmtId="0" fontId="23" fillId="0" borderId="14" xfId="0" applyFont="1" applyFill="1" applyBorder="1" applyAlignment="1">
      <alignment horizontal="center"/>
    </xf>
    <xf numFmtId="4" fontId="23" fillId="0" borderId="14" xfId="0" applyNumberFormat="1" applyFont="1" applyFill="1" applyBorder="1" applyAlignment="1">
      <alignment horizontal="right" vertical="center" wrapText="1"/>
    </xf>
    <xf numFmtId="43" fontId="24" fillId="0" borderId="0" xfId="2" applyFont="1" applyBorder="1"/>
    <xf numFmtId="0" fontId="24" fillId="0" borderId="0" xfId="0" applyFont="1" applyBorder="1" applyAlignment="1">
      <alignment horizontal="center"/>
    </xf>
    <xf numFmtId="0" fontId="24" fillId="0" borderId="0" xfId="0" applyFont="1" applyBorder="1" applyAlignment="1"/>
    <xf numFmtId="0" fontId="25" fillId="0" borderId="0" xfId="0" applyFont="1" applyBorder="1" applyAlignment="1"/>
    <xf numFmtId="0" fontId="24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4" fontId="23" fillId="0" borderId="0" xfId="0" applyNumberFormat="1" applyFont="1" applyFill="1" applyBorder="1" applyAlignment="1">
      <alignment horizontal="right" vertical="center" wrapText="1"/>
    </xf>
    <xf numFmtId="0" fontId="28" fillId="0" borderId="0" xfId="0" applyFont="1" applyBorder="1"/>
    <xf numFmtId="49" fontId="17" fillId="2" borderId="23" xfId="0" applyNumberFormat="1" applyFont="1" applyFill="1" applyBorder="1" applyAlignment="1">
      <alignment horizontal="center" vertical="center" wrapText="1"/>
    </xf>
    <xf numFmtId="49" fontId="17" fillId="2" borderId="29" xfId="0" applyNumberFormat="1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horizontal="center"/>
    </xf>
    <xf numFmtId="4" fontId="27" fillId="0" borderId="32" xfId="0" applyNumberFormat="1" applyFont="1" applyFill="1" applyBorder="1" applyAlignment="1">
      <alignment horizontal="center"/>
    </xf>
    <xf numFmtId="4" fontId="27" fillId="0" borderId="33" xfId="0" applyNumberFormat="1" applyFont="1" applyFill="1" applyBorder="1" applyAlignment="1">
      <alignment horizontal="center"/>
    </xf>
    <xf numFmtId="4" fontId="23" fillId="0" borderId="33" xfId="0" applyNumberFormat="1" applyFont="1" applyFill="1" applyBorder="1" applyAlignment="1">
      <alignment horizontal="center"/>
    </xf>
    <xf numFmtId="4" fontId="29" fillId="0" borderId="33" xfId="2" applyNumberFormat="1" applyFont="1" applyBorder="1" applyAlignment="1">
      <alignment horizontal="center"/>
    </xf>
    <xf numFmtId="0" fontId="24" fillId="0" borderId="33" xfId="0" applyFont="1" applyBorder="1"/>
    <xf numFmtId="4" fontId="24" fillId="0" borderId="33" xfId="0" applyNumberFormat="1" applyFont="1" applyBorder="1"/>
    <xf numFmtId="4" fontId="23" fillId="0" borderId="9" xfId="0" applyNumberFormat="1" applyFont="1" applyFill="1" applyBorder="1" applyAlignment="1">
      <alignment horizontal="center"/>
    </xf>
    <xf numFmtId="4" fontId="27" fillId="0" borderId="10" xfId="0" applyNumberFormat="1" applyFont="1" applyFill="1" applyBorder="1" applyAlignment="1">
      <alignment horizontal="center"/>
    </xf>
    <xf numFmtId="4" fontId="23" fillId="0" borderId="10" xfId="0" applyNumberFormat="1" applyFont="1" applyFill="1" applyBorder="1" applyAlignment="1">
      <alignment horizontal="center"/>
    </xf>
    <xf numFmtId="4" fontId="29" fillId="0" borderId="10" xfId="2" applyNumberFormat="1" applyFont="1" applyBorder="1" applyAlignment="1">
      <alignment horizontal="center"/>
    </xf>
    <xf numFmtId="0" fontId="24" fillId="0" borderId="10" xfId="0" applyFont="1" applyBorder="1"/>
    <xf numFmtId="4" fontId="24" fillId="0" borderId="10" xfId="0" applyNumberFormat="1" applyFont="1" applyBorder="1"/>
    <xf numFmtId="0" fontId="23" fillId="0" borderId="34" xfId="0" applyFont="1" applyBorder="1" applyAlignment="1">
      <alignment horizontal="left"/>
    </xf>
    <xf numFmtId="0" fontId="18" fillId="0" borderId="35" xfId="6" applyFont="1" applyBorder="1" applyAlignment="1">
      <alignment horizontal="left" indent="2"/>
    </xf>
    <xf numFmtId="0" fontId="27" fillId="0" borderId="35" xfId="0" applyFont="1" applyBorder="1" applyAlignment="1">
      <alignment horizontal="left"/>
    </xf>
    <xf numFmtId="0" fontId="23" fillId="0" borderId="35" xfId="0" applyFont="1" applyBorder="1" applyAlignment="1">
      <alignment horizontal="left"/>
    </xf>
    <xf numFmtId="0" fontId="23" fillId="0" borderId="9" xfId="0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49" fontId="27" fillId="0" borderId="10" xfId="0" applyNumberFormat="1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18" fillId="0" borderId="31" xfId="6" applyFont="1" applyBorder="1" applyAlignment="1">
      <alignment horizontal="left" indent="2"/>
    </xf>
    <xf numFmtId="0" fontId="25" fillId="0" borderId="6" xfId="0" applyFont="1" applyBorder="1" applyAlignment="1">
      <alignment horizontal="center"/>
    </xf>
    <xf numFmtId="0" fontId="24" fillId="0" borderId="3" xfId="0" applyFont="1" applyBorder="1"/>
    <xf numFmtId="0" fontId="24" fillId="0" borderId="36" xfId="0" applyFont="1" applyBorder="1"/>
    <xf numFmtId="0" fontId="12" fillId="0" borderId="0" xfId="6" applyFont="1" applyBorder="1" applyAlignment="1">
      <alignment horizontal="center"/>
    </xf>
    <xf numFmtId="0" fontId="24" fillId="0" borderId="38" xfId="0" applyFont="1" applyBorder="1"/>
    <xf numFmtId="4" fontId="27" fillId="0" borderId="10" xfId="2" applyNumberFormat="1" applyFont="1" applyFill="1" applyBorder="1" applyAlignment="1">
      <alignment horizontal="center"/>
    </xf>
    <xf numFmtId="4" fontId="27" fillId="0" borderId="39" xfId="0" applyNumberFormat="1" applyFont="1" applyBorder="1" applyAlignment="1">
      <alignment horizontal="center"/>
    </xf>
    <xf numFmtId="4" fontId="29" fillId="0" borderId="3" xfId="2" applyNumberFormat="1" applyFont="1" applyBorder="1" applyAlignment="1">
      <alignment horizontal="center"/>
    </xf>
    <xf numFmtId="0" fontId="24" fillId="0" borderId="40" xfId="0" applyFont="1" applyBorder="1"/>
    <xf numFmtId="0" fontId="23" fillId="0" borderId="41" xfId="0" applyFont="1" applyBorder="1" applyAlignment="1">
      <alignment horizontal="left"/>
    </xf>
    <xf numFmtId="0" fontId="27" fillId="0" borderId="41" xfId="0" applyFont="1" applyBorder="1" applyAlignment="1">
      <alignment horizontal="left"/>
    </xf>
    <xf numFmtId="0" fontId="27" fillId="0" borderId="42" xfId="0" applyFont="1" applyBorder="1" applyAlignment="1">
      <alignment horizontal="left"/>
    </xf>
    <xf numFmtId="0" fontId="29" fillId="0" borderId="4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49" fontId="27" fillId="0" borderId="7" xfId="0" applyNumberFormat="1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3" xfId="0" applyFont="1" applyBorder="1"/>
    <xf numFmtId="49" fontId="17" fillId="2" borderId="43" xfId="0" applyNumberFormat="1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2" fontId="23" fillId="0" borderId="19" xfId="0" applyNumberFormat="1" applyFont="1" applyFill="1" applyBorder="1" applyAlignment="1">
      <alignment horizontal="center"/>
    </xf>
    <xf numFmtId="2" fontId="23" fillId="0" borderId="7" xfId="0" applyNumberFormat="1" applyFont="1" applyFill="1" applyBorder="1" applyAlignment="1">
      <alignment horizontal="center"/>
    </xf>
    <xf numFmtId="0" fontId="11" fillId="2" borderId="25" xfId="6" applyFont="1" applyFill="1" applyBorder="1" applyAlignment="1"/>
    <xf numFmtId="0" fontId="11" fillId="2" borderId="26" xfId="6" applyFont="1" applyFill="1" applyBorder="1" applyAlignment="1"/>
    <xf numFmtId="4" fontId="24" fillId="0" borderId="10" xfId="0" applyNumberFormat="1" applyFont="1" applyBorder="1" applyAlignment="1">
      <alignment horizontal="center"/>
    </xf>
    <xf numFmtId="49" fontId="17" fillId="2" borderId="44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15" fillId="0" borderId="0" xfId="6" applyFont="1" applyAlignment="1">
      <alignment horizontal="center"/>
    </xf>
    <xf numFmtId="2" fontId="11" fillId="2" borderId="14" xfId="0" applyNumberFormat="1" applyFont="1" applyFill="1" applyBorder="1" applyAlignment="1">
      <alignment horizontal="center" vertical="center" wrapText="1"/>
    </xf>
    <xf numFmtId="2" fontId="31" fillId="5" borderId="14" xfId="2" applyNumberFormat="1" applyFont="1" applyFill="1" applyBorder="1" applyAlignment="1">
      <alignment readingOrder="1"/>
    </xf>
    <xf numFmtId="2" fontId="27" fillId="0" borderId="14" xfId="0" applyNumberFormat="1" applyFont="1" applyFill="1" applyBorder="1" applyAlignment="1">
      <alignment horizontal="center"/>
    </xf>
    <xf numFmtId="2" fontId="32" fillId="5" borderId="14" xfId="2" applyNumberFormat="1" applyFont="1" applyFill="1" applyBorder="1" applyAlignment="1">
      <alignment readingOrder="1"/>
    </xf>
    <xf numFmtId="2" fontId="27" fillId="0" borderId="14" xfId="0" applyNumberFormat="1" applyFont="1" applyFill="1" applyBorder="1" applyAlignment="1">
      <alignment horizontal="right"/>
    </xf>
    <xf numFmtId="2" fontId="27" fillId="0" borderId="14" xfId="0" applyNumberFormat="1" applyFont="1" applyFill="1" applyBorder="1" applyAlignment="1">
      <alignment horizontal="left"/>
    </xf>
    <xf numFmtId="1" fontId="27" fillId="0" borderId="14" xfId="0" applyNumberFormat="1" applyFont="1" applyFill="1" applyBorder="1" applyAlignment="1">
      <alignment horizontal="center"/>
    </xf>
    <xf numFmtId="2" fontId="33" fillId="6" borderId="14" xfId="0" applyNumberFormat="1" applyFont="1" applyFill="1" applyBorder="1" applyAlignment="1">
      <alignment horizontal="center"/>
    </xf>
    <xf numFmtId="2" fontId="34" fillId="0" borderId="14" xfId="0" applyNumberFormat="1" applyFont="1" applyFill="1" applyBorder="1" applyAlignment="1">
      <alignment horizontal="center"/>
    </xf>
    <xf numFmtId="2" fontId="34" fillId="5" borderId="14" xfId="2" applyNumberFormat="1" applyFont="1" applyFill="1" applyBorder="1" applyAlignment="1">
      <alignment horizontal="center"/>
    </xf>
    <xf numFmtId="0" fontId="1" fillId="0" borderId="0" xfId="0" applyFont="1"/>
    <xf numFmtId="4" fontId="27" fillId="0" borderId="10" xfId="2" applyNumberFormat="1" applyFont="1" applyFill="1" applyBorder="1" applyAlignment="1">
      <alignment horizontal="right"/>
    </xf>
    <xf numFmtId="4" fontId="27" fillId="0" borderId="10" xfId="0" applyNumberFormat="1" applyFont="1" applyFill="1" applyBorder="1" applyAlignment="1">
      <alignment horizontal="right"/>
    </xf>
    <xf numFmtId="4" fontId="27" fillId="0" borderId="39" xfId="0" applyNumberFormat="1" applyFont="1" applyBorder="1" applyAlignment="1">
      <alignment horizontal="right"/>
    </xf>
    <xf numFmtId="4" fontId="27" fillId="0" borderId="16" xfId="2" applyNumberFormat="1" applyFont="1" applyFill="1" applyBorder="1" applyAlignment="1">
      <alignment horizontal="right"/>
    </xf>
    <xf numFmtId="4" fontId="27" fillId="0" borderId="16" xfId="0" applyNumberFormat="1" applyFont="1" applyFill="1" applyBorder="1" applyAlignment="1">
      <alignment horizontal="right"/>
    </xf>
    <xf numFmtId="4" fontId="27" fillId="0" borderId="37" xfId="0" applyNumberFormat="1" applyFont="1" applyBorder="1" applyAlignment="1">
      <alignment horizontal="right"/>
    </xf>
    <xf numFmtId="2" fontId="23" fillId="0" borderId="7" xfId="0" applyNumberFormat="1" applyFont="1" applyFill="1" applyBorder="1" applyAlignment="1">
      <alignment horizontal="right"/>
    </xf>
    <xf numFmtId="0" fontId="35" fillId="0" borderId="0" xfId="0" applyFont="1" applyBorder="1"/>
    <xf numFmtId="4" fontId="24" fillId="0" borderId="33" xfId="0" applyNumberFormat="1" applyFont="1" applyBorder="1" applyAlignment="1">
      <alignment horizontal="center"/>
    </xf>
    <xf numFmtId="2" fontId="36" fillId="0" borderId="40" xfId="0" applyNumberFormat="1" applyFont="1" applyBorder="1" applyAlignment="1">
      <alignment horizontal="center"/>
    </xf>
    <xf numFmtId="0" fontId="19" fillId="0" borderId="13" xfId="6" applyFont="1" applyBorder="1" applyAlignment="1">
      <alignment horizontal="center"/>
    </xf>
    <xf numFmtId="0" fontId="19" fillId="7" borderId="8" xfId="6" applyFont="1" applyFill="1" applyBorder="1" applyAlignment="1"/>
    <xf numFmtId="0" fontId="24" fillId="0" borderId="51" xfId="0" applyFont="1" applyBorder="1"/>
    <xf numFmtId="0" fontId="19" fillId="7" borderId="10" xfId="6" applyFont="1" applyFill="1" applyBorder="1" applyAlignment="1"/>
    <xf numFmtId="0" fontId="24" fillId="0" borderId="35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7" fillId="0" borderId="40" xfId="0" applyFont="1" applyBorder="1"/>
    <xf numFmtId="4" fontId="36" fillId="0" borderId="7" xfId="0" applyNumberFormat="1" applyFont="1" applyBorder="1" applyAlignment="1">
      <alignment horizontal="center"/>
    </xf>
    <xf numFmtId="4" fontId="24" fillId="0" borderId="15" xfId="0" applyNumberFormat="1" applyFont="1" applyBorder="1" applyAlignment="1">
      <alignment horizontal="center"/>
    </xf>
    <xf numFmtId="4" fontId="24" fillId="0" borderId="52" xfId="0" applyNumberFormat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18" fillId="0" borderId="15" xfId="6" applyFont="1" applyBorder="1"/>
    <xf numFmtId="0" fontId="18" fillId="0" borderId="15" xfId="6" applyFont="1" applyBorder="1" applyAlignment="1">
      <alignment horizontal="center"/>
    </xf>
    <xf numFmtId="0" fontId="18" fillId="0" borderId="33" xfId="6" applyFont="1" applyBorder="1"/>
    <xf numFmtId="0" fontId="18" fillId="0" borderId="35" xfId="6" applyFont="1" applyBorder="1" applyAlignment="1">
      <alignment horizontal="center"/>
    </xf>
    <xf numFmtId="2" fontId="37" fillId="3" borderId="7" xfId="6" applyNumberFormat="1" applyFont="1" applyFill="1" applyBorder="1"/>
    <xf numFmtId="0" fontId="37" fillId="3" borderId="10" xfId="6" applyFont="1" applyFill="1" applyBorder="1"/>
    <xf numFmtId="0" fontId="38" fillId="4" borderId="10" xfId="6" applyFont="1" applyFill="1" applyBorder="1"/>
    <xf numFmtId="0" fontId="25" fillId="4" borderId="9" xfId="6" applyFont="1" applyFill="1" applyBorder="1"/>
    <xf numFmtId="2" fontId="12" fillId="0" borderId="23" xfId="6" applyNumberFormat="1" applyFont="1" applyFill="1" applyBorder="1" applyAlignment="1">
      <alignment horizontal="center"/>
    </xf>
    <xf numFmtId="2" fontId="11" fillId="2" borderId="26" xfId="6" applyNumberFormat="1" applyFont="1" applyFill="1" applyBorder="1" applyAlignment="1"/>
    <xf numFmtId="2" fontId="18" fillId="0" borderId="12" xfId="6" applyNumberFormat="1" applyFont="1" applyBorder="1"/>
    <xf numFmtId="2" fontId="18" fillId="0" borderId="14" xfId="6" applyNumberFormat="1" applyFont="1" applyBorder="1"/>
    <xf numFmtId="0" fontId="40" fillId="2" borderId="24" xfId="0" applyFont="1" applyFill="1" applyBorder="1" applyAlignment="1">
      <alignment horizontal="center" vertical="center" wrapText="1"/>
    </xf>
    <xf numFmtId="49" fontId="40" fillId="2" borderId="29" xfId="0" applyNumberFormat="1" applyFont="1" applyFill="1" applyBorder="1" applyAlignment="1">
      <alignment horizontal="center" vertical="center" wrapText="1"/>
    </xf>
    <xf numFmtId="2" fontId="39" fillId="2" borderId="14" xfId="0" applyNumberFormat="1" applyFont="1" applyFill="1" applyBorder="1" applyAlignment="1">
      <alignment horizontal="center" vertical="center" wrapText="1"/>
    </xf>
    <xf numFmtId="0" fontId="41" fillId="0" borderId="14" xfId="0" applyFont="1" applyBorder="1" applyAlignment="1">
      <alignment wrapText="1"/>
    </xf>
    <xf numFmtId="4" fontId="27" fillId="0" borderId="35" xfId="0" applyNumberFormat="1" applyFont="1" applyFill="1" applyBorder="1" applyAlignment="1">
      <alignment horizontal="right"/>
    </xf>
    <xf numFmtId="4" fontId="27" fillId="0" borderId="12" xfId="0" applyNumberFormat="1" applyFont="1" applyFill="1" applyBorder="1" applyAlignment="1">
      <alignment horizontal="right"/>
    </xf>
    <xf numFmtId="4" fontId="29" fillId="0" borderId="46" xfId="2" applyNumberFormat="1" applyFont="1" applyBorder="1" applyAlignment="1">
      <alignment horizontal="right"/>
    </xf>
    <xf numFmtId="4" fontId="29" fillId="0" borderId="5" xfId="2" applyNumberFormat="1" applyFont="1" applyBorder="1" applyAlignment="1">
      <alignment horizontal="right"/>
    </xf>
    <xf numFmtId="4" fontId="36" fillId="0" borderId="3" xfId="0" applyNumberFormat="1" applyFont="1" applyBorder="1" applyAlignment="1">
      <alignment horizontal="center"/>
    </xf>
    <xf numFmtId="0" fontId="42" fillId="0" borderId="8" xfId="6" applyFont="1" applyBorder="1" applyAlignment="1">
      <alignment horizontal="left"/>
    </xf>
    <xf numFmtId="0" fontId="28" fillId="0" borderId="8" xfId="6" applyFont="1" applyBorder="1" applyAlignment="1">
      <alignment horizontal="center"/>
    </xf>
    <xf numFmtId="0" fontId="42" fillId="0" borderId="18" xfId="6" applyFont="1" applyBorder="1" applyAlignment="1">
      <alignment horizontal="left"/>
    </xf>
    <xf numFmtId="0" fontId="42" fillId="0" borderId="13" xfId="6" applyFont="1" applyBorder="1" applyAlignment="1">
      <alignment horizontal="left"/>
    </xf>
    <xf numFmtId="2" fontId="37" fillId="3" borderId="10" xfId="6" applyNumberFormat="1" applyFont="1" applyFill="1" applyBorder="1"/>
    <xf numFmtId="43" fontId="20" fillId="0" borderId="12" xfId="3" applyFont="1" applyBorder="1"/>
    <xf numFmtId="2" fontId="43" fillId="0" borderId="12" xfId="6" applyNumberFormat="1" applyFont="1" applyBorder="1"/>
    <xf numFmtId="4" fontId="27" fillId="0" borderId="10" xfId="3" applyNumberFormat="1" applyFont="1" applyFill="1" applyBorder="1" applyAlignment="1">
      <alignment horizontal="center"/>
    </xf>
    <xf numFmtId="0" fontId="20" fillId="0" borderId="12" xfId="6" applyFont="1" applyBorder="1" applyAlignment="1">
      <alignment wrapText="1"/>
    </xf>
    <xf numFmtId="0" fontId="28" fillId="0" borderId="35" xfId="6" applyFont="1" applyBorder="1" applyAlignment="1">
      <alignment horizontal="center"/>
    </xf>
    <xf numFmtId="43" fontId="43" fillId="0" borderId="12" xfId="2" applyFont="1" applyBorder="1"/>
    <xf numFmtId="43" fontId="10" fillId="0" borderId="14" xfId="6" applyNumberFormat="1" applyBorder="1"/>
    <xf numFmtId="2" fontId="10" fillId="0" borderId="12" xfId="6" applyNumberFormat="1" applyBorder="1"/>
    <xf numFmtId="2" fontId="22" fillId="2" borderId="15" xfId="6" applyNumberFormat="1" applyFont="1" applyFill="1" applyBorder="1"/>
    <xf numFmtId="0" fontId="44" fillId="0" borderId="0" xfId="0" applyFont="1" applyBorder="1" applyAlignment="1">
      <alignment horizontal="left"/>
    </xf>
    <xf numFmtId="0" fontId="44" fillId="0" borderId="0" xfId="0" applyFont="1" applyBorder="1" applyAlignment="1">
      <alignment horizontal="right"/>
    </xf>
    <xf numFmtId="2" fontId="25" fillId="4" borderId="9" xfId="6" applyNumberFormat="1" applyFont="1" applyFill="1" applyBorder="1"/>
    <xf numFmtId="2" fontId="22" fillId="2" borderId="10" xfId="6" applyNumberFormat="1" applyFont="1" applyFill="1" applyBorder="1"/>
    <xf numFmtId="0" fontId="30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49" fontId="17" fillId="2" borderId="22" xfId="0" applyNumberFormat="1" applyFont="1" applyFill="1" applyBorder="1" applyAlignment="1">
      <alignment horizontal="center" vertical="center" wrapText="1"/>
    </xf>
    <xf numFmtId="49" fontId="17" fillId="2" borderId="44" xfId="0" applyNumberFormat="1" applyFont="1" applyFill="1" applyBorder="1" applyAlignment="1">
      <alignment horizontal="center" vertical="center" wrapText="1"/>
    </xf>
    <xf numFmtId="0" fontId="29" fillId="3" borderId="25" xfId="0" applyFont="1" applyFill="1" applyBorder="1" applyAlignment="1">
      <alignment horizontal="center"/>
    </xf>
    <xf numFmtId="0" fontId="29" fillId="3" borderId="26" xfId="0" applyFont="1" applyFill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0" fontId="29" fillId="3" borderId="46" xfId="0" applyFont="1" applyFill="1" applyBorder="1" applyAlignment="1">
      <alignment horizontal="center"/>
    </xf>
    <xf numFmtId="0" fontId="29" fillId="3" borderId="36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39" fillId="2" borderId="45" xfId="6" applyFont="1" applyFill="1" applyBorder="1" applyAlignment="1">
      <alignment horizontal="center" vertical="center" wrapText="1"/>
    </xf>
    <xf numFmtId="0" fontId="39" fillId="2" borderId="39" xfId="6" applyFont="1" applyFill="1" applyBorder="1" applyAlignment="1">
      <alignment horizontal="center" vertical="center" wrapText="1"/>
    </xf>
    <xf numFmtId="0" fontId="39" fillId="2" borderId="40" xfId="6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2" fillId="0" borderId="0" xfId="6" applyFont="1" applyAlignment="1">
      <alignment horizontal="center"/>
    </xf>
    <xf numFmtId="0" fontId="11" fillId="2" borderId="22" xfId="6" applyFont="1" applyFill="1" applyBorder="1" applyAlignment="1">
      <alignment horizontal="center" vertical="center" wrapText="1"/>
    </xf>
    <xf numFmtId="0" fontId="11" fillId="2" borderId="23" xfId="6" applyFont="1" applyFill="1" applyBorder="1" applyAlignment="1">
      <alignment horizontal="center" vertical="center" wrapText="1"/>
    </xf>
    <xf numFmtId="0" fontId="11" fillId="2" borderId="50" xfId="6" applyFont="1" applyFill="1" applyBorder="1" applyAlignment="1">
      <alignment horizontal="center" vertical="center" wrapText="1"/>
    </xf>
    <xf numFmtId="0" fontId="11" fillId="2" borderId="0" xfId="6" applyFont="1" applyFill="1" applyBorder="1" applyAlignment="1">
      <alignment horizontal="center" vertical="center" wrapText="1"/>
    </xf>
    <xf numFmtId="0" fontId="11" fillId="2" borderId="24" xfId="6" applyFont="1" applyFill="1" applyBorder="1" applyAlignment="1">
      <alignment horizontal="center" vertical="center" wrapText="1"/>
    </xf>
    <xf numFmtId="0" fontId="11" fillId="2" borderId="51" xfId="6" applyFont="1" applyFill="1" applyBorder="1" applyAlignment="1">
      <alignment horizontal="center" vertical="center" wrapText="1"/>
    </xf>
    <xf numFmtId="0" fontId="11" fillId="2" borderId="25" xfId="6" applyFont="1" applyFill="1" applyBorder="1" applyAlignment="1">
      <alignment horizontal="center" vertical="center" wrapText="1"/>
    </xf>
    <xf numFmtId="0" fontId="11" fillId="2" borderId="26" xfId="6" applyFont="1" applyFill="1" applyBorder="1" applyAlignment="1">
      <alignment horizontal="center" vertical="center" wrapText="1"/>
    </xf>
    <xf numFmtId="0" fontId="19" fillId="3" borderId="13" xfId="6" applyFont="1" applyFill="1" applyBorder="1" applyAlignment="1">
      <alignment horizontal="left"/>
    </xf>
    <xf numFmtId="0" fontId="19" fillId="3" borderId="37" xfId="6" applyFont="1" applyFill="1" applyBorder="1" applyAlignment="1">
      <alignment horizontal="left"/>
    </xf>
    <xf numFmtId="0" fontId="19" fillId="3" borderId="18" xfId="6" applyFont="1" applyFill="1" applyBorder="1" applyAlignment="1">
      <alignment horizontal="left"/>
    </xf>
    <xf numFmtId="0" fontId="19" fillId="4" borderId="13" xfId="6" applyFont="1" applyFill="1" applyBorder="1" applyAlignment="1">
      <alignment horizontal="center"/>
    </xf>
    <xf numFmtId="0" fontId="19" fillId="4" borderId="19" xfId="6" applyFont="1" applyFill="1" applyBorder="1" applyAlignment="1">
      <alignment horizontal="center"/>
    </xf>
    <xf numFmtId="0" fontId="19" fillId="3" borderId="16" xfId="6" applyFont="1" applyFill="1" applyBorder="1" applyAlignment="1">
      <alignment horizontal="left"/>
    </xf>
    <xf numFmtId="0" fontId="19" fillId="3" borderId="48" xfId="6" applyFont="1" applyFill="1" applyBorder="1" applyAlignment="1">
      <alignment horizontal="left"/>
    </xf>
    <xf numFmtId="0" fontId="22" fillId="2" borderId="13" xfId="6" applyFont="1" applyFill="1" applyBorder="1" applyAlignment="1">
      <alignment horizontal="center"/>
    </xf>
    <xf numFmtId="0" fontId="22" fillId="2" borderId="16" xfId="6" applyFont="1" applyFill="1" applyBorder="1" applyAlignment="1">
      <alignment horizontal="center"/>
    </xf>
    <xf numFmtId="0" fontId="19" fillId="3" borderId="47" xfId="6" applyFont="1" applyFill="1" applyBorder="1" applyAlignment="1">
      <alignment horizontal="left"/>
    </xf>
    <xf numFmtId="0" fontId="22" fillId="2" borderId="49" xfId="6" applyFont="1" applyFill="1" applyBorder="1" applyAlignment="1">
      <alignment horizontal="center"/>
    </xf>
    <xf numFmtId="0" fontId="22" fillId="2" borderId="38" xfId="6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7" borderId="10" xfId="6" applyFont="1" applyFill="1" applyBorder="1"/>
    <xf numFmtId="0" fontId="18" fillId="7" borderId="11" xfId="6" applyFont="1" applyFill="1" applyBorder="1"/>
    <xf numFmtId="0" fontId="18" fillId="7" borderId="12" xfId="6" applyFont="1" applyFill="1" applyBorder="1"/>
    <xf numFmtId="2" fontId="18" fillId="7" borderId="10" xfId="6" applyNumberFormat="1" applyFont="1" applyFill="1" applyBorder="1"/>
    <xf numFmtId="2" fontId="18" fillId="7" borderId="11" xfId="6" applyNumberFormat="1" applyFont="1" applyFill="1" applyBorder="1"/>
    <xf numFmtId="2" fontId="18" fillId="7" borderId="12" xfId="6" applyNumberFormat="1" applyFont="1" applyFill="1" applyBorder="1"/>
    <xf numFmtId="0" fontId="18" fillId="7" borderId="33" xfId="6" applyFont="1" applyFill="1" applyBorder="1"/>
    <xf numFmtId="43" fontId="20" fillId="7" borderId="11" xfId="3" applyFont="1" applyFill="1" applyBorder="1" applyAlignment="1">
      <alignment horizontal="center"/>
    </xf>
    <xf numFmtId="43" fontId="20" fillId="7" borderId="12" xfId="3" applyFont="1" applyFill="1" applyBorder="1"/>
    <xf numFmtId="2" fontId="18" fillId="7" borderId="33" xfId="6" applyNumberFormat="1" applyFont="1" applyFill="1" applyBorder="1"/>
    <xf numFmtId="0" fontId="20" fillId="7" borderId="33" xfId="6" applyFont="1" applyFill="1" applyBorder="1"/>
    <xf numFmtId="43" fontId="20" fillId="7" borderId="11" xfId="2" applyFont="1" applyFill="1" applyBorder="1" applyAlignment="1">
      <alignment horizontal="center"/>
    </xf>
    <xf numFmtId="43" fontId="20" fillId="7" borderId="12" xfId="2" applyFont="1" applyFill="1" applyBorder="1"/>
    <xf numFmtId="4" fontId="18" fillId="7" borderId="12" xfId="6" applyNumberFormat="1" applyFont="1" applyFill="1" applyBorder="1"/>
    <xf numFmtId="4" fontId="18" fillId="7" borderId="11" xfId="6" applyNumberFormat="1" applyFont="1" applyFill="1" applyBorder="1"/>
    <xf numFmtId="0" fontId="18" fillId="7" borderId="17" xfId="6" applyFont="1" applyFill="1" applyBorder="1"/>
    <xf numFmtId="0" fontId="28" fillId="7" borderId="10" xfId="6" applyFont="1" applyFill="1" applyBorder="1"/>
  </cellXfs>
  <cellStyles count="8">
    <cellStyle name="Euro" xfId="1"/>
    <cellStyle name="Millares" xfId="2" builtinId="3"/>
    <cellStyle name="Millares 2" xfId="3"/>
    <cellStyle name="Normal" xfId="0" builtinId="0"/>
    <cellStyle name="Normal 14" xfId="4"/>
    <cellStyle name="Normal 15" xfId="5"/>
    <cellStyle name="Normal 2" xfId="6"/>
    <cellStyle name="Normal 7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32"/>
  <sheetViews>
    <sheetView topLeftCell="A7" zoomScaleNormal="100" workbookViewId="0">
      <selection activeCell="B49" sqref="B49"/>
    </sheetView>
  </sheetViews>
  <sheetFormatPr baseColWidth="10" defaultColWidth="11.42578125" defaultRowHeight="20.100000000000001" customHeight="1" x14ac:dyDescent="0.2"/>
  <cols>
    <col min="1" max="1" width="13.140625" style="63" customWidth="1"/>
    <col min="2" max="2" width="43.85546875" style="63" customWidth="1"/>
    <col min="3" max="3" width="21.5703125" style="63" customWidth="1"/>
    <col min="4" max="4" width="29.7109375" style="63" bestFit="1" customWidth="1"/>
    <col min="5" max="5" width="17.28515625" style="2" customWidth="1"/>
    <col min="6" max="16384" width="11.42578125" style="2"/>
  </cols>
  <sheetData>
    <row r="1" spans="1:5" ht="20.100000000000001" customHeight="1" x14ac:dyDescent="0.3">
      <c r="A1" s="206" t="s">
        <v>0</v>
      </c>
      <c r="B1" s="206"/>
      <c r="C1" s="206"/>
      <c r="D1" s="206"/>
      <c r="E1" s="206"/>
    </row>
    <row r="2" spans="1:5" ht="20.100000000000001" customHeight="1" x14ac:dyDescent="0.25">
      <c r="A2" s="207" t="s">
        <v>1</v>
      </c>
      <c r="B2" s="207"/>
      <c r="C2" s="207"/>
      <c r="D2" s="207"/>
      <c r="E2" s="207"/>
    </row>
    <row r="3" spans="1:5" ht="20.100000000000001" customHeight="1" x14ac:dyDescent="0.25">
      <c r="A3" s="207" t="s">
        <v>2</v>
      </c>
      <c r="B3" s="207"/>
      <c r="C3" s="207"/>
      <c r="D3" s="207"/>
      <c r="E3" s="207"/>
    </row>
    <row r="4" spans="1:5" ht="20.100000000000001" customHeight="1" x14ac:dyDescent="0.25">
      <c r="A4" s="131"/>
      <c r="B4" s="131"/>
      <c r="C4" s="131"/>
      <c r="D4" s="131"/>
    </row>
    <row r="5" spans="1:5" ht="20.100000000000001" customHeight="1" x14ac:dyDescent="0.25">
      <c r="A5" s="64" t="s">
        <v>3</v>
      </c>
      <c r="B5" s="131"/>
      <c r="C5" s="2"/>
      <c r="D5" s="64"/>
    </row>
    <row r="6" spans="1:5" ht="20.100000000000001" customHeight="1" x14ac:dyDescent="0.25">
      <c r="A6" s="64" t="s">
        <v>4</v>
      </c>
      <c r="B6" s="131"/>
      <c r="C6" s="2"/>
      <c r="D6" s="64"/>
    </row>
    <row r="7" spans="1:5" ht="20.100000000000001" customHeight="1" x14ac:dyDescent="0.25">
      <c r="A7" s="65" t="s">
        <v>5</v>
      </c>
      <c r="B7" s="65"/>
      <c r="C7" s="2"/>
      <c r="D7" s="65"/>
    </row>
    <row r="8" spans="1:5" ht="20.100000000000001" customHeight="1" thickBot="1" x14ac:dyDescent="0.3">
      <c r="A8" s="65"/>
      <c r="B8" s="65"/>
      <c r="C8" s="2"/>
      <c r="D8" s="65"/>
    </row>
    <row r="9" spans="1:5" ht="62.25" customHeight="1" x14ac:dyDescent="0.2">
      <c r="A9" s="208" t="s">
        <v>6</v>
      </c>
      <c r="B9" s="209"/>
      <c r="C9" s="78" t="s">
        <v>619</v>
      </c>
      <c r="D9" s="79" t="s">
        <v>620</v>
      </c>
      <c r="E9" s="180" t="s">
        <v>7</v>
      </c>
    </row>
    <row r="10" spans="1:5" ht="20.100000000000001" customHeight="1" thickBot="1" x14ac:dyDescent="0.3">
      <c r="A10" s="210" t="s">
        <v>8</v>
      </c>
      <c r="B10" s="211"/>
      <c r="C10" s="211"/>
      <c r="D10" s="211"/>
      <c r="E10" s="211"/>
    </row>
    <row r="11" spans="1:5" ht="20.100000000000001" customHeight="1" x14ac:dyDescent="0.2">
      <c r="A11" s="97">
        <v>11</v>
      </c>
      <c r="B11" s="93" t="s">
        <v>9</v>
      </c>
      <c r="C11" s="87"/>
      <c r="D11" s="81"/>
      <c r="E11" s="81"/>
    </row>
    <row r="12" spans="1:5" ht="20.100000000000001" customHeight="1" x14ac:dyDescent="0.2">
      <c r="A12" s="98">
        <v>1101</v>
      </c>
      <c r="B12" s="94" t="s">
        <v>10</v>
      </c>
      <c r="C12" s="88"/>
      <c r="D12" s="82"/>
      <c r="E12" s="82"/>
    </row>
    <row r="13" spans="1:5" ht="20.100000000000001" customHeight="1" x14ac:dyDescent="0.2">
      <c r="A13" s="98">
        <v>1102</v>
      </c>
      <c r="B13" s="94" t="s">
        <v>11</v>
      </c>
      <c r="C13" s="88"/>
      <c r="D13" s="82"/>
      <c r="E13" s="82"/>
    </row>
    <row r="14" spans="1:5" ht="20.100000000000001" customHeight="1" x14ac:dyDescent="0.2">
      <c r="A14" s="98">
        <v>1103</v>
      </c>
      <c r="B14" s="94" t="s">
        <v>12</v>
      </c>
      <c r="C14" s="88"/>
      <c r="D14" s="82"/>
      <c r="E14" s="82"/>
    </row>
    <row r="15" spans="1:5" ht="20.100000000000001" customHeight="1" x14ac:dyDescent="0.2">
      <c r="A15" s="98">
        <v>1107</v>
      </c>
      <c r="B15" s="94" t="s">
        <v>13</v>
      </c>
      <c r="C15" s="88"/>
      <c r="D15" s="82"/>
      <c r="E15" s="82"/>
    </row>
    <row r="16" spans="1:5" ht="20.100000000000001" customHeight="1" x14ac:dyDescent="0.2">
      <c r="A16" s="99"/>
      <c r="B16" s="95"/>
      <c r="C16" s="89"/>
      <c r="D16" s="83"/>
      <c r="E16" s="83"/>
    </row>
    <row r="17" spans="1:5" ht="20.100000000000001" customHeight="1" x14ac:dyDescent="0.2">
      <c r="A17" s="100">
        <v>13</v>
      </c>
      <c r="B17" s="96" t="s">
        <v>14</v>
      </c>
      <c r="C17" s="88"/>
      <c r="D17" s="82"/>
      <c r="E17" s="82"/>
    </row>
    <row r="18" spans="1:5" ht="20.100000000000001" customHeight="1" x14ac:dyDescent="0.2">
      <c r="A18" s="98">
        <v>1301</v>
      </c>
      <c r="B18" s="94" t="s">
        <v>15</v>
      </c>
      <c r="C18" s="88"/>
      <c r="D18" s="82"/>
      <c r="E18" s="82"/>
    </row>
    <row r="19" spans="1:5" ht="20.100000000000001" customHeight="1" x14ac:dyDescent="0.2">
      <c r="A19" s="98">
        <v>1302</v>
      </c>
      <c r="B19" s="94" t="s">
        <v>16</v>
      </c>
      <c r="C19" s="88"/>
      <c r="D19" s="82"/>
      <c r="E19" s="82"/>
    </row>
    <row r="20" spans="1:5" ht="20.100000000000001" customHeight="1" x14ac:dyDescent="0.2">
      <c r="A20" s="98">
        <v>1303</v>
      </c>
      <c r="B20" s="94" t="s">
        <v>17</v>
      </c>
      <c r="C20" s="89"/>
      <c r="D20" s="83"/>
      <c r="E20" s="83"/>
    </row>
    <row r="21" spans="1:5" ht="20.100000000000001" customHeight="1" x14ac:dyDescent="0.2">
      <c r="A21" s="98">
        <v>1304</v>
      </c>
      <c r="B21" s="94" t="s">
        <v>18</v>
      </c>
      <c r="C21" s="89"/>
      <c r="D21" s="83"/>
      <c r="E21" s="83"/>
    </row>
    <row r="22" spans="1:5" ht="20.100000000000001" customHeight="1" x14ac:dyDescent="0.2">
      <c r="A22" s="99"/>
      <c r="B22" s="95"/>
      <c r="C22" s="89"/>
      <c r="D22" s="82"/>
      <c r="E22" s="82"/>
    </row>
    <row r="23" spans="1:5" ht="20.100000000000001" customHeight="1" x14ac:dyDescent="0.25">
      <c r="A23" s="100">
        <v>14</v>
      </c>
      <c r="B23" s="96" t="s">
        <v>19</v>
      </c>
      <c r="C23" s="90"/>
      <c r="D23" s="84"/>
      <c r="E23" s="84"/>
    </row>
    <row r="24" spans="1:5" ht="20.100000000000001" customHeight="1" x14ac:dyDescent="0.2">
      <c r="A24" s="101"/>
      <c r="B24" s="95"/>
      <c r="C24" s="91"/>
      <c r="D24" s="85"/>
      <c r="E24" s="85"/>
    </row>
    <row r="25" spans="1:5" ht="20.100000000000001" customHeight="1" x14ac:dyDescent="0.2">
      <c r="A25" s="100">
        <v>17</v>
      </c>
      <c r="B25" s="96" t="s">
        <v>20</v>
      </c>
      <c r="C25" s="91"/>
      <c r="D25" s="85"/>
      <c r="E25" s="85"/>
    </row>
    <row r="26" spans="1:5" ht="20.100000000000001" customHeight="1" x14ac:dyDescent="0.2">
      <c r="A26" s="99"/>
      <c r="B26" s="95"/>
      <c r="C26" s="92"/>
      <c r="D26" s="86"/>
      <c r="E26" s="86"/>
    </row>
    <row r="27" spans="1:5" ht="20.100000000000001" customHeight="1" x14ac:dyDescent="0.2">
      <c r="A27" s="100">
        <v>18</v>
      </c>
      <c r="B27" s="96" t="s">
        <v>21</v>
      </c>
      <c r="C27" s="91"/>
      <c r="D27" s="86"/>
      <c r="E27" s="86"/>
    </row>
    <row r="28" spans="1:5" ht="20.100000000000001" customHeight="1" x14ac:dyDescent="0.2">
      <c r="A28" s="99"/>
      <c r="B28" s="94" t="s">
        <v>22</v>
      </c>
      <c r="C28" s="129"/>
      <c r="D28" s="153"/>
      <c r="E28" s="86"/>
    </row>
    <row r="29" spans="1:5" ht="20.100000000000001" customHeight="1" x14ac:dyDescent="0.2">
      <c r="A29" s="100">
        <v>19</v>
      </c>
      <c r="B29" s="96" t="s">
        <v>23</v>
      </c>
      <c r="C29" s="92"/>
      <c r="D29" s="86"/>
      <c r="E29" s="86"/>
    </row>
    <row r="30" spans="1:5" ht="20.100000000000001" customHeight="1" x14ac:dyDescent="0.2">
      <c r="A30" s="98">
        <v>1901</v>
      </c>
      <c r="B30" s="94" t="s">
        <v>24</v>
      </c>
      <c r="C30" s="92"/>
      <c r="D30" s="86"/>
      <c r="E30" s="86"/>
    </row>
    <row r="31" spans="1:5" ht="20.100000000000001" customHeight="1" x14ac:dyDescent="0.2">
      <c r="A31" s="98">
        <v>1902</v>
      </c>
      <c r="B31" s="94" t="s">
        <v>25</v>
      </c>
      <c r="C31" s="91"/>
      <c r="D31" s="85"/>
      <c r="E31" s="85"/>
    </row>
    <row r="32" spans="1:5" ht="20.100000000000001" customHeight="1" x14ac:dyDescent="0.2">
      <c r="A32" s="102">
        <v>1904</v>
      </c>
      <c r="B32" s="103" t="s">
        <v>26</v>
      </c>
      <c r="C32" s="91"/>
      <c r="D32" s="159"/>
      <c r="E32" s="160"/>
    </row>
    <row r="33" spans="1:7" ht="20.100000000000001" customHeight="1" x14ac:dyDescent="0.2">
      <c r="A33" s="155">
        <v>28</v>
      </c>
      <c r="B33" s="156" t="s">
        <v>99</v>
      </c>
      <c r="C33" s="158"/>
      <c r="D33" s="159"/>
      <c r="E33" s="160"/>
    </row>
    <row r="34" spans="1:7" ht="20.100000000000001" customHeight="1" thickBot="1" x14ac:dyDescent="0.25">
      <c r="A34" s="168">
        <v>2806</v>
      </c>
      <c r="B34" s="167" t="s">
        <v>100</v>
      </c>
      <c r="C34" s="164">
        <f>'FORMULARIO 2'!C40</f>
        <v>1995934.852</v>
      </c>
      <c r="D34" s="165">
        <f>'FORMULARIO 2'!D40</f>
        <v>2260664.8089999999</v>
      </c>
      <c r="E34" s="166"/>
    </row>
    <row r="35" spans="1:7" ht="20.100000000000001" customHeight="1" thickBot="1" x14ac:dyDescent="0.3">
      <c r="A35" s="162"/>
      <c r="B35" s="161" t="s">
        <v>27</v>
      </c>
      <c r="C35" s="163">
        <f>C34</f>
        <v>1995934.852</v>
      </c>
      <c r="D35" s="187">
        <f>D34</f>
        <v>2260664.8089999999</v>
      </c>
      <c r="E35" s="157"/>
      <c r="G35" s="7"/>
    </row>
    <row r="36" spans="1:7" ht="20.100000000000001" customHeight="1" thickBot="1" x14ac:dyDescent="0.3">
      <c r="A36" s="112"/>
      <c r="B36" s="104" t="s">
        <v>28</v>
      </c>
      <c r="C36" s="105"/>
      <c r="D36" s="154">
        <f>SUM(D35-C35)/C35*100</f>
        <v>13.263456807456958</v>
      </c>
      <c r="E36" s="106"/>
    </row>
    <row r="37" spans="1:7" ht="20.100000000000001" customHeight="1" x14ac:dyDescent="0.2">
      <c r="A37" s="59"/>
      <c r="B37" s="60"/>
      <c r="C37" s="59"/>
      <c r="D37" s="59"/>
    </row>
    <row r="38" spans="1:7" ht="20.100000000000001" customHeight="1" x14ac:dyDescent="0.2">
      <c r="A38" s="77" t="s">
        <v>29</v>
      </c>
      <c r="B38" s="60"/>
      <c r="C38" s="59"/>
      <c r="D38" s="59"/>
    </row>
    <row r="39" spans="1:7" ht="20.100000000000001" customHeight="1" x14ac:dyDescent="0.2">
      <c r="A39" s="77" t="s">
        <v>30</v>
      </c>
      <c r="B39" s="60"/>
      <c r="C39" s="59"/>
      <c r="D39" s="59"/>
    </row>
    <row r="40" spans="1:7" ht="20.100000000000001" customHeight="1" x14ac:dyDescent="0.2">
      <c r="A40" s="77" t="s">
        <v>31</v>
      </c>
      <c r="B40" s="59"/>
      <c r="C40" s="59"/>
      <c r="D40" s="59"/>
    </row>
    <row r="41" spans="1:7" ht="20.100000000000001" customHeight="1" x14ac:dyDescent="0.2">
      <c r="A41" s="59"/>
      <c r="B41" s="60"/>
      <c r="C41" s="59"/>
      <c r="D41" s="59"/>
    </row>
    <row r="42" spans="1:7" ht="20.100000000000001" customHeight="1" x14ac:dyDescent="0.2">
      <c r="A42" s="59"/>
      <c r="B42" s="60"/>
      <c r="C42" s="59"/>
      <c r="D42" s="59"/>
    </row>
    <row r="43" spans="1:7" ht="20.100000000000001" customHeight="1" x14ac:dyDescent="0.2">
      <c r="A43" s="59"/>
      <c r="B43" s="59"/>
      <c r="C43" s="59"/>
      <c r="D43" s="59"/>
    </row>
    <row r="44" spans="1:7" ht="20.100000000000001" customHeight="1" x14ac:dyDescent="0.2">
      <c r="A44" s="59"/>
      <c r="B44" s="62"/>
      <c r="C44" s="59"/>
      <c r="D44" s="59"/>
    </row>
    <row r="45" spans="1:7" ht="20.100000000000001" customHeight="1" x14ac:dyDescent="0.25">
      <c r="A45" s="2"/>
      <c r="B45" s="132" t="s">
        <v>32</v>
      </c>
      <c r="C45" s="132"/>
      <c r="D45" s="59"/>
    </row>
    <row r="46" spans="1:7" ht="20.100000000000001" customHeight="1" x14ac:dyDescent="0.25">
      <c r="A46" s="2"/>
      <c r="B46" s="54" t="s">
        <v>626</v>
      </c>
      <c r="C46" s="59"/>
      <c r="D46" s="59"/>
    </row>
    <row r="47" spans="1:7" ht="20.100000000000001" customHeight="1" x14ac:dyDescent="0.2">
      <c r="A47" s="2"/>
      <c r="B47" s="59"/>
      <c r="C47" s="59"/>
      <c r="D47" s="59"/>
    </row>
    <row r="48" spans="1:7" ht="20.100000000000001" customHeight="1" x14ac:dyDescent="0.25">
      <c r="A48" s="2"/>
      <c r="B48" s="54" t="s">
        <v>633</v>
      </c>
      <c r="C48" s="59"/>
      <c r="D48" s="59"/>
    </row>
    <row r="49" spans="1:4" ht="20.100000000000001" customHeight="1" x14ac:dyDescent="0.25">
      <c r="A49" s="2"/>
      <c r="B49" s="54" t="s">
        <v>33</v>
      </c>
      <c r="C49" s="59"/>
      <c r="D49" s="59"/>
    </row>
    <row r="50" spans="1:4" ht="20.100000000000001" customHeight="1" x14ac:dyDescent="0.2">
      <c r="A50" s="59"/>
      <c r="B50" s="59"/>
    </row>
    <row r="51" spans="1:4" ht="20.100000000000001" customHeight="1" x14ac:dyDescent="0.2">
      <c r="A51" s="59"/>
      <c r="B51" s="59"/>
    </row>
    <row r="52" spans="1:4" ht="20.100000000000001" customHeight="1" x14ac:dyDescent="0.2">
      <c r="A52" s="59"/>
      <c r="B52" s="59"/>
    </row>
    <row r="53" spans="1:4" ht="20.100000000000001" customHeight="1" x14ac:dyDescent="0.2">
      <c r="A53" s="59"/>
      <c r="B53" s="59"/>
    </row>
    <row r="54" spans="1:4" ht="20.100000000000001" customHeight="1" x14ac:dyDescent="0.2">
      <c r="A54" s="59"/>
      <c r="B54" s="59"/>
    </row>
    <row r="55" spans="1:4" ht="45.75" customHeight="1" x14ac:dyDescent="0.2">
      <c r="A55" s="59"/>
      <c r="B55" s="59"/>
    </row>
    <row r="56" spans="1:4" ht="20.100000000000001" customHeight="1" x14ac:dyDescent="0.2">
      <c r="A56" s="59"/>
      <c r="B56" s="59"/>
    </row>
    <row r="57" spans="1:4" ht="20.100000000000001" customHeight="1" x14ac:dyDescent="0.2">
      <c r="A57" s="59"/>
      <c r="B57" s="59"/>
    </row>
    <row r="58" spans="1:4" ht="20.100000000000001" customHeight="1" x14ac:dyDescent="0.2">
      <c r="A58" s="59"/>
      <c r="B58" s="59"/>
    </row>
    <row r="59" spans="1:4" ht="20.100000000000001" customHeight="1" x14ac:dyDescent="0.2">
      <c r="A59" s="59"/>
      <c r="B59" s="59"/>
    </row>
    <row r="60" spans="1:4" ht="20.100000000000001" customHeight="1" x14ac:dyDescent="0.2">
      <c r="A60" s="59"/>
      <c r="B60" s="59"/>
    </row>
    <row r="61" spans="1:4" ht="20.100000000000001" customHeight="1" x14ac:dyDescent="0.2">
      <c r="A61" s="59"/>
      <c r="B61" s="59"/>
    </row>
    <row r="132" ht="27.75" customHeight="1" x14ac:dyDescent="0.2"/>
  </sheetData>
  <mergeCells count="5">
    <mergeCell ref="A1:E1"/>
    <mergeCell ref="A2:E2"/>
    <mergeCell ref="A3:E3"/>
    <mergeCell ref="A9:B9"/>
    <mergeCell ref="A10:E10"/>
  </mergeCells>
  <phoneticPr fontId="0" type="noConversion"/>
  <printOptions horizontalCentered="1" verticalCentered="1"/>
  <pageMargins left="0.39370078740157483" right="0.70866141732283472" top="0.39370078740157483" bottom="0.39370078740157483" header="0" footer="0"/>
  <pageSetup paperSize="9" scale="68" orientation="portrait" horizontalDpi="4294967293" r:id="rId1"/>
  <rowBreaks count="1" manualBreakCount="1">
    <brk id="50" max="4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9"/>
  <sheetViews>
    <sheetView zoomScaleNormal="100" workbookViewId="0">
      <selection activeCell="B53" sqref="B53"/>
    </sheetView>
  </sheetViews>
  <sheetFormatPr baseColWidth="10" defaultColWidth="11.42578125" defaultRowHeight="20.100000000000001" customHeight="1" x14ac:dyDescent="0.2"/>
  <cols>
    <col min="1" max="1" width="18" style="63" customWidth="1"/>
    <col min="2" max="2" width="42.28515625" style="63" customWidth="1"/>
    <col min="3" max="4" width="23" style="63" customWidth="1"/>
    <col min="5" max="5" width="16.7109375" style="2" customWidth="1"/>
    <col min="6" max="16384" width="11.42578125" style="2"/>
  </cols>
  <sheetData>
    <row r="1" spans="1:8" ht="20.100000000000001" customHeight="1" x14ac:dyDescent="0.3">
      <c r="A1" s="206" t="s">
        <v>0</v>
      </c>
      <c r="B1" s="206"/>
      <c r="C1" s="206"/>
      <c r="D1" s="206"/>
      <c r="E1" s="206"/>
      <c r="F1" s="4"/>
      <c r="G1" s="4"/>
    </row>
    <row r="2" spans="1:8" ht="20.100000000000001" customHeight="1" x14ac:dyDescent="0.25">
      <c r="A2" s="207" t="s">
        <v>34</v>
      </c>
      <c r="B2" s="207"/>
      <c r="C2" s="207"/>
      <c r="D2" s="207"/>
      <c r="E2" s="207"/>
      <c r="F2" s="4"/>
      <c r="G2" s="4"/>
    </row>
    <row r="3" spans="1:8" ht="20.100000000000001" customHeight="1" x14ac:dyDescent="0.25">
      <c r="A3" s="131"/>
      <c r="B3" s="131"/>
      <c r="C3" s="131"/>
      <c r="D3" s="131"/>
      <c r="E3" s="4"/>
      <c r="F3" s="4"/>
      <c r="G3" s="4"/>
    </row>
    <row r="4" spans="1:8" ht="20.100000000000001" customHeight="1" x14ac:dyDescent="0.25">
      <c r="A4" s="64" t="s">
        <v>3</v>
      </c>
      <c r="B4" s="131"/>
      <c r="C4" s="131"/>
      <c r="D4" s="131"/>
      <c r="E4" s="131"/>
      <c r="F4" s="4"/>
      <c r="G4" s="4"/>
    </row>
    <row r="5" spans="1:8" ht="20.100000000000001" customHeight="1" x14ac:dyDescent="0.25">
      <c r="A5" s="64" t="s">
        <v>4</v>
      </c>
      <c r="B5" s="66"/>
      <c r="C5" s="67"/>
      <c r="D5" s="67"/>
      <c r="E5" s="55"/>
      <c r="F5" s="4"/>
      <c r="G5" s="4"/>
    </row>
    <row r="6" spans="1:8" ht="20.100000000000001" customHeight="1" x14ac:dyDescent="0.25">
      <c r="A6" s="65" t="s">
        <v>5</v>
      </c>
      <c r="B6" s="57"/>
      <c r="C6" s="57"/>
      <c r="D6" s="57"/>
      <c r="E6" s="57"/>
      <c r="F6" s="5"/>
      <c r="G6" s="5"/>
      <c r="H6" s="3"/>
    </row>
    <row r="7" spans="1:8" ht="20.100000000000001" customHeight="1" thickBot="1" x14ac:dyDescent="0.3">
      <c r="A7" s="65"/>
      <c r="B7" s="57"/>
      <c r="C7" s="57"/>
      <c r="D7" s="57"/>
      <c r="E7" s="57"/>
      <c r="F7" s="5"/>
      <c r="G7" s="5"/>
      <c r="H7" s="3"/>
    </row>
    <row r="8" spans="1:8" ht="64.5" customHeight="1" thickBot="1" x14ac:dyDescent="0.25">
      <c r="A8" s="122" t="s">
        <v>35</v>
      </c>
      <c r="B8" s="130" t="s">
        <v>36</v>
      </c>
      <c r="C8" s="123" t="s">
        <v>611</v>
      </c>
      <c r="D8" s="124" t="s">
        <v>612</v>
      </c>
      <c r="E8" s="179" t="s">
        <v>7</v>
      </c>
    </row>
    <row r="9" spans="1:8" ht="20.100000000000001" customHeight="1" thickBot="1" x14ac:dyDescent="0.3">
      <c r="A9" s="213" t="s">
        <v>37</v>
      </c>
      <c r="B9" s="214"/>
      <c r="C9" s="214"/>
      <c r="D9" s="214"/>
      <c r="E9" s="215"/>
    </row>
    <row r="10" spans="1:8" ht="20.100000000000001" customHeight="1" x14ac:dyDescent="0.2">
      <c r="A10" s="118">
        <v>7101</v>
      </c>
      <c r="B10" s="113" t="s">
        <v>38</v>
      </c>
      <c r="C10" s="125"/>
      <c r="D10" s="151"/>
      <c r="E10" s="126"/>
    </row>
    <row r="11" spans="1:8" ht="20.100000000000001" customHeight="1" x14ac:dyDescent="0.2">
      <c r="A11" s="117">
        <v>710106</v>
      </c>
      <c r="B11" s="114" t="s">
        <v>543</v>
      </c>
      <c r="C11" s="148">
        <f>(100514)*12</f>
        <v>1206168</v>
      </c>
      <c r="D11" s="145">
        <f>'FORMULARIO 3'!G185*12</f>
        <v>1226760</v>
      </c>
      <c r="E11" s="109"/>
      <c r="F11" s="3"/>
      <c r="G11" s="3"/>
    </row>
    <row r="12" spans="1:8" ht="20.100000000000001" customHeight="1" x14ac:dyDescent="0.2">
      <c r="A12" s="117"/>
      <c r="B12" s="114"/>
      <c r="C12" s="149"/>
      <c r="D12" s="146"/>
      <c r="E12" s="88"/>
    </row>
    <row r="13" spans="1:8" ht="20.100000000000001" customHeight="1" x14ac:dyDescent="0.2">
      <c r="A13" s="118">
        <v>7102</v>
      </c>
      <c r="B13" s="113" t="s">
        <v>39</v>
      </c>
      <c r="C13" s="149"/>
      <c r="D13" s="146"/>
      <c r="E13" s="88"/>
    </row>
    <row r="14" spans="1:8" ht="20.100000000000001" customHeight="1" x14ac:dyDescent="0.2">
      <c r="A14" s="117">
        <v>710203</v>
      </c>
      <c r="B14" s="114" t="s">
        <v>40</v>
      </c>
      <c r="C14" s="148">
        <f>144255.99</f>
        <v>144255.99</v>
      </c>
      <c r="D14" s="145">
        <f>'FORMULARIO 3'!G185</f>
        <v>102230</v>
      </c>
      <c r="E14" s="109"/>
    </row>
    <row r="15" spans="1:8" ht="20.100000000000001" customHeight="1" x14ac:dyDescent="0.2">
      <c r="A15" s="117">
        <v>710204</v>
      </c>
      <c r="B15" s="114" t="s">
        <v>41</v>
      </c>
      <c r="C15" s="148">
        <f>66966.5</f>
        <v>66966.5</v>
      </c>
      <c r="D15" s="145">
        <f>174*366</f>
        <v>63684</v>
      </c>
      <c r="E15" s="109"/>
    </row>
    <row r="16" spans="1:8" ht="20.100000000000001" customHeight="1" x14ac:dyDescent="0.2">
      <c r="A16" s="117"/>
      <c r="B16" s="114"/>
      <c r="C16" s="148"/>
      <c r="D16" s="145"/>
      <c r="E16" s="109"/>
    </row>
    <row r="17" spans="1:7" ht="20.100000000000001" customHeight="1" x14ac:dyDescent="0.2">
      <c r="A17" s="118">
        <v>7103</v>
      </c>
      <c r="B17" s="113" t="s">
        <v>42</v>
      </c>
      <c r="C17" s="148"/>
      <c r="D17" s="145"/>
      <c r="E17" s="109"/>
    </row>
    <row r="18" spans="1:7" ht="20.100000000000001" customHeight="1" x14ac:dyDescent="0.2">
      <c r="A18" s="117">
        <v>710304</v>
      </c>
      <c r="B18" s="114" t="s">
        <v>43</v>
      </c>
      <c r="C18" s="148">
        <f>23232</f>
        <v>23232</v>
      </c>
      <c r="D18" s="145">
        <f>22968</f>
        <v>22968</v>
      </c>
      <c r="E18" s="195" t="s">
        <v>623</v>
      </c>
    </row>
    <row r="19" spans="1:7" ht="20.100000000000001" customHeight="1" x14ac:dyDescent="0.2">
      <c r="A19" s="117">
        <v>710306</v>
      </c>
      <c r="B19" s="114" t="s">
        <v>553</v>
      </c>
      <c r="C19" s="148">
        <f>139392</f>
        <v>139392</v>
      </c>
      <c r="D19" s="145">
        <f>183744</f>
        <v>183744</v>
      </c>
      <c r="E19" s="195" t="s">
        <v>623</v>
      </c>
    </row>
    <row r="20" spans="1:7" ht="20.100000000000001" customHeight="1" x14ac:dyDescent="0.2">
      <c r="A20" s="117">
        <v>710307</v>
      </c>
      <c r="B20" s="114" t="s">
        <v>44</v>
      </c>
      <c r="C20" s="148">
        <v>0</v>
      </c>
      <c r="D20" s="145">
        <v>0</v>
      </c>
      <c r="E20" s="109"/>
    </row>
    <row r="21" spans="1:7" ht="20.100000000000001" customHeight="1" x14ac:dyDescent="0.2">
      <c r="A21" s="117"/>
      <c r="B21" s="114"/>
      <c r="C21" s="148"/>
      <c r="D21" s="145"/>
      <c r="E21" s="109"/>
    </row>
    <row r="22" spans="1:7" ht="20.100000000000001" customHeight="1" x14ac:dyDescent="0.2">
      <c r="A22" s="118">
        <v>7104</v>
      </c>
      <c r="B22" s="113" t="s">
        <v>45</v>
      </c>
      <c r="C22" s="148"/>
      <c r="D22" s="145"/>
      <c r="E22" s="109"/>
    </row>
    <row r="23" spans="1:7" ht="20.100000000000001" customHeight="1" x14ac:dyDescent="0.2">
      <c r="A23" s="117">
        <v>710401</v>
      </c>
      <c r="B23" s="114" t="s">
        <v>46</v>
      </c>
      <c r="C23" s="148">
        <f>102.66</f>
        <v>102.66</v>
      </c>
      <c r="D23" s="145">
        <f>(10.62*12)</f>
        <v>127.44</v>
      </c>
      <c r="E23" s="109"/>
    </row>
    <row r="24" spans="1:7" ht="20.100000000000001" customHeight="1" x14ac:dyDescent="0.2">
      <c r="A24" s="117"/>
      <c r="B24" s="113"/>
      <c r="C24" s="148"/>
      <c r="D24" s="145"/>
      <c r="E24" s="109"/>
    </row>
    <row r="25" spans="1:7" ht="20.100000000000001" customHeight="1" x14ac:dyDescent="0.2">
      <c r="A25" s="118">
        <v>7105</v>
      </c>
      <c r="B25" s="113" t="s">
        <v>47</v>
      </c>
      <c r="C25" s="149"/>
      <c r="D25" s="146"/>
      <c r="E25" s="88"/>
      <c r="G25" s="7"/>
    </row>
    <row r="26" spans="1:7" ht="20.100000000000001" customHeight="1" x14ac:dyDescent="0.2">
      <c r="A26" s="119" t="s">
        <v>613</v>
      </c>
      <c r="B26" s="114" t="s">
        <v>48</v>
      </c>
      <c r="C26" s="149">
        <f>(10026.96+12790.16+13122.45+10123.66+13608.86+10728.94+11487.59+13784.5+10493.81+13113.98+8428.74+8934.64)</f>
        <v>136644.28999999998</v>
      </c>
      <c r="D26" s="146">
        <f>C26*10%+C26</f>
        <v>150308.71899999998</v>
      </c>
      <c r="E26" s="88"/>
    </row>
    <row r="27" spans="1:7" ht="20.100000000000001" customHeight="1" x14ac:dyDescent="0.2">
      <c r="A27" s="117"/>
      <c r="B27" s="114"/>
      <c r="C27" s="149"/>
      <c r="D27" s="146"/>
      <c r="E27" s="88"/>
    </row>
    <row r="28" spans="1:7" ht="20.100000000000001" customHeight="1" x14ac:dyDescent="0.2">
      <c r="A28" s="118">
        <v>7106</v>
      </c>
      <c r="B28" s="113" t="s">
        <v>49</v>
      </c>
      <c r="C28" s="149"/>
      <c r="D28" s="146"/>
      <c r="E28" s="88"/>
    </row>
    <row r="29" spans="1:7" ht="20.100000000000001" customHeight="1" x14ac:dyDescent="0.2">
      <c r="A29" s="119" t="s">
        <v>614</v>
      </c>
      <c r="B29" s="114" t="s">
        <v>50</v>
      </c>
      <c r="C29" s="148">
        <f>C11*12.15%</f>
        <v>146549.41199999998</v>
      </c>
      <c r="D29" s="145">
        <f>D11*12.15%</f>
        <v>149051.34</v>
      </c>
      <c r="E29" s="109"/>
    </row>
    <row r="30" spans="1:7" ht="20.100000000000001" customHeight="1" x14ac:dyDescent="0.2">
      <c r="A30" s="119" t="s">
        <v>615</v>
      </c>
      <c r="B30" s="114" t="s">
        <v>51</v>
      </c>
      <c r="C30" s="148">
        <f>C11/12</f>
        <v>100514</v>
      </c>
      <c r="D30" s="145">
        <f>D11/12</f>
        <v>102230</v>
      </c>
      <c r="E30" s="109"/>
    </row>
    <row r="31" spans="1:7" ht="20.100000000000001" customHeight="1" x14ac:dyDescent="0.2">
      <c r="A31" s="119" t="s">
        <v>616</v>
      </c>
      <c r="B31" s="114" t="s">
        <v>52</v>
      </c>
      <c r="C31" s="148">
        <v>0</v>
      </c>
      <c r="D31" s="145">
        <v>0</v>
      </c>
      <c r="E31" s="109"/>
    </row>
    <row r="32" spans="1:7" ht="20.100000000000001" customHeight="1" x14ac:dyDescent="0.2">
      <c r="A32" s="117"/>
      <c r="B32" s="114"/>
      <c r="C32" s="149"/>
      <c r="D32" s="146"/>
      <c r="E32" s="88"/>
    </row>
    <row r="33" spans="1:7" ht="20.100000000000001" customHeight="1" x14ac:dyDescent="0.2">
      <c r="A33" s="118">
        <v>7107</v>
      </c>
      <c r="B33" s="113" t="s">
        <v>53</v>
      </c>
      <c r="C33" s="149"/>
      <c r="D33" s="146"/>
      <c r="E33" s="88"/>
    </row>
    <row r="34" spans="1:7" ht="20.100000000000001" customHeight="1" x14ac:dyDescent="0.2">
      <c r="A34" s="117">
        <v>710704</v>
      </c>
      <c r="B34" s="114" t="s">
        <v>54</v>
      </c>
      <c r="C34" s="149">
        <v>0</v>
      </c>
      <c r="D34" s="146">
        <v>0</v>
      </c>
      <c r="E34" s="88"/>
    </row>
    <row r="35" spans="1:7" ht="20.100000000000001" customHeight="1" x14ac:dyDescent="0.2">
      <c r="A35" s="117">
        <v>710705</v>
      </c>
      <c r="B35" s="114" t="s">
        <v>55</v>
      </c>
      <c r="C35" s="149">
        <v>0</v>
      </c>
      <c r="D35" s="146">
        <v>230155.31</v>
      </c>
      <c r="E35" s="88"/>
    </row>
    <row r="36" spans="1:7" ht="20.100000000000001" customHeight="1" x14ac:dyDescent="0.2">
      <c r="A36" s="117"/>
      <c r="B36" s="114"/>
      <c r="C36" s="149"/>
      <c r="D36" s="146"/>
      <c r="E36" s="88"/>
    </row>
    <row r="37" spans="1:7" ht="20.100000000000001" customHeight="1" x14ac:dyDescent="0.2">
      <c r="A37" s="118">
        <v>7308</v>
      </c>
      <c r="B37" s="113" t="s">
        <v>617</v>
      </c>
      <c r="C37" s="149"/>
      <c r="D37" s="146"/>
      <c r="E37" s="88"/>
    </row>
    <row r="38" spans="1:7" ht="20.100000000000001" customHeight="1" x14ac:dyDescent="0.2">
      <c r="A38" s="117">
        <v>730802</v>
      </c>
      <c r="B38" s="182" t="s">
        <v>618</v>
      </c>
      <c r="C38" s="184">
        <f>190*169</f>
        <v>32110</v>
      </c>
      <c r="D38" s="183">
        <f>174*169</f>
        <v>29406</v>
      </c>
      <c r="E38" s="88" t="s">
        <v>623</v>
      </c>
    </row>
    <row r="39" spans="1:7" ht="20.100000000000001" customHeight="1" thickBot="1" x14ac:dyDescent="0.25">
      <c r="A39" s="120"/>
      <c r="B39" s="115"/>
      <c r="C39" s="150"/>
      <c r="D39" s="147"/>
      <c r="E39" s="110"/>
    </row>
    <row r="40" spans="1:7" ht="20.100000000000001" customHeight="1" thickBot="1" x14ac:dyDescent="0.3">
      <c r="A40" s="121"/>
      <c r="B40" s="116" t="s">
        <v>27</v>
      </c>
      <c r="C40" s="186">
        <f>SUM(C10:C39)</f>
        <v>1995934.852</v>
      </c>
      <c r="D40" s="185">
        <f>SUM(D10:D39)</f>
        <v>2260664.8089999999</v>
      </c>
      <c r="E40" s="111"/>
    </row>
    <row r="41" spans="1:7" ht="20.100000000000001" customHeight="1" thickBot="1" x14ac:dyDescent="0.3">
      <c r="A41" s="112"/>
      <c r="B41" s="80" t="s">
        <v>28</v>
      </c>
      <c r="C41" s="108"/>
      <c r="D41" s="154">
        <f>SUM(D40-C40)/C40*100</f>
        <v>13.263456807456958</v>
      </c>
      <c r="E41" s="112"/>
    </row>
    <row r="42" spans="1:7" ht="20.100000000000001" customHeight="1" x14ac:dyDescent="0.25">
      <c r="A42" s="203" t="s">
        <v>631</v>
      </c>
      <c r="B42" s="202" t="s">
        <v>632</v>
      </c>
      <c r="C42" s="59"/>
      <c r="D42" s="59"/>
      <c r="G42" s="7"/>
    </row>
    <row r="43" spans="1:7" ht="20.100000000000001" customHeight="1" x14ac:dyDescent="0.2">
      <c r="A43" s="77" t="s">
        <v>29</v>
      </c>
      <c r="B43" s="60"/>
      <c r="C43" s="59"/>
      <c r="D43" s="59"/>
      <c r="E43" s="3"/>
    </row>
    <row r="44" spans="1:7" ht="20.100000000000001" customHeight="1" x14ac:dyDescent="0.2">
      <c r="A44" s="77" t="s">
        <v>30</v>
      </c>
      <c r="B44" s="59"/>
      <c r="C44" s="59"/>
      <c r="D44" s="61"/>
      <c r="E44" s="3"/>
    </row>
    <row r="45" spans="1:7" ht="20.100000000000001" customHeight="1" x14ac:dyDescent="0.2">
      <c r="A45" s="77" t="s">
        <v>31</v>
      </c>
      <c r="B45" s="59"/>
      <c r="C45" s="59"/>
      <c r="D45" s="61"/>
      <c r="E45" s="3"/>
    </row>
    <row r="46" spans="1:7" ht="20.100000000000001" customHeight="1" x14ac:dyDescent="0.2">
      <c r="A46" s="59"/>
      <c r="B46" s="59"/>
      <c r="C46" s="59"/>
      <c r="D46" s="61"/>
      <c r="E46" s="3"/>
    </row>
    <row r="47" spans="1:7" ht="20.100000000000001" customHeight="1" x14ac:dyDescent="0.2">
      <c r="A47" s="59"/>
      <c r="B47" s="59"/>
      <c r="C47" s="59"/>
      <c r="D47" s="61"/>
      <c r="E47" s="3"/>
    </row>
    <row r="48" spans="1:7" ht="20.100000000000001" customHeight="1" x14ac:dyDescent="0.2">
      <c r="A48" s="59"/>
      <c r="B48" s="59"/>
      <c r="C48" s="59"/>
      <c r="D48" s="61"/>
      <c r="E48" s="3"/>
    </row>
    <row r="49" spans="1:5" ht="20.100000000000001" customHeight="1" x14ac:dyDescent="0.2">
      <c r="A49" s="2"/>
      <c r="B49" s="59"/>
      <c r="C49" s="59"/>
      <c r="D49" s="59"/>
      <c r="E49" s="3"/>
    </row>
    <row r="50" spans="1:5" ht="20.100000000000001" customHeight="1" x14ac:dyDescent="0.25">
      <c r="A50" s="2"/>
      <c r="B50" s="212" t="s">
        <v>32</v>
      </c>
      <c r="C50" s="212"/>
      <c r="D50" s="107"/>
      <c r="E50" s="3"/>
    </row>
    <row r="51" spans="1:5" ht="15" x14ac:dyDescent="0.25">
      <c r="A51" s="2"/>
      <c r="B51" s="54" t="s">
        <v>627</v>
      </c>
      <c r="C51" s="9"/>
      <c r="D51" s="9"/>
      <c r="E51" s="3"/>
    </row>
    <row r="52" spans="1:5" ht="20.100000000000001" customHeight="1" x14ac:dyDescent="0.2">
      <c r="A52" s="2"/>
      <c r="B52" s="59"/>
      <c r="C52" s="59"/>
      <c r="D52" s="59"/>
    </row>
    <row r="53" spans="1:5" ht="20.100000000000001" customHeight="1" x14ac:dyDescent="0.25">
      <c r="A53" s="2"/>
      <c r="B53" s="54" t="s">
        <v>633</v>
      </c>
      <c r="C53" s="59"/>
      <c r="D53" s="59"/>
    </row>
    <row r="54" spans="1:5" ht="20.100000000000001" customHeight="1" x14ac:dyDescent="0.25">
      <c r="B54" s="54" t="s">
        <v>33</v>
      </c>
    </row>
    <row r="79" spans="5:5" ht="20.100000000000001" customHeight="1" x14ac:dyDescent="0.2">
      <c r="E79" s="2">
        <f>'FORMULARIO 2'!C185</f>
        <v>0</v>
      </c>
    </row>
  </sheetData>
  <mergeCells count="4">
    <mergeCell ref="B50:C50"/>
    <mergeCell ref="A9:E9"/>
    <mergeCell ref="A1:E1"/>
    <mergeCell ref="A2:E2"/>
  </mergeCells>
  <phoneticPr fontId="0" type="noConversion"/>
  <pageMargins left="1.1023622047244095" right="0.70866141732283472" top="0.74803149606299213" bottom="0.74803149606299213" header="0.31496062992125984" footer="0.31496062992125984"/>
  <pageSetup scale="60"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99"/>
  <sheetViews>
    <sheetView topLeftCell="A179" zoomScaleNormal="100" workbookViewId="0">
      <selection activeCell="B199" sqref="B199"/>
    </sheetView>
  </sheetViews>
  <sheetFormatPr baseColWidth="10" defaultColWidth="11.42578125" defaultRowHeight="20.100000000000001" customHeight="1" x14ac:dyDescent="0.2"/>
  <cols>
    <col min="1" max="1" width="13.85546875" style="63" customWidth="1"/>
    <col min="2" max="2" width="37.28515625" style="63" bestFit="1" customWidth="1"/>
    <col min="3" max="3" width="12.5703125" style="63" customWidth="1"/>
    <col min="4" max="4" width="9.28515625" style="63" customWidth="1"/>
    <col min="5" max="5" width="36" style="63" bestFit="1" customWidth="1"/>
    <col min="6" max="7" width="15.7109375" style="63" customWidth="1"/>
    <col min="8" max="8" width="13.7109375" style="2" customWidth="1"/>
    <col min="9" max="16384" width="11.42578125" style="2"/>
  </cols>
  <sheetData>
    <row r="1" spans="1:12" ht="19.5" customHeight="1" x14ac:dyDescent="0.2">
      <c r="A1" s="216" t="s">
        <v>0</v>
      </c>
      <c r="B1" s="216"/>
      <c r="C1" s="216"/>
      <c r="D1" s="216"/>
      <c r="E1" s="216"/>
      <c r="F1" s="216"/>
      <c r="G1" s="216"/>
      <c r="H1" s="216"/>
    </row>
    <row r="2" spans="1:12" ht="23.25" customHeight="1" x14ac:dyDescent="0.2">
      <c r="A2" s="217" t="s">
        <v>56</v>
      </c>
      <c r="B2" s="217"/>
      <c r="C2" s="217"/>
      <c r="D2" s="217"/>
      <c r="E2" s="217"/>
      <c r="F2" s="217"/>
      <c r="G2" s="217"/>
      <c r="H2" s="217"/>
    </row>
    <row r="3" spans="1:12" ht="15.95" customHeight="1" x14ac:dyDescent="0.25">
      <c r="A3" s="207" t="s">
        <v>57</v>
      </c>
      <c r="B3" s="207"/>
      <c r="C3" s="207"/>
      <c r="D3" s="207"/>
      <c r="E3" s="207"/>
      <c r="F3" s="207"/>
      <c r="G3" s="207"/>
      <c r="H3" s="207"/>
    </row>
    <row r="4" spans="1:12" ht="15.95" customHeight="1" x14ac:dyDescent="0.25">
      <c r="A4" s="131"/>
      <c r="B4" s="131"/>
      <c r="C4" s="131"/>
      <c r="D4" s="131"/>
      <c r="E4" s="131"/>
      <c r="F4" s="131"/>
      <c r="G4" s="131"/>
    </row>
    <row r="5" spans="1:12" ht="15.95" customHeight="1" x14ac:dyDescent="0.25">
      <c r="A5" s="64" t="s">
        <v>3</v>
      </c>
      <c r="B5" s="131"/>
      <c r="C5" s="131"/>
      <c r="D5" s="131"/>
      <c r="E5" s="131"/>
      <c r="F5" s="131"/>
      <c r="G5" s="131"/>
    </row>
    <row r="6" spans="1:12" ht="15.95" customHeight="1" x14ac:dyDescent="0.25">
      <c r="A6" s="64" t="s">
        <v>4</v>
      </c>
      <c r="B6" s="66"/>
      <c r="C6" s="67"/>
      <c r="D6" s="67"/>
      <c r="E6" s="55"/>
      <c r="F6" s="55"/>
      <c r="G6" s="55"/>
    </row>
    <row r="7" spans="1:12" ht="15.95" customHeight="1" x14ac:dyDescent="0.25">
      <c r="A7" s="65" t="s">
        <v>5</v>
      </c>
      <c r="B7" s="57"/>
      <c r="C7" s="57"/>
      <c r="D7" s="57"/>
      <c r="E7" s="57"/>
      <c r="F7" s="57"/>
      <c r="G7" s="57"/>
    </row>
    <row r="8" spans="1:12" ht="15.95" customHeight="1" x14ac:dyDescent="0.25">
      <c r="A8" s="65"/>
      <c r="B8" s="57"/>
      <c r="C8" s="57"/>
      <c r="D8" s="57"/>
      <c r="E8" s="57"/>
      <c r="F8" s="57"/>
      <c r="G8" s="57"/>
    </row>
    <row r="9" spans="1:12" s="1" customFormat="1" ht="90" x14ac:dyDescent="0.2">
      <c r="A9" s="134" t="s">
        <v>58</v>
      </c>
      <c r="B9" s="134" t="s">
        <v>59</v>
      </c>
      <c r="C9" s="134" t="s">
        <v>60</v>
      </c>
      <c r="D9" s="134" t="s">
        <v>61</v>
      </c>
      <c r="E9" s="134" t="s">
        <v>62</v>
      </c>
      <c r="F9" s="134" t="s">
        <v>621</v>
      </c>
      <c r="G9" s="134" t="s">
        <v>622</v>
      </c>
      <c r="H9" s="181" t="s">
        <v>7</v>
      </c>
    </row>
    <row r="10" spans="1:12" ht="15.95" customHeight="1" x14ac:dyDescent="0.2">
      <c r="A10" s="135" t="s">
        <v>138</v>
      </c>
      <c r="B10" s="135" t="s">
        <v>139</v>
      </c>
      <c r="C10" s="140">
        <v>1</v>
      </c>
      <c r="D10" s="140">
        <v>1</v>
      </c>
      <c r="E10" s="137" t="s">
        <v>140</v>
      </c>
      <c r="F10" s="143">
        <f>531</f>
        <v>531</v>
      </c>
      <c r="G10" s="141">
        <f>549</f>
        <v>549</v>
      </c>
      <c r="H10" s="138"/>
      <c r="I10" s="7"/>
    </row>
    <row r="11" spans="1:12" ht="15.95" customHeight="1" x14ac:dyDescent="0.2">
      <c r="A11" s="135" t="s">
        <v>141</v>
      </c>
      <c r="B11" s="135" t="s">
        <v>142</v>
      </c>
      <c r="C11" s="140">
        <v>2</v>
      </c>
      <c r="D11" s="140">
        <v>1</v>
      </c>
      <c r="E11" s="137" t="s">
        <v>143</v>
      </c>
      <c r="F11" s="143">
        <f>531</f>
        <v>531</v>
      </c>
      <c r="G11" s="141">
        <f>549</f>
        <v>549</v>
      </c>
      <c r="H11" s="138"/>
      <c r="I11" s="7"/>
      <c r="J11" s="6"/>
      <c r="K11" s="6"/>
      <c r="L11" s="6"/>
    </row>
    <row r="12" spans="1:12" ht="15.95" customHeight="1" x14ac:dyDescent="0.2">
      <c r="A12" s="135" t="s">
        <v>144</v>
      </c>
      <c r="B12" s="135" t="s">
        <v>145</v>
      </c>
      <c r="C12" s="140">
        <v>3</v>
      </c>
      <c r="D12" s="140">
        <v>1</v>
      </c>
      <c r="E12" s="137" t="s">
        <v>146</v>
      </c>
      <c r="F12" s="143">
        <f>531</f>
        <v>531</v>
      </c>
      <c r="G12" s="141">
        <f>549</f>
        <v>549</v>
      </c>
      <c r="H12" s="138"/>
      <c r="I12" s="7"/>
      <c r="J12" s="6"/>
      <c r="K12" s="6"/>
      <c r="L12" s="6"/>
    </row>
    <row r="13" spans="1:12" ht="15.95" customHeight="1" x14ac:dyDescent="0.2">
      <c r="A13" s="135" t="s">
        <v>147</v>
      </c>
      <c r="B13" s="135" t="s">
        <v>148</v>
      </c>
      <c r="C13" s="140">
        <v>4</v>
      </c>
      <c r="D13" s="140">
        <v>1</v>
      </c>
      <c r="E13" s="137" t="s">
        <v>149</v>
      </c>
      <c r="F13" s="143">
        <f>531</f>
        <v>531</v>
      </c>
      <c r="G13" s="141">
        <f>549</f>
        <v>549</v>
      </c>
      <c r="H13" s="138"/>
      <c r="I13" s="7"/>
      <c r="J13" s="6"/>
      <c r="K13" s="6"/>
      <c r="L13" s="6"/>
    </row>
    <row r="14" spans="1:12" ht="15.95" customHeight="1" x14ac:dyDescent="0.2">
      <c r="A14" s="135" t="s">
        <v>150</v>
      </c>
      <c r="B14" s="135" t="s">
        <v>151</v>
      </c>
      <c r="C14" s="140">
        <v>5</v>
      </c>
      <c r="D14" s="140">
        <v>1</v>
      </c>
      <c r="E14" s="137" t="s">
        <v>152</v>
      </c>
      <c r="F14" s="143">
        <f>531</f>
        <v>531</v>
      </c>
      <c r="G14" s="141">
        <f>549</f>
        <v>549</v>
      </c>
      <c r="H14" s="138"/>
      <c r="I14" s="7"/>
      <c r="J14" s="6"/>
      <c r="K14" s="6"/>
      <c r="L14" s="6"/>
    </row>
    <row r="15" spans="1:12" ht="15.95" customHeight="1" x14ac:dyDescent="0.2">
      <c r="A15" s="135" t="s">
        <v>153</v>
      </c>
      <c r="B15" s="135" t="s">
        <v>154</v>
      </c>
      <c r="C15" s="140">
        <v>6</v>
      </c>
      <c r="D15" s="140">
        <v>1</v>
      </c>
      <c r="E15" s="137" t="s">
        <v>152</v>
      </c>
      <c r="F15" s="143">
        <f>531</f>
        <v>531</v>
      </c>
      <c r="G15" s="141">
        <f>549</f>
        <v>549</v>
      </c>
      <c r="H15" s="138"/>
      <c r="I15" s="7"/>
      <c r="J15" s="6"/>
      <c r="K15" s="6"/>
      <c r="L15" s="6"/>
    </row>
    <row r="16" spans="1:12" ht="15.95" customHeight="1" x14ac:dyDescent="0.2">
      <c r="A16" s="135" t="s">
        <v>155</v>
      </c>
      <c r="B16" s="135" t="s">
        <v>156</v>
      </c>
      <c r="C16" s="140">
        <v>7</v>
      </c>
      <c r="D16" s="140">
        <v>1</v>
      </c>
      <c r="E16" s="137" t="s">
        <v>157</v>
      </c>
      <c r="F16" s="143">
        <f>531</f>
        <v>531</v>
      </c>
      <c r="G16" s="141">
        <f>549</f>
        <v>549</v>
      </c>
      <c r="H16" s="138"/>
      <c r="I16" s="7"/>
      <c r="J16" s="6"/>
      <c r="K16" s="6"/>
      <c r="L16" s="6"/>
    </row>
    <row r="17" spans="1:12" ht="15.95" customHeight="1" x14ac:dyDescent="0.2">
      <c r="A17" s="135" t="s">
        <v>158</v>
      </c>
      <c r="B17" s="135" t="s">
        <v>159</v>
      </c>
      <c r="C17" s="140">
        <v>8</v>
      </c>
      <c r="D17" s="140">
        <v>1</v>
      </c>
      <c r="E17" s="137" t="s">
        <v>152</v>
      </c>
      <c r="F17" s="143">
        <f>531</f>
        <v>531</v>
      </c>
      <c r="G17" s="141">
        <f>549</f>
        <v>549</v>
      </c>
      <c r="H17" s="138"/>
      <c r="I17" s="7"/>
      <c r="J17" s="6"/>
      <c r="K17" s="6"/>
      <c r="L17" s="6"/>
    </row>
    <row r="18" spans="1:12" ht="15.95" customHeight="1" x14ac:dyDescent="0.2">
      <c r="A18" s="135" t="s">
        <v>160</v>
      </c>
      <c r="B18" s="135" t="s">
        <v>161</v>
      </c>
      <c r="C18" s="140">
        <v>9</v>
      </c>
      <c r="D18" s="140">
        <v>1</v>
      </c>
      <c r="E18" s="137" t="s">
        <v>152</v>
      </c>
      <c r="F18" s="143">
        <f>531</f>
        <v>531</v>
      </c>
      <c r="G18" s="141">
        <f>549</f>
        <v>549</v>
      </c>
      <c r="H18" s="138"/>
      <c r="I18" s="7"/>
      <c r="J18" s="6"/>
      <c r="K18" s="6"/>
      <c r="L18" s="6"/>
    </row>
    <row r="19" spans="1:12" ht="15.95" customHeight="1" x14ac:dyDescent="0.2">
      <c r="A19" s="135" t="s">
        <v>162</v>
      </c>
      <c r="B19" s="135" t="s">
        <v>163</v>
      </c>
      <c r="C19" s="140">
        <v>10</v>
      </c>
      <c r="D19" s="140">
        <v>1</v>
      </c>
      <c r="E19" s="137" t="s">
        <v>152</v>
      </c>
      <c r="F19" s="143">
        <f>531</f>
        <v>531</v>
      </c>
      <c r="G19" s="141">
        <f>549</f>
        <v>549</v>
      </c>
      <c r="H19" s="138"/>
      <c r="I19" s="7"/>
      <c r="J19" s="6"/>
      <c r="K19" s="6"/>
      <c r="L19" s="6"/>
    </row>
    <row r="20" spans="1:12" ht="15.95" customHeight="1" x14ac:dyDescent="0.2">
      <c r="A20" s="135" t="s">
        <v>164</v>
      </c>
      <c r="B20" s="135" t="s">
        <v>165</v>
      </c>
      <c r="C20" s="140">
        <v>11</v>
      </c>
      <c r="D20" s="140">
        <v>1</v>
      </c>
      <c r="E20" s="137" t="s">
        <v>152</v>
      </c>
      <c r="F20" s="143">
        <f>531</f>
        <v>531</v>
      </c>
      <c r="G20" s="141">
        <f>549</f>
        <v>549</v>
      </c>
      <c r="H20" s="138"/>
      <c r="I20" s="7"/>
      <c r="J20" s="6"/>
      <c r="K20" s="6"/>
      <c r="L20" s="6"/>
    </row>
    <row r="21" spans="1:12" ht="15.95" customHeight="1" x14ac:dyDescent="0.2">
      <c r="A21" s="135" t="s">
        <v>166</v>
      </c>
      <c r="B21" s="135" t="s">
        <v>167</v>
      </c>
      <c r="C21" s="140">
        <v>12</v>
      </c>
      <c r="D21" s="140">
        <v>1</v>
      </c>
      <c r="E21" s="137" t="s">
        <v>152</v>
      </c>
      <c r="F21" s="143">
        <f>531</f>
        <v>531</v>
      </c>
      <c r="G21" s="141">
        <f>549</f>
        <v>549</v>
      </c>
      <c r="H21" s="138"/>
      <c r="I21" s="7"/>
      <c r="J21" s="6"/>
      <c r="K21" s="6"/>
      <c r="L21" s="6"/>
    </row>
    <row r="22" spans="1:12" ht="15.95" customHeight="1" x14ac:dyDescent="0.2">
      <c r="A22" s="135" t="s">
        <v>168</v>
      </c>
      <c r="B22" s="135" t="s">
        <v>169</v>
      </c>
      <c r="C22" s="140">
        <v>13</v>
      </c>
      <c r="D22" s="140">
        <v>1</v>
      </c>
      <c r="E22" s="137" t="s">
        <v>152</v>
      </c>
      <c r="F22" s="143">
        <f>531</f>
        <v>531</v>
      </c>
      <c r="G22" s="141">
        <f>549</f>
        <v>549</v>
      </c>
      <c r="H22" s="138"/>
      <c r="I22" s="7"/>
      <c r="J22" s="6"/>
      <c r="K22" s="6"/>
      <c r="L22" s="6"/>
    </row>
    <row r="23" spans="1:12" ht="15.95" customHeight="1" x14ac:dyDescent="0.2">
      <c r="A23" s="135" t="s">
        <v>170</v>
      </c>
      <c r="B23" s="135" t="s">
        <v>171</v>
      </c>
      <c r="C23" s="140">
        <v>14</v>
      </c>
      <c r="D23" s="140">
        <v>1</v>
      </c>
      <c r="E23" s="137" t="s">
        <v>152</v>
      </c>
      <c r="F23" s="143">
        <f>531</f>
        <v>531</v>
      </c>
      <c r="G23" s="141">
        <f>549</f>
        <v>549</v>
      </c>
      <c r="H23" s="138"/>
      <c r="I23" s="7"/>
      <c r="J23" s="6"/>
      <c r="K23" s="6"/>
      <c r="L23" s="6"/>
    </row>
    <row r="24" spans="1:12" ht="15.95" customHeight="1" x14ac:dyDescent="0.2">
      <c r="A24" s="135" t="s">
        <v>172</v>
      </c>
      <c r="B24" s="135" t="s">
        <v>173</v>
      </c>
      <c r="C24" s="140">
        <v>15</v>
      </c>
      <c r="D24" s="140">
        <v>1</v>
      </c>
      <c r="E24" s="137" t="s">
        <v>152</v>
      </c>
      <c r="F24" s="143">
        <f>531</f>
        <v>531</v>
      </c>
      <c r="G24" s="141">
        <f>549</f>
        <v>549</v>
      </c>
      <c r="H24" s="138"/>
      <c r="I24" s="7"/>
      <c r="J24" s="6"/>
      <c r="K24" s="6"/>
      <c r="L24" s="6"/>
    </row>
    <row r="25" spans="1:12" ht="15.95" customHeight="1" x14ac:dyDescent="0.2">
      <c r="A25" s="135" t="s">
        <v>174</v>
      </c>
      <c r="B25" s="135" t="s">
        <v>175</v>
      </c>
      <c r="C25" s="140">
        <v>16</v>
      </c>
      <c r="D25" s="140">
        <v>1</v>
      </c>
      <c r="E25" s="137" t="s">
        <v>152</v>
      </c>
      <c r="F25" s="143">
        <f>531</f>
        <v>531</v>
      </c>
      <c r="G25" s="141">
        <f>549</f>
        <v>549</v>
      </c>
      <c r="H25" s="138"/>
      <c r="I25" s="7"/>
      <c r="J25" s="6"/>
      <c r="K25" s="6"/>
      <c r="L25" s="6"/>
    </row>
    <row r="26" spans="1:12" ht="15.95" customHeight="1" x14ac:dyDescent="0.2">
      <c r="A26" s="135" t="s">
        <v>176</v>
      </c>
      <c r="B26" s="135" t="s">
        <v>177</v>
      </c>
      <c r="C26" s="140">
        <v>17</v>
      </c>
      <c r="D26" s="140">
        <v>1</v>
      </c>
      <c r="E26" s="137" t="s">
        <v>178</v>
      </c>
      <c r="F26" s="143">
        <f>531</f>
        <v>531</v>
      </c>
      <c r="G26" s="141">
        <f>549</f>
        <v>549</v>
      </c>
      <c r="H26" s="138"/>
      <c r="I26" s="7"/>
      <c r="J26" s="6"/>
      <c r="K26" s="6"/>
      <c r="L26" s="6"/>
    </row>
    <row r="27" spans="1:12" ht="15.95" customHeight="1" x14ac:dyDescent="0.2">
      <c r="A27" s="135" t="s">
        <v>179</v>
      </c>
      <c r="B27" s="135" t="s">
        <v>180</v>
      </c>
      <c r="C27" s="140">
        <v>18</v>
      </c>
      <c r="D27" s="140">
        <v>1</v>
      </c>
      <c r="E27" s="137" t="s">
        <v>152</v>
      </c>
      <c r="F27" s="143">
        <f>531</f>
        <v>531</v>
      </c>
      <c r="G27" s="141">
        <f>549</f>
        <v>549</v>
      </c>
      <c r="H27" s="138"/>
      <c r="I27" s="7"/>
      <c r="J27" s="6"/>
      <c r="K27" s="6"/>
      <c r="L27" s="6"/>
    </row>
    <row r="28" spans="1:12" ht="15.95" customHeight="1" x14ac:dyDescent="0.2">
      <c r="A28" s="135" t="s">
        <v>181</v>
      </c>
      <c r="B28" s="135" t="s">
        <v>182</v>
      </c>
      <c r="C28" s="140">
        <v>19</v>
      </c>
      <c r="D28" s="140">
        <v>1</v>
      </c>
      <c r="E28" s="137" t="s">
        <v>152</v>
      </c>
      <c r="F28" s="143">
        <f>531</f>
        <v>531</v>
      </c>
      <c r="G28" s="141">
        <f>549</f>
        <v>549</v>
      </c>
      <c r="H28" s="138"/>
      <c r="I28" s="7"/>
      <c r="J28" s="6"/>
      <c r="K28" s="6"/>
      <c r="L28" s="6"/>
    </row>
    <row r="29" spans="1:12" ht="15.95" customHeight="1" x14ac:dyDescent="0.2">
      <c r="A29" s="135" t="s">
        <v>183</v>
      </c>
      <c r="B29" s="135" t="s">
        <v>184</v>
      </c>
      <c r="C29" s="140">
        <v>20</v>
      </c>
      <c r="D29" s="140">
        <v>1</v>
      </c>
      <c r="E29" s="137" t="s">
        <v>178</v>
      </c>
      <c r="F29" s="143">
        <f>531</f>
        <v>531</v>
      </c>
      <c r="G29" s="141">
        <f>549</f>
        <v>549</v>
      </c>
      <c r="H29" s="138"/>
      <c r="I29" s="7"/>
      <c r="J29" s="6"/>
      <c r="K29" s="6"/>
      <c r="L29" s="6"/>
    </row>
    <row r="30" spans="1:12" ht="15.95" customHeight="1" x14ac:dyDescent="0.2">
      <c r="A30" s="135" t="s">
        <v>185</v>
      </c>
      <c r="B30" s="135" t="s">
        <v>186</v>
      </c>
      <c r="C30" s="140">
        <v>21</v>
      </c>
      <c r="D30" s="140">
        <v>1</v>
      </c>
      <c r="E30" s="137" t="s">
        <v>152</v>
      </c>
      <c r="F30" s="143">
        <f>531</f>
        <v>531</v>
      </c>
      <c r="G30" s="141">
        <f>549</f>
        <v>549</v>
      </c>
      <c r="H30" s="138"/>
      <c r="I30" s="7"/>
      <c r="J30" s="6"/>
      <c r="K30" s="6"/>
      <c r="L30" s="6"/>
    </row>
    <row r="31" spans="1:12" ht="15.95" customHeight="1" x14ac:dyDescent="0.2">
      <c r="A31" s="135" t="s">
        <v>187</v>
      </c>
      <c r="B31" s="135" t="s">
        <v>188</v>
      </c>
      <c r="C31" s="140">
        <v>22</v>
      </c>
      <c r="D31" s="140">
        <v>1</v>
      </c>
      <c r="E31" s="137" t="s">
        <v>152</v>
      </c>
      <c r="F31" s="143">
        <f>531</f>
        <v>531</v>
      </c>
      <c r="G31" s="141">
        <f>549</f>
        <v>549</v>
      </c>
      <c r="H31" s="138"/>
      <c r="I31" s="7"/>
      <c r="J31" s="6"/>
      <c r="K31" s="6"/>
      <c r="L31" s="6"/>
    </row>
    <row r="32" spans="1:12" ht="15.95" customHeight="1" x14ac:dyDescent="0.2">
      <c r="A32" s="135" t="s">
        <v>189</v>
      </c>
      <c r="B32" s="135" t="s">
        <v>190</v>
      </c>
      <c r="C32" s="140">
        <v>23</v>
      </c>
      <c r="D32" s="140">
        <v>1</v>
      </c>
      <c r="E32" s="137" t="s">
        <v>152</v>
      </c>
      <c r="F32" s="143">
        <f>531</f>
        <v>531</v>
      </c>
      <c r="G32" s="141">
        <f>549</f>
        <v>549</v>
      </c>
      <c r="H32" s="138"/>
      <c r="I32" s="7"/>
      <c r="J32" s="6"/>
      <c r="K32" s="6"/>
      <c r="L32" s="6"/>
    </row>
    <row r="33" spans="1:12" ht="15.95" customHeight="1" x14ac:dyDescent="0.2">
      <c r="A33" s="135" t="s">
        <v>191</v>
      </c>
      <c r="B33" s="135" t="s">
        <v>192</v>
      </c>
      <c r="C33" s="140">
        <v>24</v>
      </c>
      <c r="D33" s="140">
        <v>1</v>
      </c>
      <c r="E33" s="137" t="s">
        <v>152</v>
      </c>
      <c r="F33" s="143">
        <f>531</f>
        <v>531</v>
      </c>
      <c r="G33" s="141">
        <f>549</f>
        <v>549</v>
      </c>
      <c r="H33" s="138"/>
      <c r="I33" s="7"/>
      <c r="J33" s="6"/>
      <c r="K33" s="6"/>
      <c r="L33" s="6"/>
    </row>
    <row r="34" spans="1:12" ht="15.95" customHeight="1" x14ac:dyDescent="0.2">
      <c r="A34" s="135" t="s">
        <v>193</v>
      </c>
      <c r="B34" s="135" t="s">
        <v>194</v>
      </c>
      <c r="C34" s="140">
        <v>25</v>
      </c>
      <c r="D34" s="140">
        <v>1</v>
      </c>
      <c r="E34" s="137" t="s">
        <v>152</v>
      </c>
      <c r="F34" s="143">
        <f>531</f>
        <v>531</v>
      </c>
      <c r="G34" s="141">
        <f>549</f>
        <v>549</v>
      </c>
      <c r="H34" s="138"/>
      <c r="I34" s="7"/>
      <c r="J34" s="6"/>
      <c r="K34" s="6"/>
      <c r="L34" s="6"/>
    </row>
    <row r="35" spans="1:12" ht="15.95" customHeight="1" x14ac:dyDescent="0.2">
      <c r="A35" s="135" t="s">
        <v>195</v>
      </c>
      <c r="B35" s="135" t="s">
        <v>196</v>
      </c>
      <c r="C35" s="140">
        <v>26</v>
      </c>
      <c r="D35" s="140">
        <v>1</v>
      </c>
      <c r="E35" s="137" t="s">
        <v>152</v>
      </c>
      <c r="F35" s="143">
        <f>531</f>
        <v>531</v>
      </c>
      <c r="G35" s="141">
        <f>549</f>
        <v>549</v>
      </c>
      <c r="H35" s="138"/>
      <c r="I35" s="7"/>
      <c r="J35" s="6"/>
      <c r="K35" s="6"/>
      <c r="L35" s="6"/>
    </row>
    <row r="36" spans="1:12" ht="15.95" customHeight="1" x14ac:dyDescent="0.2">
      <c r="A36" s="135" t="s">
        <v>197</v>
      </c>
      <c r="B36" s="135" t="s">
        <v>198</v>
      </c>
      <c r="C36" s="140">
        <v>27</v>
      </c>
      <c r="D36" s="140">
        <v>1</v>
      </c>
      <c r="E36" s="137" t="s">
        <v>178</v>
      </c>
      <c r="F36" s="143">
        <f>531</f>
        <v>531</v>
      </c>
      <c r="G36" s="141">
        <f>549</f>
        <v>549</v>
      </c>
      <c r="H36" s="138"/>
      <c r="I36" s="7"/>
      <c r="J36" s="6"/>
      <c r="K36" s="6"/>
      <c r="L36" s="6"/>
    </row>
    <row r="37" spans="1:12" ht="15.95" customHeight="1" x14ac:dyDescent="0.2">
      <c r="A37" s="135" t="s">
        <v>199</v>
      </c>
      <c r="B37" s="135" t="s">
        <v>200</v>
      </c>
      <c r="C37" s="140">
        <v>28</v>
      </c>
      <c r="D37" s="140">
        <v>1</v>
      </c>
      <c r="E37" s="137" t="s">
        <v>178</v>
      </c>
      <c r="F37" s="143">
        <f>531</f>
        <v>531</v>
      </c>
      <c r="G37" s="141">
        <f>549</f>
        <v>549</v>
      </c>
      <c r="H37" s="138"/>
      <c r="I37" s="7"/>
      <c r="J37" s="6"/>
      <c r="K37" s="6"/>
      <c r="L37" s="6"/>
    </row>
    <row r="38" spans="1:12" ht="15.95" customHeight="1" x14ac:dyDescent="0.2">
      <c r="A38" s="135" t="s">
        <v>201</v>
      </c>
      <c r="B38" s="135" t="s">
        <v>202</v>
      </c>
      <c r="C38" s="140">
        <v>29</v>
      </c>
      <c r="D38" s="140">
        <v>1</v>
      </c>
      <c r="E38" s="137" t="s">
        <v>152</v>
      </c>
      <c r="F38" s="143">
        <f>531</f>
        <v>531</v>
      </c>
      <c r="G38" s="141">
        <f>549</f>
        <v>549</v>
      </c>
      <c r="H38" s="138"/>
      <c r="I38" s="7"/>
      <c r="J38" s="6"/>
      <c r="K38" s="6"/>
      <c r="L38" s="6"/>
    </row>
    <row r="39" spans="1:12" ht="15.95" customHeight="1" x14ac:dyDescent="0.2">
      <c r="A39" s="135" t="s">
        <v>203</v>
      </c>
      <c r="B39" s="135" t="s">
        <v>204</v>
      </c>
      <c r="C39" s="140">
        <v>30</v>
      </c>
      <c r="D39" s="140">
        <v>1</v>
      </c>
      <c r="E39" s="137" t="s">
        <v>178</v>
      </c>
      <c r="F39" s="143">
        <f>531</f>
        <v>531</v>
      </c>
      <c r="G39" s="141">
        <f>549</f>
        <v>549</v>
      </c>
      <c r="H39" s="138"/>
      <c r="I39" s="7"/>
      <c r="J39" s="6"/>
      <c r="K39" s="6"/>
      <c r="L39" s="6"/>
    </row>
    <row r="40" spans="1:12" ht="15.95" customHeight="1" x14ac:dyDescent="0.2">
      <c r="A40" s="135" t="s">
        <v>205</v>
      </c>
      <c r="B40" s="135" t="s">
        <v>206</v>
      </c>
      <c r="C40" s="140">
        <v>31</v>
      </c>
      <c r="D40" s="140">
        <v>1</v>
      </c>
      <c r="E40" s="137" t="s">
        <v>152</v>
      </c>
      <c r="F40" s="143">
        <f>531</f>
        <v>531</v>
      </c>
      <c r="G40" s="141">
        <f>549</f>
        <v>549</v>
      </c>
      <c r="H40" s="138"/>
      <c r="I40" s="7"/>
      <c r="J40" s="6"/>
      <c r="K40" s="6"/>
      <c r="L40" s="6"/>
    </row>
    <row r="41" spans="1:12" ht="15.95" customHeight="1" x14ac:dyDescent="0.2">
      <c r="A41" s="135" t="s">
        <v>207</v>
      </c>
      <c r="B41" s="135" t="s">
        <v>208</v>
      </c>
      <c r="C41" s="140">
        <v>32</v>
      </c>
      <c r="D41" s="140">
        <v>1</v>
      </c>
      <c r="E41" s="137" t="s">
        <v>152</v>
      </c>
      <c r="F41" s="143">
        <f>531</f>
        <v>531</v>
      </c>
      <c r="G41" s="141">
        <f>549</f>
        <v>549</v>
      </c>
      <c r="H41" s="138"/>
      <c r="I41" s="7"/>
      <c r="J41" s="6"/>
      <c r="K41" s="6"/>
      <c r="L41" s="6"/>
    </row>
    <row r="42" spans="1:12" ht="15.95" customHeight="1" x14ac:dyDescent="0.2">
      <c r="A42" s="135" t="s">
        <v>209</v>
      </c>
      <c r="B42" s="135" t="s">
        <v>210</v>
      </c>
      <c r="C42" s="140">
        <v>33</v>
      </c>
      <c r="D42" s="140">
        <v>1</v>
      </c>
      <c r="E42" s="137" t="s">
        <v>152</v>
      </c>
      <c r="F42" s="143">
        <f>531</f>
        <v>531</v>
      </c>
      <c r="G42" s="141">
        <f>549</f>
        <v>549</v>
      </c>
      <c r="H42" s="138"/>
      <c r="I42" s="7"/>
      <c r="J42" s="6"/>
      <c r="K42" s="6"/>
      <c r="L42" s="6"/>
    </row>
    <row r="43" spans="1:12" ht="15.95" customHeight="1" x14ac:dyDescent="0.2">
      <c r="A43" s="135" t="s">
        <v>211</v>
      </c>
      <c r="B43" s="135" t="s">
        <v>212</v>
      </c>
      <c r="C43" s="140">
        <v>34</v>
      </c>
      <c r="D43" s="140">
        <v>1</v>
      </c>
      <c r="E43" s="137" t="s">
        <v>152</v>
      </c>
      <c r="F43" s="143">
        <f>531</f>
        <v>531</v>
      </c>
      <c r="G43" s="141">
        <f>549</f>
        <v>549</v>
      </c>
      <c r="H43" s="138"/>
      <c r="I43" s="7"/>
      <c r="J43" s="6"/>
      <c r="K43" s="6"/>
      <c r="L43" s="6"/>
    </row>
    <row r="44" spans="1:12" ht="15.95" customHeight="1" x14ac:dyDescent="0.2">
      <c r="A44" s="135" t="s">
        <v>213</v>
      </c>
      <c r="B44" s="135" t="s">
        <v>214</v>
      </c>
      <c r="C44" s="140">
        <v>35</v>
      </c>
      <c r="D44" s="140">
        <v>1</v>
      </c>
      <c r="E44" s="137" t="s">
        <v>152</v>
      </c>
      <c r="F44" s="143">
        <f>531</f>
        <v>531</v>
      </c>
      <c r="G44" s="141">
        <f>549</f>
        <v>549</v>
      </c>
      <c r="H44" s="138"/>
      <c r="I44" s="7"/>
      <c r="J44" s="6"/>
      <c r="K44" s="6"/>
      <c r="L44" s="6"/>
    </row>
    <row r="45" spans="1:12" ht="15.95" customHeight="1" x14ac:dyDescent="0.2">
      <c r="A45" s="135" t="s">
        <v>215</v>
      </c>
      <c r="B45" s="135" t="s">
        <v>216</v>
      </c>
      <c r="C45" s="140">
        <v>36</v>
      </c>
      <c r="D45" s="140">
        <v>1</v>
      </c>
      <c r="E45" s="137" t="s">
        <v>157</v>
      </c>
      <c r="F45" s="143">
        <f>531</f>
        <v>531</v>
      </c>
      <c r="G45" s="141">
        <f>549</f>
        <v>549</v>
      </c>
      <c r="H45" s="138"/>
      <c r="I45" s="7"/>
      <c r="J45" s="6"/>
      <c r="K45" s="6"/>
      <c r="L45" s="6"/>
    </row>
    <row r="46" spans="1:12" ht="15.95" customHeight="1" x14ac:dyDescent="0.2">
      <c r="A46" s="135" t="s">
        <v>217</v>
      </c>
      <c r="B46" s="135" t="s">
        <v>218</v>
      </c>
      <c r="C46" s="140">
        <v>37</v>
      </c>
      <c r="D46" s="140">
        <v>1</v>
      </c>
      <c r="E46" s="137" t="s">
        <v>152</v>
      </c>
      <c r="F46" s="143">
        <f>531</f>
        <v>531</v>
      </c>
      <c r="G46" s="141">
        <f>549</f>
        <v>549</v>
      </c>
      <c r="H46" s="138"/>
      <c r="I46" s="7"/>
      <c r="J46" s="6"/>
      <c r="K46" s="6"/>
      <c r="L46" s="6"/>
    </row>
    <row r="47" spans="1:12" ht="15.95" customHeight="1" x14ac:dyDescent="0.2">
      <c r="A47" s="135" t="s">
        <v>219</v>
      </c>
      <c r="B47" s="135" t="s">
        <v>220</v>
      </c>
      <c r="C47" s="140">
        <v>38</v>
      </c>
      <c r="D47" s="140">
        <v>1</v>
      </c>
      <c r="E47" s="137" t="s">
        <v>152</v>
      </c>
      <c r="F47" s="143">
        <f>531</f>
        <v>531</v>
      </c>
      <c r="G47" s="141">
        <f>549</f>
        <v>549</v>
      </c>
      <c r="H47" s="138"/>
      <c r="I47" s="7"/>
      <c r="J47" s="6"/>
      <c r="K47" s="6"/>
      <c r="L47" s="6"/>
    </row>
    <row r="48" spans="1:12" ht="15.95" customHeight="1" x14ac:dyDescent="0.2">
      <c r="A48" s="135" t="s">
        <v>221</v>
      </c>
      <c r="B48" s="135" t="s">
        <v>222</v>
      </c>
      <c r="C48" s="140">
        <v>39</v>
      </c>
      <c r="D48" s="140">
        <v>1</v>
      </c>
      <c r="E48" s="137" t="s">
        <v>152</v>
      </c>
      <c r="F48" s="143">
        <f>531</f>
        <v>531</v>
      </c>
      <c r="G48" s="141">
        <f>549</f>
        <v>549</v>
      </c>
      <c r="H48" s="138"/>
      <c r="I48" s="7"/>
      <c r="J48" s="6"/>
      <c r="K48" s="6"/>
      <c r="L48" s="6"/>
    </row>
    <row r="49" spans="1:12" ht="15.95" customHeight="1" x14ac:dyDescent="0.2">
      <c r="A49" s="135" t="s">
        <v>223</v>
      </c>
      <c r="B49" s="135" t="s">
        <v>224</v>
      </c>
      <c r="C49" s="140">
        <v>40</v>
      </c>
      <c r="D49" s="140">
        <v>1</v>
      </c>
      <c r="E49" s="137" t="s">
        <v>152</v>
      </c>
      <c r="F49" s="143">
        <f>531</f>
        <v>531</v>
      </c>
      <c r="G49" s="141">
        <f>549</f>
        <v>549</v>
      </c>
      <c r="H49" s="138"/>
      <c r="I49" s="7"/>
      <c r="J49" s="6"/>
      <c r="K49" s="6"/>
      <c r="L49" s="6"/>
    </row>
    <row r="50" spans="1:12" ht="15.95" customHeight="1" x14ac:dyDescent="0.2">
      <c r="A50" s="135" t="s">
        <v>225</v>
      </c>
      <c r="B50" s="135" t="s">
        <v>226</v>
      </c>
      <c r="C50" s="140">
        <v>41</v>
      </c>
      <c r="D50" s="140">
        <v>1</v>
      </c>
      <c r="E50" s="137" t="s">
        <v>227</v>
      </c>
      <c r="F50" s="143">
        <f>531</f>
        <v>531</v>
      </c>
      <c r="G50" s="141">
        <f>549</f>
        <v>549</v>
      </c>
      <c r="H50" s="138"/>
      <c r="I50" s="7"/>
      <c r="J50" s="6"/>
      <c r="K50" s="6"/>
      <c r="L50" s="6"/>
    </row>
    <row r="51" spans="1:12" ht="15.95" customHeight="1" x14ac:dyDescent="0.2">
      <c r="A51" s="135" t="s">
        <v>228</v>
      </c>
      <c r="B51" s="135" t="s">
        <v>229</v>
      </c>
      <c r="C51" s="140">
        <v>42</v>
      </c>
      <c r="D51" s="140">
        <v>1</v>
      </c>
      <c r="E51" s="137" t="s">
        <v>230</v>
      </c>
      <c r="F51" s="143">
        <f>531</f>
        <v>531</v>
      </c>
      <c r="G51" s="141">
        <f>549</f>
        <v>549</v>
      </c>
      <c r="H51" s="138"/>
      <c r="I51" s="7"/>
      <c r="J51" s="6"/>
      <c r="K51" s="6"/>
      <c r="L51" s="6"/>
    </row>
    <row r="52" spans="1:12" ht="15.95" customHeight="1" x14ac:dyDescent="0.2">
      <c r="A52" s="135" t="s">
        <v>231</v>
      </c>
      <c r="B52" s="135" t="s">
        <v>232</v>
      </c>
      <c r="C52" s="140">
        <v>43</v>
      </c>
      <c r="D52" s="140">
        <v>1</v>
      </c>
      <c r="E52" s="137" t="s">
        <v>233</v>
      </c>
      <c r="F52" s="143">
        <f>531</f>
        <v>531</v>
      </c>
      <c r="G52" s="141">
        <f>549</f>
        <v>549</v>
      </c>
      <c r="H52" s="138"/>
      <c r="I52" s="7"/>
      <c r="J52" s="6"/>
      <c r="K52" s="6"/>
      <c r="L52" s="6"/>
    </row>
    <row r="53" spans="1:12" ht="15.95" customHeight="1" x14ac:dyDescent="0.2">
      <c r="A53" s="135" t="s">
        <v>234</v>
      </c>
      <c r="B53" s="135" t="s">
        <v>235</v>
      </c>
      <c r="C53" s="140">
        <v>44</v>
      </c>
      <c r="D53" s="140">
        <v>1</v>
      </c>
      <c r="E53" s="137" t="s">
        <v>236</v>
      </c>
      <c r="F53" s="143">
        <f>531</f>
        <v>531</v>
      </c>
      <c r="G53" s="141">
        <f>549</f>
        <v>549</v>
      </c>
      <c r="H53" s="138"/>
      <c r="I53" s="7"/>
      <c r="J53" s="6"/>
      <c r="K53" s="6"/>
      <c r="L53" s="6"/>
    </row>
    <row r="54" spans="1:12" ht="15.95" customHeight="1" x14ac:dyDescent="0.2">
      <c r="A54" s="135" t="s">
        <v>237</v>
      </c>
      <c r="B54" s="135" t="s">
        <v>238</v>
      </c>
      <c r="C54" s="140">
        <v>45</v>
      </c>
      <c r="D54" s="140">
        <v>1</v>
      </c>
      <c r="E54" s="137" t="s">
        <v>236</v>
      </c>
      <c r="F54" s="143">
        <f>531</f>
        <v>531</v>
      </c>
      <c r="G54" s="141">
        <f>549</f>
        <v>549</v>
      </c>
      <c r="H54" s="138"/>
      <c r="I54" s="7"/>
      <c r="J54" s="6"/>
      <c r="K54" s="6"/>
      <c r="L54" s="6"/>
    </row>
    <row r="55" spans="1:12" ht="15.95" customHeight="1" x14ac:dyDescent="0.2">
      <c r="A55" s="135" t="s">
        <v>239</v>
      </c>
      <c r="B55" s="135" t="s">
        <v>240</v>
      </c>
      <c r="C55" s="140">
        <v>46</v>
      </c>
      <c r="D55" s="140">
        <v>1</v>
      </c>
      <c r="E55" s="137" t="s">
        <v>233</v>
      </c>
      <c r="F55" s="143">
        <f>531</f>
        <v>531</v>
      </c>
      <c r="G55" s="141">
        <f>549</f>
        <v>549</v>
      </c>
      <c r="H55" s="138"/>
      <c r="I55" s="7"/>
      <c r="J55" s="6"/>
      <c r="K55" s="6"/>
      <c r="L55" s="6"/>
    </row>
    <row r="56" spans="1:12" ht="15.95" customHeight="1" x14ac:dyDescent="0.2">
      <c r="A56" s="135" t="s">
        <v>241</v>
      </c>
      <c r="B56" s="135" t="s">
        <v>242</v>
      </c>
      <c r="C56" s="140">
        <v>47</v>
      </c>
      <c r="D56" s="140">
        <v>1</v>
      </c>
      <c r="E56" s="137" t="s">
        <v>243</v>
      </c>
      <c r="F56" s="143">
        <f>531</f>
        <v>531</v>
      </c>
      <c r="G56" s="141">
        <f>549</f>
        <v>549</v>
      </c>
      <c r="H56" s="138"/>
      <c r="I56" s="7"/>
      <c r="J56" s="6"/>
      <c r="K56" s="6"/>
      <c r="L56" s="6"/>
    </row>
    <row r="57" spans="1:12" ht="15.95" customHeight="1" x14ac:dyDescent="0.2">
      <c r="A57" s="135" t="s">
        <v>244</v>
      </c>
      <c r="B57" s="135" t="s">
        <v>245</v>
      </c>
      <c r="C57" s="140">
        <v>48</v>
      </c>
      <c r="D57" s="140">
        <v>1</v>
      </c>
      <c r="E57" s="137" t="s">
        <v>233</v>
      </c>
      <c r="F57" s="143">
        <f>531</f>
        <v>531</v>
      </c>
      <c r="G57" s="141">
        <f>549</f>
        <v>549</v>
      </c>
      <c r="H57" s="138"/>
      <c r="I57" s="7"/>
      <c r="J57" s="6"/>
      <c r="K57" s="6"/>
      <c r="L57" s="6"/>
    </row>
    <row r="58" spans="1:12" ht="15.95" customHeight="1" x14ac:dyDescent="0.2">
      <c r="A58" s="135" t="s">
        <v>246</v>
      </c>
      <c r="B58" s="135" t="s">
        <v>247</v>
      </c>
      <c r="C58" s="140">
        <v>49</v>
      </c>
      <c r="D58" s="140">
        <v>1</v>
      </c>
      <c r="E58" s="137" t="s">
        <v>248</v>
      </c>
      <c r="F58" s="143">
        <f>531</f>
        <v>531</v>
      </c>
      <c r="G58" s="141">
        <f>549</f>
        <v>549</v>
      </c>
      <c r="H58" s="138"/>
      <c r="I58" s="7"/>
      <c r="J58" s="6"/>
      <c r="K58" s="6"/>
      <c r="L58" s="6"/>
    </row>
    <row r="59" spans="1:12" ht="15.95" customHeight="1" x14ac:dyDescent="0.2">
      <c r="A59" s="135" t="s">
        <v>249</v>
      </c>
      <c r="B59" s="135" t="s">
        <v>250</v>
      </c>
      <c r="C59" s="140">
        <v>50</v>
      </c>
      <c r="D59" s="140">
        <v>1</v>
      </c>
      <c r="E59" s="137" t="s">
        <v>230</v>
      </c>
      <c r="F59" s="143">
        <f>531</f>
        <v>531</v>
      </c>
      <c r="G59" s="141">
        <f>549</f>
        <v>549</v>
      </c>
      <c r="H59" s="138"/>
      <c r="I59" s="7"/>
      <c r="J59" s="6"/>
      <c r="K59" s="6"/>
      <c r="L59" s="6"/>
    </row>
    <row r="60" spans="1:12" ht="15.95" customHeight="1" x14ac:dyDescent="0.2">
      <c r="A60" s="135" t="s">
        <v>251</v>
      </c>
      <c r="B60" s="135" t="s">
        <v>252</v>
      </c>
      <c r="C60" s="140">
        <v>51</v>
      </c>
      <c r="D60" s="140">
        <v>1</v>
      </c>
      <c r="E60" s="137" t="s">
        <v>230</v>
      </c>
      <c r="F60" s="143">
        <f>531</f>
        <v>531</v>
      </c>
      <c r="G60" s="141">
        <f>549</f>
        <v>549</v>
      </c>
      <c r="H60" s="138"/>
      <c r="I60" s="7"/>
      <c r="J60" s="6"/>
      <c r="K60" s="6"/>
      <c r="L60" s="6"/>
    </row>
    <row r="61" spans="1:12" ht="15.95" customHeight="1" x14ac:dyDescent="0.2">
      <c r="A61" s="135" t="s">
        <v>253</v>
      </c>
      <c r="B61" s="135" t="s">
        <v>254</v>
      </c>
      <c r="C61" s="140">
        <v>52</v>
      </c>
      <c r="D61" s="140">
        <v>1</v>
      </c>
      <c r="E61" s="137" t="s">
        <v>233</v>
      </c>
      <c r="F61" s="143">
        <f>531</f>
        <v>531</v>
      </c>
      <c r="G61" s="141">
        <f>549</f>
        <v>549</v>
      </c>
      <c r="H61" s="138"/>
      <c r="I61" s="7"/>
      <c r="J61" s="6"/>
      <c r="K61" s="6"/>
      <c r="L61" s="6"/>
    </row>
    <row r="62" spans="1:12" ht="15.95" customHeight="1" x14ac:dyDescent="0.2">
      <c r="A62" s="135" t="s">
        <v>255</v>
      </c>
      <c r="B62" s="135" t="s">
        <v>256</v>
      </c>
      <c r="C62" s="140">
        <v>53</v>
      </c>
      <c r="D62" s="140">
        <v>1</v>
      </c>
      <c r="E62" s="137" t="s">
        <v>233</v>
      </c>
      <c r="F62" s="143">
        <f>531</f>
        <v>531</v>
      </c>
      <c r="G62" s="141">
        <f>549</f>
        <v>549</v>
      </c>
      <c r="H62" s="138"/>
      <c r="I62" s="7"/>
      <c r="J62" s="6"/>
      <c r="K62" s="6"/>
      <c r="L62" s="6"/>
    </row>
    <row r="63" spans="1:12" ht="15.95" customHeight="1" x14ac:dyDescent="0.2">
      <c r="A63" s="135" t="s">
        <v>257</v>
      </c>
      <c r="B63" s="135" t="s">
        <v>258</v>
      </c>
      <c r="C63" s="140">
        <v>54</v>
      </c>
      <c r="D63" s="140">
        <v>1</v>
      </c>
      <c r="E63" s="137" t="s">
        <v>152</v>
      </c>
      <c r="F63" s="143">
        <f>531</f>
        <v>531</v>
      </c>
      <c r="G63" s="141">
        <f>549</f>
        <v>549</v>
      </c>
      <c r="H63" s="138"/>
      <c r="I63" s="7"/>
      <c r="J63" s="6"/>
      <c r="K63" s="6"/>
      <c r="L63" s="6"/>
    </row>
    <row r="64" spans="1:12" ht="15.95" customHeight="1" x14ac:dyDescent="0.2">
      <c r="A64" s="135" t="s">
        <v>259</v>
      </c>
      <c r="B64" s="135" t="s">
        <v>260</v>
      </c>
      <c r="C64" s="140">
        <v>55</v>
      </c>
      <c r="D64" s="140">
        <v>1</v>
      </c>
      <c r="E64" s="137" t="s">
        <v>230</v>
      </c>
      <c r="F64" s="143">
        <f>531</f>
        <v>531</v>
      </c>
      <c r="G64" s="141">
        <f>549</f>
        <v>549</v>
      </c>
      <c r="H64" s="138"/>
      <c r="I64" s="7"/>
      <c r="J64" s="6"/>
      <c r="K64" s="6"/>
      <c r="L64" s="6"/>
    </row>
    <row r="65" spans="1:12" ht="15.95" customHeight="1" x14ac:dyDescent="0.2">
      <c r="A65" s="135" t="s">
        <v>261</v>
      </c>
      <c r="B65" s="135" t="s">
        <v>262</v>
      </c>
      <c r="C65" s="140">
        <v>56</v>
      </c>
      <c r="D65" s="140">
        <v>1</v>
      </c>
      <c r="E65" s="137" t="s">
        <v>236</v>
      </c>
      <c r="F65" s="143">
        <f>531</f>
        <v>531</v>
      </c>
      <c r="G65" s="141">
        <f>549</f>
        <v>549</v>
      </c>
      <c r="H65" s="138"/>
      <c r="I65" s="7"/>
      <c r="J65" s="6"/>
      <c r="K65" s="6"/>
      <c r="L65" s="6"/>
    </row>
    <row r="66" spans="1:12" ht="15.95" customHeight="1" x14ac:dyDescent="0.2">
      <c r="A66" s="135" t="s">
        <v>263</v>
      </c>
      <c r="B66" s="135" t="s">
        <v>264</v>
      </c>
      <c r="C66" s="140">
        <v>57</v>
      </c>
      <c r="D66" s="140">
        <v>1</v>
      </c>
      <c r="E66" s="137" t="s">
        <v>233</v>
      </c>
      <c r="F66" s="143">
        <f>531</f>
        <v>531</v>
      </c>
      <c r="G66" s="141">
        <f>549</f>
        <v>549</v>
      </c>
      <c r="H66" s="138"/>
      <c r="I66" s="7"/>
      <c r="J66" s="6"/>
      <c r="K66" s="6"/>
      <c r="L66" s="6"/>
    </row>
    <row r="67" spans="1:12" ht="15.95" customHeight="1" x14ac:dyDescent="0.2">
      <c r="A67" s="135" t="s">
        <v>265</v>
      </c>
      <c r="B67" s="135" t="s">
        <v>266</v>
      </c>
      <c r="C67" s="140">
        <v>58</v>
      </c>
      <c r="D67" s="140">
        <v>1</v>
      </c>
      <c r="E67" s="137" t="s">
        <v>267</v>
      </c>
      <c r="F67" s="143">
        <f>531</f>
        <v>531</v>
      </c>
      <c r="G67" s="141">
        <f>549</f>
        <v>549</v>
      </c>
      <c r="H67" s="138"/>
      <c r="I67" s="7"/>
      <c r="J67" s="6"/>
      <c r="K67" s="6"/>
      <c r="L67" s="6"/>
    </row>
    <row r="68" spans="1:12" ht="15.95" customHeight="1" x14ac:dyDescent="0.2">
      <c r="A68" s="135" t="s">
        <v>268</v>
      </c>
      <c r="B68" s="135" t="s">
        <v>269</v>
      </c>
      <c r="C68" s="140">
        <v>59</v>
      </c>
      <c r="D68" s="140">
        <v>1</v>
      </c>
      <c r="E68" s="137" t="s">
        <v>270</v>
      </c>
      <c r="F68" s="143">
        <f>531</f>
        <v>531</v>
      </c>
      <c r="G68" s="141">
        <f>549</f>
        <v>549</v>
      </c>
      <c r="H68" s="138"/>
      <c r="I68" s="7"/>
      <c r="J68" s="6"/>
      <c r="K68" s="6"/>
      <c r="L68" s="6"/>
    </row>
    <row r="69" spans="1:12" ht="15.95" customHeight="1" x14ac:dyDescent="0.2">
      <c r="A69" s="135" t="s">
        <v>271</v>
      </c>
      <c r="B69" s="135" t="s">
        <v>272</v>
      </c>
      <c r="C69" s="140">
        <v>60</v>
      </c>
      <c r="D69" s="140">
        <v>1</v>
      </c>
      <c r="E69" s="137" t="s">
        <v>267</v>
      </c>
      <c r="F69" s="143">
        <f>531</f>
        <v>531</v>
      </c>
      <c r="G69" s="141">
        <f>549</f>
        <v>549</v>
      </c>
      <c r="H69" s="138"/>
      <c r="I69" s="7"/>
      <c r="J69" s="6"/>
      <c r="K69" s="6"/>
      <c r="L69" s="6"/>
    </row>
    <row r="70" spans="1:12" ht="15.95" customHeight="1" x14ac:dyDescent="0.2">
      <c r="A70" s="135" t="s">
        <v>273</v>
      </c>
      <c r="B70" s="135" t="s">
        <v>274</v>
      </c>
      <c r="C70" s="140">
        <v>61</v>
      </c>
      <c r="D70" s="140">
        <v>1</v>
      </c>
      <c r="E70" s="137" t="s">
        <v>267</v>
      </c>
      <c r="F70" s="143">
        <f>531</f>
        <v>531</v>
      </c>
      <c r="G70" s="141">
        <f>549</f>
        <v>549</v>
      </c>
      <c r="H70" s="138"/>
      <c r="I70" s="7"/>
      <c r="J70" s="6"/>
      <c r="K70" s="6"/>
      <c r="L70" s="6"/>
    </row>
    <row r="71" spans="1:12" ht="15.95" customHeight="1" x14ac:dyDescent="0.2">
      <c r="A71" s="135" t="s">
        <v>275</v>
      </c>
      <c r="B71" s="135" t="s">
        <v>276</v>
      </c>
      <c r="C71" s="140">
        <v>62</v>
      </c>
      <c r="D71" s="140">
        <v>1</v>
      </c>
      <c r="E71" s="137" t="s">
        <v>270</v>
      </c>
      <c r="F71" s="143">
        <f>531</f>
        <v>531</v>
      </c>
      <c r="G71" s="141">
        <f>549</f>
        <v>549</v>
      </c>
      <c r="H71" s="138"/>
      <c r="I71" s="7"/>
      <c r="J71" s="6"/>
      <c r="K71" s="6"/>
      <c r="L71" s="6"/>
    </row>
    <row r="72" spans="1:12" ht="15.95" customHeight="1" x14ac:dyDescent="0.2">
      <c r="A72" s="135" t="s">
        <v>277</v>
      </c>
      <c r="B72" s="135" t="s">
        <v>278</v>
      </c>
      <c r="C72" s="140">
        <v>63</v>
      </c>
      <c r="D72" s="140">
        <v>1</v>
      </c>
      <c r="E72" s="137" t="s">
        <v>279</v>
      </c>
      <c r="F72" s="143">
        <f>531</f>
        <v>531</v>
      </c>
      <c r="G72" s="141">
        <f>549</f>
        <v>549</v>
      </c>
      <c r="H72" s="138"/>
      <c r="I72" s="7"/>
      <c r="J72" s="6"/>
      <c r="K72" s="6"/>
      <c r="L72" s="6"/>
    </row>
    <row r="73" spans="1:12" ht="15.95" customHeight="1" x14ac:dyDescent="0.2">
      <c r="A73" s="135" t="s">
        <v>280</v>
      </c>
      <c r="B73" s="135" t="s">
        <v>281</v>
      </c>
      <c r="C73" s="140">
        <v>64</v>
      </c>
      <c r="D73" s="140">
        <v>1</v>
      </c>
      <c r="E73" s="137" t="s">
        <v>279</v>
      </c>
      <c r="F73" s="143">
        <f>531</f>
        <v>531</v>
      </c>
      <c r="G73" s="141">
        <f>549</f>
        <v>549</v>
      </c>
      <c r="H73" s="138"/>
      <c r="I73" s="7"/>
      <c r="J73" s="6"/>
      <c r="K73" s="6"/>
      <c r="L73" s="6"/>
    </row>
    <row r="74" spans="1:12" ht="15.95" customHeight="1" x14ac:dyDescent="0.2">
      <c r="A74" s="135" t="s">
        <v>282</v>
      </c>
      <c r="B74" s="135" t="s">
        <v>283</v>
      </c>
      <c r="C74" s="140">
        <v>65</v>
      </c>
      <c r="D74" s="140">
        <v>1</v>
      </c>
      <c r="E74" s="137" t="s">
        <v>143</v>
      </c>
      <c r="F74" s="143">
        <f>531</f>
        <v>531</v>
      </c>
      <c r="G74" s="141">
        <f>549</f>
        <v>549</v>
      </c>
      <c r="H74" s="138"/>
      <c r="I74" s="7"/>
      <c r="J74" s="6"/>
      <c r="K74" s="6"/>
      <c r="L74" s="6"/>
    </row>
    <row r="75" spans="1:12" ht="15.95" customHeight="1" x14ac:dyDescent="0.2">
      <c r="A75" s="135" t="s">
        <v>284</v>
      </c>
      <c r="B75" s="135" t="s">
        <v>285</v>
      </c>
      <c r="C75" s="140">
        <v>66</v>
      </c>
      <c r="D75" s="140">
        <v>1</v>
      </c>
      <c r="E75" s="137" t="s">
        <v>270</v>
      </c>
      <c r="F75" s="143">
        <f>531</f>
        <v>531</v>
      </c>
      <c r="G75" s="141">
        <f>549</f>
        <v>549</v>
      </c>
      <c r="H75" s="138"/>
      <c r="I75" s="7"/>
      <c r="J75" s="6"/>
      <c r="K75" s="6"/>
      <c r="L75" s="6"/>
    </row>
    <row r="76" spans="1:12" ht="15.95" customHeight="1" x14ac:dyDescent="0.2">
      <c r="A76" s="135" t="s">
        <v>286</v>
      </c>
      <c r="B76" s="135" t="s">
        <v>287</v>
      </c>
      <c r="C76" s="140">
        <v>67</v>
      </c>
      <c r="D76" s="140">
        <v>1</v>
      </c>
      <c r="E76" s="137" t="s">
        <v>288</v>
      </c>
      <c r="F76" s="143">
        <f>531</f>
        <v>531</v>
      </c>
      <c r="G76" s="141">
        <f>549</f>
        <v>549</v>
      </c>
      <c r="H76" s="138"/>
      <c r="I76" s="7"/>
      <c r="J76" s="6"/>
      <c r="K76" s="6"/>
      <c r="L76" s="6"/>
    </row>
    <row r="77" spans="1:12" ht="15.95" customHeight="1" x14ac:dyDescent="0.2">
      <c r="A77" s="135" t="s">
        <v>289</v>
      </c>
      <c r="B77" s="135" t="s">
        <v>290</v>
      </c>
      <c r="C77" s="140">
        <v>68</v>
      </c>
      <c r="D77" s="140">
        <v>1</v>
      </c>
      <c r="E77" s="137" t="s">
        <v>143</v>
      </c>
      <c r="F77" s="143">
        <f>531</f>
        <v>531</v>
      </c>
      <c r="G77" s="141">
        <f>549</f>
        <v>549</v>
      </c>
      <c r="H77" s="138"/>
      <c r="I77" s="7"/>
      <c r="J77" s="6"/>
      <c r="K77" s="6"/>
      <c r="L77" s="6"/>
    </row>
    <row r="78" spans="1:12" ht="15.95" customHeight="1" x14ac:dyDescent="0.2">
      <c r="A78" s="135" t="s">
        <v>291</v>
      </c>
      <c r="B78" s="135" t="s">
        <v>292</v>
      </c>
      <c r="C78" s="140">
        <v>69</v>
      </c>
      <c r="D78" s="140">
        <v>1</v>
      </c>
      <c r="E78" s="137" t="s">
        <v>270</v>
      </c>
      <c r="F78" s="143">
        <f>531</f>
        <v>531</v>
      </c>
      <c r="G78" s="141">
        <f>549</f>
        <v>549</v>
      </c>
      <c r="H78" s="138"/>
      <c r="I78" s="7"/>
      <c r="J78" s="6"/>
      <c r="K78" s="6"/>
      <c r="L78" s="6"/>
    </row>
    <row r="79" spans="1:12" ht="15.95" customHeight="1" x14ac:dyDescent="0.2">
      <c r="A79" s="135" t="s">
        <v>293</v>
      </c>
      <c r="B79" s="135" t="s">
        <v>294</v>
      </c>
      <c r="C79" s="140">
        <v>70</v>
      </c>
      <c r="D79" s="140">
        <v>1</v>
      </c>
      <c r="E79" s="137" t="s">
        <v>279</v>
      </c>
      <c r="F79" s="143">
        <f>531</f>
        <v>531</v>
      </c>
      <c r="G79" s="141">
        <f>549</f>
        <v>549</v>
      </c>
      <c r="H79" s="138"/>
      <c r="I79" s="7"/>
      <c r="J79" s="6"/>
      <c r="K79" s="6"/>
      <c r="L79" s="6"/>
    </row>
    <row r="80" spans="1:12" ht="15.95" customHeight="1" x14ac:dyDescent="0.2">
      <c r="A80" s="135" t="s">
        <v>295</v>
      </c>
      <c r="B80" s="135" t="s">
        <v>296</v>
      </c>
      <c r="C80" s="140">
        <v>71</v>
      </c>
      <c r="D80" s="140">
        <v>1</v>
      </c>
      <c r="E80" s="137" t="s">
        <v>270</v>
      </c>
      <c r="F80" s="143">
        <f>531</f>
        <v>531</v>
      </c>
      <c r="G80" s="141">
        <f>549</f>
        <v>549</v>
      </c>
      <c r="H80" s="138"/>
      <c r="I80" s="7"/>
      <c r="J80" s="6"/>
      <c r="K80" s="6"/>
      <c r="L80" s="6"/>
    </row>
    <row r="81" spans="1:12" ht="15.95" customHeight="1" x14ac:dyDescent="0.2">
      <c r="A81" s="135" t="s">
        <v>297</v>
      </c>
      <c r="B81" s="135" t="s">
        <v>298</v>
      </c>
      <c r="C81" s="140">
        <v>72</v>
      </c>
      <c r="D81" s="140">
        <v>1</v>
      </c>
      <c r="E81" s="137" t="s">
        <v>267</v>
      </c>
      <c r="F81" s="143">
        <f>531</f>
        <v>531</v>
      </c>
      <c r="G81" s="141">
        <f>549</f>
        <v>549</v>
      </c>
      <c r="H81" s="138"/>
      <c r="I81" s="7"/>
      <c r="J81" s="6"/>
      <c r="K81" s="6"/>
      <c r="L81" s="6"/>
    </row>
    <row r="82" spans="1:12" ht="15.95" customHeight="1" x14ac:dyDescent="0.2">
      <c r="A82" s="135" t="s">
        <v>299</v>
      </c>
      <c r="B82" s="135" t="s">
        <v>300</v>
      </c>
      <c r="C82" s="140">
        <v>73</v>
      </c>
      <c r="D82" s="140">
        <v>1</v>
      </c>
      <c r="E82" s="137" t="s">
        <v>267</v>
      </c>
      <c r="F82" s="143">
        <f>531</f>
        <v>531</v>
      </c>
      <c r="G82" s="141">
        <f>549</f>
        <v>549</v>
      </c>
      <c r="H82" s="138"/>
      <c r="I82" s="7"/>
      <c r="J82" s="6"/>
      <c r="K82" s="6"/>
      <c r="L82" s="6"/>
    </row>
    <row r="83" spans="1:12" ht="15.95" customHeight="1" x14ac:dyDescent="0.2">
      <c r="A83" s="135" t="s">
        <v>301</v>
      </c>
      <c r="B83" s="135" t="s">
        <v>302</v>
      </c>
      <c r="C83" s="140">
        <v>74</v>
      </c>
      <c r="D83" s="140">
        <v>1</v>
      </c>
      <c r="E83" s="137" t="s">
        <v>267</v>
      </c>
      <c r="F83" s="143">
        <f>531</f>
        <v>531</v>
      </c>
      <c r="G83" s="141">
        <f>549</f>
        <v>549</v>
      </c>
      <c r="H83" s="138"/>
      <c r="I83" s="7"/>
      <c r="J83" s="6"/>
      <c r="K83" s="6"/>
      <c r="L83" s="6"/>
    </row>
    <row r="84" spans="1:12" ht="15.95" customHeight="1" x14ac:dyDescent="0.2">
      <c r="A84" s="135" t="s">
        <v>303</v>
      </c>
      <c r="B84" s="135" t="s">
        <v>304</v>
      </c>
      <c r="C84" s="140">
        <v>75</v>
      </c>
      <c r="D84" s="140">
        <v>1</v>
      </c>
      <c r="E84" s="137" t="s">
        <v>270</v>
      </c>
      <c r="F84" s="143">
        <f>531</f>
        <v>531</v>
      </c>
      <c r="G84" s="141">
        <f>549</f>
        <v>549</v>
      </c>
      <c r="H84" s="138"/>
      <c r="I84" s="7"/>
      <c r="J84" s="6"/>
      <c r="K84" s="6"/>
      <c r="L84" s="6"/>
    </row>
    <row r="85" spans="1:12" ht="15.95" customHeight="1" x14ac:dyDescent="0.2">
      <c r="A85" s="135" t="s">
        <v>305</v>
      </c>
      <c r="B85" s="135" t="s">
        <v>306</v>
      </c>
      <c r="C85" s="140">
        <v>76</v>
      </c>
      <c r="D85" s="140">
        <v>1</v>
      </c>
      <c r="E85" s="137" t="s">
        <v>267</v>
      </c>
      <c r="F85" s="143">
        <f>531</f>
        <v>531</v>
      </c>
      <c r="G85" s="141">
        <f>549</f>
        <v>549</v>
      </c>
      <c r="H85" s="138"/>
      <c r="I85" s="7"/>
      <c r="J85" s="6"/>
      <c r="K85" s="6"/>
      <c r="L85" s="6"/>
    </row>
    <row r="86" spans="1:12" ht="15.95" customHeight="1" x14ac:dyDescent="0.2">
      <c r="A86" s="135" t="s">
        <v>307</v>
      </c>
      <c r="B86" s="135" t="s">
        <v>308</v>
      </c>
      <c r="C86" s="140">
        <v>77</v>
      </c>
      <c r="D86" s="140">
        <v>1</v>
      </c>
      <c r="E86" s="137" t="s">
        <v>143</v>
      </c>
      <c r="F86" s="143">
        <f>531</f>
        <v>531</v>
      </c>
      <c r="G86" s="141">
        <f>549</f>
        <v>549</v>
      </c>
      <c r="H86" s="138"/>
      <c r="I86" s="7"/>
      <c r="J86" s="6"/>
      <c r="K86" s="6"/>
      <c r="L86" s="6"/>
    </row>
    <row r="87" spans="1:12" ht="15.95" customHeight="1" x14ac:dyDescent="0.2">
      <c r="A87" s="135" t="s">
        <v>309</v>
      </c>
      <c r="B87" s="135" t="s">
        <v>310</v>
      </c>
      <c r="C87" s="140">
        <v>78</v>
      </c>
      <c r="D87" s="140">
        <v>1</v>
      </c>
      <c r="E87" s="137" t="s">
        <v>267</v>
      </c>
      <c r="F87" s="143">
        <f>531</f>
        <v>531</v>
      </c>
      <c r="G87" s="141">
        <f>549</f>
        <v>549</v>
      </c>
      <c r="H87" s="138"/>
      <c r="I87" s="7"/>
      <c r="J87" s="6"/>
      <c r="K87" s="6"/>
      <c r="L87" s="6"/>
    </row>
    <row r="88" spans="1:12" ht="15.95" customHeight="1" x14ac:dyDescent="0.2">
      <c r="A88" s="135" t="s">
        <v>311</v>
      </c>
      <c r="B88" s="135" t="s">
        <v>312</v>
      </c>
      <c r="C88" s="140">
        <v>79</v>
      </c>
      <c r="D88" s="140">
        <v>1</v>
      </c>
      <c r="E88" s="137" t="s">
        <v>267</v>
      </c>
      <c r="F88" s="143">
        <f>531</f>
        <v>531</v>
      </c>
      <c r="G88" s="141">
        <f>549</f>
        <v>549</v>
      </c>
      <c r="H88" s="138"/>
      <c r="I88" s="7"/>
      <c r="J88" s="6"/>
      <c r="K88" s="6"/>
      <c r="L88" s="6"/>
    </row>
    <row r="89" spans="1:12" ht="15.95" customHeight="1" x14ac:dyDescent="0.2">
      <c r="A89" s="135" t="s">
        <v>313</v>
      </c>
      <c r="B89" s="135" t="s">
        <v>314</v>
      </c>
      <c r="C89" s="140">
        <v>80</v>
      </c>
      <c r="D89" s="140">
        <v>1</v>
      </c>
      <c r="E89" s="137" t="s">
        <v>267</v>
      </c>
      <c r="F89" s="143">
        <f>531</f>
        <v>531</v>
      </c>
      <c r="G89" s="141">
        <f>549</f>
        <v>549</v>
      </c>
      <c r="H89" s="138"/>
      <c r="I89" s="7"/>
      <c r="J89" s="6"/>
      <c r="K89" s="6"/>
      <c r="L89" s="6"/>
    </row>
    <row r="90" spans="1:12" ht="15.95" customHeight="1" x14ac:dyDescent="0.2">
      <c r="A90" s="135" t="s">
        <v>315</v>
      </c>
      <c r="B90" s="135" t="s">
        <v>316</v>
      </c>
      <c r="C90" s="140">
        <v>81</v>
      </c>
      <c r="D90" s="140">
        <v>1</v>
      </c>
      <c r="E90" s="137" t="s">
        <v>279</v>
      </c>
      <c r="F90" s="143">
        <f>531</f>
        <v>531</v>
      </c>
      <c r="G90" s="141">
        <f>549</f>
        <v>549</v>
      </c>
      <c r="H90" s="138"/>
      <c r="I90" s="7"/>
      <c r="J90" s="6"/>
      <c r="K90" s="6"/>
      <c r="L90" s="6"/>
    </row>
    <row r="91" spans="1:12" ht="15.95" customHeight="1" x14ac:dyDescent="0.2">
      <c r="A91" s="135" t="s">
        <v>317</v>
      </c>
      <c r="B91" s="135" t="s">
        <v>318</v>
      </c>
      <c r="C91" s="140">
        <v>82</v>
      </c>
      <c r="D91" s="140">
        <v>1</v>
      </c>
      <c r="E91" s="137" t="s">
        <v>279</v>
      </c>
      <c r="F91" s="143">
        <f>531</f>
        <v>531</v>
      </c>
      <c r="G91" s="141">
        <f>549</f>
        <v>549</v>
      </c>
      <c r="H91" s="138"/>
      <c r="I91" s="7"/>
      <c r="J91" s="6"/>
      <c r="K91" s="6"/>
      <c r="L91" s="6"/>
    </row>
    <row r="92" spans="1:12" ht="15.95" customHeight="1" x14ac:dyDescent="0.2">
      <c r="A92" s="135" t="s">
        <v>319</v>
      </c>
      <c r="B92" s="135" t="s">
        <v>320</v>
      </c>
      <c r="C92" s="140">
        <v>83</v>
      </c>
      <c r="D92" s="140">
        <v>1</v>
      </c>
      <c r="E92" s="137" t="s">
        <v>143</v>
      </c>
      <c r="F92" s="143">
        <f>531</f>
        <v>531</v>
      </c>
      <c r="G92" s="141">
        <f>549</f>
        <v>549</v>
      </c>
      <c r="H92" s="138"/>
      <c r="I92" s="7"/>
      <c r="J92" s="6"/>
      <c r="K92" s="6"/>
      <c r="L92" s="6"/>
    </row>
    <row r="93" spans="1:12" ht="15.95" customHeight="1" x14ac:dyDescent="0.2">
      <c r="A93" s="135" t="s">
        <v>321</v>
      </c>
      <c r="B93" s="135" t="s">
        <v>322</v>
      </c>
      <c r="C93" s="140">
        <v>84</v>
      </c>
      <c r="D93" s="140">
        <v>1</v>
      </c>
      <c r="E93" s="137" t="s">
        <v>323</v>
      </c>
      <c r="F93" s="143">
        <f>531</f>
        <v>531</v>
      </c>
      <c r="G93" s="141">
        <f>549</f>
        <v>549</v>
      </c>
      <c r="H93" s="138"/>
      <c r="I93" s="7"/>
      <c r="J93" s="6"/>
      <c r="K93" s="6"/>
      <c r="L93" s="6"/>
    </row>
    <row r="94" spans="1:12" ht="15.95" customHeight="1" x14ac:dyDescent="0.2">
      <c r="A94" s="135" t="s">
        <v>324</v>
      </c>
      <c r="B94" s="135" t="s">
        <v>325</v>
      </c>
      <c r="C94" s="140">
        <v>85</v>
      </c>
      <c r="D94" s="140">
        <v>1</v>
      </c>
      <c r="E94" s="137" t="s">
        <v>326</v>
      </c>
      <c r="F94" s="143">
        <f>531</f>
        <v>531</v>
      </c>
      <c r="G94" s="141">
        <f>549</f>
        <v>549</v>
      </c>
      <c r="H94" s="138"/>
      <c r="I94" s="7"/>
      <c r="J94" s="6"/>
      <c r="K94" s="6"/>
      <c r="L94" s="6"/>
    </row>
    <row r="95" spans="1:12" ht="15.95" customHeight="1" x14ac:dyDescent="0.2">
      <c r="A95" s="135" t="s">
        <v>327</v>
      </c>
      <c r="B95" s="135" t="s">
        <v>328</v>
      </c>
      <c r="C95" s="140">
        <v>86</v>
      </c>
      <c r="D95" s="140">
        <v>1</v>
      </c>
      <c r="E95" s="137" t="s">
        <v>329</v>
      </c>
      <c r="F95" s="143">
        <f>531</f>
        <v>531</v>
      </c>
      <c r="G95" s="141">
        <f>549</f>
        <v>549</v>
      </c>
      <c r="H95" s="138"/>
      <c r="I95" s="7"/>
      <c r="J95" s="6"/>
      <c r="K95" s="6"/>
      <c r="L95" s="6"/>
    </row>
    <row r="96" spans="1:12" ht="15.95" customHeight="1" x14ac:dyDescent="0.2">
      <c r="A96" s="135" t="s">
        <v>330</v>
      </c>
      <c r="B96" s="135" t="s">
        <v>331</v>
      </c>
      <c r="C96" s="140">
        <v>87</v>
      </c>
      <c r="D96" s="140">
        <v>1</v>
      </c>
      <c r="E96" s="137" t="s">
        <v>326</v>
      </c>
      <c r="F96" s="143">
        <f>531</f>
        <v>531</v>
      </c>
      <c r="G96" s="141">
        <f>549</f>
        <v>549</v>
      </c>
      <c r="H96" s="138"/>
      <c r="I96" s="7"/>
      <c r="J96" s="6"/>
      <c r="K96" s="6"/>
      <c r="L96" s="6"/>
    </row>
    <row r="97" spans="1:12" ht="15.95" customHeight="1" x14ac:dyDescent="0.2">
      <c r="A97" s="135" t="s">
        <v>332</v>
      </c>
      <c r="B97" s="135" t="s">
        <v>333</v>
      </c>
      <c r="C97" s="140">
        <v>88</v>
      </c>
      <c r="D97" s="140">
        <v>1</v>
      </c>
      <c r="E97" s="137" t="s">
        <v>329</v>
      </c>
      <c r="F97" s="143">
        <f>531</f>
        <v>531</v>
      </c>
      <c r="G97" s="141">
        <f>549</f>
        <v>549</v>
      </c>
      <c r="H97" s="138"/>
      <c r="I97" s="7"/>
      <c r="J97" s="6"/>
      <c r="K97" s="6"/>
      <c r="L97" s="6"/>
    </row>
    <row r="98" spans="1:12" ht="15.95" customHeight="1" x14ac:dyDescent="0.2">
      <c r="A98" s="135" t="s">
        <v>334</v>
      </c>
      <c r="B98" s="135" t="s">
        <v>335</v>
      </c>
      <c r="C98" s="140">
        <v>89</v>
      </c>
      <c r="D98" s="140">
        <v>1</v>
      </c>
      <c r="E98" s="137" t="s">
        <v>336</v>
      </c>
      <c r="F98" s="143">
        <f>531</f>
        <v>531</v>
      </c>
      <c r="G98" s="141">
        <f>549</f>
        <v>549</v>
      </c>
      <c r="H98" s="138"/>
      <c r="I98" s="7"/>
      <c r="J98" s="6"/>
      <c r="K98" s="6"/>
      <c r="L98" s="6"/>
    </row>
    <row r="99" spans="1:12" ht="15.95" customHeight="1" x14ac:dyDescent="0.2">
      <c r="A99" s="135" t="s">
        <v>337</v>
      </c>
      <c r="B99" s="135" t="s">
        <v>338</v>
      </c>
      <c r="C99" s="140">
        <v>90</v>
      </c>
      <c r="D99" s="140">
        <v>1</v>
      </c>
      <c r="E99" s="137" t="s">
        <v>326</v>
      </c>
      <c r="F99" s="143">
        <f>531</f>
        <v>531</v>
      </c>
      <c r="G99" s="141">
        <f>549</f>
        <v>549</v>
      </c>
      <c r="H99" s="138"/>
      <c r="I99" s="7"/>
      <c r="J99" s="6"/>
      <c r="K99" s="6"/>
      <c r="L99" s="6"/>
    </row>
    <row r="100" spans="1:12" ht="15.95" customHeight="1" x14ac:dyDescent="0.2">
      <c r="A100" s="135" t="s">
        <v>339</v>
      </c>
      <c r="B100" s="135" t="s">
        <v>340</v>
      </c>
      <c r="C100" s="140">
        <v>91</v>
      </c>
      <c r="D100" s="140">
        <v>1</v>
      </c>
      <c r="E100" s="137" t="s">
        <v>341</v>
      </c>
      <c r="F100" s="143">
        <f>531</f>
        <v>531</v>
      </c>
      <c r="G100" s="141">
        <f>549</f>
        <v>549</v>
      </c>
      <c r="H100" s="138"/>
      <c r="I100" s="7"/>
      <c r="J100" s="6"/>
      <c r="K100" s="6"/>
      <c r="L100" s="6"/>
    </row>
    <row r="101" spans="1:12" ht="15.95" customHeight="1" x14ac:dyDescent="0.2">
      <c r="A101" s="135" t="s">
        <v>342</v>
      </c>
      <c r="B101" s="135" t="s">
        <v>343</v>
      </c>
      <c r="C101" s="140">
        <v>92</v>
      </c>
      <c r="D101" s="140">
        <v>1</v>
      </c>
      <c r="E101" s="137" t="s">
        <v>323</v>
      </c>
      <c r="F101" s="143">
        <f>531</f>
        <v>531</v>
      </c>
      <c r="G101" s="141">
        <f>549</f>
        <v>549</v>
      </c>
      <c r="H101" s="138"/>
      <c r="I101" s="7"/>
      <c r="J101" s="6"/>
      <c r="K101" s="6"/>
      <c r="L101" s="6"/>
    </row>
    <row r="102" spans="1:12" ht="15.95" customHeight="1" x14ac:dyDescent="0.2">
      <c r="A102" s="135" t="s">
        <v>344</v>
      </c>
      <c r="B102" s="135" t="s">
        <v>345</v>
      </c>
      <c r="C102" s="140">
        <v>93</v>
      </c>
      <c r="D102" s="140">
        <v>1</v>
      </c>
      <c r="E102" s="137" t="s">
        <v>346</v>
      </c>
      <c r="F102" s="143">
        <f>531</f>
        <v>531</v>
      </c>
      <c r="G102" s="141">
        <f>549</f>
        <v>549</v>
      </c>
      <c r="H102" s="138"/>
      <c r="I102" s="7"/>
      <c r="J102" s="6"/>
      <c r="K102" s="6"/>
      <c r="L102" s="6"/>
    </row>
    <row r="103" spans="1:12" ht="15.95" customHeight="1" x14ac:dyDescent="0.2">
      <c r="A103" s="135" t="s">
        <v>347</v>
      </c>
      <c r="B103" s="135" t="s">
        <v>348</v>
      </c>
      <c r="C103" s="140">
        <v>94</v>
      </c>
      <c r="D103" s="140">
        <v>1</v>
      </c>
      <c r="E103" s="137" t="s">
        <v>248</v>
      </c>
      <c r="F103" s="143">
        <f>531</f>
        <v>531</v>
      </c>
      <c r="G103" s="141">
        <f>549</f>
        <v>549</v>
      </c>
      <c r="H103" s="138"/>
      <c r="I103" s="7"/>
      <c r="J103" s="6"/>
      <c r="K103" s="6"/>
      <c r="L103" s="6"/>
    </row>
    <row r="104" spans="1:12" ht="15.95" customHeight="1" x14ac:dyDescent="0.2">
      <c r="A104" s="135" t="s">
        <v>349</v>
      </c>
      <c r="B104" s="135" t="s">
        <v>350</v>
      </c>
      <c r="C104" s="140">
        <v>95</v>
      </c>
      <c r="D104" s="140">
        <v>1</v>
      </c>
      <c r="E104" s="137" t="s">
        <v>149</v>
      </c>
      <c r="F104" s="143">
        <f>531</f>
        <v>531</v>
      </c>
      <c r="G104" s="141">
        <f>549</f>
        <v>549</v>
      </c>
      <c r="H104" s="138"/>
      <c r="I104" s="7"/>
      <c r="J104" s="6"/>
      <c r="K104" s="6"/>
      <c r="L104" s="6"/>
    </row>
    <row r="105" spans="1:12" ht="15.95" customHeight="1" x14ac:dyDescent="0.2">
      <c r="A105" s="135" t="s">
        <v>351</v>
      </c>
      <c r="B105" s="135" t="s">
        <v>352</v>
      </c>
      <c r="C105" s="140">
        <v>96</v>
      </c>
      <c r="D105" s="140">
        <v>1</v>
      </c>
      <c r="E105" s="137" t="s">
        <v>353</v>
      </c>
      <c r="F105" s="143">
        <f>531</f>
        <v>531</v>
      </c>
      <c r="G105" s="141">
        <f>549</f>
        <v>549</v>
      </c>
      <c r="H105" s="138"/>
      <c r="I105" s="7"/>
      <c r="J105" s="6"/>
      <c r="K105" s="6"/>
      <c r="L105" s="6"/>
    </row>
    <row r="106" spans="1:12" ht="15.95" customHeight="1" x14ac:dyDescent="0.2">
      <c r="A106" s="135" t="s">
        <v>354</v>
      </c>
      <c r="B106" s="135" t="s">
        <v>355</v>
      </c>
      <c r="C106" s="140">
        <v>97</v>
      </c>
      <c r="D106" s="140">
        <v>1</v>
      </c>
      <c r="E106" s="137" t="s">
        <v>356</v>
      </c>
      <c r="F106" s="143">
        <f>531</f>
        <v>531</v>
      </c>
      <c r="G106" s="141">
        <f>549</f>
        <v>549</v>
      </c>
      <c r="H106" s="138"/>
      <c r="I106" s="7"/>
      <c r="J106" s="6"/>
      <c r="K106" s="6"/>
      <c r="L106" s="6"/>
    </row>
    <row r="107" spans="1:12" ht="15.95" customHeight="1" x14ac:dyDescent="0.2">
      <c r="A107" s="135" t="s">
        <v>357</v>
      </c>
      <c r="B107" s="135" t="s">
        <v>358</v>
      </c>
      <c r="C107" s="140">
        <v>98</v>
      </c>
      <c r="D107" s="140">
        <v>1</v>
      </c>
      <c r="E107" s="137" t="s">
        <v>359</v>
      </c>
      <c r="F107" s="143">
        <f>531</f>
        <v>531</v>
      </c>
      <c r="G107" s="141">
        <f>549</f>
        <v>549</v>
      </c>
      <c r="H107" s="138"/>
      <c r="I107" s="7"/>
      <c r="J107" s="6"/>
      <c r="K107" s="6"/>
      <c r="L107" s="6"/>
    </row>
    <row r="108" spans="1:12" ht="15.95" customHeight="1" x14ac:dyDescent="0.2">
      <c r="A108" s="135" t="s">
        <v>360</v>
      </c>
      <c r="B108" s="135" t="s">
        <v>361</v>
      </c>
      <c r="C108" s="140">
        <v>99</v>
      </c>
      <c r="D108" s="140">
        <v>1</v>
      </c>
      <c r="E108" s="137" t="s">
        <v>359</v>
      </c>
      <c r="F108" s="143">
        <f>531</f>
        <v>531</v>
      </c>
      <c r="G108" s="141">
        <f>549</f>
        <v>549</v>
      </c>
      <c r="H108" s="138"/>
      <c r="I108" s="7"/>
      <c r="J108" s="6"/>
      <c r="K108" s="6"/>
      <c r="L108" s="6"/>
    </row>
    <row r="109" spans="1:12" ht="15.95" customHeight="1" x14ac:dyDescent="0.2">
      <c r="A109" s="135" t="s">
        <v>362</v>
      </c>
      <c r="B109" s="135" t="s">
        <v>363</v>
      </c>
      <c r="C109" s="140">
        <v>100</v>
      </c>
      <c r="D109" s="140">
        <v>1</v>
      </c>
      <c r="E109" s="137" t="s">
        <v>356</v>
      </c>
      <c r="F109" s="143">
        <f>531</f>
        <v>531</v>
      </c>
      <c r="G109" s="141">
        <f>549</f>
        <v>549</v>
      </c>
      <c r="H109" s="138"/>
      <c r="I109" s="7"/>
      <c r="J109" s="6"/>
      <c r="K109" s="6"/>
      <c r="L109" s="6"/>
    </row>
    <row r="110" spans="1:12" ht="15.95" customHeight="1" x14ac:dyDescent="0.2">
      <c r="A110" s="135" t="s">
        <v>364</v>
      </c>
      <c r="B110" s="135" t="s">
        <v>365</v>
      </c>
      <c r="C110" s="140">
        <v>101</v>
      </c>
      <c r="D110" s="140">
        <v>1</v>
      </c>
      <c r="E110" s="137" t="s">
        <v>366</v>
      </c>
      <c r="F110" s="143">
        <f>531</f>
        <v>531</v>
      </c>
      <c r="G110" s="141">
        <f>549</f>
        <v>549</v>
      </c>
      <c r="H110" s="138"/>
      <c r="I110" s="7"/>
      <c r="J110" s="6"/>
      <c r="K110" s="6"/>
      <c r="L110" s="6"/>
    </row>
    <row r="111" spans="1:12" ht="15.95" customHeight="1" x14ac:dyDescent="0.2">
      <c r="A111" s="135" t="s">
        <v>367</v>
      </c>
      <c r="B111" s="135" t="s">
        <v>368</v>
      </c>
      <c r="C111" s="140">
        <v>102</v>
      </c>
      <c r="D111" s="140">
        <v>1</v>
      </c>
      <c r="E111" s="137" t="s">
        <v>146</v>
      </c>
      <c r="F111" s="143">
        <f>531</f>
        <v>531</v>
      </c>
      <c r="G111" s="141">
        <f>549</f>
        <v>549</v>
      </c>
      <c r="H111" s="138"/>
      <c r="I111" s="7"/>
      <c r="J111" s="6"/>
      <c r="K111" s="6"/>
      <c r="L111" s="6"/>
    </row>
    <row r="112" spans="1:12" ht="15.95" customHeight="1" x14ac:dyDescent="0.2">
      <c r="A112" s="135" t="s">
        <v>369</v>
      </c>
      <c r="B112" s="135" t="s">
        <v>370</v>
      </c>
      <c r="C112" s="140">
        <v>103</v>
      </c>
      <c r="D112" s="140">
        <v>1</v>
      </c>
      <c r="E112" s="137" t="s">
        <v>149</v>
      </c>
      <c r="F112" s="143">
        <f>531</f>
        <v>531</v>
      </c>
      <c r="G112" s="141">
        <f>549</f>
        <v>549</v>
      </c>
      <c r="H112" s="138"/>
      <c r="I112" s="7"/>
      <c r="J112" s="6"/>
      <c r="K112" s="6"/>
      <c r="L112" s="6"/>
    </row>
    <row r="113" spans="1:12" ht="15.95" customHeight="1" x14ac:dyDescent="0.2">
      <c r="A113" s="135" t="s">
        <v>371</v>
      </c>
      <c r="B113" s="135" t="s">
        <v>372</v>
      </c>
      <c r="C113" s="140">
        <v>104</v>
      </c>
      <c r="D113" s="140">
        <v>1</v>
      </c>
      <c r="E113" s="137" t="s">
        <v>373</v>
      </c>
      <c r="F113" s="143">
        <f>531</f>
        <v>531</v>
      </c>
      <c r="G113" s="141">
        <f>549</f>
        <v>549</v>
      </c>
      <c r="H113" s="138"/>
      <c r="I113" s="7"/>
      <c r="J113" s="6"/>
      <c r="K113" s="6"/>
      <c r="L113" s="6"/>
    </row>
    <row r="114" spans="1:12" ht="15.95" customHeight="1" x14ac:dyDescent="0.2">
      <c r="A114" s="135" t="s">
        <v>374</v>
      </c>
      <c r="B114" s="135" t="s">
        <v>375</v>
      </c>
      <c r="C114" s="140">
        <v>105</v>
      </c>
      <c r="D114" s="140">
        <v>1</v>
      </c>
      <c r="E114" s="137" t="s">
        <v>366</v>
      </c>
      <c r="F114" s="143">
        <f>531</f>
        <v>531</v>
      </c>
      <c r="G114" s="141">
        <f>549</f>
        <v>549</v>
      </c>
      <c r="H114" s="138"/>
      <c r="I114" s="7"/>
      <c r="J114" s="6"/>
      <c r="K114" s="6"/>
      <c r="L114" s="6"/>
    </row>
    <row r="115" spans="1:12" ht="15.95" customHeight="1" x14ac:dyDescent="0.2">
      <c r="A115" s="135" t="s">
        <v>376</v>
      </c>
      <c r="B115" s="135" t="s">
        <v>377</v>
      </c>
      <c r="C115" s="140">
        <v>106</v>
      </c>
      <c r="D115" s="140">
        <v>1</v>
      </c>
      <c r="E115" s="137" t="s">
        <v>230</v>
      </c>
      <c r="F115" s="143">
        <f>531</f>
        <v>531</v>
      </c>
      <c r="G115" s="141">
        <f>549</f>
        <v>549</v>
      </c>
      <c r="H115" s="138"/>
      <c r="I115" s="7"/>
      <c r="J115" s="6"/>
      <c r="K115" s="6"/>
      <c r="L115" s="6"/>
    </row>
    <row r="116" spans="1:12" ht="15.95" customHeight="1" x14ac:dyDescent="0.2">
      <c r="A116" s="135" t="s">
        <v>378</v>
      </c>
      <c r="B116" s="135" t="s">
        <v>379</v>
      </c>
      <c r="C116" s="140">
        <v>107</v>
      </c>
      <c r="D116" s="140">
        <v>1</v>
      </c>
      <c r="E116" s="137" t="s">
        <v>248</v>
      </c>
      <c r="F116" s="143">
        <f>531</f>
        <v>531</v>
      </c>
      <c r="G116" s="141">
        <f>549</f>
        <v>549</v>
      </c>
      <c r="H116" s="138"/>
      <c r="I116" s="7"/>
      <c r="J116" s="6"/>
      <c r="K116" s="6"/>
      <c r="L116" s="6"/>
    </row>
    <row r="117" spans="1:12" ht="15.95" customHeight="1" x14ac:dyDescent="0.2">
      <c r="A117" s="135" t="s">
        <v>380</v>
      </c>
      <c r="B117" s="135" t="s">
        <v>381</v>
      </c>
      <c r="C117" s="140">
        <v>108</v>
      </c>
      <c r="D117" s="140">
        <v>1</v>
      </c>
      <c r="E117" s="137" t="s">
        <v>149</v>
      </c>
      <c r="F117" s="143">
        <f>531</f>
        <v>531</v>
      </c>
      <c r="G117" s="141">
        <f>549</f>
        <v>549</v>
      </c>
      <c r="H117" s="138"/>
      <c r="I117" s="7"/>
      <c r="J117" s="6"/>
      <c r="K117" s="6"/>
      <c r="L117" s="6"/>
    </row>
    <row r="118" spans="1:12" ht="15.95" customHeight="1" x14ac:dyDescent="0.2">
      <c r="A118" s="135" t="s">
        <v>382</v>
      </c>
      <c r="B118" s="135" t="s">
        <v>383</v>
      </c>
      <c r="C118" s="140">
        <v>109</v>
      </c>
      <c r="D118" s="140">
        <v>2</v>
      </c>
      <c r="E118" s="137" t="s">
        <v>384</v>
      </c>
      <c r="F118" s="142">
        <f>548</f>
        <v>548</v>
      </c>
      <c r="G118" s="142">
        <f>566</f>
        <v>566</v>
      </c>
      <c r="H118" s="138"/>
      <c r="I118" s="7"/>
      <c r="J118" s="6"/>
      <c r="K118" s="6"/>
      <c r="L118" s="6"/>
    </row>
    <row r="119" spans="1:12" ht="15.95" customHeight="1" x14ac:dyDescent="0.2">
      <c r="A119" s="135" t="s">
        <v>385</v>
      </c>
      <c r="B119" s="135" t="s">
        <v>386</v>
      </c>
      <c r="C119" s="140">
        <v>110</v>
      </c>
      <c r="D119" s="140">
        <v>2</v>
      </c>
      <c r="E119" s="137" t="s">
        <v>384</v>
      </c>
      <c r="F119" s="142">
        <f>548</f>
        <v>548</v>
      </c>
      <c r="G119" s="142">
        <f>566</f>
        <v>566</v>
      </c>
      <c r="H119" s="138"/>
      <c r="I119" s="7"/>
      <c r="J119" s="6"/>
      <c r="K119" s="6"/>
      <c r="L119" s="6"/>
    </row>
    <row r="120" spans="1:12" ht="15.95" customHeight="1" x14ac:dyDescent="0.2">
      <c r="A120" s="135" t="s">
        <v>387</v>
      </c>
      <c r="B120" s="135" t="s">
        <v>388</v>
      </c>
      <c r="C120" s="140">
        <v>111</v>
      </c>
      <c r="D120" s="140">
        <v>2</v>
      </c>
      <c r="E120" s="137" t="s">
        <v>389</v>
      </c>
      <c r="F120" s="142">
        <f>548</f>
        <v>548</v>
      </c>
      <c r="G120" s="142">
        <f>566</f>
        <v>566</v>
      </c>
      <c r="H120" s="138"/>
      <c r="I120" s="7"/>
      <c r="J120" s="6"/>
      <c r="K120" s="6"/>
      <c r="L120" s="6"/>
    </row>
    <row r="121" spans="1:12" ht="15.95" customHeight="1" x14ac:dyDescent="0.2">
      <c r="A121" s="135" t="s">
        <v>390</v>
      </c>
      <c r="B121" s="135" t="s">
        <v>391</v>
      </c>
      <c r="C121" s="140">
        <v>112</v>
      </c>
      <c r="D121" s="140">
        <v>2</v>
      </c>
      <c r="E121" s="137" t="s">
        <v>392</v>
      </c>
      <c r="F121" s="142">
        <f>548</f>
        <v>548</v>
      </c>
      <c r="G121" s="142">
        <f>566</f>
        <v>566</v>
      </c>
      <c r="H121" s="138"/>
      <c r="I121" s="7"/>
      <c r="J121" s="6"/>
      <c r="K121" s="6"/>
      <c r="L121" s="6"/>
    </row>
    <row r="122" spans="1:12" ht="15.95" customHeight="1" x14ac:dyDescent="0.2">
      <c r="A122" s="135" t="s">
        <v>393</v>
      </c>
      <c r="B122" s="135" t="s">
        <v>394</v>
      </c>
      <c r="C122" s="140">
        <v>113</v>
      </c>
      <c r="D122" s="140">
        <v>2</v>
      </c>
      <c r="E122" s="137" t="s">
        <v>392</v>
      </c>
      <c r="F122" s="142">
        <f>548</f>
        <v>548</v>
      </c>
      <c r="G122" s="142">
        <f>566</f>
        <v>566</v>
      </c>
      <c r="H122" s="138"/>
      <c r="I122" s="7"/>
      <c r="J122" s="6"/>
      <c r="K122" s="6"/>
      <c r="L122" s="6"/>
    </row>
    <row r="123" spans="1:12" ht="15.95" customHeight="1" x14ac:dyDescent="0.2">
      <c r="A123" s="135" t="s">
        <v>395</v>
      </c>
      <c r="B123" s="135" t="s">
        <v>396</v>
      </c>
      <c r="C123" s="140">
        <v>114</v>
      </c>
      <c r="D123" s="140">
        <v>2</v>
      </c>
      <c r="E123" s="137" t="s">
        <v>392</v>
      </c>
      <c r="F123" s="142">
        <f>548</f>
        <v>548</v>
      </c>
      <c r="G123" s="142">
        <f>566</f>
        <v>566</v>
      </c>
      <c r="H123" s="138"/>
      <c r="I123" s="7"/>
      <c r="J123" s="6"/>
      <c r="K123" s="6"/>
      <c r="L123" s="6"/>
    </row>
    <row r="124" spans="1:12" ht="15.95" customHeight="1" x14ac:dyDescent="0.2">
      <c r="A124" s="135" t="s">
        <v>397</v>
      </c>
      <c r="B124" s="135" t="s">
        <v>398</v>
      </c>
      <c r="C124" s="140">
        <v>115</v>
      </c>
      <c r="D124" s="140">
        <v>2</v>
      </c>
      <c r="E124" s="137" t="s">
        <v>392</v>
      </c>
      <c r="F124" s="142">
        <f>548</f>
        <v>548</v>
      </c>
      <c r="G124" s="142">
        <f>566</f>
        <v>566</v>
      </c>
      <c r="H124" s="138"/>
      <c r="I124" s="7"/>
      <c r="J124" s="6"/>
      <c r="K124" s="6"/>
      <c r="L124" s="6"/>
    </row>
    <row r="125" spans="1:12" ht="15.95" customHeight="1" x14ac:dyDescent="0.2">
      <c r="A125" s="135" t="s">
        <v>399</v>
      </c>
      <c r="B125" s="135" t="s">
        <v>400</v>
      </c>
      <c r="C125" s="140">
        <v>116</v>
      </c>
      <c r="D125" s="140">
        <v>2</v>
      </c>
      <c r="E125" s="137" t="s">
        <v>401</v>
      </c>
      <c r="F125" s="142">
        <f>548</f>
        <v>548</v>
      </c>
      <c r="G125" s="142">
        <f>566</f>
        <v>566</v>
      </c>
      <c r="H125" s="138"/>
      <c r="I125" s="7"/>
      <c r="J125" s="6"/>
      <c r="K125" s="6"/>
      <c r="L125" s="6"/>
    </row>
    <row r="126" spans="1:12" ht="15.95" customHeight="1" x14ac:dyDescent="0.2">
      <c r="A126" s="135" t="s">
        <v>402</v>
      </c>
      <c r="B126" s="135" t="s">
        <v>403</v>
      </c>
      <c r="C126" s="140">
        <v>117</v>
      </c>
      <c r="D126" s="140">
        <v>2</v>
      </c>
      <c r="E126" s="137" t="s">
        <v>404</v>
      </c>
      <c r="F126" s="142">
        <f>548</f>
        <v>548</v>
      </c>
      <c r="G126" s="142">
        <f>566</f>
        <v>566</v>
      </c>
      <c r="H126" s="138"/>
      <c r="I126" s="7"/>
      <c r="J126" s="6"/>
      <c r="K126" s="6"/>
      <c r="L126" s="6"/>
    </row>
    <row r="127" spans="1:12" ht="15.95" customHeight="1" x14ac:dyDescent="0.2">
      <c r="A127" s="135" t="s">
        <v>405</v>
      </c>
      <c r="B127" s="135" t="s">
        <v>406</v>
      </c>
      <c r="C127" s="140">
        <v>118</v>
      </c>
      <c r="D127" s="140">
        <v>2</v>
      </c>
      <c r="E127" s="137" t="s">
        <v>407</v>
      </c>
      <c r="F127" s="142">
        <f>548</f>
        <v>548</v>
      </c>
      <c r="G127" s="142">
        <f>566</f>
        <v>566</v>
      </c>
      <c r="H127" s="138"/>
      <c r="I127" s="7"/>
      <c r="J127" s="6"/>
      <c r="K127" s="6"/>
      <c r="L127" s="6"/>
    </row>
    <row r="128" spans="1:12" ht="15.95" customHeight="1" x14ac:dyDescent="0.2">
      <c r="A128" s="135" t="s">
        <v>408</v>
      </c>
      <c r="B128" s="135" t="s">
        <v>409</v>
      </c>
      <c r="C128" s="140">
        <v>119</v>
      </c>
      <c r="D128" s="140">
        <v>2</v>
      </c>
      <c r="E128" s="137" t="s">
        <v>392</v>
      </c>
      <c r="F128" s="142">
        <f>548</f>
        <v>548</v>
      </c>
      <c r="G128" s="142">
        <f>566</f>
        <v>566</v>
      </c>
      <c r="H128" s="138"/>
      <c r="I128" s="7"/>
      <c r="J128" s="6"/>
      <c r="K128" s="6"/>
      <c r="L128" s="6"/>
    </row>
    <row r="129" spans="1:12" ht="15.95" customHeight="1" x14ac:dyDescent="0.2">
      <c r="A129" s="135" t="s">
        <v>410</v>
      </c>
      <c r="B129" s="135" t="s">
        <v>411</v>
      </c>
      <c r="C129" s="140">
        <v>120</v>
      </c>
      <c r="D129" s="140">
        <v>2</v>
      </c>
      <c r="E129" s="137" t="s">
        <v>392</v>
      </c>
      <c r="F129" s="142">
        <f>548</f>
        <v>548</v>
      </c>
      <c r="G129" s="142">
        <f>566</f>
        <v>566</v>
      </c>
      <c r="H129" s="138"/>
      <c r="I129" s="7"/>
      <c r="J129" s="6"/>
      <c r="K129" s="6"/>
      <c r="L129" s="6"/>
    </row>
    <row r="130" spans="1:12" ht="15.95" customHeight="1" x14ac:dyDescent="0.2">
      <c r="A130" s="135" t="s">
        <v>412</v>
      </c>
      <c r="B130" s="135" t="s">
        <v>413</v>
      </c>
      <c r="C130" s="140">
        <v>121</v>
      </c>
      <c r="D130" s="140">
        <v>2</v>
      </c>
      <c r="E130" s="137" t="s">
        <v>401</v>
      </c>
      <c r="F130" s="142">
        <f>548</f>
        <v>548</v>
      </c>
      <c r="G130" s="142">
        <f>566</f>
        <v>566</v>
      </c>
      <c r="H130" s="138"/>
      <c r="I130" s="7"/>
      <c r="J130" s="6"/>
      <c r="K130" s="6"/>
      <c r="L130" s="6"/>
    </row>
    <row r="131" spans="1:12" ht="15.95" customHeight="1" x14ac:dyDescent="0.2">
      <c r="A131" s="135" t="s">
        <v>414</v>
      </c>
      <c r="B131" s="135" t="s">
        <v>415</v>
      </c>
      <c r="C131" s="140">
        <v>122</v>
      </c>
      <c r="D131" s="140">
        <v>2</v>
      </c>
      <c r="E131" s="137" t="s">
        <v>416</v>
      </c>
      <c r="F131" s="142">
        <f>548</f>
        <v>548</v>
      </c>
      <c r="G131" s="142">
        <f>566</f>
        <v>566</v>
      </c>
      <c r="H131" s="138"/>
      <c r="I131" s="7"/>
      <c r="J131" s="6"/>
      <c r="K131" s="6"/>
      <c r="L131" s="6"/>
    </row>
    <row r="132" spans="1:12" ht="15.95" customHeight="1" x14ac:dyDescent="0.2">
      <c r="A132" s="135" t="s">
        <v>417</v>
      </c>
      <c r="B132" s="135" t="s">
        <v>418</v>
      </c>
      <c r="C132" s="140">
        <v>123</v>
      </c>
      <c r="D132" s="140">
        <v>2</v>
      </c>
      <c r="E132" s="137" t="s">
        <v>419</v>
      </c>
      <c r="F132" s="142">
        <f>548</f>
        <v>548</v>
      </c>
      <c r="G132" s="142">
        <f>566</f>
        <v>566</v>
      </c>
      <c r="H132" s="138"/>
      <c r="I132" s="7"/>
      <c r="J132" s="6"/>
      <c r="K132" s="6"/>
      <c r="L132" s="6"/>
    </row>
    <row r="133" spans="1:12" ht="15.95" customHeight="1" x14ac:dyDescent="0.2">
      <c r="A133" s="135" t="s">
        <v>420</v>
      </c>
      <c r="B133" s="135" t="s">
        <v>421</v>
      </c>
      <c r="C133" s="140">
        <v>124</v>
      </c>
      <c r="D133" s="140">
        <v>2</v>
      </c>
      <c r="E133" s="137" t="s">
        <v>392</v>
      </c>
      <c r="F133" s="142">
        <f>548</f>
        <v>548</v>
      </c>
      <c r="G133" s="142">
        <f>566</f>
        <v>566</v>
      </c>
      <c r="H133" s="138"/>
      <c r="I133" s="7"/>
      <c r="J133" s="6"/>
      <c r="K133" s="6"/>
      <c r="L133" s="6"/>
    </row>
    <row r="134" spans="1:12" ht="15.95" customHeight="1" x14ac:dyDescent="0.2">
      <c r="A134" s="135" t="s">
        <v>422</v>
      </c>
      <c r="B134" s="135" t="s">
        <v>423</v>
      </c>
      <c r="C134" s="140">
        <v>125</v>
      </c>
      <c r="D134" s="140">
        <v>3</v>
      </c>
      <c r="E134" s="137" t="s">
        <v>424</v>
      </c>
      <c r="F134" s="142">
        <f>566</f>
        <v>566</v>
      </c>
      <c r="G134" s="142">
        <f>584</f>
        <v>584</v>
      </c>
      <c r="H134" s="138"/>
      <c r="I134" s="7"/>
      <c r="J134" s="6"/>
      <c r="K134" s="6"/>
      <c r="L134" s="6"/>
    </row>
    <row r="135" spans="1:12" ht="15.95" customHeight="1" x14ac:dyDescent="0.2">
      <c r="A135" s="135" t="s">
        <v>425</v>
      </c>
      <c r="B135" s="135" t="s">
        <v>426</v>
      </c>
      <c r="C135" s="140">
        <v>126</v>
      </c>
      <c r="D135" s="140">
        <v>3</v>
      </c>
      <c r="E135" s="137" t="s">
        <v>424</v>
      </c>
      <c r="F135" s="142">
        <f>566</f>
        <v>566</v>
      </c>
      <c r="G135" s="142">
        <f>584</f>
        <v>584</v>
      </c>
      <c r="H135" s="138"/>
      <c r="I135" s="7"/>
      <c r="J135" s="6"/>
      <c r="K135" s="6"/>
      <c r="L135" s="6"/>
    </row>
    <row r="136" spans="1:12" ht="15.95" customHeight="1" x14ac:dyDescent="0.2">
      <c r="A136" s="135" t="s">
        <v>427</v>
      </c>
      <c r="B136" s="135" t="s">
        <v>428</v>
      </c>
      <c r="C136" s="140">
        <v>127</v>
      </c>
      <c r="D136" s="140">
        <v>3</v>
      </c>
      <c r="E136" s="137" t="s">
        <v>424</v>
      </c>
      <c r="F136" s="142">
        <f>566</f>
        <v>566</v>
      </c>
      <c r="G136" s="142">
        <f>584</f>
        <v>584</v>
      </c>
      <c r="H136" s="138"/>
      <c r="I136" s="7"/>
      <c r="J136" s="6"/>
      <c r="K136" s="6"/>
      <c r="L136" s="6"/>
    </row>
    <row r="137" spans="1:12" ht="15.95" customHeight="1" x14ac:dyDescent="0.2">
      <c r="A137" s="135" t="s">
        <v>429</v>
      </c>
      <c r="B137" s="135" t="s">
        <v>430</v>
      </c>
      <c r="C137" s="140">
        <v>128</v>
      </c>
      <c r="D137" s="140">
        <v>3</v>
      </c>
      <c r="E137" s="137" t="s">
        <v>431</v>
      </c>
      <c r="F137" s="142">
        <f>560</f>
        <v>560</v>
      </c>
      <c r="G137" s="142">
        <f>578</f>
        <v>578</v>
      </c>
      <c r="H137" s="138"/>
      <c r="I137" s="7"/>
      <c r="J137" s="6"/>
      <c r="K137" s="6"/>
      <c r="L137" s="6"/>
    </row>
    <row r="138" spans="1:12" ht="15.95" customHeight="1" x14ac:dyDescent="0.2">
      <c r="A138" s="135" t="s">
        <v>432</v>
      </c>
      <c r="B138" s="135" t="s">
        <v>433</v>
      </c>
      <c r="C138" s="140">
        <v>129</v>
      </c>
      <c r="D138" s="140">
        <v>4</v>
      </c>
      <c r="E138" s="137" t="s">
        <v>434</v>
      </c>
      <c r="F138" s="142">
        <f>584</f>
        <v>584</v>
      </c>
      <c r="G138" s="142">
        <f>602</f>
        <v>602</v>
      </c>
      <c r="H138" s="138"/>
      <c r="I138" s="7"/>
      <c r="J138" s="6"/>
      <c r="K138" s="6"/>
      <c r="L138" s="6"/>
    </row>
    <row r="139" spans="1:12" ht="15.95" customHeight="1" x14ac:dyDescent="0.2">
      <c r="A139" s="135" t="s">
        <v>435</v>
      </c>
      <c r="B139" s="135" t="s">
        <v>436</v>
      </c>
      <c r="C139" s="140">
        <v>130</v>
      </c>
      <c r="D139" s="140">
        <v>4</v>
      </c>
      <c r="E139" s="137" t="s">
        <v>434</v>
      </c>
      <c r="F139" s="142">
        <f>584</f>
        <v>584</v>
      </c>
      <c r="G139" s="142">
        <f>602</f>
        <v>602</v>
      </c>
      <c r="H139" s="138"/>
      <c r="I139" s="7"/>
      <c r="J139" s="6"/>
      <c r="K139" s="6"/>
      <c r="L139" s="6"/>
    </row>
    <row r="140" spans="1:12" ht="15.95" customHeight="1" x14ac:dyDescent="0.2">
      <c r="A140" s="135" t="s">
        <v>437</v>
      </c>
      <c r="B140" s="135" t="s">
        <v>438</v>
      </c>
      <c r="C140" s="140">
        <v>131</v>
      </c>
      <c r="D140" s="140">
        <v>4</v>
      </c>
      <c r="E140" s="137" t="s">
        <v>434</v>
      </c>
      <c r="F140" s="142">
        <f>584</f>
        <v>584</v>
      </c>
      <c r="G140" s="142">
        <f>602</f>
        <v>602</v>
      </c>
      <c r="H140" s="138"/>
      <c r="I140" s="7"/>
      <c r="J140" s="6"/>
      <c r="K140" s="6"/>
      <c r="L140" s="6"/>
    </row>
    <row r="141" spans="1:12" ht="15.95" customHeight="1" x14ac:dyDescent="0.2">
      <c r="A141" s="135" t="s">
        <v>439</v>
      </c>
      <c r="B141" s="135" t="s">
        <v>440</v>
      </c>
      <c r="C141" s="140">
        <v>132</v>
      </c>
      <c r="D141" s="140">
        <v>4</v>
      </c>
      <c r="E141" s="137" t="s">
        <v>434</v>
      </c>
      <c r="F141" s="142">
        <f>584</f>
        <v>584</v>
      </c>
      <c r="G141" s="142">
        <f>602</f>
        <v>602</v>
      </c>
      <c r="H141" s="138"/>
      <c r="I141" s="7"/>
      <c r="J141" s="6"/>
      <c r="K141" s="6"/>
      <c r="L141" s="6"/>
    </row>
    <row r="142" spans="1:12" ht="15.95" customHeight="1" x14ac:dyDescent="0.2">
      <c r="A142" s="135" t="s">
        <v>441</v>
      </c>
      <c r="B142" s="135" t="s">
        <v>442</v>
      </c>
      <c r="C142" s="140">
        <v>133</v>
      </c>
      <c r="D142" s="140">
        <v>4</v>
      </c>
      <c r="E142" s="137" t="s">
        <v>443</v>
      </c>
      <c r="F142" s="142">
        <f>584</f>
        <v>584</v>
      </c>
      <c r="G142" s="142">
        <f>602</f>
        <v>602</v>
      </c>
      <c r="H142" s="138"/>
      <c r="I142" s="7"/>
      <c r="J142" s="6"/>
      <c r="K142" s="6"/>
      <c r="L142" s="6"/>
    </row>
    <row r="143" spans="1:12" ht="15.95" customHeight="1" x14ac:dyDescent="0.2">
      <c r="A143" s="135" t="s">
        <v>444</v>
      </c>
      <c r="B143" s="135" t="s">
        <v>445</v>
      </c>
      <c r="C143" s="140">
        <v>134</v>
      </c>
      <c r="D143" s="140">
        <v>4</v>
      </c>
      <c r="E143" s="137" t="s">
        <v>434</v>
      </c>
      <c r="F143" s="142">
        <f>584</f>
        <v>584</v>
      </c>
      <c r="G143" s="142">
        <f>602</f>
        <v>602</v>
      </c>
      <c r="H143" s="138"/>
      <c r="I143" s="7"/>
      <c r="J143" s="6"/>
      <c r="K143" s="6"/>
      <c r="L143" s="6"/>
    </row>
    <row r="144" spans="1:12" ht="15.95" customHeight="1" x14ac:dyDescent="0.2">
      <c r="A144" s="135" t="s">
        <v>446</v>
      </c>
      <c r="B144" s="135" t="s">
        <v>447</v>
      </c>
      <c r="C144" s="140">
        <v>135</v>
      </c>
      <c r="D144" s="140">
        <v>4</v>
      </c>
      <c r="E144" s="137" t="s">
        <v>434</v>
      </c>
      <c r="F144" s="142">
        <f>584</f>
        <v>584</v>
      </c>
      <c r="G144" s="142">
        <f>602</f>
        <v>602</v>
      </c>
      <c r="H144" s="138"/>
      <c r="I144" s="7"/>
      <c r="J144" s="6"/>
      <c r="K144" s="6"/>
      <c r="L144" s="6"/>
    </row>
    <row r="145" spans="1:12" ht="15.95" customHeight="1" x14ac:dyDescent="0.2">
      <c r="A145" s="135" t="s">
        <v>448</v>
      </c>
      <c r="B145" s="135" t="s">
        <v>449</v>
      </c>
      <c r="C145" s="140">
        <v>136</v>
      </c>
      <c r="D145" s="140">
        <v>4</v>
      </c>
      <c r="E145" s="137" t="s">
        <v>443</v>
      </c>
      <c r="F145" s="142">
        <f>584</f>
        <v>584</v>
      </c>
      <c r="G145" s="142">
        <f>602</f>
        <v>602</v>
      </c>
      <c r="H145" s="138"/>
      <c r="I145" s="7"/>
      <c r="J145" s="6"/>
      <c r="K145" s="6"/>
      <c r="L145" s="6"/>
    </row>
    <row r="146" spans="1:12" ht="15.95" customHeight="1" x14ac:dyDescent="0.2">
      <c r="A146" s="135" t="s">
        <v>450</v>
      </c>
      <c r="B146" s="135" t="s">
        <v>451</v>
      </c>
      <c r="C146" s="140">
        <v>137</v>
      </c>
      <c r="D146" s="140">
        <v>4</v>
      </c>
      <c r="E146" s="137" t="s">
        <v>434</v>
      </c>
      <c r="F146" s="142">
        <f>584</f>
        <v>584</v>
      </c>
      <c r="G146" s="142">
        <f>602</f>
        <v>602</v>
      </c>
      <c r="H146" s="138"/>
      <c r="I146" s="7"/>
      <c r="J146" s="6"/>
      <c r="K146" s="6"/>
      <c r="L146" s="6"/>
    </row>
    <row r="147" spans="1:12" ht="15.95" customHeight="1" x14ac:dyDescent="0.2">
      <c r="A147" s="135" t="s">
        <v>452</v>
      </c>
      <c r="B147" s="135" t="s">
        <v>453</v>
      </c>
      <c r="C147" s="140">
        <v>138</v>
      </c>
      <c r="D147" s="140">
        <v>4</v>
      </c>
      <c r="E147" s="137" t="s">
        <v>434</v>
      </c>
      <c r="F147" s="142">
        <f>584</f>
        <v>584</v>
      </c>
      <c r="G147" s="142">
        <f>602</f>
        <v>602</v>
      </c>
      <c r="H147" s="138"/>
      <c r="I147" s="7"/>
      <c r="J147" s="6"/>
      <c r="K147" s="6"/>
      <c r="L147" s="6"/>
    </row>
    <row r="148" spans="1:12" ht="15.95" customHeight="1" x14ac:dyDescent="0.2">
      <c r="A148" s="135" t="s">
        <v>454</v>
      </c>
      <c r="B148" s="135" t="s">
        <v>455</v>
      </c>
      <c r="C148" s="140">
        <v>139</v>
      </c>
      <c r="D148" s="140">
        <v>4</v>
      </c>
      <c r="E148" s="137" t="s">
        <v>434</v>
      </c>
      <c r="F148" s="142">
        <f>584</f>
        <v>584</v>
      </c>
      <c r="G148" s="142">
        <f>602</f>
        <v>602</v>
      </c>
      <c r="H148" s="138"/>
      <c r="I148" s="7"/>
      <c r="J148" s="6"/>
      <c r="K148" s="6"/>
      <c r="L148" s="6"/>
    </row>
    <row r="149" spans="1:12" ht="15.95" customHeight="1" x14ac:dyDescent="0.2">
      <c r="A149" s="135" t="s">
        <v>456</v>
      </c>
      <c r="B149" s="135" t="s">
        <v>457</v>
      </c>
      <c r="C149" s="140">
        <v>140</v>
      </c>
      <c r="D149" s="140">
        <v>4</v>
      </c>
      <c r="E149" s="137" t="s">
        <v>434</v>
      </c>
      <c r="F149" s="142">
        <f>584</f>
        <v>584</v>
      </c>
      <c r="G149" s="142">
        <f>602</f>
        <v>602</v>
      </c>
      <c r="H149" s="138"/>
      <c r="I149" s="7"/>
      <c r="J149" s="6"/>
      <c r="K149" s="6"/>
      <c r="L149" s="6"/>
    </row>
    <row r="150" spans="1:12" ht="15.95" customHeight="1" x14ac:dyDescent="0.2">
      <c r="A150" s="135" t="s">
        <v>458</v>
      </c>
      <c r="B150" s="135" t="s">
        <v>459</v>
      </c>
      <c r="C150" s="140">
        <v>141</v>
      </c>
      <c r="D150" s="140">
        <v>4</v>
      </c>
      <c r="E150" s="137" t="s">
        <v>434</v>
      </c>
      <c r="F150" s="142">
        <f>584</f>
        <v>584</v>
      </c>
      <c r="G150" s="142">
        <f>602</f>
        <v>602</v>
      </c>
      <c r="H150" s="138"/>
      <c r="I150" s="7"/>
      <c r="J150" s="6"/>
      <c r="K150" s="6"/>
      <c r="L150" s="6"/>
    </row>
    <row r="151" spans="1:12" ht="15.95" customHeight="1" x14ac:dyDescent="0.2">
      <c r="A151" s="135" t="s">
        <v>460</v>
      </c>
      <c r="B151" s="135" t="s">
        <v>461</v>
      </c>
      <c r="C151" s="140">
        <v>142</v>
      </c>
      <c r="D151" s="140">
        <v>4</v>
      </c>
      <c r="E151" s="137" t="s">
        <v>434</v>
      </c>
      <c r="F151" s="142">
        <f>584</f>
        <v>584</v>
      </c>
      <c r="G151" s="142">
        <f>602</f>
        <v>602</v>
      </c>
      <c r="H151" s="138"/>
      <c r="I151" s="7"/>
      <c r="J151" s="6"/>
      <c r="K151" s="6"/>
      <c r="L151" s="6"/>
    </row>
    <row r="152" spans="1:12" ht="15.95" customHeight="1" x14ac:dyDescent="0.2">
      <c r="A152" s="135" t="s">
        <v>462</v>
      </c>
      <c r="B152" s="135" t="s">
        <v>463</v>
      </c>
      <c r="C152" s="140">
        <v>143</v>
      </c>
      <c r="D152" s="140">
        <v>4</v>
      </c>
      <c r="E152" s="137" t="s">
        <v>443</v>
      </c>
      <c r="F152" s="142">
        <f>584</f>
        <v>584</v>
      </c>
      <c r="G152" s="142">
        <f>602</f>
        <v>602</v>
      </c>
      <c r="H152" s="138"/>
      <c r="I152" s="7"/>
      <c r="J152" s="6"/>
      <c r="K152" s="6"/>
      <c r="L152" s="6"/>
    </row>
    <row r="153" spans="1:12" ht="15.95" customHeight="1" x14ac:dyDescent="0.2">
      <c r="A153" s="135" t="s">
        <v>464</v>
      </c>
      <c r="B153" s="135" t="s">
        <v>465</v>
      </c>
      <c r="C153" s="140">
        <v>144</v>
      </c>
      <c r="D153" s="140">
        <v>4</v>
      </c>
      <c r="E153" s="137" t="s">
        <v>434</v>
      </c>
      <c r="F153" s="142">
        <f>584</f>
        <v>584</v>
      </c>
      <c r="G153" s="142">
        <f>602</f>
        <v>602</v>
      </c>
      <c r="H153" s="138"/>
      <c r="I153" s="7"/>
      <c r="J153" s="6"/>
      <c r="K153" s="6"/>
      <c r="L153" s="6"/>
    </row>
    <row r="154" spans="1:12" ht="15.95" customHeight="1" x14ac:dyDescent="0.2">
      <c r="A154" s="135" t="s">
        <v>466</v>
      </c>
      <c r="B154" s="135" t="s">
        <v>467</v>
      </c>
      <c r="C154" s="140">
        <v>145</v>
      </c>
      <c r="D154" s="140">
        <v>5</v>
      </c>
      <c r="E154" s="137" t="s">
        <v>468</v>
      </c>
      <c r="F154" s="142">
        <f>708</f>
        <v>708</v>
      </c>
      <c r="G154" s="142">
        <f>726</f>
        <v>726</v>
      </c>
      <c r="H154" s="138"/>
      <c r="I154" s="7"/>
      <c r="J154" s="6"/>
      <c r="K154" s="6"/>
      <c r="L154" s="6"/>
    </row>
    <row r="155" spans="1:12" ht="15.95" customHeight="1" x14ac:dyDescent="0.2">
      <c r="A155" s="135" t="s">
        <v>469</v>
      </c>
      <c r="B155" s="135" t="s">
        <v>470</v>
      </c>
      <c r="C155" s="140">
        <v>146</v>
      </c>
      <c r="D155" s="140">
        <v>5</v>
      </c>
      <c r="E155" s="137" t="s">
        <v>471</v>
      </c>
      <c r="F155" s="142">
        <f>708</f>
        <v>708</v>
      </c>
      <c r="G155" s="142">
        <f>726</f>
        <v>726</v>
      </c>
      <c r="H155" s="138"/>
      <c r="I155" s="7"/>
      <c r="J155" s="6"/>
      <c r="K155" s="6"/>
      <c r="L155" s="6"/>
    </row>
    <row r="156" spans="1:12" ht="15.95" customHeight="1" x14ac:dyDescent="0.2">
      <c r="A156" s="135" t="s">
        <v>472</v>
      </c>
      <c r="B156" s="135" t="s">
        <v>473</v>
      </c>
      <c r="C156" s="140">
        <v>147</v>
      </c>
      <c r="D156" s="140">
        <v>5</v>
      </c>
      <c r="E156" s="137" t="s">
        <v>474</v>
      </c>
      <c r="F156" s="142">
        <f>708</f>
        <v>708</v>
      </c>
      <c r="G156" s="142">
        <f>726</f>
        <v>726</v>
      </c>
      <c r="H156" s="138"/>
      <c r="I156" s="7"/>
      <c r="J156" s="6"/>
      <c r="K156" s="6"/>
      <c r="L156" s="6"/>
    </row>
    <row r="157" spans="1:12" ht="15.95" customHeight="1" x14ac:dyDescent="0.2">
      <c r="A157" s="135" t="s">
        <v>475</v>
      </c>
      <c r="B157" s="135" t="s">
        <v>476</v>
      </c>
      <c r="C157" s="140">
        <v>148</v>
      </c>
      <c r="D157" s="140">
        <v>5</v>
      </c>
      <c r="E157" s="137" t="s">
        <v>468</v>
      </c>
      <c r="F157" s="142">
        <f>708</f>
        <v>708</v>
      </c>
      <c r="G157" s="142">
        <f>726</f>
        <v>726</v>
      </c>
      <c r="H157" s="138"/>
      <c r="I157" s="7"/>
      <c r="J157" s="6"/>
      <c r="K157" s="6"/>
      <c r="L157" s="6"/>
    </row>
    <row r="158" spans="1:12" ht="15.95" customHeight="1" x14ac:dyDescent="0.2">
      <c r="A158" s="135" t="s">
        <v>477</v>
      </c>
      <c r="B158" s="135" t="s">
        <v>478</v>
      </c>
      <c r="C158" s="140">
        <v>149</v>
      </c>
      <c r="D158" s="140">
        <v>5</v>
      </c>
      <c r="E158" s="137" t="s">
        <v>474</v>
      </c>
      <c r="F158" s="142">
        <f>708</f>
        <v>708</v>
      </c>
      <c r="G158" s="142">
        <f>726</f>
        <v>726</v>
      </c>
      <c r="H158" s="138"/>
      <c r="I158" s="7"/>
      <c r="J158" s="6"/>
      <c r="K158" s="6"/>
      <c r="L158" s="6"/>
    </row>
    <row r="159" spans="1:12" ht="15.95" customHeight="1" x14ac:dyDescent="0.2">
      <c r="A159" s="135" t="s">
        <v>479</v>
      </c>
      <c r="B159" s="135" t="s">
        <v>480</v>
      </c>
      <c r="C159" s="140">
        <v>150</v>
      </c>
      <c r="D159" s="140">
        <v>5</v>
      </c>
      <c r="E159" s="137" t="s">
        <v>481</v>
      </c>
      <c r="F159" s="142">
        <f>708</f>
        <v>708</v>
      </c>
      <c r="G159" s="142">
        <f>726</f>
        <v>726</v>
      </c>
      <c r="H159" s="138"/>
      <c r="I159" s="7"/>
      <c r="J159" s="6"/>
      <c r="K159" s="6"/>
      <c r="L159" s="6"/>
    </row>
    <row r="160" spans="1:12" ht="15.95" customHeight="1" x14ac:dyDescent="0.2">
      <c r="A160" s="135" t="s">
        <v>482</v>
      </c>
      <c r="B160" s="135" t="s">
        <v>483</v>
      </c>
      <c r="C160" s="140">
        <v>151</v>
      </c>
      <c r="D160" s="140">
        <v>5</v>
      </c>
      <c r="E160" s="137" t="s">
        <v>471</v>
      </c>
      <c r="F160" s="142">
        <f>708</f>
        <v>708</v>
      </c>
      <c r="G160" s="142">
        <f>726</f>
        <v>726</v>
      </c>
      <c r="H160" s="138"/>
      <c r="I160" s="7"/>
      <c r="J160" s="6"/>
      <c r="K160" s="6"/>
      <c r="L160" s="6"/>
    </row>
    <row r="161" spans="1:12" ht="15.95" customHeight="1" x14ac:dyDescent="0.2">
      <c r="A161" s="135" t="s">
        <v>484</v>
      </c>
      <c r="B161" s="135" t="s">
        <v>485</v>
      </c>
      <c r="C161" s="140">
        <v>152</v>
      </c>
      <c r="D161" s="140">
        <v>5</v>
      </c>
      <c r="E161" s="137" t="s">
        <v>474</v>
      </c>
      <c r="F161" s="142">
        <f>708</f>
        <v>708</v>
      </c>
      <c r="G161" s="142">
        <f>726</f>
        <v>726</v>
      </c>
      <c r="H161" s="138"/>
      <c r="I161" s="7"/>
      <c r="J161" s="6"/>
      <c r="K161" s="6"/>
      <c r="L161" s="6"/>
    </row>
    <row r="162" spans="1:12" ht="15.95" customHeight="1" x14ac:dyDescent="0.2">
      <c r="A162" s="135" t="s">
        <v>486</v>
      </c>
      <c r="B162" s="135" t="s">
        <v>487</v>
      </c>
      <c r="C162" s="140">
        <v>153</v>
      </c>
      <c r="D162" s="140">
        <v>5</v>
      </c>
      <c r="E162" s="137" t="s">
        <v>471</v>
      </c>
      <c r="F162" s="142">
        <f>708</f>
        <v>708</v>
      </c>
      <c r="G162" s="142">
        <f>726</f>
        <v>726</v>
      </c>
      <c r="H162" s="138"/>
      <c r="I162" s="7"/>
      <c r="J162" s="6"/>
      <c r="K162" s="6"/>
      <c r="L162" s="6"/>
    </row>
    <row r="163" spans="1:12" ht="15.95" customHeight="1" x14ac:dyDescent="0.2">
      <c r="A163" s="135" t="s">
        <v>488</v>
      </c>
      <c r="B163" s="135" t="s">
        <v>489</v>
      </c>
      <c r="C163" s="140">
        <v>154</v>
      </c>
      <c r="D163" s="140">
        <v>5</v>
      </c>
      <c r="E163" s="137" t="s">
        <v>471</v>
      </c>
      <c r="F163" s="142">
        <f>708</f>
        <v>708</v>
      </c>
      <c r="G163" s="142">
        <f>726</f>
        <v>726</v>
      </c>
      <c r="H163" s="138"/>
      <c r="I163" s="7"/>
      <c r="J163" s="6"/>
      <c r="K163" s="6"/>
      <c r="L163" s="6"/>
    </row>
    <row r="164" spans="1:12" ht="15.95" customHeight="1" x14ac:dyDescent="0.2">
      <c r="A164" s="135" t="s">
        <v>490</v>
      </c>
      <c r="B164" s="135" t="s">
        <v>491</v>
      </c>
      <c r="C164" s="140">
        <v>155</v>
      </c>
      <c r="D164" s="140">
        <v>5</v>
      </c>
      <c r="E164" s="137" t="s">
        <v>468</v>
      </c>
      <c r="F164" s="142">
        <f>708</f>
        <v>708</v>
      </c>
      <c r="G164" s="142">
        <f>726</f>
        <v>726</v>
      </c>
      <c r="H164" s="138"/>
      <c r="I164" s="7"/>
      <c r="J164" s="6"/>
      <c r="K164" s="6"/>
      <c r="L164" s="6"/>
    </row>
    <row r="165" spans="1:12" ht="15.95" customHeight="1" x14ac:dyDescent="0.2">
      <c r="A165" s="135" t="s">
        <v>492</v>
      </c>
      <c r="B165" s="135" t="s">
        <v>493</v>
      </c>
      <c r="C165" s="140">
        <v>156</v>
      </c>
      <c r="D165" s="140">
        <v>5</v>
      </c>
      <c r="E165" s="137" t="s">
        <v>494</v>
      </c>
      <c r="F165" s="142">
        <f>708</f>
        <v>708</v>
      </c>
      <c r="G165" s="142">
        <f>726</f>
        <v>726</v>
      </c>
      <c r="H165" s="138"/>
      <c r="I165" s="7"/>
      <c r="J165" s="6"/>
      <c r="K165" s="6"/>
      <c r="L165" s="6"/>
    </row>
    <row r="166" spans="1:12" ht="15.95" customHeight="1" x14ac:dyDescent="0.2">
      <c r="A166" s="135" t="s">
        <v>495</v>
      </c>
      <c r="B166" s="135" t="s">
        <v>496</v>
      </c>
      <c r="C166" s="140">
        <v>157</v>
      </c>
      <c r="D166" s="140">
        <v>5</v>
      </c>
      <c r="E166" s="137" t="s">
        <v>468</v>
      </c>
      <c r="F166" s="142">
        <f>708</f>
        <v>708</v>
      </c>
      <c r="G166" s="142">
        <f>726</f>
        <v>726</v>
      </c>
      <c r="H166" s="138"/>
      <c r="I166" s="7"/>
      <c r="J166" s="6"/>
      <c r="K166" s="6"/>
      <c r="L166" s="6"/>
    </row>
    <row r="167" spans="1:12" ht="15.95" customHeight="1" x14ac:dyDescent="0.2">
      <c r="A167" s="135" t="s">
        <v>497</v>
      </c>
      <c r="B167" s="135" t="s">
        <v>498</v>
      </c>
      <c r="C167" s="140">
        <v>158</v>
      </c>
      <c r="D167" s="140">
        <v>5</v>
      </c>
      <c r="E167" s="137" t="s">
        <v>499</v>
      </c>
      <c r="F167" s="142">
        <f>708</f>
        <v>708</v>
      </c>
      <c r="G167" s="142">
        <f>726</f>
        <v>726</v>
      </c>
      <c r="H167" s="138"/>
      <c r="I167" s="7"/>
      <c r="J167" s="6"/>
      <c r="K167" s="6"/>
      <c r="L167" s="6"/>
    </row>
    <row r="168" spans="1:12" ht="15.95" customHeight="1" x14ac:dyDescent="0.2">
      <c r="A168" s="135" t="s">
        <v>500</v>
      </c>
      <c r="B168" s="135" t="s">
        <v>501</v>
      </c>
      <c r="C168" s="140">
        <v>159</v>
      </c>
      <c r="D168" s="140">
        <v>5</v>
      </c>
      <c r="E168" s="137" t="s">
        <v>502</v>
      </c>
      <c r="F168" s="142">
        <f>708</f>
        <v>708</v>
      </c>
      <c r="G168" s="142">
        <f>726</f>
        <v>726</v>
      </c>
      <c r="H168" s="138"/>
      <c r="I168" s="7"/>
      <c r="J168" s="6"/>
      <c r="K168" s="6"/>
      <c r="L168" s="6"/>
    </row>
    <row r="169" spans="1:12" ht="15.95" customHeight="1" x14ac:dyDescent="0.2">
      <c r="A169" s="135" t="s">
        <v>503</v>
      </c>
      <c r="B169" s="135" t="s">
        <v>504</v>
      </c>
      <c r="C169" s="140">
        <v>160</v>
      </c>
      <c r="D169" s="140">
        <v>5</v>
      </c>
      <c r="E169" s="137" t="s">
        <v>502</v>
      </c>
      <c r="F169" s="142">
        <f>708</f>
        <v>708</v>
      </c>
      <c r="G169" s="142">
        <f>726</f>
        <v>726</v>
      </c>
      <c r="H169" s="138"/>
      <c r="I169" s="7"/>
      <c r="J169" s="6"/>
      <c r="K169" s="6"/>
      <c r="L169" s="6"/>
    </row>
    <row r="170" spans="1:12" ht="15.95" customHeight="1" x14ac:dyDescent="0.2">
      <c r="A170" s="135" t="s">
        <v>505</v>
      </c>
      <c r="B170" s="135" t="s">
        <v>506</v>
      </c>
      <c r="C170" s="140">
        <v>161</v>
      </c>
      <c r="D170" s="140">
        <v>5</v>
      </c>
      <c r="E170" s="137" t="s">
        <v>507</v>
      </c>
      <c r="F170" s="142">
        <f>708</f>
        <v>708</v>
      </c>
      <c r="G170" s="142">
        <f>726</f>
        <v>726</v>
      </c>
      <c r="H170" s="138"/>
      <c r="I170" s="7"/>
      <c r="J170" s="6"/>
      <c r="K170" s="6"/>
      <c r="L170" s="6"/>
    </row>
    <row r="171" spans="1:12" ht="15.95" customHeight="1" x14ac:dyDescent="0.2">
      <c r="A171" s="135" t="s">
        <v>508</v>
      </c>
      <c r="B171" s="135" t="s">
        <v>509</v>
      </c>
      <c r="C171" s="140">
        <v>162</v>
      </c>
      <c r="D171" s="140">
        <v>5</v>
      </c>
      <c r="E171" s="137" t="s">
        <v>510</v>
      </c>
      <c r="F171" s="142">
        <f>708</f>
        <v>708</v>
      </c>
      <c r="G171" s="142">
        <f>726</f>
        <v>726</v>
      </c>
      <c r="H171" s="138"/>
      <c r="I171" s="7"/>
      <c r="J171" s="6"/>
      <c r="K171" s="6"/>
      <c r="L171" s="6"/>
    </row>
    <row r="172" spans="1:12" ht="15.95" customHeight="1" x14ac:dyDescent="0.2">
      <c r="A172" s="135" t="s">
        <v>511</v>
      </c>
      <c r="B172" s="135" t="s">
        <v>512</v>
      </c>
      <c r="C172" s="140">
        <v>163</v>
      </c>
      <c r="D172" s="140">
        <v>5</v>
      </c>
      <c r="E172" s="137" t="s">
        <v>513</v>
      </c>
      <c r="F172" s="142">
        <f>708</f>
        <v>708</v>
      </c>
      <c r="G172" s="142">
        <f>726</f>
        <v>726</v>
      </c>
      <c r="H172" s="138"/>
      <c r="I172" s="7"/>
      <c r="J172" s="6"/>
      <c r="K172" s="6"/>
      <c r="L172" s="6"/>
    </row>
    <row r="173" spans="1:12" ht="15.95" customHeight="1" x14ac:dyDescent="0.2">
      <c r="A173" s="135" t="s">
        <v>514</v>
      </c>
      <c r="B173" s="135" t="s">
        <v>515</v>
      </c>
      <c r="C173" s="140">
        <v>164</v>
      </c>
      <c r="D173" s="140">
        <v>5</v>
      </c>
      <c r="E173" s="137" t="s">
        <v>510</v>
      </c>
      <c r="F173" s="142">
        <f>708</f>
        <v>708</v>
      </c>
      <c r="G173" s="142">
        <f>726</f>
        <v>726</v>
      </c>
      <c r="H173" s="138"/>
      <c r="I173" s="7"/>
      <c r="J173" s="6"/>
      <c r="K173" s="6"/>
      <c r="L173" s="6"/>
    </row>
    <row r="174" spans="1:12" ht="15.95" customHeight="1" x14ac:dyDescent="0.2">
      <c r="A174" s="135" t="s">
        <v>516</v>
      </c>
      <c r="B174" s="135" t="s">
        <v>517</v>
      </c>
      <c r="C174" s="140">
        <v>165</v>
      </c>
      <c r="D174" s="140">
        <v>5</v>
      </c>
      <c r="E174" s="137" t="s">
        <v>510</v>
      </c>
      <c r="F174" s="142">
        <f>708</f>
        <v>708</v>
      </c>
      <c r="G174" s="142">
        <f>726</f>
        <v>726</v>
      </c>
      <c r="H174" s="138"/>
      <c r="I174" s="7"/>
      <c r="J174" s="6"/>
      <c r="K174" s="6"/>
      <c r="L174" s="6"/>
    </row>
    <row r="175" spans="1:12" ht="15.95" customHeight="1" x14ac:dyDescent="0.2">
      <c r="A175" s="135" t="s">
        <v>518</v>
      </c>
      <c r="B175" s="135" t="s">
        <v>519</v>
      </c>
      <c r="C175" s="140">
        <v>166</v>
      </c>
      <c r="D175" s="140">
        <v>5</v>
      </c>
      <c r="E175" s="137" t="s">
        <v>520</v>
      </c>
      <c r="F175" s="142">
        <f>708</f>
        <v>708</v>
      </c>
      <c r="G175" s="142">
        <f>726</f>
        <v>726</v>
      </c>
      <c r="H175" s="138"/>
      <c r="I175" s="7"/>
      <c r="J175" s="6"/>
      <c r="K175" s="6"/>
      <c r="L175" s="6"/>
    </row>
    <row r="176" spans="1:12" ht="15.95" customHeight="1" x14ac:dyDescent="0.2">
      <c r="A176" s="135" t="s">
        <v>521</v>
      </c>
      <c r="B176" s="135" t="s">
        <v>522</v>
      </c>
      <c r="C176" s="140">
        <v>167</v>
      </c>
      <c r="D176" s="140">
        <v>5</v>
      </c>
      <c r="E176" s="137" t="s">
        <v>523</v>
      </c>
      <c r="F176" s="142">
        <f>708</f>
        <v>708</v>
      </c>
      <c r="G176" s="142">
        <f>726</f>
        <v>726</v>
      </c>
      <c r="H176" s="138"/>
      <c r="I176" s="7"/>
      <c r="J176" s="6"/>
      <c r="K176" s="6"/>
      <c r="L176" s="6"/>
    </row>
    <row r="177" spans="1:12" ht="15.95" customHeight="1" x14ac:dyDescent="0.2">
      <c r="A177" s="135" t="s">
        <v>524</v>
      </c>
      <c r="B177" s="135" t="s">
        <v>525</v>
      </c>
      <c r="C177" s="140">
        <v>168</v>
      </c>
      <c r="D177" s="140">
        <v>5</v>
      </c>
      <c r="E177" s="137" t="s">
        <v>526</v>
      </c>
      <c r="F177" s="142">
        <f>708</f>
        <v>708</v>
      </c>
      <c r="G177" s="142">
        <f>726</f>
        <v>726</v>
      </c>
      <c r="H177" s="138"/>
      <c r="I177" s="7"/>
      <c r="J177" s="6"/>
      <c r="K177" s="6"/>
      <c r="L177" s="6"/>
    </row>
    <row r="178" spans="1:12" ht="15.95" customHeight="1" x14ac:dyDescent="0.2">
      <c r="A178" s="135" t="s">
        <v>527</v>
      </c>
      <c r="B178" s="135" t="s">
        <v>528</v>
      </c>
      <c r="C178" s="140">
        <v>169</v>
      </c>
      <c r="D178" s="140">
        <v>5</v>
      </c>
      <c r="E178" s="137" t="s">
        <v>510</v>
      </c>
      <c r="F178" s="142">
        <f>708</f>
        <v>708</v>
      </c>
      <c r="G178" s="142">
        <f>726</f>
        <v>726</v>
      </c>
      <c r="H178" s="138"/>
      <c r="I178" s="7"/>
      <c r="J178" s="6"/>
      <c r="K178" s="6"/>
      <c r="L178" s="6"/>
    </row>
    <row r="179" spans="1:12" ht="15.95" customHeight="1" x14ac:dyDescent="0.2">
      <c r="A179" s="135" t="s">
        <v>529</v>
      </c>
      <c r="B179" s="135" t="s">
        <v>530</v>
      </c>
      <c r="C179" s="140">
        <v>170</v>
      </c>
      <c r="D179" s="140">
        <v>5</v>
      </c>
      <c r="E179" s="137" t="s">
        <v>520</v>
      </c>
      <c r="F179" s="142">
        <f>708</f>
        <v>708</v>
      </c>
      <c r="G179" s="142">
        <f>726</f>
        <v>726</v>
      </c>
      <c r="H179" s="138"/>
      <c r="I179" s="7"/>
      <c r="J179" s="6"/>
      <c r="K179" s="6"/>
      <c r="L179" s="6"/>
    </row>
    <row r="180" spans="1:12" ht="15.95" customHeight="1" x14ac:dyDescent="0.2">
      <c r="A180" s="135" t="s">
        <v>531</v>
      </c>
      <c r="B180" s="135" t="s">
        <v>532</v>
      </c>
      <c r="C180" s="140">
        <v>171</v>
      </c>
      <c r="D180" s="140">
        <v>6</v>
      </c>
      <c r="E180" s="137" t="s">
        <v>533</v>
      </c>
      <c r="F180" s="142">
        <f>743</f>
        <v>743</v>
      </c>
      <c r="G180" s="142">
        <f>761</f>
        <v>761</v>
      </c>
      <c r="H180" s="138"/>
      <c r="I180" s="7"/>
      <c r="J180" s="6"/>
      <c r="K180" s="6"/>
      <c r="L180" s="6"/>
    </row>
    <row r="181" spans="1:12" ht="15.95" customHeight="1" x14ac:dyDescent="0.2">
      <c r="A181" s="135" t="s">
        <v>534</v>
      </c>
      <c r="B181" s="135" t="s">
        <v>535</v>
      </c>
      <c r="C181" s="140">
        <v>172</v>
      </c>
      <c r="D181" s="140">
        <v>6</v>
      </c>
      <c r="E181" s="137" t="s">
        <v>536</v>
      </c>
      <c r="F181" s="142">
        <f>743</f>
        <v>743</v>
      </c>
      <c r="G181" s="142">
        <f>761</f>
        <v>761</v>
      </c>
      <c r="H181" s="138"/>
      <c r="I181" s="7"/>
      <c r="J181" s="6"/>
      <c r="K181" s="6"/>
      <c r="L181" s="6"/>
    </row>
    <row r="182" spans="1:12" ht="15.95" customHeight="1" x14ac:dyDescent="0.2">
      <c r="A182" s="135" t="s">
        <v>537</v>
      </c>
      <c r="B182" s="135" t="s">
        <v>538</v>
      </c>
      <c r="C182" s="140">
        <v>173</v>
      </c>
      <c r="D182" s="140">
        <v>6</v>
      </c>
      <c r="E182" s="137" t="s">
        <v>539</v>
      </c>
      <c r="F182" s="142">
        <f>743</f>
        <v>743</v>
      </c>
      <c r="G182" s="142">
        <f>761</f>
        <v>761</v>
      </c>
      <c r="H182" s="138"/>
      <c r="I182" s="7"/>
      <c r="J182" s="6"/>
      <c r="K182" s="6"/>
      <c r="L182" s="6"/>
    </row>
    <row r="183" spans="1:12" ht="15.95" customHeight="1" x14ac:dyDescent="0.2">
      <c r="A183" s="135" t="s">
        <v>540</v>
      </c>
      <c r="B183" s="135" t="s">
        <v>541</v>
      </c>
      <c r="C183" s="140">
        <v>174</v>
      </c>
      <c r="D183" s="140">
        <v>6</v>
      </c>
      <c r="E183" s="137" t="s">
        <v>542</v>
      </c>
      <c r="F183" s="142">
        <f>743</f>
        <v>743</v>
      </c>
      <c r="G183" s="142">
        <f>761</f>
        <v>761</v>
      </c>
      <c r="H183" s="138"/>
      <c r="I183" s="7"/>
      <c r="J183" s="6"/>
      <c r="K183" s="6"/>
      <c r="L183" s="6"/>
    </row>
    <row r="184" spans="1:12" ht="15.95" customHeight="1" x14ac:dyDescent="0.2">
      <c r="A184" s="136"/>
      <c r="B184" s="139"/>
      <c r="C184" s="136"/>
      <c r="D184" s="140"/>
      <c r="E184" s="139"/>
      <c r="F184" s="138"/>
      <c r="G184" s="138"/>
      <c r="H184" s="138"/>
      <c r="I184" s="7"/>
      <c r="J184" s="6"/>
      <c r="K184" s="6"/>
      <c r="L184" s="6"/>
    </row>
    <row r="185" spans="1:12" ht="15.95" customHeight="1" x14ac:dyDescent="0.2">
      <c r="A185" s="58"/>
      <c r="B185" s="58"/>
      <c r="C185" s="58"/>
      <c r="D185" s="58"/>
      <c r="E185" s="68" t="s">
        <v>63</v>
      </c>
      <c r="F185" s="69">
        <f>SUM(F10:F184)</f>
        <v>99098</v>
      </c>
      <c r="G185" s="69">
        <f>SUM(G10:G184)</f>
        <v>102230</v>
      </c>
      <c r="H185" s="69"/>
    </row>
    <row r="186" spans="1:12" ht="15.95" customHeight="1" x14ac:dyDescent="0.2">
      <c r="A186" s="75"/>
      <c r="B186" s="75"/>
      <c r="C186" s="75"/>
      <c r="D186" s="75"/>
      <c r="E186" s="56"/>
      <c r="F186" s="76"/>
      <c r="G186" s="76"/>
      <c r="H186" s="8"/>
    </row>
    <row r="187" spans="1:12" ht="15.95" customHeight="1" x14ac:dyDescent="0.2">
      <c r="A187" s="77" t="s">
        <v>64</v>
      </c>
      <c r="B187" s="75"/>
      <c r="C187" s="75"/>
      <c r="D187" s="75"/>
      <c r="E187" s="56"/>
      <c r="F187" s="76"/>
      <c r="G187" s="76"/>
      <c r="H187" s="152"/>
    </row>
    <row r="188" spans="1:12" ht="15.95" customHeight="1" x14ac:dyDescent="0.2">
      <c r="A188" s="77" t="s">
        <v>65</v>
      </c>
      <c r="B188" s="75"/>
      <c r="C188" s="75"/>
      <c r="D188" s="75"/>
      <c r="E188" s="56"/>
      <c r="F188" s="76"/>
      <c r="G188" s="76"/>
      <c r="H188" s="8"/>
    </row>
    <row r="189" spans="1:12" ht="15.95" customHeight="1" x14ac:dyDescent="0.2">
      <c r="A189" s="77" t="s">
        <v>31</v>
      </c>
      <c r="B189" s="59"/>
      <c r="C189" s="59"/>
      <c r="D189" s="59"/>
      <c r="E189" s="59"/>
      <c r="F189" s="59"/>
      <c r="G189" s="59"/>
    </row>
    <row r="190" spans="1:12" ht="15.95" customHeight="1" x14ac:dyDescent="0.2">
      <c r="A190" s="77"/>
      <c r="B190" s="59"/>
      <c r="C190" s="59"/>
      <c r="D190" s="59"/>
      <c r="E190" s="59"/>
      <c r="F190" s="59"/>
      <c r="G190" s="59"/>
    </row>
    <row r="191" spans="1:12" ht="15.95" customHeight="1" x14ac:dyDescent="0.2">
      <c r="A191" s="59"/>
      <c r="B191" s="59"/>
      <c r="C191" s="59"/>
      <c r="D191" s="59"/>
      <c r="E191" s="59"/>
      <c r="F191" s="59"/>
      <c r="G191" s="59"/>
    </row>
    <row r="192" spans="1:12" ht="15.95" customHeight="1" x14ac:dyDescent="0.2">
      <c r="A192" s="59"/>
      <c r="B192" s="59"/>
      <c r="C192" s="59"/>
      <c r="D192" s="59"/>
      <c r="E192" s="59"/>
      <c r="F192" s="59"/>
      <c r="G192" s="59"/>
    </row>
    <row r="193" spans="1:7" ht="15.95" customHeight="1" x14ac:dyDescent="0.2">
      <c r="A193" s="59"/>
      <c r="B193" s="59"/>
      <c r="C193" s="59"/>
      <c r="D193" s="59"/>
      <c r="E193" s="59"/>
      <c r="F193" s="70"/>
      <c r="G193" s="70"/>
    </row>
    <row r="194" spans="1:7" ht="15.95" customHeight="1" x14ac:dyDescent="0.2">
      <c r="A194" s="2"/>
      <c r="B194" s="59"/>
      <c r="D194" s="59"/>
      <c r="G194" s="59"/>
    </row>
    <row r="195" spans="1:7" ht="15.95" customHeight="1" x14ac:dyDescent="0.25">
      <c r="A195" s="2"/>
      <c r="B195" s="212" t="s">
        <v>32</v>
      </c>
      <c r="C195" s="212"/>
      <c r="D195" s="212"/>
      <c r="E195" s="59"/>
      <c r="F195" s="71"/>
      <c r="G195" s="72"/>
    </row>
    <row r="196" spans="1:7" ht="17.25" customHeight="1" x14ac:dyDescent="0.25">
      <c r="A196" s="2"/>
      <c r="B196" s="54" t="s">
        <v>628</v>
      </c>
      <c r="C196" s="9"/>
      <c r="D196" s="9"/>
      <c r="E196" s="74"/>
      <c r="F196" s="73"/>
      <c r="G196" s="73"/>
    </row>
    <row r="197" spans="1:7" ht="20.100000000000001" customHeight="1" x14ac:dyDescent="0.2">
      <c r="A197" s="2"/>
      <c r="B197" s="59"/>
      <c r="C197" s="59"/>
      <c r="D197" s="59"/>
    </row>
    <row r="198" spans="1:7" ht="20.100000000000001" customHeight="1" x14ac:dyDescent="0.25">
      <c r="A198" s="2"/>
      <c r="B198" s="54" t="s">
        <v>633</v>
      </c>
      <c r="C198" s="59"/>
      <c r="D198" s="59"/>
    </row>
    <row r="199" spans="1:7" ht="20.100000000000001" customHeight="1" x14ac:dyDescent="0.25">
      <c r="B199" s="54" t="s">
        <v>33</v>
      </c>
    </row>
  </sheetData>
  <mergeCells count="4">
    <mergeCell ref="B195:D195"/>
    <mergeCell ref="A1:H1"/>
    <mergeCell ref="A2:H2"/>
    <mergeCell ref="A3:H3"/>
  </mergeCells>
  <phoneticPr fontId="0" type="noConversion"/>
  <printOptions horizontalCentered="1"/>
  <pageMargins left="0.39370078740157499" right="0.39370078740157499" top="0.196850393700787" bottom="0.196850393700787" header="0" footer="0"/>
  <pageSetup paperSize="9" scale="65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topLeftCell="A4" zoomScaleNormal="100" workbookViewId="0">
      <pane xSplit="2" ySplit="6" topLeftCell="E113" activePane="bottomRight" state="frozen"/>
      <selection activeCell="A4" sqref="A4"/>
      <selection pane="topRight" activeCell="C4" sqref="C4"/>
      <selection pane="bottomLeft" activeCell="A10" sqref="A10"/>
      <selection pane="bottomRight" activeCell="J122" sqref="J122"/>
    </sheetView>
  </sheetViews>
  <sheetFormatPr baseColWidth="10" defaultColWidth="11.42578125" defaultRowHeight="15" x14ac:dyDescent="0.25"/>
  <cols>
    <col min="1" max="1" width="11.28515625" style="9" customWidth="1"/>
    <col min="2" max="2" width="53.5703125" style="9" customWidth="1"/>
    <col min="3" max="5" width="21.42578125" style="9" customWidth="1"/>
    <col min="6" max="8" width="20.5703125" style="9" customWidth="1"/>
    <col min="9" max="9" width="15.5703125" style="9" customWidth="1"/>
    <col min="10" max="10" width="13.5703125" style="9" customWidth="1"/>
    <col min="11" max="16384" width="11.42578125" style="9"/>
  </cols>
  <sheetData>
    <row r="1" spans="1:10" ht="18.75" x14ac:dyDescent="0.3">
      <c r="A1" s="221" t="s">
        <v>66</v>
      </c>
      <c r="B1" s="221"/>
      <c r="C1" s="221"/>
      <c r="D1" s="221"/>
      <c r="E1" s="221"/>
      <c r="F1" s="221"/>
      <c r="G1" s="221"/>
      <c r="H1" s="221"/>
    </row>
    <row r="2" spans="1:10" ht="18.75" x14ac:dyDescent="0.3">
      <c r="A2" s="221" t="s">
        <v>67</v>
      </c>
      <c r="B2" s="221"/>
      <c r="C2" s="221"/>
      <c r="D2" s="221"/>
      <c r="E2" s="221"/>
      <c r="F2" s="221"/>
      <c r="G2" s="221"/>
      <c r="H2" s="221"/>
    </row>
    <row r="3" spans="1:10" ht="18.75" x14ac:dyDescent="0.3">
      <c r="A3" s="133"/>
      <c r="B3" s="133"/>
      <c r="C3" s="133"/>
      <c r="D3" s="133"/>
      <c r="E3" s="133"/>
      <c r="F3" s="133"/>
      <c r="G3" s="133"/>
      <c r="H3" s="133"/>
    </row>
    <row r="4" spans="1:10" ht="18.75" x14ac:dyDescent="0.3">
      <c r="A4" s="222" t="s">
        <v>3</v>
      </c>
      <c r="B4" s="222"/>
      <c r="C4" s="222"/>
      <c r="D4" s="222"/>
      <c r="E4" s="222"/>
      <c r="F4" s="222"/>
      <c r="G4" s="222"/>
      <c r="H4" s="222"/>
    </row>
    <row r="5" spans="1:10" ht="15.75" thickBot="1" x14ac:dyDescent="0.3">
      <c r="A5" s="223"/>
      <c r="B5" s="223"/>
      <c r="C5" s="223"/>
      <c r="D5" s="223"/>
      <c r="E5" s="223"/>
      <c r="F5" s="223"/>
      <c r="G5" s="223"/>
      <c r="H5" s="223"/>
    </row>
    <row r="6" spans="1:10" ht="15" customHeight="1" x14ac:dyDescent="0.25">
      <c r="A6" s="224" t="s">
        <v>68</v>
      </c>
      <c r="B6" s="225"/>
      <c r="C6" s="224" t="s">
        <v>69</v>
      </c>
      <c r="D6" s="225"/>
      <c r="E6" s="228"/>
      <c r="F6" s="226" t="s">
        <v>70</v>
      </c>
      <c r="G6" s="227"/>
      <c r="H6" s="227"/>
      <c r="I6" s="227"/>
      <c r="J6" s="218" t="s">
        <v>7</v>
      </c>
    </row>
    <row r="7" spans="1:10" ht="15.75" customHeight="1" thickBot="1" x14ac:dyDescent="0.3">
      <c r="A7" s="226"/>
      <c r="B7" s="227"/>
      <c r="C7" s="226"/>
      <c r="D7" s="227"/>
      <c r="E7" s="229"/>
      <c r="F7" s="230"/>
      <c r="G7" s="231"/>
      <c r="H7" s="231"/>
      <c r="I7" s="231"/>
      <c r="J7" s="219"/>
    </row>
    <row r="8" spans="1:10" ht="28.5" customHeight="1" thickBot="1" x14ac:dyDescent="0.3">
      <c r="A8" s="10" t="s">
        <v>71</v>
      </c>
      <c r="B8" s="11" t="s">
        <v>72</v>
      </c>
      <c r="C8" s="12">
        <v>2013</v>
      </c>
      <c r="D8" s="13">
        <v>2014</v>
      </c>
      <c r="E8" s="14">
        <v>2015</v>
      </c>
      <c r="F8" s="15" t="s">
        <v>73</v>
      </c>
      <c r="G8" s="15" t="s">
        <v>74</v>
      </c>
      <c r="H8" s="16" t="s">
        <v>75</v>
      </c>
      <c r="I8" s="16" t="s">
        <v>76</v>
      </c>
      <c r="J8" s="220"/>
    </row>
    <row r="9" spans="1:10" ht="15.75" thickBot="1" x14ac:dyDescent="0.3">
      <c r="A9" s="232" t="s">
        <v>77</v>
      </c>
      <c r="B9" s="233"/>
      <c r="C9" s="171">
        <f>SUM(C11:C32)</f>
        <v>3297110.5300000003</v>
      </c>
      <c r="D9" s="171">
        <f>SUM(D11:D32)</f>
        <v>3380227.09</v>
      </c>
      <c r="E9" s="171">
        <f t="shared" ref="E9:I9" si="0">SUM(E11:E32)</f>
        <v>3156612.2800000003</v>
      </c>
      <c r="F9" s="171">
        <f>SUM(F11:F32)</f>
        <v>3219744.5256000003</v>
      </c>
      <c r="G9" s="171">
        <f t="shared" si="0"/>
        <v>3284139.4161120001</v>
      </c>
      <c r="H9" s="171">
        <f t="shared" si="0"/>
        <v>3316980.8102731202</v>
      </c>
      <c r="I9" s="171">
        <f t="shared" si="0"/>
        <v>3350150.6183758508</v>
      </c>
      <c r="J9" s="17"/>
    </row>
    <row r="10" spans="1:10" x14ac:dyDescent="0.25">
      <c r="A10" s="18">
        <v>11</v>
      </c>
      <c r="B10" s="19" t="s">
        <v>78</v>
      </c>
      <c r="C10" s="20"/>
      <c r="D10" s="20" t="s">
        <v>608</v>
      </c>
      <c r="E10" s="20"/>
      <c r="F10" s="20"/>
      <c r="G10" s="20"/>
      <c r="H10" s="20"/>
      <c r="I10" s="20"/>
      <c r="J10" s="20"/>
    </row>
    <row r="11" spans="1:10" x14ac:dyDescent="0.25">
      <c r="A11" s="21">
        <v>1101</v>
      </c>
      <c r="B11" s="22" t="s">
        <v>10</v>
      </c>
      <c r="C11" s="245">
        <v>111045.83</v>
      </c>
      <c r="D11" s="246">
        <f>146142.35</f>
        <v>146142.35</v>
      </c>
      <c r="E11" s="247">
        <f>99217.63</f>
        <v>99217.63</v>
      </c>
      <c r="F11" s="178">
        <f>SUM(E11*0.02)+E11</f>
        <v>101201.9826</v>
      </c>
      <c r="G11" s="178">
        <f>SUM(F11*0.02)+F11</f>
        <v>103226.02225200001</v>
      </c>
      <c r="H11" s="177">
        <f>SUM(G11*0.01)+G11</f>
        <v>104258.28247452001</v>
      </c>
      <c r="I11" s="177">
        <f>SUM(H11*0.01)+H11</f>
        <v>105300.86529926521</v>
      </c>
      <c r="J11" s="27"/>
    </row>
    <row r="12" spans="1:10" x14ac:dyDescent="0.25">
      <c r="A12" s="21">
        <v>1102</v>
      </c>
      <c r="B12" s="22" t="s">
        <v>11</v>
      </c>
      <c r="C12" s="245">
        <f>167202.17+12114.77+196402.45+166707.73+46095.16</f>
        <v>588522.28</v>
      </c>
      <c r="D12" s="246">
        <f>173338.9+13645.16+182591.57+138360.88+63500.18</f>
        <v>571436.69000000006</v>
      </c>
      <c r="E12" s="247">
        <f>175676.27+13653.89+164394.88+123512.11+53463.72</f>
        <v>530700.87</v>
      </c>
      <c r="F12" s="178">
        <f t="shared" ref="F12:F16" si="1">SUM(E12*0.02)+E12</f>
        <v>541314.88740000001</v>
      </c>
      <c r="G12" s="178">
        <f t="shared" ref="G12:G16" si="2">SUM(F12*0.02)+F12</f>
        <v>552141.18514800002</v>
      </c>
      <c r="H12" s="177">
        <f t="shared" ref="H12:I16" si="3">SUM(G12*0.01)+G12</f>
        <v>557662.59699948004</v>
      </c>
      <c r="I12" s="177">
        <f t="shared" si="3"/>
        <v>563239.22296947485</v>
      </c>
      <c r="J12" s="27"/>
    </row>
    <row r="13" spans="1:10" x14ac:dyDescent="0.25">
      <c r="A13" s="21">
        <v>1103</v>
      </c>
      <c r="B13" s="22" t="s">
        <v>12</v>
      </c>
      <c r="C13" s="248">
        <v>234</v>
      </c>
      <c r="D13" s="249">
        <v>250</v>
      </c>
      <c r="E13" s="250">
        <v>184</v>
      </c>
      <c r="F13" s="178">
        <f t="shared" si="1"/>
        <v>187.68</v>
      </c>
      <c r="G13" s="178">
        <f t="shared" si="2"/>
        <v>191.43360000000001</v>
      </c>
      <c r="H13" s="177">
        <f t="shared" si="3"/>
        <v>193.347936</v>
      </c>
      <c r="I13" s="177">
        <f t="shared" si="3"/>
        <v>195.28141536000001</v>
      </c>
      <c r="J13" s="27"/>
    </row>
    <row r="14" spans="1:10" x14ac:dyDescent="0.25">
      <c r="A14" s="21">
        <v>1107</v>
      </c>
      <c r="B14" s="22" t="s">
        <v>13</v>
      </c>
      <c r="C14" s="248">
        <f>128387</f>
        <v>128387</v>
      </c>
      <c r="D14" s="246">
        <f>193144.23</f>
        <v>193144.23</v>
      </c>
      <c r="E14" s="247">
        <v>87304.47</v>
      </c>
      <c r="F14" s="178">
        <f t="shared" si="1"/>
        <v>89050.559399999998</v>
      </c>
      <c r="G14" s="178">
        <f t="shared" si="2"/>
        <v>90831.570588000002</v>
      </c>
      <c r="H14" s="177">
        <f t="shared" si="3"/>
        <v>91739.886293880001</v>
      </c>
      <c r="I14" s="177">
        <f t="shared" si="3"/>
        <v>92657.285156818805</v>
      </c>
      <c r="J14" s="27"/>
    </row>
    <row r="15" spans="1:10" x14ac:dyDescent="0.25">
      <c r="A15" s="18">
        <v>13</v>
      </c>
      <c r="B15" s="28" t="s">
        <v>79</v>
      </c>
      <c r="C15" s="245"/>
      <c r="D15" s="246"/>
      <c r="E15" s="247"/>
      <c r="F15" s="24"/>
      <c r="G15" s="26"/>
      <c r="H15" s="27"/>
      <c r="I15" s="27"/>
      <c r="J15" s="27"/>
    </row>
    <row r="16" spans="1:10" x14ac:dyDescent="0.25">
      <c r="A16" s="21">
        <v>1301</v>
      </c>
      <c r="B16" s="22" t="s">
        <v>15</v>
      </c>
      <c r="C16" s="245">
        <f>122450.83+59887.04+16025+6906.4+46921.35+11581.7+2955+62158.82+54281.68+9367.31+7982.32+64673.63</f>
        <v>465191.08</v>
      </c>
      <c r="D16" s="246">
        <f>126810.25+52132.71+16403+5639+51161.77+3100+63210.49+27807.4+6855.44+9235+64125.13</f>
        <v>426480.19</v>
      </c>
      <c r="E16" s="247">
        <f>133949.71+50030.13+10596.5+6590.52+50521.26+4440+67357.58+47667.92+7554.51+7410+63037.53</f>
        <v>449155.66000000003</v>
      </c>
      <c r="F16" s="178">
        <f t="shared" si="1"/>
        <v>458138.77320000005</v>
      </c>
      <c r="G16" s="178">
        <f t="shared" si="2"/>
        <v>467301.54866400006</v>
      </c>
      <c r="H16" s="177">
        <f t="shared" si="3"/>
        <v>471974.56415064004</v>
      </c>
      <c r="I16" s="177">
        <f t="shared" si="3"/>
        <v>476694.30979214644</v>
      </c>
      <c r="J16" s="27"/>
    </row>
    <row r="17" spans="1:10" x14ac:dyDescent="0.25">
      <c r="A17" s="21">
        <v>1302</v>
      </c>
      <c r="B17" s="22" t="s">
        <v>16</v>
      </c>
      <c r="C17" s="245"/>
      <c r="D17" s="246"/>
      <c r="E17" s="247"/>
      <c r="F17" s="24"/>
      <c r="G17" s="26"/>
      <c r="H17" s="27"/>
      <c r="I17" s="27"/>
      <c r="J17" s="27"/>
    </row>
    <row r="18" spans="1:10" x14ac:dyDescent="0.25">
      <c r="A18" s="21">
        <v>1303</v>
      </c>
      <c r="B18" s="22" t="s">
        <v>17</v>
      </c>
      <c r="C18" s="245"/>
      <c r="D18" s="246"/>
      <c r="E18" s="247"/>
      <c r="F18" s="24"/>
      <c r="G18" s="26"/>
      <c r="H18" s="27"/>
      <c r="I18" s="27"/>
      <c r="J18" s="27"/>
    </row>
    <row r="19" spans="1:10" x14ac:dyDescent="0.25">
      <c r="A19" s="21">
        <v>1304</v>
      </c>
      <c r="B19" s="22" t="s">
        <v>18</v>
      </c>
      <c r="C19" s="248">
        <f>28963.58+32272.69+30065.14+231399.67</f>
        <v>322701.08</v>
      </c>
      <c r="D19" s="246">
        <f>1755.94+10980.13+9180.3+219599.83+1089.48</f>
        <v>242605.68</v>
      </c>
      <c r="E19" s="247">
        <f>7185.35+3371.76+19676.54+316687.34</f>
        <v>346920.99000000005</v>
      </c>
      <c r="F19" s="178">
        <f t="shared" ref="F19:F22" si="4">SUM(E19*0.02)+E19</f>
        <v>353859.40980000002</v>
      </c>
      <c r="G19" s="178">
        <f t="shared" ref="G19:G22" si="5">SUM(F19*0.02)+F19</f>
        <v>360936.59799600003</v>
      </c>
      <c r="H19" s="177">
        <f t="shared" ref="H19:I22" si="6">SUM(G19*0.01)+G19</f>
        <v>364545.96397596004</v>
      </c>
      <c r="I19" s="177">
        <f t="shared" si="6"/>
        <v>368191.42361571966</v>
      </c>
      <c r="J19" s="27"/>
    </row>
    <row r="20" spans="1:10" x14ac:dyDescent="0.25">
      <c r="A20" s="18">
        <v>14</v>
      </c>
      <c r="B20" s="28" t="s">
        <v>80</v>
      </c>
      <c r="C20" s="245"/>
      <c r="D20" s="246"/>
      <c r="E20" s="247"/>
      <c r="F20" s="24"/>
      <c r="G20" s="26"/>
      <c r="H20" s="27"/>
      <c r="I20" s="27"/>
      <c r="J20" s="27"/>
    </row>
    <row r="21" spans="1:10" x14ac:dyDescent="0.25">
      <c r="A21" s="21">
        <v>1402</v>
      </c>
      <c r="B21" s="22" t="s">
        <v>570</v>
      </c>
      <c r="C21" s="245">
        <f>17626.62+230.5</f>
        <v>17857.12</v>
      </c>
      <c r="D21" s="246">
        <f>18974.2+289</f>
        <v>19263.2</v>
      </c>
      <c r="E21" s="247">
        <f>16727.85+182</f>
        <v>16909.849999999999</v>
      </c>
      <c r="F21" s="178">
        <f t="shared" si="4"/>
        <v>17248.046999999999</v>
      </c>
      <c r="G21" s="178">
        <f t="shared" si="5"/>
        <v>17593.00794</v>
      </c>
      <c r="H21" s="177">
        <f t="shared" si="6"/>
        <v>17768.9380194</v>
      </c>
      <c r="I21" s="177">
        <f t="shared" ref="I21:I22" si="7">SUM(H21*0.01)+H21</f>
        <v>17946.627399593999</v>
      </c>
      <c r="J21" s="27"/>
    </row>
    <row r="22" spans="1:10" x14ac:dyDescent="0.25">
      <c r="A22" s="21">
        <v>1403</v>
      </c>
      <c r="B22" s="22" t="s">
        <v>571</v>
      </c>
      <c r="C22" s="245">
        <f>154831.61+55623.07</f>
        <v>210454.68</v>
      </c>
      <c r="D22" s="246">
        <f>156344.71+56417.14</f>
        <v>212761.84999999998</v>
      </c>
      <c r="E22" s="247">
        <f>168348.81+63825.22</f>
        <v>232174.03</v>
      </c>
      <c r="F22" s="178">
        <f t="shared" si="4"/>
        <v>236817.51060000001</v>
      </c>
      <c r="G22" s="178">
        <f t="shared" si="5"/>
        <v>241553.860812</v>
      </c>
      <c r="H22" s="177">
        <f t="shared" si="6"/>
        <v>243969.39942012</v>
      </c>
      <c r="I22" s="177">
        <f t="shared" si="7"/>
        <v>246409.09341432119</v>
      </c>
      <c r="J22" s="27"/>
    </row>
    <row r="23" spans="1:10" x14ac:dyDescent="0.25">
      <c r="A23" s="18">
        <v>17</v>
      </c>
      <c r="B23" s="28" t="s">
        <v>81</v>
      </c>
      <c r="C23" s="245"/>
      <c r="D23" s="246"/>
      <c r="E23" s="247"/>
      <c r="F23" s="24"/>
      <c r="G23" s="26"/>
      <c r="H23" s="27"/>
      <c r="I23" s="27"/>
      <c r="J23" s="27"/>
    </row>
    <row r="24" spans="1:10" x14ac:dyDescent="0.25">
      <c r="A24" s="21">
        <v>1701</v>
      </c>
      <c r="B24" s="22" t="s">
        <v>572</v>
      </c>
      <c r="C24" s="245">
        <v>15.34</v>
      </c>
      <c r="D24" s="246"/>
      <c r="E24" s="247"/>
      <c r="F24" s="24"/>
      <c r="G24" s="26"/>
      <c r="H24" s="27"/>
      <c r="I24" s="27"/>
      <c r="J24" s="27"/>
    </row>
    <row r="25" spans="1:10" x14ac:dyDescent="0.25">
      <c r="A25" s="21">
        <v>1702</v>
      </c>
      <c r="B25" s="22" t="s">
        <v>573</v>
      </c>
      <c r="C25" s="245">
        <f>32905.95+5018.8+7444.94</f>
        <v>45369.69</v>
      </c>
      <c r="D25" s="246">
        <f>6160+324.43+12876.9</f>
        <v>19361.330000000002</v>
      </c>
      <c r="E25" s="247">
        <f>6619+635.24+14203.27</f>
        <v>21457.510000000002</v>
      </c>
      <c r="F25" s="178">
        <f t="shared" ref="F25:F28" si="8">SUM(E25*0.02)+E25</f>
        <v>21886.660200000002</v>
      </c>
      <c r="G25" s="178">
        <f t="shared" ref="G25:G28" si="9">SUM(F25*0.02)+F25</f>
        <v>22324.393404000002</v>
      </c>
      <c r="H25" s="177">
        <f t="shared" ref="H25:I28" si="10">SUM(G25*0.01)+G25</f>
        <v>22547.637338040004</v>
      </c>
      <c r="I25" s="177">
        <f t="shared" si="10"/>
        <v>22773.113711420403</v>
      </c>
      <c r="J25" s="27"/>
    </row>
    <row r="26" spans="1:10" x14ac:dyDescent="0.25">
      <c r="A26" s="21">
        <v>1704</v>
      </c>
      <c r="B26" s="22" t="s">
        <v>574</v>
      </c>
      <c r="C26" s="248">
        <f>29987.36+1911+31589.63+7493.6</f>
        <v>70981.590000000011</v>
      </c>
      <c r="D26" s="246">
        <f>39512.92+3234.5+9243.35+55528.12</f>
        <v>107518.89</v>
      </c>
      <c r="E26" s="247">
        <f>35726.56+3103.28+40315.74</f>
        <v>79145.579999999987</v>
      </c>
      <c r="F26" s="178">
        <f t="shared" si="8"/>
        <v>80728.491599999994</v>
      </c>
      <c r="G26" s="178">
        <f t="shared" si="9"/>
        <v>82343.061431999988</v>
      </c>
      <c r="H26" s="177">
        <f t="shared" si="10"/>
        <v>83166.492046319981</v>
      </c>
      <c r="I26" s="177">
        <f t="shared" si="10"/>
        <v>83998.156966783179</v>
      </c>
      <c r="J26" s="27"/>
    </row>
    <row r="27" spans="1:10" x14ac:dyDescent="0.25">
      <c r="A27" s="18">
        <v>18</v>
      </c>
      <c r="B27" s="28" t="s">
        <v>82</v>
      </c>
      <c r="C27" s="245"/>
      <c r="D27" s="246"/>
      <c r="E27" s="247"/>
      <c r="F27" s="24"/>
      <c r="G27" s="26"/>
      <c r="H27" s="27"/>
      <c r="I27" s="27"/>
      <c r="J27" s="27"/>
    </row>
    <row r="28" spans="1:10" x14ac:dyDescent="0.25">
      <c r="A28" s="21">
        <v>1806</v>
      </c>
      <c r="B28" s="22" t="s">
        <v>575</v>
      </c>
      <c r="C28" s="245">
        <f>1336334.83</f>
        <v>1336334.83</v>
      </c>
      <c r="D28" s="246">
        <f>1441262.68</f>
        <v>1441262.68</v>
      </c>
      <c r="E28" s="247">
        <f>1293441.69</f>
        <v>1293441.69</v>
      </c>
      <c r="F28" s="178">
        <f t="shared" si="8"/>
        <v>1319310.5237999998</v>
      </c>
      <c r="G28" s="178">
        <f t="shared" si="9"/>
        <v>1345696.7342759999</v>
      </c>
      <c r="H28" s="177">
        <f t="shared" si="10"/>
        <v>1359153.7016187599</v>
      </c>
      <c r="I28" s="177">
        <f t="shared" si="10"/>
        <v>1372745.2386349475</v>
      </c>
      <c r="J28" s="27"/>
    </row>
    <row r="29" spans="1:10" x14ac:dyDescent="0.25">
      <c r="A29" s="18">
        <v>19</v>
      </c>
      <c r="B29" s="28" t="s">
        <v>83</v>
      </c>
      <c r="C29" s="245"/>
      <c r="D29" s="246"/>
      <c r="E29" s="247"/>
      <c r="F29" s="24"/>
      <c r="G29" s="26"/>
      <c r="H29" s="27"/>
      <c r="I29" s="27"/>
      <c r="J29" s="27"/>
    </row>
    <row r="30" spans="1:10" x14ac:dyDescent="0.25">
      <c r="A30" s="21">
        <v>1901</v>
      </c>
      <c r="B30" s="22" t="s">
        <v>24</v>
      </c>
      <c r="C30" s="245"/>
      <c r="D30" s="246"/>
      <c r="E30" s="247"/>
      <c r="F30" s="24"/>
      <c r="G30" s="26"/>
      <c r="H30" s="27"/>
      <c r="I30" s="27"/>
      <c r="J30" s="27"/>
    </row>
    <row r="31" spans="1:10" x14ac:dyDescent="0.25">
      <c r="A31" s="21">
        <v>1902</v>
      </c>
      <c r="B31" s="22" t="s">
        <v>25</v>
      </c>
      <c r="C31" s="245"/>
      <c r="D31" s="246"/>
      <c r="E31" s="247"/>
      <c r="F31" s="24"/>
      <c r="G31" s="26"/>
      <c r="H31" s="27"/>
      <c r="I31" s="27"/>
      <c r="J31" s="27"/>
    </row>
    <row r="32" spans="1:10" x14ac:dyDescent="0.25">
      <c r="A32" s="21">
        <v>1904</v>
      </c>
      <c r="B32" s="22" t="s">
        <v>26</v>
      </c>
      <c r="C32" s="245">
        <v>16.010000000000002</v>
      </c>
      <c r="D32" s="246"/>
      <c r="E32" s="247"/>
      <c r="F32" s="24"/>
      <c r="G32" s="26"/>
      <c r="H32" s="27"/>
      <c r="I32" s="27"/>
      <c r="J32" s="27"/>
    </row>
    <row r="33" spans="1:10" ht="15.75" thickBot="1" x14ac:dyDescent="0.3">
      <c r="A33" s="234" t="s">
        <v>598</v>
      </c>
      <c r="B33" s="233"/>
      <c r="C33" s="172">
        <f>SUM(C35:C62)</f>
        <v>1837469.1399999997</v>
      </c>
      <c r="D33" s="172">
        <f>SUM(D35:D62)</f>
        <v>2461219.64</v>
      </c>
      <c r="E33" s="172">
        <f t="shared" ref="E33:I33" si="11">SUM(E35:E62)</f>
        <v>1158025.4800000002</v>
      </c>
      <c r="F33" s="172">
        <f t="shared" si="11"/>
        <v>1181185.9896000004</v>
      </c>
      <c r="G33" s="172">
        <f t="shared" si="11"/>
        <v>1204809.709392</v>
      </c>
      <c r="H33" s="172">
        <f t="shared" si="11"/>
        <v>1216857.80648592</v>
      </c>
      <c r="I33" s="172">
        <f t="shared" si="11"/>
        <v>1229026.3845507791</v>
      </c>
      <c r="J33" s="29"/>
    </row>
    <row r="34" spans="1:10" x14ac:dyDescent="0.25">
      <c r="A34" s="188">
        <v>51</v>
      </c>
      <c r="B34" s="19" t="s">
        <v>84</v>
      </c>
      <c r="C34" s="20"/>
      <c r="D34" s="23"/>
      <c r="E34" s="24"/>
      <c r="F34" s="25"/>
      <c r="G34" s="26"/>
      <c r="H34" s="27"/>
      <c r="I34" s="27"/>
      <c r="J34" s="27"/>
    </row>
    <row r="35" spans="1:10" x14ac:dyDescent="0.25">
      <c r="A35" s="21">
        <v>5101</v>
      </c>
      <c r="B35" s="22" t="s">
        <v>85</v>
      </c>
      <c r="C35" s="245">
        <f>230789.6+127969.71+24766.45+47047.6+13917.85+145583.42+199274.3+41710.83+49888.2+41132.2</f>
        <v>922080.1599999998</v>
      </c>
      <c r="D35" s="246">
        <f>239851.96+147437.21+24779.43+47915.88+18473.65+172625.23+249463.04+53470.6+54306.63+49029.36</f>
        <v>1057352.99</v>
      </c>
      <c r="E35" s="247">
        <f>171120.6+117780.28+24285.62+38590.78+120629.16</f>
        <v>472406.44000000006</v>
      </c>
      <c r="F35" s="178">
        <f t="shared" ref="F35:F36" si="12">SUM(E35*0.02)+E35</f>
        <v>481854.56880000007</v>
      </c>
      <c r="G35" s="178">
        <f t="shared" ref="G35:G36" si="13">SUM(F35*0.02)+F35</f>
        <v>491491.66017600009</v>
      </c>
      <c r="H35" s="177">
        <f t="shared" ref="H35:H36" si="14">SUM(G35*0.01)+G35</f>
        <v>496406.57677776011</v>
      </c>
      <c r="I35" s="177">
        <f t="shared" ref="I35:I36" si="15">SUM(H35*0.01)+H35</f>
        <v>501370.64254553773</v>
      </c>
      <c r="J35" s="27"/>
    </row>
    <row r="36" spans="1:10" x14ac:dyDescent="0.25">
      <c r="A36" s="21">
        <v>5102</v>
      </c>
      <c r="B36" s="22" t="s">
        <v>86</v>
      </c>
      <c r="C36" s="245">
        <f>3869.89+4329.42+237.62+1590+287.08+5939+13557.89+2186.25+1590+1271.12</f>
        <v>34858.270000000004</v>
      </c>
      <c r="D36" s="246">
        <f>19116.45+16508.46+2508.76+4048.9+1781.48+22487.66+38719.95+7082.81+6474.25+5003.48</f>
        <v>123732.2</v>
      </c>
      <c r="E36" s="247">
        <f>18148.42+16643.22+3440.24+5221.57+16624.89</f>
        <v>60078.34</v>
      </c>
      <c r="F36" s="178">
        <f t="shared" si="12"/>
        <v>61279.906799999997</v>
      </c>
      <c r="G36" s="178">
        <f t="shared" si="13"/>
        <v>62505.504935999998</v>
      </c>
      <c r="H36" s="177">
        <f t="shared" si="14"/>
        <v>63130.55998536</v>
      </c>
      <c r="I36" s="177">
        <f t="shared" si="15"/>
        <v>63761.8655852136</v>
      </c>
      <c r="J36" s="27"/>
    </row>
    <row r="37" spans="1:10" x14ac:dyDescent="0.25">
      <c r="A37" s="21">
        <v>5103</v>
      </c>
      <c r="B37" s="22" t="s">
        <v>87</v>
      </c>
      <c r="C37" s="245"/>
      <c r="D37" s="246"/>
      <c r="E37" s="247"/>
      <c r="F37" s="24"/>
      <c r="G37" s="26"/>
      <c r="H37" s="27"/>
      <c r="I37" s="27"/>
      <c r="J37" s="27"/>
    </row>
    <row r="38" spans="1:10" x14ac:dyDescent="0.25">
      <c r="A38" s="21">
        <v>5104</v>
      </c>
      <c r="B38" s="22" t="s">
        <v>88</v>
      </c>
      <c r="C38" s="245"/>
      <c r="D38" s="246"/>
      <c r="E38" s="247"/>
      <c r="F38" s="24"/>
      <c r="G38" s="26"/>
      <c r="H38" s="27"/>
      <c r="I38" s="27"/>
      <c r="J38" s="27"/>
    </row>
    <row r="39" spans="1:10" x14ac:dyDescent="0.25">
      <c r="A39" s="21">
        <v>5105</v>
      </c>
      <c r="B39" s="22" t="s">
        <v>89</v>
      </c>
      <c r="C39" s="245">
        <f>46003.36+28482.67+3400.58+5595.63+15202.94+63812.94+1205.2+80217.39+697.84</f>
        <v>244618.55000000002</v>
      </c>
      <c r="D39" s="246">
        <f>17759.87+24793.51+7490.75+8067.13+19557.02+78596.78+577.38+77576.05</f>
        <v>234418.49</v>
      </c>
      <c r="E39" s="247">
        <f>3660+108099.22+12589.07+35727.22</f>
        <v>160075.51</v>
      </c>
      <c r="F39" s="178">
        <f t="shared" ref="F39:F41" si="16">SUM(E39*0.02)+E39</f>
        <v>163277.0202</v>
      </c>
      <c r="G39" s="178">
        <f t="shared" ref="G39:G41" si="17">SUM(F39*0.02)+F39</f>
        <v>166542.560604</v>
      </c>
      <c r="H39" s="177">
        <f t="shared" ref="H39:H41" si="18">SUM(G39*0.01)+G39</f>
        <v>168207.98621003999</v>
      </c>
      <c r="I39" s="177">
        <f t="shared" ref="I39:I41" si="19">SUM(H39*0.01)+H39</f>
        <v>169890.06607214038</v>
      </c>
      <c r="J39" s="27"/>
    </row>
    <row r="40" spans="1:10" x14ac:dyDescent="0.25">
      <c r="A40" s="21">
        <v>5106</v>
      </c>
      <c r="B40" s="22" t="s">
        <v>90</v>
      </c>
      <c r="C40" s="245">
        <f>44859.78+21485.36+3528.08+9400.2+1660.72+27991.27+40317.4+8687.54+9563.45+7151.93</f>
        <v>174645.73</v>
      </c>
      <c r="D40" s="246">
        <f>39571.04+24921.14+4583.57+9599.98+2270.35+32133.8+54763.57+10314.38+9669.84+7958.08</f>
        <v>195785.75</v>
      </c>
      <c r="E40" s="247">
        <f>33686.24+23804.1+5321.41+8579.89+27368.88</f>
        <v>98760.52</v>
      </c>
      <c r="F40" s="178">
        <f t="shared" si="16"/>
        <v>100735.7304</v>
      </c>
      <c r="G40" s="178">
        <f t="shared" si="17"/>
        <v>102750.445008</v>
      </c>
      <c r="H40" s="177">
        <f t="shared" si="18"/>
        <v>103777.94945807999</v>
      </c>
      <c r="I40" s="177">
        <f t="shared" si="19"/>
        <v>104815.72895266079</v>
      </c>
      <c r="J40" s="27"/>
    </row>
    <row r="41" spans="1:10" x14ac:dyDescent="0.25">
      <c r="A41" s="21">
        <v>5107</v>
      </c>
      <c r="B41" s="22" t="s">
        <v>91</v>
      </c>
      <c r="C41" s="245">
        <f>54416.72</f>
        <v>54416.72</v>
      </c>
      <c r="D41" s="246">
        <f>163813.55</f>
        <v>163813.54999999999</v>
      </c>
      <c r="E41" s="247">
        <f>86010.09</f>
        <v>86010.09</v>
      </c>
      <c r="F41" s="178">
        <f t="shared" si="16"/>
        <v>87730.291799999992</v>
      </c>
      <c r="G41" s="178">
        <f t="shared" si="17"/>
        <v>89484.897635999994</v>
      </c>
      <c r="H41" s="177">
        <f t="shared" si="18"/>
        <v>90379.746612359988</v>
      </c>
      <c r="I41" s="177">
        <f t="shared" si="19"/>
        <v>91283.544078483581</v>
      </c>
      <c r="J41" s="27"/>
    </row>
    <row r="42" spans="1:10" x14ac:dyDescent="0.25">
      <c r="A42" s="21">
        <v>5199</v>
      </c>
      <c r="B42" s="22" t="s">
        <v>92</v>
      </c>
      <c r="C42" s="245"/>
      <c r="D42" s="246"/>
      <c r="E42" s="247"/>
      <c r="F42" s="24"/>
      <c r="G42" s="26"/>
      <c r="H42" s="27"/>
      <c r="I42" s="27"/>
      <c r="J42" s="27"/>
    </row>
    <row r="43" spans="1:10" x14ac:dyDescent="0.25">
      <c r="A43" s="18">
        <v>53</v>
      </c>
      <c r="B43" s="28" t="s">
        <v>93</v>
      </c>
      <c r="C43" s="245"/>
      <c r="D43" s="246"/>
      <c r="E43" s="247"/>
      <c r="F43" s="24"/>
      <c r="G43" s="26"/>
      <c r="H43" s="27"/>
      <c r="I43" s="27"/>
      <c r="J43" s="27"/>
    </row>
    <row r="44" spans="1:10" x14ac:dyDescent="0.25">
      <c r="A44" s="21">
        <v>5301</v>
      </c>
      <c r="B44" s="22" t="s">
        <v>583</v>
      </c>
      <c r="C44" s="245">
        <f>20290.91</f>
        <v>20290.91</v>
      </c>
      <c r="D44" s="246">
        <f>18272.58</f>
        <v>18272.580000000002</v>
      </c>
      <c r="E44" s="247">
        <f>23812.53</f>
        <v>23812.53</v>
      </c>
      <c r="F44" s="178">
        <f t="shared" ref="F44:F51" si="20">SUM(E44*0.02)+E44</f>
        <v>24288.780599999998</v>
      </c>
      <c r="G44" s="178">
        <f t="shared" ref="G44:G51" si="21">SUM(F44*0.02)+F44</f>
        <v>24774.556212</v>
      </c>
      <c r="H44" s="177">
        <f t="shared" ref="H44:H51" si="22">SUM(G44*0.01)+G44</f>
        <v>25022.301774119998</v>
      </c>
      <c r="I44" s="177">
        <f t="shared" ref="I44:I51" si="23">SUM(H44*0.01)+H44</f>
        <v>25272.524791861197</v>
      </c>
      <c r="J44" s="27"/>
    </row>
    <row r="45" spans="1:10" x14ac:dyDescent="0.25">
      <c r="A45" s="21">
        <v>5302</v>
      </c>
      <c r="B45" s="22" t="s">
        <v>584</v>
      </c>
      <c r="C45" s="245">
        <f>978.89+261.13+48149.48+11129.48+348.32+89705.28+3493.72</f>
        <v>154066.29999999999</v>
      </c>
      <c r="D45" s="246">
        <f>1517.27+2546.95+9778.53+34.82+67396.72+178.46</f>
        <v>81452.750000000015</v>
      </c>
      <c r="E45" s="247">
        <f>15613.21</f>
        <v>15613.21</v>
      </c>
      <c r="F45" s="178">
        <f t="shared" si="20"/>
        <v>15925.474199999999</v>
      </c>
      <c r="G45" s="178">
        <f t="shared" si="21"/>
        <v>16243.983683999999</v>
      </c>
      <c r="H45" s="177">
        <f t="shared" si="22"/>
        <v>16406.423520839999</v>
      </c>
      <c r="I45" s="177">
        <f t="shared" si="23"/>
        <v>16570.487756048398</v>
      </c>
      <c r="J45" s="27"/>
    </row>
    <row r="46" spans="1:10" x14ac:dyDescent="0.25">
      <c r="A46" s="21">
        <v>5303</v>
      </c>
      <c r="B46" s="22" t="s">
        <v>585</v>
      </c>
      <c r="C46" s="245">
        <f>7664.78+4728.43+221+209.52+517+1269.41+884.99+712.46</f>
        <v>16207.59</v>
      </c>
      <c r="D46" s="246">
        <f>6353.06+2913.7+600+40+586.81+70+281.93</f>
        <v>10845.5</v>
      </c>
      <c r="E46" s="247">
        <f>3310.26+1763.81+607+1088.17</f>
        <v>6769.24</v>
      </c>
      <c r="F46" s="178">
        <f t="shared" si="20"/>
        <v>6904.6247999999996</v>
      </c>
      <c r="G46" s="178">
        <f t="shared" si="21"/>
        <v>7042.7172959999998</v>
      </c>
      <c r="H46" s="177">
        <f t="shared" si="22"/>
        <v>7113.1444689599994</v>
      </c>
      <c r="I46" s="177">
        <f t="shared" si="23"/>
        <v>7184.2759136495997</v>
      </c>
      <c r="J46" s="27"/>
    </row>
    <row r="47" spans="1:10" x14ac:dyDescent="0.25">
      <c r="A47" s="21">
        <v>5304</v>
      </c>
      <c r="B47" s="22" t="s">
        <v>586</v>
      </c>
      <c r="C47" s="245">
        <f>2781.96+163.52+3225.39</f>
        <v>6170.87</v>
      </c>
      <c r="D47" s="246">
        <f>1977.42+2590.33+2160.6</f>
        <v>6728.35</v>
      </c>
      <c r="E47" s="247">
        <f>1066.08</f>
        <v>1066.08</v>
      </c>
      <c r="F47" s="178">
        <f t="shared" si="20"/>
        <v>1087.4015999999999</v>
      </c>
      <c r="G47" s="178">
        <f t="shared" si="21"/>
        <v>1109.1496319999999</v>
      </c>
      <c r="H47" s="177">
        <f t="shared" si="22"/>
        <v>1120.2411283199999</v>
      </c>
      <c r="I47" s="177">
        <f t="shared" si="23"/>
        <v>1131.4435396032</v>
      </c>
      <c r="J47" s="27"/>
    </row>
    <row r="48" spans="1:10" x14ac:dyDescent="0.25">
      <c r="A48" s="21">
        <v>5305</v>
      </c>
      <c r="B48" s="22" t="s">
        <v>587</v>
      </c>
      <c r="C48" s="245">
        <f>537.6+2606.06</f>
        <v>3143.66</v>
      </c>
      <c r="D48" s="246">
        <f>2556.46</f>
        <v>2556.46</v>
      </c>
      <c r="E48" s="247">
        <f>2507.13</f>
        <v>2507.13</v>
      </c>
      <c r="F48" s="178">
        <f t="shared" si="20"/>
        <v>2557.2726000000002</v>
      </c>
      <c r="G48" s="178">
        <f t="shared" si="21"/>
        <v>2608.4180520000004</v>
      </c>
      <c r="H48" s="177">
        <f t="shared" si="22"/>
        <v>2634.5022325200002</v>
      </c>
      <c r="I48" s="177">
        <f t="shared" si="23"/>
        <v>2660.8472548452</v>
      </c>
      <c r="J48" s="27"/>
    </row>
    <row r="49" spans="1:10" x14ac:dyDescent="0.25">
      <c r="A49" s="21">
        <v>5306</v>
      </c>
      <c r="B49" s="22" t="s">
        <v>588</v>
      </c>
      <c r="C49" s="248">
        <f>8847.6+1789.6+500+751.6+336+454+500+650+370+18.8</f>
        <v>14217.6</v>
      </c>
      <c r="D49" s="246">
        <f>4816+21280+437.67</f>
        <v>26533.67</v>
      </c>
      <c r="E49" s="247">
        <f>7112+156.8</f>
        <v>7268.8</v>
      </c>
      <c r="F49" s="178">
        <f t="shared" si="20"/>
        <v>7414.1760000000004</v>
      </c>
      <c r="G49" s="178">
        <f t="shared" si="21"/>
        <v>7562.4595200000003</v>
      </c>
      <c r="H49" s="177">
        <f t="shared" si="22"/>
        <v>7638.0841152000003</v>
      </c>
      <c r="I49" s="177">
        <f t="shared" si="23"/>
        <v>7714.4649563520006</v>
      </c>
      <c r="J49" s="27"/>
    </row>
    <row r="50" spans="1:10" x14ac:dyDescent="0.25">
      <c r="A50" s="21">
        <v>5307</v>
      </c>
      <c r="B50" s="22" t="s">
        <v>589</v>
      </c>
      <c r="C50" s="245">
        <f>110.7</f>
        <v>110.7</v>
      </c>
      <c r="D50" s="246">
        <f>683.2+300</f>
        <v>983.2</v>
      </c>
      <c r="E50" s="247">
        <f>3874.63</f>
        <v>3874.63</v>
      </c>
      <c r="F50" s="178">
        <f t="shared" si="20"/>
        <v>3952.1226000000001</v>
      </c>
      <c r="G50" s="178">
        <f t="shared" si="21"/>
        <v>4031.1650520000003</v>
      </c>
      <c r="H50" s="177">
        <f t="shared" si="22"/>
        <v>4071.4767025200003</v>
      </c>
      <c r="I50" s="177">
        <f t="shared" si="23"/>
        <v>4112.1914695452006</v>
      </c>
      <c r="J50" s="27"/>
    </row>
    <row r="51" spans="1:10" x14ac:dyDescent="0.25">
      <c r="A51" s="21">
        <v>5308</v>
      </c>
      <c r="B51" s="22" t="s">
        <v>590</v>
      </c>
      <c r="C51" s="245">
        <f>34437.25+3143.19+1299.4+9928.08+9286.38+4172.43+3731.55+5041.88</f>
        <v>71040.160000000003</v>
      </c>
      <c r="D51" s="246">
        <f>64.46+29381.79+3261.39+999.22+10954.2+11179.39+6642.45+4593.23+5634.96</f>
        <v>72711.09</v>
      </c>
      <c r="E51" s="247">
        <f>27407.19+1680.18+9369.82</f>
        <v>38457.19</v>
      </c>
      <c r="F51" s="178">
        <f t="shared" si="20"/>
        <v>39226.3338</v>
      </c>
      <c r="G51" s="178">
        <f t="shared" si="21"/>
        <v>40010.860476000002</v>
      </c>
      <c r="H51" s="177">
        <f t="shared" si="22"/>
        <v>40410.969080759998</v>
      </c>
      <c r="I51" s="177">
        <f t="shared" si="23"/>
        <v>40815.078771567598</v>
      </c>
      <c r="J51" s="27"/>
    </row>
    <row r="52" spans="1:10" x14ac:dyDescent="0.25">
      <c r="A52" s="21">
        <v>5314</v>
      </c>
      <c r="B52" s="22" t="s">
        <v>591</v>
      </c>
      <c r="C52" s="245"/>
      <c r="D52" s="246"/>
      <c r="E52" s="247"/>
      <c r="F52" s="24"/>
      <c r="G52" s="26"/>
      <c r="H52" s="27"/>
      <c r="I52" s="27"/>
      <c r="J52" s="27"/>
    </row>
    <row r="53" spans="1:10" x14ac:dyDescent="0.25">
      <c r="A53" s="18">
        <v>56</v>
      </c>
      <c r="B53" s="28" t="s">
        <v>94</v>
      </c>
      <c r="C53" s="245"/>
      <c r="D53" s="246"/>
      <c r="E53" s="247"/>
      <c r="F53" s="24"/>
      <c r="G53" s="26"/>
      <c r="H53" s="27"/>
      <c r="I53" s="27"/>
      <c r="J53" s="27"/>
    </row>
    <row r="54" spans="1:10" x14ac:dyDescent="0.25">
      <c r="A54" s="21">
        <v>5601</v>
      </c>
      <c r="B54" s="22" t="s">
        <v>592</v>
      </c>
      <c r="C54" s="245">
        <f>771.73</f>
        <v>771.73</v>
      </c>
      <c r="D54" s="246">
        <f>13093.79</f>
        <v>13093.79</v>
      </c>
      <c r="E54" s="247">
        <v>14812.38</v>
      </c>
      <c r="F54" s="178">
        <f t="shared" ref="F54:F61" si="24">SUM(E54*0.02)+E54</f>
        <v>15108.6276</v>
      </c>
      <c r="G54" s="178">
        <f t="shared" ref="G54:G55" si="25">SUM(F54*0.02)+F54</f>
        <v>15410.800152</v>
      </c>
      <c r="H54" s="177">
        <f t="shared" ref="H54:H55" si="26">SUM(G54*0.01)+G54</f>
        <v>15564.90815352</v>
      </c>
      <c r="I54" s="177">
        <f t="shared" ref="I54:I55" si="27">SUM(H54*0.01)+H54</f>
        <v>15720.557235055201</v>
      </c>
      <c r="J54" s="27"/>
    </row>
    <row r="55" spans="1:10" x14ac:dyDescent="0.25">
      <c r="A55" s="21">
        <v>5602</v>
      </c>
      <c r="B55" s="22" t="s">
        <v>593</v>
      </c>
      <c r="C55" s="248">
        <f>15640.98</f>
        <v>15640.98</v>
      </c>
      <c r="D55" s="246">
        <f>61369.69</f>
        <v>61369.69</v>
      </c>
      <c r="E55" s="247">
        <f>84092.7</f>
        <v>84092.7</v>
      </c>
      <c r="F55" s="178">
        <f t="shared" si="24"/>
        <v>85774.554000000004</v>
      </c>
      <c r="G55" s="178">
        <f t="shared" si="25"/>
        <v>87490.045080000011</v>
      </c>
      <c r="H55" s="177">
        <f t="shared" si="26"/>
        <v>88364.945530800018</v>
      </c>
      <c r="I55" s="177">
        <f t="shared" si="27"/>
        <v>89248.594986108015</v>
      </c>
      <c r="J55" s="27"/>
    </row>
    <row r="56" spans="1:10" x14ac:dyDescent="0.25">
      <c r="A56" s="18">
        <v>57</v>
      </c>
      <c r="B56" s="28" t="s">
        <v>95</v>
      </c>
      <c r="C56" s="245"/>
      <c r="D56" s="246"/>
      <c r="E56" s="247"/>
      <c r="F56" s="24"/>
      <c r="G56" s="26"/>
      <c r="H56" s="27"/>
      <c r="I56" s="27"/>
      <c r="J56" s="27"/>
    </row>
    <row r="57" spans="1:10" x14ac:dyDescent="0.25">
      <c r="A57" s="21">
        <v>5701</v>
      </c>
      <c r="B57" s="22" t="s">
        <v>594</v>
      </c>
      <c r="C57" s="245">
        <f>4777.13</f>
        <v>4777.13</v>
      </c>
      <c r="D57" s="246">
        <f>8610.77</f>
        <v>8610.77</v>
      </c>
      <c r="E57" s="247">
        <f>15484.28</f>
        <v>15484.28</v>
      </c>
      <c r="F57" s="178">
        <f t="shared" si="24"/>
        <v>15793.965600000001</v>
      </c>
      <c r="G57" s="178">
        <f t="shared" ref="G57:G58" si="28">SUM(F57*0.02)+F57</f>
        <v>16109.844912</v>
      </c>
      <c r="H57" s="177">
        <f t="shared" ref="H57:H58" si="29">SUM(G57*0.01)+G57</f>
        <v>16270.94336112</v>
      </c>
      <c r="I57" s="177">
        <f t="shared" ref="I57:I58" si="30">SUM(H57*0.01)+H57</f>
        <v>16433.652794731199</v>
      </c>
      <c r="J57" s="27"/>
    </row>
    <row r="58" spans="1:10" x14ac:dyDescent="0.25">
      <c r="A58" s="21">
        <v>5702</v>
      </c>
      <c r="B58" s="22" t="s">
        <v>595</v>
      </c>
      <c r="C58" s="245">
        <f>21538.88+4986.38</f>
        <v>26525.260000000002</v>
      </c>
      <c r="D58" s="246">
        <f>2287.22+3000+5319.73</f>
        <v>10606.949999999999</v>
      </c>
      <c r="E58" s="247">
        <f>325.4+2311.4</f>
        <v>2636.8</v>
      </c>
      <c r="F58" s="178">
        <f t="shared" si="24"/>
        <v>2689.5360000000001</v>
      </c>
      <c r="G58" s="178">
        <f t="shared" si="28"/>
        <v>2743.32672</v>
      </c>
      <c r="H58" s="177">
        <f t="shared" si="29"/>
        <v>2770.7599872000001</v>
      </c>
      <c r="I58" s="177">
        <f t="shared" si="30"/>
        <v>2798.4675870720002</v>
      </c>
      <c r="J58" s="27"/>
    </row>
    <row r="59" spans="1:10" x14ac:dyDescent="0.25">
      <c r="A59" s="18">
        <v>58</v>
      </c>
      <c r="B59" s="28" t="s">
        <v>96</v>
      </c>
      <c r="C59" s="245"/>
      <c r="D59" s="246"/>
      <c r="E59" s="247"/>
      <c r="F59" s="24"/>
      <c r="G59" s="26"/>
      <c r="H59" s="27"/>
      <c r="I59" s="27"/>
      <c r="J59" s="27"/>
    </row>
    <row r="60" spans="1:10" x14ac:dyDescent="0.25">
      <c r="A60" s="21">
        <v>5801</v>
      </c>
      <c r="B60" s="22" t="s">
        <v>596</v>
      </c>
      <c r="C60" s="245">
        <f>36777.02</f>
        <v>36777.019999999997</v>
      </c>
      <c r="D60" s="246">
        <f>63103.63</f>
        <v>63103.63</v>
      </c>
      <c r="E60" s="247">
        <f>52771.01</f>
        <v>52771.01</v>
      </c>
      <c r="F60" s="178">
        <f t="shared" si="24"/>
        <v>53826.430200000003</v>
      </c>
      <c r="G60" s="178">
        <f t="shared" ref="G60:G61" si="31">SUM(F60*0.02)+F60</f>
        <v>54902.958804000002</v>
      </c>
      <c r="H60" s="177">
        <f t="shared" ref="H60:H61" si="32">SUM(G60*0.01)+G60</f>
        <v>55451.988392040003</v>
      </c>
      <c r="I60" s="177">
        <f t="shared" ref="I60:I61" si="33">SUM(H60*0.01)+H60</f>
        <v>56006.508275960405</v>
      </c>
      <c r="J60" s="27"/>
    </row>
    <row r="61" spans="1:10" x14ac:dyDescent="0.25">
      <c r="A61" s="21">
        <v>5802</v>
      </c>
      <c r="B61" s="22" t="s">
        <v>597</v>
      </c>
      <c r="C61" s="248">
        <f>37109.8</f>
        <v>37109.800000000003</v>
      </c>
      <c r="D61" s="246">
        <f>309248.23</f>
        <v>309248.23</v>
      </c>
      <c r="E61" s="247">
        <v>11528.6</v>
      </c>
      <c r="F61" s="178">
        <f t="shared" si="24"/>
        <v>11759.172</v>
      </c>
      <c r="G61" s="178">
        <f t="shared" si="31"/>
        <v>11994.355440000001</v>
      </c>
      <c r="H61" s="177">
        <f t="shared" si="32"/>
        <v>12114.298994400002</v>
      </c>
      <c r="I61" s="177">
        <f t="shared" si="33"/>
        <v>12235.441984344003</v>
      </c>
      <c r="J61" s="27"/>
    </row>
    <row r="62" spans="1:10" ht="15.75" thickBot="1" x14ac:dyDescent="0.3">
      <c r="A62" s="18">
        <v>59</v>
      </c>
      <c r="B62" s="30" t="s">
        <v>97</v>
      </c>
      <c r="C62" s="20"/>
      <c r="D62" s="23"/>
      <c r="E62" s="24"/>
      <c r="F62" s="25"/>
      <c r="G62" s="26"/>
      <c r="H62" s="27"/>
      <c r="I62" s="27"/>
      <c r="J62" s="27"/>
    </row>
    <row r="63" spans="1:10" ht="15.75" x14ac:dyDescent="0.25">
      <c r="A63" s="235" t="s">
        <v>98</v>
      </c>
      <c r="B63" s="236"/>
      <c r="C63" s="173">
        <f>+C9-C33</f>
        <v>1459641.3900000006</v>
      </c>
      <c r="D63" s="173">
        <f>+D9-D33</f>
        <v>919007.44999999972</v>
      </c>
      <c r="E63" s="173">
        <f t="shared" ref="E63:I63" si="34">+E9-E33</f>
        <v>1998586.8</v>
      </c>
      <c r="F63" s="173">
        <f t="shared" si="34"/>
        <v>2038558.5359999998</v>
      </c>
      <c r="G63" s="173">
        <f t="shared" si="34"/>
        <v>2079329.7067200001</v>
      </c>
      <c r="H63" s="173">
        <f t="shared" si="34"/>
        <v>2100123.0037872</v>
      </c>
      <c r="I63" s="173">
        <f t="shared" si="34"/>
        <v>2121124.2338250717</v>
      </c>
      <c r="J63" s="31"/>
    </row>
    <row r="64" spans="1:10" x14ac:dyDescent="0.25">
      <c r="A64" s="232" t="s">
        <v>99</v>
      </c>
      <c r="B64" s="237"/>
      <c r="C64" s="172">
        <f>SUM(C66:C71)</f>
        <v>3921248.17</v>
      </c>
      <c r="D64" s="172">
        <f>SUM(D66:D71)</f>
        <v>3996262.55</v>
      </c>
      <c r="E64" s="172">
        <f t="shared" ref="E64:I64" si="35">SUM(E66:E71)</f>
        <v>4291120.0600000005</v>
      </c>
      <c r="F64" s="172">
        <f t="shared" si="35"/>
        <v>4316581.8498</v>
      </c>
      <c r="G64" s="172">
        <f t="shared" si="35"/>
        <v>4342552.8753960002</v>
      </c>
      <c r="H64" s="172">
        <f t="shared" si="35"/>
        <v>4385978.4041499598</v>
      </c>
      <c r="I64" s="172">
        <f t="shared" si="35"/>
        <v>4429838.1881914604</v>
      </c>
      <c r="J64" s="32"/>
    </row>
    <row r="65" spans="1:10" x14ac:dyDescent="0.25">
      <c r="A65" s="18">
        <v>24</v>
      </c>
      <c r="B65" s="28" t="s">
        <v>576</v>
      </c>
      <c r="C65" s="169"/>
      <c r="D65" s="23"/>
      <c r="E65" s="24"/>
      <c r="F65" s="25"/>
      <c r="G65" s="26"/>
      <c r="H65" s="27"/>
      <c r="I65" s="27"/>
      <c r="J65" s="27"/>
    </row>
    <row r="66" spans="1:10" x14ac:dyDescent="0.25">
      <c r="A66" s="21">
        <v>2402</v>
      </c>
      <c r="B66" s="22" t="s">
        <v>577</v>
      </c>
      <c r="C66" s="251">
        <v>89109.74</v>
      </c>
      <c r="D66" s="252">
        <v>50683.78</v>
      </c>
      <c r="E66" s="253">
        <v>50715.66</v>
      </c>
      <c r="F66" s="178">
        <f t="shared" ref="F66:F71" si="36">SUM(E66*0.02)+E66</f>
        <v>51729.9732</v>
      </c>
      <c r="G66" s="178">
        <f t="shared" ref="G66" si="37">SUM(F66*0.02)+F66</f>
        <v>52764.572663999999</v>
      </c>
      <c r="H66" s="177">
        <f t="shared" ref="H66" si="38">SUM(G66*0.01)+G66</f>
        <v>53292.218390640002</v>
      </c>
      <c r="I66" s="177">
        <f t="shared" ref="I66" si="39">SUM(H66*0.01)+H66</f>
        <v>53825.1405745464</v>
      </c>
      <c r="J66" s="27"/>
    </row>
    <row r="67" spans="1:10" x14ac:dyDescent="0.25">
      <c r="A67" s="18">
        <v>28</v>
      </c>
      <c r="B67" s="28" t="s">
        <v>100</v>
      </c>
      <c r="C67" s="251"/>
      <c r="D67" s="252"/>
      <c r="E67" s="253"/>
      <c r="F67" s="193"/>
      <c r="G67" s="26"/>
      <c r="H67" s="27"/>
      <c r="I67" s="27"/>
      <c r="J67" s="27"/>
    </row>
    <row r="68" spans="1:10" x14ac:dyDescent="0.25">
      <c r="A68" s="21">
        <v>2801</v>
      </c>
      <c r="B68" s="22" t="s">
        <v>578</v>
      </c>
      <c r="C68" s="254">
        <f>12000+10000+77324.2+45000+10000+17703.2+4395+6682.64+22029.43+143331.33+29853.14+2076+7892+8800</f>
        <v>397086.94000000006</v>
      </c>
      <c r="D68" s="252">
        <f>293925.79</f>
        <v>293925.78999999998</v>
      </c>
      <c r="E68" s="253">
        <f>958041.96</f>
        <v>958041.96</v>
      </c>
      <c r="F68" s="178">
        <f t="shared" si="36"/>
        <v>977202.79920000001</v>
      </c>
      <c r="G68" s="178">
        <f t="shared" ref="G68:G69" si="40">SUM(F68*0.02)+F68</f>
        <v>996746.85518399999</v>
      </c>
      <c r="H68" s="177">
        <f t="shared" ref="H68:H69" si="41">SUM(G68*0.01)+G68</f>
        <v>1006714.32373584</v>
      </c>
      <c r="I68" s="177">
        <f t="shared" ref="I68:I69" si="42">SUM(H68*0.01)+H68</f>
        <v>1016781.4669731985</v>
      </c>
      <c r="J68" s="27"/>
    </row>
    <row r="69" spans="1:10" x14ac:dyDescent="0.25">
      <c r="A69" s="21">
        <v>2803</v>
      </c>
      <c r="B69" s="22" t="s">
        <v>607</v>
      </c>
      <c r="C69" s="254"/>
      <c r="D69" s="252">
        <f>99693</f>
        <v>99693</v>
      </c>
      <c r="E69" s="253">
        <f>264235.68</f>
        <v>264235.68</v>
      </c>
      <c r="F69" s="178">
        <f t="shared" si="36"/>
        <v>269520.39360000001</v>
      </c>
      <c r="G69" s="178">
        <f t="shared" si="40"/>
        <v>274910.80147200002</v>
      </c>
      <c r="H69" s="177">
        <f t="shared" si="41"/>
        <v>277659.90948672005</v>
      </c>
      <c r="I69" s="177">
        <f t="shared" si="42"/>
        <v>280436.50858158723</v>
      </c>
      <c r="J69" s="27"/>
    </row>
    <row r="70" spans="1:10" ht="48.75" x14ac:dyDescent="0.25">
      <c r="A70" s="189">
        <v>2806</v>
      </c>
      <c r="B70" s="22" t="s">
        <v>579</v>
      </c>
      <c r="C70" s="255">
        <v>3118114.76</v>
      </c>
      <c r="D70" s="256">
        <f>3362946.41</f>
        <v>3362946.41</v>
      </c>
      <c r="E70" s="257">
        <v>3018030.57</v>
      </c>
      <c r="F70" s="178">
        <f>E70</f>
        <v>3018030.57</v>
      </c>
      <c r="G70" s="178">
        <f>F70</f>
        <v>3018030.57</v>
      </c>
      <c r="H70" s="198">
        <f t="shared" ref="H70" si="43">SUM(G70*0.01)+G70</f>
        <v>3048210.8756999997</v>
      </c>
      <c r="I70" s="194">
        <f t="shared" ref="I70" si="44">SUM(H70*0.01)+H70</f>
        <v>3078692.9844569997</v>
      </c>
      <c r="J70" s="196" t="s">
        <v>624</v>
      </c>
    </row>
    <row r="71" spans="1:10" x14ac:dyDescent="0.25">
      <c r="A71" s="170">
        <v>2810</v>
      </c>
      <c r="B71" s="22" t="s">
        <v>580</v>
      </c>
      <c r="C71" s="251">
        <v>316936.73</v>
      </c>
      <c r="D71" s="256">
        <f>189013.57</f>
        <v>189013.57</v>
      </c>
      <c r="E71" s="257">
        <f>96.19</f>
        <v>96.19</v>
      </c>
      <c r="F71" s="178">
        <f t="shared" si="36"/>
        <v>98.113799999999998</v>
      </c>
      <c r="G71" s="178">
        <f t="shared" ref="G71" si="45">SUM(F71*0.02)+F71</f>
        <v>100.076076</v>
      </c>
      <c r="H71" s="177">
        <f t="shared" ref="H71" si="46">SUM(G71*0.01)+G71</f>
        <v>101.07683676000001</v>
      </c>
      <c r="I71" s="177">
        <f t="shared" ref="I71" si="47">SUM(H71*0.01)+H71</f>
        <v>102.0876051276</v>
      </c>
      <c r="J71" s="27"/>
    </row>
    <row r="72" spans="1:10" ht="15.75" thickBot="1" x14ac:dyDescent="0.3">
      <c r="A72" s="232" t="s">
        <v>101</v>
      </c>
      <c r="B72" s="238"/>
      <c r="C72" s="172">
        <f>SUM(C74:C108)</f>
        <v>4091034.5700000008</v>
      </c>
      <c r="D72" s="172">
        <f>SUM(D74:D108)</f>
        <v>5540165.2000000002</v>
      </c>
      <c r="E72" s="192">
        <f t="shared" ref="E72:I72" si="48">SUM(E74:E108)</f>
        <v>6275212.4099999992</v>
      </c>
      <c r="F72" s="192">
        <f t="shared" si="48"/>
        <v>6400716.6581999995</v>
      </c>
      <c r="G72" s="192">
        <f t="shared" si="48"/>
        <v>6528730.9913639994</v>
      </c>
      <c r="H72" s="192">
        <f>SUM(H74:H108)</f>
        <v>6594018.3012776393</v>
      </c>
      <c r="I72" s="192">
        <f t="shared" si="48"/>
        <v>6659958.4842904173</v>
      </c>
      <c r="J72" s="32"/>
    </row>
    <row r="73" spans="1:10" x14ac:dyDescent="0.25">
      <c r="A73" s="18" t="s">
        <v>102</v>
      </c>
      <c r="B73" s="19" t="s">
        <v>103</v>
      </c>
      <c r="C73" s="20"/>
      <c r="D73" s="23"/>
      <c r="E73" s="24"/>
      <c r="F73" s="25"/>
      <c r="G73" s="26"/>
      <c r="H73" s="27"/>
      <c r="I73" s="27"/>
      <c r="J73" s="27"/>
    </row>
    <row r="74" spans="1:10" x14ac:dyDescent="0.25">
      <c r="A74" s="18" t="s">
        <v>104</v>
      </c>
      <c r="B74" s="28" t="s">
        <v>105</v>
      </c>
      <c r="C74" s="20"/>
      <c r="D74" s="23"/>
      <c r="E74" s="24"/>
      <c r="F74" s="25"/>
      <c r="G74" s="199"/>
      <c r="H74" s="200"/>
      <c r="I74" s="27"/>
      <c r="J74" s="27"/>
    </row>
    <row r="75" spans="1:10" x14ac:dyDescent="0.25">
      <c r="A75" s="170">
        <v>6312</v>
      </c>
      <c r="B75" s="22" t="s">
        <v>599</v>
      </c>
      <c r="C75" s="248">
        <f>10421.6</f>
        <v>10421.6</v>
      </c>
      <c r="D75" s="249">
        <f>7280</f>
        <v>7280</v>
      </c>
      <c r="E75" s="247">
        <f>11278.4</f>
        <v>11278.4</v>
      </c>
      <c r="F75" s="178">
        <f t="shared" ref="F75" si="49">SUM(E75*0.02)+E75</f>
        <v>11503.967999999999</v>
      </c>
      <c r="G75" s="178">
        <f t="shared" ref="G75" si="50">SUM(F75*0.02)+F75</f>
        <v>11734.047359999999</v>
      </c>
      <c r="H75" s="177">
        <f t="shared" ref="H75" si="51">SUM(G75*0.01)+G75</f>
        <v>11851.387833599998</v>
      </c>
      <c r="I75" s="177">
        <f t="shared" ref="I75" si="52">SUM(H75*0.01)+H75</f>
        <v>11969.901711935998</v>
      </c>
      <c r="J75" s="27"/>
    </row>
    <row r="76" spans="1:10" x14ac:dyDescent="0.25">
      <c r="A76" s="18" t="s">
        <v>106</v>
      </c>
      <c r="B76" s="28" t="s">
        <v>107</v>
      </c>
      <c r="C76" s="245"/>
      <c r="D76" s="246"/>
      <c r="E76" s="247"/>
      <c r="F76" s="24"/>
      <c r="G76" s="26"/>
      <c r="H76" s="27"/>
      <c r="I76" s="27"/>
      <c r="J76" s="27"/>
    </row>
    <row r="77" spans="1:10" x14ac:dyDescent="0.25">
      <c r="A77" s="188">
        <v>71</v>
      </c>
      <c r="B77" s="28" t="s">
        <v>108</v>
      </c>
      <c r="C77" s="245"/>
      <c r="D77" s="246"/>
      <c r="E77" s="247"/>
      <c r="F77" s="24"/>
      <c r="G77" s="26"/>
      <c r="H77" s="27"/>
      <c r="I77" s="27"/>
      <c r="J77" s="196"/>
    </row>
    <row r="78" spans="1:10" x14ac:dyDescent="0.25">
      <c r="A78" s="21">
        <v>7101</v>
      </c>
      <c r="B78" s="22" t="s">
        <v>85</v>
      </c>
      <c r="C78" s="245">
        <f>252583.44+19816+55018.88+89463.95+41017+21498.8+140084.95+185810.94+166509.39</f>
        <v>971803.35</v>
      </c>
      <c r="D78" s="246">
        <f>321131.78+26352.15+71645.63+113745.84+44963.43+26192.95+174129.69+221930.29+212162.34</f>
        <v>1212254.1000000001</v>
      </c>
      <c r="E78" s="258">
        <f>322072.25+28057.76+273796.66+39941.95+27667.37+63664.79+115483.45+54538.65+186336.8+244551.29+171788.28</f>
        <v>1527899.25</v>
      </c>
      <c r="F78" s="178">
        <f t="shared" ref="F78:F84" si="53">SUM(E78*0.02)+E78</f>
        <v>1558457.2350000001</v>
      </c>
      <c r="G78" s="178">
        <f t="shared" ref="G78:G84" si="54">SUM(F78*0.02)+F78</f>
        <v>1589626.3797000002</v>
      </c>
      <c r="H78" s="177">
        <f t="shared" ref="H78:H84" si="55">SUM(G78*0.01)+G78</f>
        <v>1605522.6434970002</v>
      </c>
      <c r="I78" s="177">
        <f t="shared" ref="I78:I84" si="56">SUM(H78*0.01)+H78</f>
        <v>1621577.8699319703</v>
      </c>
      <c r="J78" s="27"/>
    </row>
    <row r="79" spans="1:10" x14ac:dyDescent="0.25">
      <c r="A79" s="21">
        <v>7102</v>
      </c>
      <c r="B79" s="22" t="s">
        <v>86</v>
      </c>
      <c r="C79" s="245">
        <f>16849.6+1589.12+1947.3+6360+410.75+954+11044.33+10874.72+8883.09</f>
        <v>58912.91</v>
      </c>
      <c r="D79" s="246">
        <f>47887.38+4005.66+7972.14+16751.23+3987.84+3252.54+27522.67+32764.04+27729.69</f>
        <v>171873.18999999997</v>
      </c>
      <c r="E79" s="258">
        <f>50951.02+4552.04+45804.93+6097.18+4065.45+7854.06+18009.03+5871.66+31981.3+40171+25529.34</f>
        <v>240887.00999999995</v>
      </c>
      <c r="F79" s="178">
        <f t="shared" si="53"/>
        <v>245704.75019999995</v>
      </c>
      <c r="G79" s="178">
        <f t="shared" si="54"/>
        <v>250618.84520399995</v>
      </c>
      <c r="H79" s="177">
        <f t="shared" si="55"/>
        <v>253125.03365603994</v>
      </c>
      <c r="I79" s="177">
        <f t="shared" si="56"/>
        <v>255656.28399260034</v>
      </c>
      <c r="J79" s="27"/>
    </row>
    <row r="80" spans="1:10" x14ac:dyDescent="0.25">
      <c r="A80" s="21">
        <v>7103</v>
      </c>
      <c r="B80" s="22" t="s">
        <v>87</v>
      </c>
      <c r="C80" s="248"/>
      <c r="D80" s="248"/>
      <c r="E80" s="258">
        <f>30162.16+2989+20226.5+563.5+609+9194.5+16439.5+16901.5+11623.5</f>
        <v>108709.16</v>
      </c>
      <c r="F80" s="178">
        <f t="shared" si="53"/>
        <v>110883.3432</v>
      </c>
      <c r="G80" s="178">
        <f t="shared" si="54"/>
        <v>113101.010064</v>
      </c>
      <c r="H80" s="177">
        <f t="shared" si="55"/>
        <v>114232.02016464001</v>
      </c>
      <c r="I80" s="177">
        <f t="shared" si="56"/>
        <v>115374.34036628641</v>
      </c>
      <c r="J80" s="27"/>
    </row>
    <row r="81" spans="1:10" x14ac:dyDescent="0.25">
      <c r="A81" s="21">
        <v>7104</v>
      </c>
      <c r="B81" s="22" t="s">
        <v>88</v>
      </c>
      <c r="C81" s="248"/>
      <c r="D81" s="249"/>
      <c r="E81" s="258">
        <f>3864.43+297.92+2401.98+74.48+1191.68+1853.08+2303.67+190439.3</f>
        <v>202426.53999999998</v>
      </c>
      <c r="F81" s="178">
        <f t="shared" si="53"/>
        <v>206475.07079999999</v>
      </c>
      <c r="G81" s="178">
        <f t="shared" si="54"/>
        <v>210604.572216</v>
      </c>
      <c r="H81" s="177">
        <f t="shared" si="55"/>
        <v>212710.61793815999</v>
      </c>
      <c r="I81" s="177">
        <f t="shared" si="56"/>
        <v>214837.7241175416</v>
      </c>
      <c r="J81" s="27"/>
    </row>
    <row r="82" spans="1:10" x14ac:dyDescent="0.25">
      <c r="A82" s="21">
        <v>7105</v>
      </c>
      <c r="B82" s="22" t="s">
        <v>89</v>
      </c>
      <c r="C82" s="245">
        <f>69824.54+48730.78+26009.84+40844.91+1868.99+5193.92+60655.23+69721.39+37175.39</f>
        <v>360024.99000000005</v>
      </c>
      <c r="D82" s="246">
        <f>65228.91+66192.18+3477+37190.72+4621.8+76163.62+63955.2+65302.23</f>
        <v>382131.66</v>
      </c>
      <c r="E82" s="258">
        <f>55853.39+63045.5+84412.22+1026.16+60911.39+289.78+41928.48+52242.54+93234.42+93512.76+161681.63</f>
        <v>708138.2699999999</v>
      </c>
      <c r="F82" s="178">
        <f t="shared" si="53"/>
        <v>722301.03539999994</v>
      </c>
      <c r="G82" s="178">
        <f t="shared" si="54"/>
        <v>736747.05610799999</v>
      </c>
      <c r="H82" s="177">
        <f t="shared" si="55"/>
        <v>744114.52666908002</v>
      </c>
      <c r="I82" s="177">
        <f t="shared" si="56"/>
        <v>751555.67193577078</v>
      </c>
      <c r="J82" s="27"/>
    </row>
    <row r="83" spans="1:10" x14ac:dyDescent="0.25">
      <c r="A83" s="21">
        <v>7106</v>
      </c>
      <c r="B83" s="22" t="s">
        <v>90</v>
      </c>
      <c r="C83" s="245">
        <f>54024.33+4131.32+10585.31+18516.09+6993.15+4426.7+28688.62+38374.49+31948.14</f>
        <v>197688.14999999997</v>
      </c>
      <c r="D83" s="246">
        <f>67084.05+5290+13561.01+24291.05+6447.54+5205.87+36181.35+46056.5+53355.78</f>
        <v>257473.15</v>
      </c>
      <c r="E83" s="258">
        <f>73682.18+6481.92+61424.67+9188.26+6316+14563.82+26335.5+10978.58+42303.71+55082.68+38124.62</f>
        <v>344481.94</v>
      </c>
      <c r="F83" s="178">
        <f t="shared" si="53"/>
        <v>351371.57880000002</v>
      </c>
      <c r="G83" s="178">
        <f t="shared" si="54"/>
        <v>358399.01037600002</v>
      </c>
      <c r="H83" s="177">
        <f t="shared" si="55"/>
        <v>361983.00047976</v>
      </c>
      <c r="I83" s="177">
        <f t="shared" si="56"/>
        <v>365602.83048455761</v>
      </c>
      <c r="J83" s="27"/>
    </row>
    <row r="84" spans="1:10" x14ac:dyDescent="0.25">
      <c r="A84" s="21">
        <v>7107</v>
      </c>
      <c r="B84" s="22" t="s">
        <v>91</v>
      </c>
      <c r="C84" s="245"/>
      <c r="D84" s="246">
        <f>740.16+2195.56+873.89+546.67</f>
        <v>4356.28</v>
      </c>
      <c r="E84" s="250">
        <f>75000</f>
        <v>75000</v>
      </c>
      <c r="F84" s="178">
        <f t="shared" si="53"/>
        <v>76500</v>
      </c>
      <c r="G84" s="178">
        <f t="shared" si="54"/>
        <v>78030</v>
      </c>
      <c r="H84" s="177">
        <f t="shared" si="55"/>
        <v>78810.3</v>
      </c>
      <c r="I84" s="177">
        <f t="shared" si="56"/>
        <v>79598.403000000006</v>
      </c>
      <c r="J84" s="27"/>
    </row>
    <row r="85" spans="1:10" x14ac:dyDescent="0.25">
      <c r="A85" s="21">
        <v>7199</v>
      </c>
      <c r="B85" s="22" t="s">
        <v>92</v>
      </c>
      <c r="C85" s="245"/>
      <c r="D85" s="246"/>
      <c r="E85" s="247"/>
      <c r="F85" s="24"/>
      <c r="G85" s="26"/>
      <c r="H85" s="27"/>
      <c r="I85" s="27"/>
      <c r="J85" s="27"/>
    </row>
    <row r="86" spans="1:10" x14ac:dyDescent="0.25">
      <c r="A86" s="18">
        <v>73</v>
      </c>
      <c r="B86" s="28" t="s">
        <v>109</v>
      </c>
      <c r="C86" s="245"/>
      <c r="D86" s="246"/>
      <c r="E86" s="247"/>
      <c r="F86" s="24"/>
      <c r="G86" s="26"/>
      <c r="H86" s="27"/>
      <c r="I86" s="27"/>
      <c r="J86" s="27"/>
    </row>
    <row r="87" spans="1:10" x14ac:dyDescent="0.25">
      <c r="A87" s="21">
        <v>7301</v>
      </c>
      <c r="B87" s="22" t="s">
        <v>583</v>
      </c>
      <c r="C87" s="245">
        <f>398008.3</f>
        <v>398008.3</v>
      </c>
      <c r="D87" s="246">
        <f>277564.59</f>
        <v>277564.59000000003</v>
      </c>
      <c r="E87" s="247">
        <f>230905.77</f>
        <v>230905.77</v>
      </c>
      <c r="F87" s="178">
        <f t="shared" ref="F87:F94" si="57">SUM(E87*0.02)+E87</f>
        <v>235523.8854</v>
      </c>
      <c r="G87" s="178">
        <f t="shared" ref="G87:G92" si="58">SUM(F87*0.02)+F87</f>
        <v>240234.36310799999</v>
      </c>
      <c r="H87" s="177">
        <f t="shared" ref="H87:H92" si="59">SUM(G87*0.01)+G87</f>
        <v>242636.70673907999</v>
      </c>
      <c r="I87" s="177">
        <f t="shared" ref="I87:I92" si="60">SUM(H87*0.01)+H87</f>
        <v>245063.07380647078</v>
      </c>
      <c r="J87" s="27"/>
    </row>
    <row r="88" spans="1:10" x14ac:dyDescent="0.25">
      <c r="A88" s="21">
        <v>7302</v>
      </c>
      <c r="B88" s="22" t="s">
        <v>584</v>
      </c>
      <c r="C88" s="245">
        <f>12+4+30.94+200+570.66+480</f>
        <v>1297.5999999999999</v>
      </c>
      <c r="D88" s="246">
        <f>1290.14+1119.56+567</f>
        <v>2976.7</v>
      </c>
      <c r="E88" s="247">
        <f>143136.9+82+300+6.92+7077.17+6386.8+448</f>
        <v>157437.79</v>
      </c>
      <c r="F88" s="178">
        <f t="shared" si="57"/>
        <v>160586.54580000002</v>
      </c>
      <c r="G88" s="178">
        <f t="shared" si="58"/>
        <v>163798.27671600002</v>
      </c>
      <c r="H88" s="177">
        <f t="shared" si="59"/>
        <v>165436.25948316001</v>
      </c>
      <c r="I88" s="177">
        <f t="shared" si="60"/>
        <v>167090.6220779916</v>
      </c>
      <c r="J88" s="27"/>
    </row>
    <row r="89" spans="1:10" x14ac:dyDescent="0.25">
      <c r="A89" s="21">
        <v>7303</v>
      </c>
      <c r="B89" s="22" t="s">
        <v>585</v>
      </c>
      <c r="C89" s="245">
        <f>216.96+52+624.75+310.59+907.5</f>
        <v>2111.8000000000002</v>
      </c>
      <c r="D89" s="246">
        <f>217.13+518.64+94.64+139.25</f>
        <v>969.66</v>
      </c>
      <c r="E89" s="247">
        <f>80+80+40+901+65+759.75</f>
        <v>1925.75</v>
      </c>
      <c r="F89" s="178">
        <f t="shared" si="57"/>
        <v>1964.2650000000001</v>
      </c>
      <c r="G89" s="178">
        <f t="shared" si="58"/>
        <v>2003.5503000000001</v>
      </c>
      <c r="H89" s="177">
        <f t="shared" si="59"/>
        <v>2023.5858030000002</v>
      </c>
      <c r="I89" s="177">
        <f t="shared" si="60"/>
        <v>2043.8216610300001</v>
      </c>
      <c r="J89" s="27"/>
    </row>
    <row r="90" spans="1:10" x14ac:dyDescent="0.25">
      <c r="A90" s="21">
        <v>7304</v>
      </c>
      <c r="B90" s="22" t="s">
        <v>586</v>
      </c>
      <c r="C90" s="245">
        <f>132.93+2178.4+2317.74+23054.86</f>
        <v>27683.93</v>
      </c>
      <c r="D90" s="246">
        <f>58.5+1526.09+21626.52</f>
        <v>23211.11</v>
      </c>
      <c r="E90" s="247">
        <f>782.61+637.08+12725.96</f>
        <v>14145.65</v>
      </c>
      <c r="F90" s="178">
        <f t="shared" si="57"/>
        <v>14428.563</v>
      </c>
      <c r="G90" s="178">
        <f t="shared" si="58"/>
        <v>14717.134260000001</v>
      </c>
      <c r="H90" s="177">
        <f t="shared" si="59"/>
        <v>14864.305602600001</v>
      </c>
      <c r="I90" s="177">
        <f t="shared" si="60"/>
        <v>15012.948658626001</v>
      </c>
      <c r="J90" s="27"/>
    </row>
    <row r="91" spans="1:10" x14ac:dyDescent="0.25">
      <c r="A91" s="21">
        <v>7306</v>
      </c>
      <c r="B91" s="22" t="s">
        <v>588</v>
      </c>
      <c r="C91" s="245">
        <f>420+9491.07+28649.31</f>
        <v>38560.380000000005</v>
      </c>
      <c r="D91" s="246">
        <f>13095.34+8010.19</f>
        <v>21105.53</v>
      </c>
      <c r="E91" s="250">
        <f>5662.72</f>
        <v>5662.72</v>
      </c>
      <c r="F91" s="178">
        <f t="shared" si="57"/>
        <v>5775.9744000000001</v>
      </c>
      <c r="G91" s="178">
        <f t="shared" si="58"/>
        <v>5891.493888</v>
      </c>
      <c r="H91" s="177">
        <f t="shared" si="59"/>
        <v>5950.4088268799997</v>
      </c>
      <c r="I91" s="177">
        <f t="shared" si="60"/>
        <v>6009.9129151487996</v>
      </c>
      <c r="J91" s="27"/>
    </row>
    <row r="92" spans="1:10" x14ac:dyDescent="0.25">
      <c r="A92" s="21">
        <v>7308</v>
      </c>
      <c r="B92" s="22" t="s">
        <v>600</v>
      </c>
      <c r="C92" s="248">
        <f>27000+12384.72+15358.16+4372.3+3396.88+1071.09+430.98+19131.28+76622.56+49217.88</f>
        <v>208985.85</v>
      </c>
      <c r="D92" s="259">
        <f>20560.38+15199.52+382.05+4118.97+801.93+248.31+15532.31+75359.76+147150.78</f>
        <v>279354.01</v>
      </c>
      <c r="E92" s="258">
        <f>19046.09+9988.81+4064.51+4164.81+97188.13+689.71+661+1283.17+17948.67+72438.96+196425.36</f>
        <v>423899.22000000003</v>
      </c>
      <c r="F92" s="178">
        <f t="shared" si="57"/>
        <v>432377.20440000005</v>
      </c>
      <c r="G92" s="178">
        <f t="shared" si="58"/>
        <v>441024.74848800007</v>
      </c>
      <c r="H92" s="177">
        <f t="shared" si="59"/>
        <v>445434.99597288005</v>
      </c>
      <c r="I92" s="177">
        <f t="shared" si="60"/>
        <v>449889.34593260882</v>
      </c>
      <c r="J92" s="27"/>
    </row>
    <row r="93" spans="1:10" x14ac:dyDescent="0.25">
      <c r="A93" s="18">
        <v>75</v>
      </c>
      <c r="B93" s="28" t="s">
        <v>110</v>
      </c>
      <c r="C93" s="245"/>
      <c r="D93" s="246"/>
      <c r="E93" s="247"/>
      <c r="F93" s="24"/>
      <c r="G93" s="26"/>
      <c r="H93" s="27"/>
      <c r="I93" s="27"/>
      <c r="J93" s="27"/>
    </row>
    <row r="94" spans="1:10" x14ac:dyDescent="0.25">
      <c r="A94" s="21">
        <v>7501</v>
      </c>
      <c r="B94" s="22" t="s">
        <v>111</v>
      </c>
      <c r="C94" s="245">
        <f>22023.58+230033.24+943981.28</f>
        <v>1196038.1000000001</v>
      </c>
      <c r="D94" s="246">
        <f>1332.03+5073.53+1308182.57+927639.37</f>
        <v>2242227.5</v>
      </c>
      <c r="E94" s="247">
        <f>18870.78+19.01+418398.31+755990.07</f>
        <v>1193278.17</v>
      </c>
      <c r="F94" s="178">
        <f t="shared" si="57"/>
        <v>1217143.7334</v>
      </c>
      <c r="G94" s="178">
        <f t="shared" ref="G94" si="61">SUM(F94*0.02)+F94</f>
        <v>1241486.6080680001</v>
      </c>
      <c r="H94" s="177">
        <f t="shared" ref="H94" si="62">SUM(G94*0.01)+G94</f>
        <v>1253901.47414868</v>
      </c>
      <c r="I94" s="177">
        <f t="shared" ref="I94" si="63">SUM(H94*0.01)+H94</f>
        <v>1266440.4888901669</v>
      </c>
      <c r="J94" s="27"/>
    </row>
    <row r="95" spans="1:10" x14ac:dyDescent="0.25">
      <c r="A95" s="21">
        <v>7502</v>
      </c>
      <c r="B95" s="22" t="s">
        <v>112</v>
      </c>
      <c r="C95" s="245"/>
      <c r="D95" s="246"/>
      <c r="E95" s="247"/>
      <c r="F95" s="24"/>
      <c r="G95" s="26"/>
      <c r="H95" s="27"/>
      <c r="I95" s="27"/>
      <c r="J95" s="27"/>
    </row>
    <row r="96" spans="1:10" x14ac:dyDescent="0.25">
      <c r="A96" s="21">
        <v>7503</v>
      </c>
      <c r="B96" s="22" t="s">
        <v>113</v>
      </c>
      <c r="C96" s="245"/>
      <c r="D96" s="246"/>
      <c r="E96" s="247"/>
      <c r="F96" s="24"/>
      <c r="G96" s="26"/>
      <c r="H96" s="27"/>
      <c r="I96" s="27"/>
      <c r="J96" s="27"/>
    </row>
    <row r="97" spans="1:10" x14ac:dyDescent="0.25">
      <c r="A97" s="21">
        <v>7504</v>
      </c>
      <c r="B97" s="22" t="s">
        <v>114</v>
      </c>
      <c r="C97" s="245">
        <f>8469.95</f>
        <v>8469.9500000000007</v>
      </c>
      <c r="D97" s="246">
        <f>1337.63</f>
        <v>1337.63</v>
      </c>
      <c r="E97" s="247">
        <f>12892.63</f>
        <v>12892.63</v>
      </c>
      <c r="F97" s="178">
        <f t="shared" ref="F97:F98" si="64">SUM(E97*0.02)+E97</f>
        <v>13150.482599999999</v>
      </c>
      <c r="G97" s="178">
        <f t="shared" ref="G97:G98" si="65">SUM(F97*0.02)+F97</f>
        <v>13413.492252</v>
      </c>
      <c r="H97" s="177">
        <f t="shared" ref="H97:H98" si="66">SUM(G97*0.01)+G97</f>
        <v>13547.627174519999</v>
      </c>
      <c r="I97" s="177">
        <f t="shared" ref="I97:I98" si="67">SUM(H97*0.01)+H97</f>
        <v>13683.103446265199</v>
      </c>
      <c r="J97" s="27"/>
    </row>
    <row r="98" spans="1:10" x14ac:dyDescent="0.25">
      <c r="A98" s="21">
        <v>7505</v>
      </c>
      <c r="B98" s="22" t="s">
        <v>115</v>
      </c>
      <c r="C98" s="245">
        <f>8488.04+18848.34+39517.67</f>
        <v>66854.05</v>
      </c>
      <c r="D98" s="246">
        <f>154664.04+22694.94+27569.82</f>
        <v>204928.80000000002</v>
      </c>
      <c r="E98" s="247">
        <f>7867.61+9284.56+35404.13</f>
        <v>52556.299999999996</v>
      </c>
      <c r="F98" s="178">
        <f t="shared" si="64"/>
        <v>53607.425999999992</v>
      </c>
      <c r="G98" s="178">
        <f t="shared" si="65"/>
        <v>54679.574519999995</v>
      </c>
      <c r="H98" s="177">
        <f t="shared" si="66"/>
        <v>55226.370265199992</v>
      </c>
      <c r="I98" s="177">
        <f t="shared" si="67"/>
        <v>55778.633967851994</v>
      </c>
      <c r="J98" s="27"/>
    </row>
    <row r="99" spans="1:10" x14ac:dyDescent="0.25">
      <c r="A99" s="21">
        <v>7599</v>
      </c>
      <c r="B99" s="22" t="s">
        <v>92</v>
      </c>
      <c r="C99" s="245"/>
      <c r="D99" s="246"/>
      <c r="E99" s="247"/>
      <c r="F99" s="24"/>
      <c r="G99" s="26"/>
      <c r="H99" s="27"/>
      <c r="I99" s="27"/>
      <c r="J99" s="27"/>
    </row>
    <row r="100" spans="1:10" x14ac:dyDescent="0.25">
      <c r="A100" s="18">
        <v>77</v>
      </c>
      <c r="B100" s="35" t="s">
        <v>116</v>
      </c>
      <c r="C100" s="245"/>
      <c r="D100" s="246"/>
      <c r="E100" s="247"/>
      <c r="F100" s="24"/>
      <c r="G100" s="26"/>
      <c r="H100" s="27"/>
      <c r="I100" s="27"/>
      <c r="J100" s="27"/>
    </row>
    <row r="101" spans="1:10" x14ac:dyDescent="0.25">
      <c r="A101" s="21">
        <v>7702</v>
      </c>
      <c r="B101" s="22" t="s">
        <v>610</v>
      </c>
      <c r="C101" s="245"/>
      <c r="D101" s="246">
        <f>56113.87</f>
        <v>56113.87</v>
      </c>
      <c r="E101" s="247"/>
      <c r="F101" s="178"/>
      <c r="G101" s="178"/>
      <c r="H101" s="177"/>
      <c r="I101" s="177"/>
      <c r="J101" s="27"/>
    </row>
    <row r="102" spans="1:10" x14ac:dyDescent="0.25">
      <c r="A102" s="18">
        <v>78</v>
      </c>
      <c r="B102" s="28" t="s">
        <v>117</v>
      </c>
      <c r="C102" s="245"/>
      <c r="D102" s="246"/>
      <c r="E102" s="247"/>
      <c r="F102" s="24"/>
      <c r="G102" s="26"/>
      <c r="H102" s="27"/>
      <c r="I102" s="27"/>
      <c r="J102" s="27"/>
    </row>
    <row r="103" spans="1:10" x14ac:dyDescent="0.25">
      <c r="A103" s="21">
        <v>7801</v>
      </c>
      <c r="B103" s="22" t="s">
        <v>601</v>
      </c>
      <c r="C103" s="245">
        <f>221967.45</f>
        <v>221967.45</v>
      </c>
      <c r="D103" s="246">
        <f>321010.45</f>
        <v>321010.45</v>
      </c>
      <c r="E103" s="247">
        <f>787643.89</f>
        <v>787643.89</v>
      </c>
      <c r="F103" s="178">
        <f t="shared" ref="F103:F107" si="68">SUM(E103*0.02)+E103</f>
        <v>803396.76780000003</v>
      </c>
      <c r="G103" s="178">
        <f t="shared" ref="G103" si="69">SUM(F103*0.02)+F103</f>
        <v>819464.703156</v>
      </c>
      <c r="H103" s="177">
        <f t="shared" ref="H103" si="70">SUM(G103*0.01)+G103</f>
        <v>827659.35018755996</v>
      </c>
      <c r="I103" s="177">
        <f t="shared" ref="I103" si="71">SUM(H103*0.01)+H103</f>
        <v>835935.9436894356</v>
      </c>
      <c r="J103" s="27"/>
    </row>
    <row r="104" spans="1:10" x14ac:dyDescent="0.25">
      <c r="A104" s="21">
        <v>7802</v>
      </c>
      <c r="B104" s="22" t="s">
        <v>602</v>
      </c>
      <c r="C104" s="245">
        <f>26828.32</f>
        <v>26828.32</v>
      </c>
      <c r="D104" s="246">
        <f>30265.23</f>
        <v>30265.23</v>
      </c>
      <c r="E104" s="247">
        <f>29076.06</f>
        <v>29076.06</v>
      </c>
      <c r="F104" s="178">
        <f t="shared" si="68"/>
        <v>29657.581200000001</v>
      </c>
      <c r="G104" s="178">
        <f t="shared" ref="G104" si="72">SUM(F104*0.02)+F104</f>
        <v>30250.732823999999</v>
      </c>
      <c r="H104" s="177">
        <f t="shared" ref="H104" si="73">SUM(G104*0.01)+G104</f>
        <v>30553.24015224</v>
      </c>
      <c r="I104" s="177">
        <f t="shared" ref="I104" si="74">SUM(H104*0.01)+H104</f>
        <v>30858.772553762399</v>
      </c>
      <c r="J104" s="27"/>
    </row>
    <row r="105" spans="1:10" x14ac:dyDescent="0.25">
      <c r="A105" s="18">
        <v>84</v>
      </c>
      <c r="B105" s="28" t="s">
        <v>118</v>
      </c>
      <c r="C105" s="245"/>
      <c r="D105" s="246"/>
      <c r="E105" s="247"/>
      <c r="F105" s="24"/>
      <c r="G105" s="26"/>
      <c r="H105" s="27"/>
      <c r="I105" s="27"/>
      <c r="J105" s="27"/>
    </row>
    <row r="106" spans="1:10" x14ac:dyDescent="0.25">
      <c r="A106" s="21">
        <v>8401</v>
      </c>
      <c r="B106" s="22" t="s">
        <v>603</v>
      </c>
      <c r="C106" s="260">
        <f>5+8014.27+65722.5+54064.6+34.09+1271.09+441.51+2598.1+234.09+1831.2+101620+22828.16+219.99</f>
        <v>258884.59999999998</v>
      </c>
      <c r="D106" s="246">
        <f>4041.6+5388.77+198.01+771.72+844.28+980+1500+21027.37+483.84+4153.35+4342.8</f>
        <v>43731.74</v>
      </c>
      <c r="E106" s="247">
        <f>358.4+39534.23+2660+300+5814.99+873.19+5015.12+5433.75+61627.29+21030.23+1805.43</f>
        <v>144452.63</v>
      </c>
      <c r="F106" s="178">
        <f t="shared" si="68"/>
        <v>147341.6826</v>
      </c>
      <c r="G106" s="178">
        <f t="shared" ref="G106:G107" si="75">SUM(F106*0.02)+F106</f>
        <v>150288.516252</v>
      </c>
      <c r="H106" s="177">
        <f t="shared" ref="H106:H107" si="76">SUM(G106*0.01)+G106</f>
        <v>151791.40141451999</v>
      </c>
      <c r="I106" s="177">
        <f t="shared" ref="I106:I107" si="77">SUM(H106*0.01)+H106</f>
        <v>153309.3154286652</v>
      </c>
      <c r="J106" s="27"/>
    </row>
    <row r="107" spans="1:10" x14ac:dyDescent="0.25">
      <c r="A107" s="21">
        <v>8403</v>
      </c>
      <c r="B107" s="22" t="s">
        <v>604</v>
      </c>
      <c r="C107" s="260">
        <f>36493.24</f>
        <v>36493.24</v>
      </c>
      <c r="D107" s="246"/>
      <c r="E107" s="247">
        <f>2515.26</f>
        <v>2515.2600000000002</v>
      </c>
      <c r="F107" s="178">
        <f t="shared" si="68"/>
        <v>2565.5652</v>
      </c>
      <c r="G107" s="178">
        <f t="shared" si="75"/>
        <v>2616.8765039999998</v>
      </c>
      <c r="H107" s="177">
        <f t="shared" si="76"/>
        <v>2643.0452690399998</v>
      </c>
      <c r="I107" s="177">
        <f t="shared" si="77"/>
        <v>2669.4757217304</v>
      </c>
      <c r="J107" s="27"/>
    </row>
    <row r="108" spans="1:10" ht="15.75" thickBot="1" x14ac:dyDescent="0.3">
      <c r="A108" s="18">
        <v>88</v>
      </c>
      <c r="B108" s="30" t="s">
        <v>119</v>
      </c>
      <c r="C108" s="260"/>
      <c r="D108" s="246"/>
      <c r="E108" s="247"/>
      <c r="F108" s="24"/>
      <c r="G108" s="26"/>
      <c r="H108" s="27"/>
      <c r="I108" s="27"/>
      <c r="J108" s="27"/>
    </row>
    <row r="109" spans="1:10" x14ac:dyDescent="0.25">
      <c r="A109" s="235" t="s">
        <v>120</v>
      </c>
      <c r="B109" s="236"/>
      <c r="C109" s="174">
        <f>C64-C72</f>
        <v>-169786.40000000084</v>
      </c>
      <c r="D109" s="174">
        <f>D64-D72</f>
        <v>-1543902.6500000004</v>
      </c>
      <c r="E109" s="204">
        <f>E64-E72</f>
        <v>-1984092.3499999987</v>
      </c>
      <c r="F109" s="204">
        <f>F64-F72</f>
        <v>-2084134.8083999995</v>
      </c>
      <c r="G109" s="204">
        <f>G64-G72</f>
        <v>-2186178.1159679992</v>
      </c>
      <c r="H109" s="204">
        <f t="shared" ref="H109" si="78">H64-H72</f>
        <v>-2208039.8971276795</v>
      </c>
      <c r="I109" s="204">
        <f>I64-I72-0.01</f>
        <v>-2230120.3060989566</v>
      </c>
      <c r="J109" s="36"/>
    </row>
    <row r="110" spans="1:10" x14ac:dyDescent="0.25">
      <c r="A110" s="239" t="s">
        <v>121</v>
      </c>
      <c r="B110" s="240"/>
      <c r="C110" s="37">
        <f>+C63+C109</f>
        <v>1289854.9899999998</v>
      </c>
      <c r="D110" s="37">
        <f>+D63+D109</f>
        <v>-624895.20000000065</v>
      </c>
      <c r="E110" s="205">
        <f>+E63+E109+0.002</f>
        <v>14494.452000001351</v>
      </c>
      <c r="F110" s="205">
        <f t="shared" ref="F110:I110" si="79">+F63+F109+0.002</f>
        <v>-45576.270399999667</v>
      </c>
      <c r="G110" s="205">
        <f t="shared" si="79"/>
        <v>-106848.40724799909</v>
      </c>
      <c r="H110" s="205">
        <f t="shared" si="79"/>
        <v>-107916.89134047959</v>
      </c>
      <c r="I110" s="205">
        <f t="shared" si="79"/>
        <v>-108996.07027388491</v>
      </c>
      <c r="J110" s="37"/>
    </row>
    <row r="111" spans="1:10" x14ac:dyDescent="0.25">
      <c r="A111" s="241" t="s">
        <v>122</v>
      </c>
      <c r="B111" s="238"/>
      <c r="C111" s="172">
        <f>SUM(C112:C118)</f>
        <v>1262350.0799999998</v>
      </c>
      <c r="D111" s="172">
        <f>SUM(D112:D118)</f>
        <v>1075800.7</v>
      </c>
      <c r="E111" s="172">
        <f t="shared" ref="E111:I111" si="80">SUM(E112:E118)</f>
        <v>1163967.67</v>
      </c>
      <c r="F111" s="192">
        <f t="shared" si="80"/>
        <v>756025.68299999996</v>
      </c>
      <c r="G111" s="192">
        <f t="shared" si="80"/>
        <v>771146.19666000002</v>
      </c>
      <c r="H111" s="192">
        <f t="shared" si="80"/>
        <v>778857.65862659994</v>
      </c>
      <c r="I111" s="192">
        <f t="shared" si="80"/>
        <v>786646.23521286598</v>
      </c>
      <c r="J111" s="32"/>
    </row>
    <row r="112" spans="1:10" x14ac:dyDescent="0.25">
      <c r="A112" s="38">
        <v>27</v>
      </c>
      <c r="B112" s="34" t="s">
        <v>123</v>
      </c>
      <c r="C112" s="20"/>
      <c r="D112" s="23"/>
      <c r="E112" s="24"/>
      <c r="F112" s="25"/>
      <c r="G112" s="26"/>
      <c r="H112" s="27"/>
      <c r="I112" s="27"/>
      <c r="J112" s="27"/>
    </row>
    <row r="113" spans="1:10" x14ac:dyDescent="0.25">
      <c r="A113" s="190">
        <v>36</v>
      </c>
      <c r="B113" s="39" t="s">
        <v>124</v>
      </c>
      <c r="C113" s="20"/>
      <c r="D113" s="23"/>
      <c r="E113" s="24"/>
      <c r="F113" s="25"/>
      <c r="G113" s="26"/>
      <c r="H113" s="27"/>
      <c r="I113" s="27"/>
      <c r="J113" s="27"/>
    </row>
    <row r="114" spans="1:10" x14ac:dyDescent="0.25">
      <c r="A114" s="197">
        <v>3602</v>
      </c>
      <c r="B114" s="22" t="s">
        <v>581</v>
      </c>
      <c r="C114" s="251">
        <f>200757.6+90250+136061.99+356403.6+105625.2+63333.23+82022.8</f>
        <v>1034454.4199999999</v>
      </c>
      <c r="D114" s="246">
        <f>743487.57</f>
        <v>743487.57</v>
      </c>
      <c r="E114" s="247">
        <f>337078.37</f>
        <v>337078.37</v>
      </c>
      <c r="F114" s="178">
        <f t="shared" ref="F114" si="81">SUM(E114*0.02)+E114</f>
        <v>343819.9374</v>
      </c>
      <c r="G114" s="178">
        <f t="shared" ref="G114" si="82">SUM(F114*0.02)+F114</f>
        <v>350696.33614799997</v>
      </c>
      <c r="H114" s="177">
        <f t="shared" ref="H114:I114" si="83">SUM(G114*0.01)+G114</f>
        <v>354203.29950947996</v>
      </c>
      <c r="I114" s="177">
        <f t="shared" si="83"/>
        <v>357745.33250457473</v>
      </c>
      <c r="J114" s="196"/>
    </row>
    <row r="115" spans="1:10" x14ac:dyDescent="0.25">
      <c r="A115" s="33">
        <v>37</v>
      </c>
      <c r="B115" s="34" t="s">
        <v>125</v>
      </c>
      <c r="C115" s="245"/>
      <c r="D115" s="246"/>
      <c r="E115" s="247"/>
      <c r="F115" s="24"/>
      <c r="G115" s="26"/>
      <c r="H115" s="27"/>
      <c r="I115" s="27"/>
      <c r="J115" s="27"/>
    </row>
    <row r="116" spans="1:10" x14ac:dyDescent="0.25">
      <c r="A116" s="170">
        <v>3701</v>
      </c>
      <c r="B116" s="22" t="s">
        <v>609</v>
      </c>
      <c r="C116" s="245"/>
      <c r="D116" s="246"/>
      <c r="E116" s="247">
        <f>422766.02</f>
        <v>422766.02</v>
      </c>
      <c r="F116" s="24"/>
      <c r="G116" s="178"/>
      <c r="H116" s="177"/>
      <c r="I116" s="177"/>
      <c r="J116" s="27"/>
    </row>
    <row r="117" spans="1:10" x14ac:dyDescent="0.25">
      <c r="A117" s="191">
        <v>38</v>
      </c>
      <c r="B117" s="34" t="s">
        <v>126</v>
      </c>
      <c r="C117" s="245"/>
      <c r="D117" s="246"/>
      <c r="E117" s="247"/>
      <c r="F117" s="24"/>
      <c r="G117" s="26"/>
      <c r="H117" s="27"/>
      <c r="I117" s="27"/>
      <c r="J117" s="27"/>
    </row>
    <row r="118" spans="1:10" x14ac:dyDescent="0.25">
      <c r="A118" s="197">
        <v>3801</v>
      </c>
      <c r="B118" s="22" t="s">
        <v>582</v>
      </c>
      <c r="C118" s="251">
        <f>196168.22+31727.44</f>
        <v>227895.66</v>
      </c>
      <c r="D118" s="246">
        <f>332313.13</f>
        <v>332313.13</v>
      </c>
      <c r="E118" s="247">
        <v>404123.28</v>
      </c>
      <c r="F118" s="178">
        <f t="shared" ref="F118" si="84">SUM(E118*0.02)+E118</f>
        <v>412205.74560000002</v>
      </c>
      <c r="G118" s="178">
        <f t="shared" ref="G118" si="85">SUM(F118*0.02)+F118</f>
        <v>420449.86051200004</v>
      </c>
      <c r="H118" s="177">
        <f t="shared" ref="H118" si="86">SUM(G118*0.01)+G118</f>
        <v>424654.35911712004</v>
      </c>
      <c r="I118" s="177">
        <f t="shared" ref="I118" si="87">SUM(H118*0.01)+H118</f>
        <v>428900.90270829125</v>
      </c>
      <c r="J118" s="27"/>
    </row>
    <row r="119" spans="1:10" x14ac:dyDescent="0.25">
      <c r="A119" s="232" t="s">
        <v>127</v>
      </c>
      <c r="B119" s="237"/>
      <c r="C119" s="172">
        <f>SUM(C121:C125)</f>
        <v>744946.27</v>
      </c>
      <c r="D119" s="172">
        <f>SUM(D121:D125)</f>
        <v>780263.62</v>
      </c>
      <c r="E119" s="172">
        <f t="shared" ref="E119:I119" si="88">SUM(E121:E125)</f>
        <v>445735.08999999997</v>
      </c>
      <c r="F119" s="172">
        <f t="shared" si="88"/>
        <v>454649.79180000001</v>
      </c>
      <c r="G119" s="172">
        <f t="shared" si="88"/>
        <v>316577.26</v>
      </c>
      <c r="H119" s="172">
        <f t="shared" si="88"/>
        <v>268243.03000000003</v>
      </c>
      <c r="I119" s="192">
        <f t="shared" si="88"/>
        <v>270925.46030000004</v>
      </c>
      <c r="J119" s="32"/>
    </row>
    <row r="120" spans="1:10" x14ac:dyDescent="0.25">
      <c r="A120" s="33">
        <v>87</v>
      </c>
      <c r="B120" s="34" t="s">
        <v>128</v>
      </c>
      <c r="C120" s="20"/>
      <c r="D120" s="23"/>
      <c r="E120" s="24"/>
      <c r="F120" s="25"/>
      <c r="G120" s="26"/>
      <c r="H120" s="27"/>
      <c r="I120" s="27"/>
      <c r="J120" s="27"/>
    </row>
    <row r="121" spans="1:10" x14ac:dyDescent="0.25">
      <c r="A121" s="33">
        <v>96</v>
      </c>
      <c r="B121" s="34" t="s">
        <v>129</v>
      </c>
      <c r="C121" s="20"/>
      <c r="D121" s="23"/>
      <c r="E121" s="24"/>
      <c r="F121" s="25"/>
      <c r="G121" s="26"/>
      <c r="H121" s="27"/>
      <c r="I121" s="27"/>
      <c r="J121" s="27"/>
    </row>
    <row r="122" spans="1:10" ht="36.75" x14ac:dyDescent="0.25">
      <c r="A122" s="21">
        <v>9602</v>
      </c>
      <c r="B122" s="22" t="s">
        <v>605</v>
      </c>
      <c r="C122" s="261">
        <v>224321.34</v>
      </c>
      <c r="D122" s="246">
        <v>110747.35</v>
      </c>
      <c r="E122" s="247">
        <v>163311.04000000001</v>
      </c>
      <c r="F122" s="178">
        <f t="shared" ref="F122:F124" si="89">SUM(E122*0.02)+E122</f>
        <v>166577.26080000002</v>
      </c>
      <c r="G122" s="178">
        <v>166577.26</v>
      </c>
      <c r="H122" s="177">
        <v>168243.03</v>
      </c>
      <c r="I122" s="177">
        <f t="shared" ref="I122" si="90">SUM(H122*0.01)+H122</f>
        <v>169925.46030000001</v>
      </c>
      <c r="J122" s="196" t="s">
        <v>625</v>
      </c>
    </row>
    <row r="123" spans="1:10" x14ac:dyDescent="0.25">
      <c r="A123" s="33">
        <v>97</v>
      </c>
      <c r="B123" s="34" t="s">
        <v>130</v>
      </c>
      <c r="C123" s="245"/>
      <c r="D123" s="246"/>
      <c r="E123" s="247"/>
      <c r="F123" s="24"/>
      <c r="G123" s="26"/>
      <c r="H123" s="27"/>
      <c r="I123" s="27"/>
      <c r="J123" s="27"/>
    </row>
    <row r="124" spans="1:10" x14ac:dyDescent="0.25">
      <c r="A124" s="21">
        <v>9701</v>
      </c>
      <c r="B124" s="22" t="s">
        <v>606</v>
      </c>
      <c r="C124" s="261">
        <v>520624.93</v>
      </c>
      <c r="D124" s="246">
        <v>669516.27</v>
      </c>
      <c r="E124" s="247">
        <v>282424.05</v>
      </c>
      <c r="F124" s="178">
        <f t="shared" si="89"/>
        <v>288072.53099999996</v>
      </c>
      <c r="G124" s="178">
        <v>150000</v>
      </c>
      <c r="H124" s="177">
        <v>100000</v>
      </c>
      <c r="I124" s="177">
        <f t="shared" ref="I124" si="91">SUM(H124*0.01)+H124</f>
        <v>101000</v>
      </c>
      <c r="J124" s="27"/>
    </row>
    <row r="125" spans="1:10" ht="15.75" thickBot="1" x14ac:dyDescent="0.3">
      <c r="A125" s="40">
        <v>99</v>
      </c>
      <c r="B125" s="41" t="s">
        <v>131</v>
      </c>
      <c r="C125" s="20"/>
      <c r="D125" s="23"/>
      <c r="E125" s="24"/>
      <c r="F125" s="25"/>
      <c r="G125" s="26"/>
      <c r="H125" s="27"/>
      <c r="I125" s="27"/>
      <c r="J125" s="27"/>
    </row>
    <row r="126" spans="1:10" ht="15.75" thickBot="1" x14ac:dyDescent="0.3">
      <c r="A126" s="242" t="s">
        <v>132</v>
      </c>
      <c r="B126" s="243"/>
      <c r="C126" s="42">
        <f>+C111-C119</f>
        <v>517403.80999999982</v>
      </c>
      <c r="D126" s="42">
        <f>+D111-D119</f>
        <v>295537.07999999996</v>
      </c>
      <c r="E126" s="42">
        <f t="shared" ref="E126:I126" si="92">+E111-E119</f>
        <v>718232.58</v>
      </c>
      <c r="F126" s="42">
        <f t="shared" si="92"/>
        <v>301375.89119999995</v>
      </c>
      <c r="G126" s="42">
        <f t="shared" si="92"/>
        <v>454568.93666000001</v>
      </c>
      <c r="H126" s="42">
        <f t="shared" si="92"/>
        <v>510614.62862659991</v>
      </c>
      <c r="I126" s="201">
        <f t="shared" si="92"/>
        <v>515720.77491286595</v>
      </c>
      <c r="J126" s="42"/>
    </row>
    <row r="127" spans="1:10" s="45" customFormat="1" x14ac:dyDescent="0.25">
      <c r="A127" s="43"/>
      <c r="B127" s="43"/>
      <c r="C127" s="44"/>
      <c r="D127" s="44"/>
      <c r="E127" s="44"/>
      <c r="F127" s="44"/>
      <c r="G127" s="44"/>
      <c r="H127" s="44"/>
    </row>
    <row r="128" spans="1:10" s="45" customFormat="1" ht="15.75" thickBot="1" x14ac:dyDescent="0.3">
      <c r="A128" s="127" t="s">
        <v>133</v>
      </c>
      <c r="B128" s="128"/>
      <c r="C128" s="176">
        <f t="shared" ref="C128:I128" si="93">SUM(C111+C119)/(C9+C64)*100</f>
        <v>27.808210057502404</v>
      </c>
      <c r="D128" s="176">
        <f t="shared" si="93"/>
        <v>25.161891503720728</v>
      </c>
      <c r="E128" s="176">
        <f t="shared" si="93"/>
        <v>21.613327205042921</v>
      </c>
      <c r="F128" s="176">
        <f t="shared" si="93"/>
        <v>16.064530840276163</v>
      </c>
      <c r="G128" s="176">
        <f t="shared" si="93"/>
        <v>14.262060341298078</v>
      </c>
      <c r="H128" s="176">
        <f t="shared" si="93"/>
        <v>13.59348608085579</v>
      </c>
      <c r="I128" s="176">
        <f t="shared" si="93"/>
        <v>13.593486080855794</v>
      </c>
    </row>
    <row r="129" spans="1:9" s="45" customFormat="1" x14ac:dyDescent="0.25">
      <c r="A129" s="46"/>
      <c r="B129" s="47"/>
      <c r="C129" s="47"/>
      <c r="D129" s="47"/>
      <c r="E129" s="47"/>
      <c r="F129" s="175"/>
      <c r="G129" s="47"/>
      <c r="H129" s="47"/>
      <c r="I129" s="48"/>
    </row>
    <row r="130" spans="1:9" s="45" customFormat="1" ht="15.75" thickBot="1" x14ac:dyDescent="0.3">
      <c r="A130" s="49"/>
      <c r="B130" s="50"/>
      <c r="C130" s="51"/>
      <c r="D130" s="51"/>
      <c r="E130" s="51"/>
      <c r="F130" s="51"/>
      <c r="G130" s="51"/>
      <c r="H130" s="51"/>
      <c r="I130" s="52"/>
    </row>
    <row r="131" spans="1:9" s="45" customFormat="1" x14ac:dyDescent="0.25">
      <c r="A131" s="43"/>
      <c r="B131" s="43"/>
      <c r="C131" s="44"/>
      <c r="D131" s="44"/>
      <c r="E131" s="44"/>
      <c r="F131" s="44"/>
      <c r="G131" s="44"/>
      <c r="H131" s="44"/>
    </row>
    <row r="132" spans="1:9" x14ac:dyDescent="0.25">
      <c r="A132" s="53" t="s">
        <v>134</v>
      </c>
    </row>
    <row r="133" spans="1:9" x14ac:dyDescent="0.25">
      <c r="A133" s="53" t="s">
        <v>135</v>
      </c>
    </row>
    <row r="134" spans="1:9" x14ac:dyDescent="0.25">
      <c r="A134" s="53" t="s">
        <v>136</v>
      </c>
    </row>
    <row r="135" spans="1:9" x14ac:dyDescent="0.25">
      <c r="A135" s="53" t="s">
        <v>31</v>
      </c>
    </row>
    <row r="136" spans="1:9" x14ac:dyDescent="0.25">
      <c r="A136" s="53"/>
    </row>
    <row r="140" spans="1:9" x14ac:dyDescent="0.25">
      <c r="A140" s="212" t="s">
        <v>137</v>
      </c>
      <c r="B140" s="212"/>
      <c r="C140" s="212"/>
      <c r="E140" s="212" t="s">
        <v>32</v>
      </c>
      <c r="F140" s="212"/>
      <c r="G140" s="212"/>
    </row>
    <row r="141" spans="1:9" x14ac:dyDescent="0.25">
      <c r="A141" s="54"/>
      <c r="B141" s="54" t="s">
        <v>629</v>
      </c>
      <c r="E141" s="54" t="s">
        <v>630</v>
      </c>
    </row>
    <row r="143" spans="1:9" x14ac:dyDescent="0.25">
      <c r="A143" s="54" t="s">
        <v>633</v>
      </c>
    </row>
    <row r="144" spans="1:9" x14ac:dyDescent="0.25">
      <c r="A144" s="54" t="s">
        <v>33</v>
      </c>
    </row>
  </sheetData>
  <mergeCells count="20">
    <mergeCell ref="E140:G140"/>
    <mergeCell ref="A9:B9"/>
    <mergeCell ref="A33:B33"/>
    <mergeCell ref="A63:B63"/>
    <mergeCell ref="A64:B64"/>
    <mergeCell ref="A72:B72"/>
    <mergeCell ref="A109:B109"/>
    <mergeCell ref="A110:B110"/>
    <mergeCell ref="A111:B111"/>
    <mergeCell ref="A119:B119"/>
    <mergeCell ref="A126:B126"/>
    <mergeCell ref="A140:C140"/>
    <mergeCell ref="J6:J8"/>
    <mergeCell ref="A1:H1"/>
    <mergeCell ref="A2:H2"/>
    <mergeCell ref="A4:H4"/>
    <mergeCell ref="A5:H5"/>
    <mergeCell ref="A6:B7"/>
    <mergeCell ref="C6:E7"/>
    <mergeCell ref="F6:I7"/>
  </mergeCells>
  <printOptions horizontalCentered="1"/>
  <pageMargins left="0" right="0" top="0.75" bottom="0.75" header="0.3" footer="0.3"/>
  <pageSetup paperSize="9" scale="63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0" workbookViewId="0">
      <selection activeCell="D34" sqref="D34"/>
    </sheetView>
  </sheetViews>
  <sheetFormatPr baseColWidth="10" defaultRowHeight="12.75" x14ac:dyDescent="0.2"/>
  <cols>
    <col min="1" max="1" width="24" customWidth="1"/>
  </cols>
  <sheetData>
    <row r="1" spans="1:6" x14ac:dyDescent="0.2">
      <c r="B1">
        <v>2014</v>
      </c>
      <c r="C1" s="244">
        <v>2015</v>
      </c>
      <c r="D1" s="244"/>
      <c r="E1">
        <v>2016</v>
      </c>
      <c r="F1">
        <v>2017</v>
      </c>
    </row>
    <row r="2" spans="1:6" x14ac:dyDescent="0.2">
      <c r="A2" s="144" t="s">
        <v>544</v>
      </c>
      <c r="B2">
        <v>88370.42</v>
      </c>
      <c r="C2">
        <v>100514</v>
      </c>
      <c r="D2">
        <v>99098</v>
      </c>
      <c r="E2">
        <v>102230</v>
      </c>
      <c r="F2">
        <v>104318</v>
      </c>
    </row>
    <row r="3" spans="1:6" x14ac:dyDescent="0.2">
      <c r="A3" s="144" t="s">
        <v>545</v>
      </c>
      <c r="B3">
        <v>84911.16</v>
      </c>
      <c r="C3">
        <v>129936.74</v>
      </c>
    </row>
    <row r="4" spans="1:6" x14ac:dyDescent="0.2">
      <c r="A4" s="144"/>
      <c r="C4">
        <f>2184.94+1964.14+112.82+1964.14+137.66+1827.03+131.47+1827.03+154.35+1827.03+196.11+1827.03+165.5</f>
        <v>14319.250000000002</v>
      </c>
    </row>
    <row r="5" spans="1:6" x14ac:dyDescent="0.2">
      <c r="A5" s="144"/>
    </row>
    <row r="6" spans="1:6" x14ac:dyDescent="0.2">
      <c r="A6" s="144" t="s">
        <v>546</v>
      </c>
      <c r="B6">
        <v>53380</v>
      </c>
      <c r="C6">
        <f>63248+3718.5</f>
        <v>66966.5</v>
      </c>
    </row>
    <row r="11" spans="1:6" x14ac:dyDescent="0.2">
      <c r="A11" t="s">
        <v>547</v>
      </c>
      <c r="B11">
        <f>174*366</f>
        <v>63684</v>
      </c>
      <c r="D11" t="s">
        <v>548</v>
      </c>
    </row>
    <row r="12" spans="1:6" x14ac:dyDescent="0.2">
      <c r="A12" t="s">
        <v>549</v>
      </c>
      <c r="B12">
        <f>174*380</f>
        <v>66120</v>
      </c>
      <c r="D12" t="s">
        <v>550</v>
      </c>
    </row>
    <row r="15" spans="1:6" x14ac:dyDescent="0.2">
      <c r="A15" t="s">
        <v>551</v>
      </c>
      <c r="B15">
        <f>'FORMULARIO 3'!G185/12</f>
        <v>8519.1666666666661</v>
      </c>
    </row>
    <row r="16" spans="1:6" x14ac:dyDescent="0.2">
      <c r="A16" t="s">
        <v>552</v>
      </c>
      <c r="B16" t="e">
        <f>'FORMULARIO 3'!#REF!/12</f>
        <v>#REF!</v>
      </c>
    </row>
    <row r="19" spans="1:4" x14ac:dyDescent="0.2">
      <c r="A19" t="s">
        <v>554</v>
      </c>
      <c r="B19">
        <f>(((3*22)*12)*188)</f>
        <v>148896</v>
      </c>
      <c r="D19" t="s">
        <v>555</v>
      </c>
    </row>
    <row r="20" spans="1:4" x14ac:dyDescent="0.2">
      <c r="A20" t="s">
        <v>557</v>
      </c>
      <c r="B20">
        <f>(((3*22)*12)*176)</f>
        <v>139392</v>
      </c>
      <c r="D20" t="s">
        <v>556</v>
      </c>
    </row>
    <row r="23" spans="1:4" x14ac:dyDescent="0.2">
      <c r="A23" t="s">
        <v>558</v>
      </c>
      <c r="B23">
        <f>(((4*22)*12)*174)</f>
        <v>183744</v>
      </c>
      <c r="D23" t="s">
        <v>559</v>
      </c>
    </row>
    <row r="24" spans="1:4" x14ac:dyDescent="0.2">
      <c r="A24" t="s">
        <v>560</v>
      </c>
      <c r="B24">
        <f>(((4*22)*12)*174)</f>
        <v>183744</v>
      </c>
      <c r="D24" t="s">
        <v>559</v>
      </c>
    </row>
    <row r="26" spans="1:4" x14ac:dyDescent="0.2">
      <c r="A26" t="s">
        <v>561</v>
      </c>
      <c r="B26">
        <f>(((0.5*22)*12)*188)</f>
        <v>24816</v>
      </c>
      <c r="D26" t="s">
        <v>563</v>
      </c>
    </row>
    <row r="27" spans="1:4" x14ac:dyDescent="0.2">
      <c r="A27" t="s">
        <v>562</v>
      </c>
      <c r="B27">
        <f>(((0.5*22)*12)*176)</f>
        <v>23232</v>
      </c>
      <c r="D27" t="s">
        <v>564</v>
      </c>
    </row>
    <row r="29" spans="1:4" x14ac:dyDescent="0.2">
      <c r="A29" t="s">
        <v>565</v>
      </c>
      <c r="B29">
        <f>(((0.5*22)*12)*174)</f>
        <v>22968</v>
      </c>
      <c r="D29" t="s">
        <v>567</v>
      </c>
    </row>
    <row r="30" spans="1:4" x14ac:dyDescent="0.2">
      <c r="A30" t="s">
        <v>566</v>
      </c>
      <c r="B30">
        <f>(((0.5*22)*12)*174)</f>
        <v>22968</v>
      </c>
      <c r="D30" t="s">
        <v>567</v>
      </c>
    </row>
    <row r="33" spans="1:4" x14ac:dyDescent="0.2">
      <c r="A33" t="s">
        <v>568</v>
      </c>
      <c r="B33">
        <v>102.66</v>
      </c>
      <c r="D33" s="144" t="s">
        <v>569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FORMULARIO 1</vt:lpstr>
      <vt:lpstr>FORMULARIO 2</vt:lpstr>
      <vt:lpstr>FORMULARIO 3</vt:lpstr>
      <vt:lpstr>FORMULARIO 4</vt:lpstr>
      <vt:lpstr>Hoja2</vt:lpstr>
      <vt:lpstr>'FORMULARIO 1'!Área_de_impresión</vt:lpstr>
      <vt:lpstr>'FORMULARIO 2'!Área_de_impresión</vt:lpstr>
    </vt:vector>
  </TitlesOfParts>
  <Manager/>
  <Company>C.A.C.S.M.Bancos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Vicente</dc:creator>
  <cp:keywords/>
  <dc:description/>
  <cp:lastModifiedBy>YADIRA</cp:lastModifiedBy>
  <cp:revision/>
  <cp:lastPrinted>2016-12-01T19:43:46Z</cp:lastPrinted>
  <dcterms:created xsi:type="dcterms:W3CDTF">2001-11-14T15:50:59Z</dcterms:created>
  <dcterms:modified xsi:type="dcterms:W3CDTF">2016-12-01T19:55:16Z</dcterms:modified>
  <cp:category/>
  <cp:contentStatus/>
</cp:coreProperties>
</file>