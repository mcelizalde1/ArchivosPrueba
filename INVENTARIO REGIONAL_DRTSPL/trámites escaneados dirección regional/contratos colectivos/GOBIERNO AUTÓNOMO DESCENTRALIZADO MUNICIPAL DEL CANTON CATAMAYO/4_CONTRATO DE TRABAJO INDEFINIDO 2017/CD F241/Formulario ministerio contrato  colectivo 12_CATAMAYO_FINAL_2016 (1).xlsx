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is Documentos\CONTRATO COLECTIVO\"/>
    </mc:Choice>
  </mc:AlternateContent>
  <bookViews>
    <workbookView xWindow="0" yWindow="0" windowWidth="16995" windowHeight="8280" tabRatio="685" activeTab="3"/>
  </bookViews>
  <sheets>
    <sheet name="FORMULARIO 1" sheetId="21" r:id="rId1"/>
    <sheet name="FORMULARIO 2" sheetId="20" r:id="rId2"/>
    <sheet name="FORMULARIO 3" sheetId="23" r:id="rId3"/>
    <sheet name="FORMULARIO 4" sheetId="24" r:id="rId4"/>
    <sheet name="Hoja2" sheetId="26" state="hidden" r:id="rId5"/>
  </sheets>
  <definedNames>
    <definedName name="_xlnm.Print_Area" localSheetId="0">'FORMULARIO 1'!$A$1:$E$51</definedName>
    <definedName name="_xlnm.Print_Area" localSheetId="1">'FORMULARIO 2'!$A$1:$E$54</definedName>
  </definedNames>
  <calcPr calcId="152511"/>
</workbook>
</file>

<file path=xl/calcChain.xml><?xml version="1.0" encoding="utf-8"?>
<calcChain xmlns="http://schemas.openxmlformats.org/spreadsheetml/2006/main">
  <c r="I124" i="24" l="1"/>
  <c r="I122" i="24"/>
  <c r="I118" i="24"/>
  <c r="I116" i="24"/>
  <c r="I111" i="24" s="1"/>
  <c r="I114" i="24"/>
  <c r="I107" i="24"/>
  <c r="I106" i="24"/>
  <c r="I104" i="24"/>
  <c r="I103" i="24"/>
  <c r="I101" i="24"/>
  <c r="I98" i="24"/>
  <c r="I97" i="24"/>
  <c r="I94" i="24"/>
  <c r="I92" i="24"/>
  <c r="I91" i="24"/>
  <c r="I90" i="24"/>
  <c r="I89" i="24"/>
  <c r="I88" i="24"/>
  <c r="I87" i="24"/>
  <c r="I84" i="24"/>
  <c r="I83" i="24"/>
  <c r="I82" i="24"/>
  <c r="I81" i="24"/>
  <c r="I80" i="24"/>
  <c r="I79" i="24"/>
  <c r="I78" i="24"/>
  <c r="I75" i="24"/>
  <c r="I71" i="24"/>
  <c r="I70" i="24"/>
  <c r="I69" i="24"/>
  <c r="I68" i="24"/>
  <c r="I66" i="24"/>
  <c r="I61" i="24"/>
  <c r="I60" i="24"/>
  <c r="I58" i="24"/>
  <c r="I57" i="24"/>
  <c r="I55" i="24"/>
  <c r="I54" i="24"/>
  <c r="I51" i="24"/>
  <c r="I50" i="24"/>
  <c r="I49" i="24"/>
  <c r="I48" i="24"/>
  <c r="I47" i="24"/>
  <c r="I46" i="24"/>
  <c r="I45" i="24"/>
  <c r="I44" i="24"/>
  <c r="I33" i="24" s="1"/>
  <c r="I41" i="24"/>
  <c r="I40" i="24"/>
  <c r="I39" i="24"/>
  <c r="I36" i="24"/>
  <c r="I35" i="24"/>
  <c r="I28" i="24"/>
  <c r="I26" i="24"/>
  <c r="I25" i="24"/>
  <c r="I22" i="24"/>
  <c r="I21" i="24"/>
  <c r="I19" i="24"/>
  <c r="I16" i="24"/>
  <c r="I14" i="24"/>
  <c r="I13" i="24"/>
  <c r="I12" i="24"/>
  <c r="I11" i="24"/>
  <c r="H122" i="24"/>
  <c r="H111" i="24"/>
  <c r="H116" i="24"/>
  <c r="H114" i="24"/>
  <c r="H107" i="24"/>
  <c r="H106" i="24"/>
  <c r="H104" i="24"/>
  <c r="H103" i="24"/>
  <c r="H101" i="24"/>
  <c r="H98" i="24"/>
  <c r="H97" i="24"/>
  <c r="H94" i="24"/>
  <c r="H92" i="24"/>
  <c r="H91" i="24"/>
  <c r="H90" i="24"/>
  <c r="H89" i="24"/>
  <c r="H88" i="24"/>
  <c r="H87" i="24"/>
  <c r="H84" i="24"/>
  <c r="H83" i="24"/>
  <c r="H82" i="24"/>
  <c r="H81" i="24"/>
  <c r="H80" i="24"/>
  <c r="H79" i="24"/>
  <c r="H78" i="24"/>
  <c r="H75" i="24"/>
  <c r="H71" i="24"/>
  <c r="H70" i="24"/>
  <c r="H69" i="24"/>
  <c r="H68" i="24"/>
  <c r="H64" i="24" s="1"/>
  <c r="H66" i="24"/>
  <c r="H61" i="24"/>
  <c r="H60" i="24"/>
  <c r="H58" i="24"/>
  <c r="H57" i="24"/>
  <c r="H55" i="24"/>
  <c r="H54" i="24"/>
  <c r="H51" i="24"/>
  <c r="H50" i="24"/>
  <c r="H49" i="24"/>
  <c r="H48" i="24"/>
  <c r="H47" i="24"/>
  <c r="H46" i="24"/>
  <c r="H45" i="24"/>
  <c r="H44" i="24"/>
  <c r="H33" i="24" s="1"/>
  <c r="H41" i="24"/>
  <c r="H40" i="24"/>
  <c r="H39" i="24"/>
  <c r="H36" i="24"/>
  <c r="H35" i="24"/>
  <c r="H28" i="24"/>
  <c r="H26" i="24"/>
  <c r="H25" i="24"/>
  <c r="H22" i="24"/>
  <c r="H21" i="24"/>
  <c r="H19" i="24"/>
  <c r="H16" i="24"/>
  <c r="H14" i="24"/>
  <c r="H13" i="24"/>
  <c r="H12" i="24"/>
  <c r="H11" i="24"/>
  <c r="H119" i="24"/>
  <c r="G122" i="24"/>
  <c r="G116" i="24"/>
  <c r="G111" i="24" s="1"/>
  <c r="G114" i="24"/>
  <c r="G107" i="24"/>
  <c r="G106" i="24"/>
  <c r="G104" i="24"/>
  <c r="G103" i="24"/>
  <c r="G101" i="24"/>
  <c r="G98" i="24"/>
  <c r="G97" i="24"/>
  <c r="G94" i="24"/>
  <c r="G92" i="24"/>
  <c r="G91" i="24"/>
  <c r="G90" i="24"/>
  <c r="G89" i="24"/>
  <c r="G88" i="24"/>
  <c r="G87" i="24"/>
  <c r="G84" i="24"/>
  <c r="G83" i="24"/>
  <c r="G82" i="24"/>
  <c r="G81" i="24"/>
  <c r="G80" i="24"/>
  <c r="G79" i="24"/>
  <c r="G78" i="24"/>
  <c r="G75" i="24"/>
  <c r="G71" i="24"/>
  <c r="G70" i="24"/>
  <c r="G69" i="24"/>
  <c r="G68" i="24"/>
  <c r="G64" i="24" s="1"/>
  <c r="G66" i="24"/>
  <c r="G61" i="24"/>
  <c r="G60" i="24"/>
  <c r="G58" i="24"/>
  <c r="G57" i="24"/>
  <c r="G55" i="24"/>
  <c r="G54" i="24"/>
  <c r="G51" i="24"/>
  <c r="G50" i="24"/>
  <c r="G49" i="24"/>
  <c r="G48" i="24"/>
  <c r="G47" i="24"/>
  <c r="G46" i="24"/>
  <c r="G45" i="24"/>
  <c r="G44" i="24"/>
  <c r="G33" i="24" s="1"/>
  <c r="G41" i="24"/>
  <c r="G40" i="24"/>
  <c r="G39" i="24"/>
  <c r="G36" i="24"/>
  <c r="G35" i="24"/>
  <c r="G28" i="24"/>
  <c r="G26" i="24"/>
  <c r="G25" i="24"/>
  <c r="G9" i="24" s="1"/>
  <c r="G22" i="24"/>
  <c r="G21" i="24"/>
  <c r="G19" i="24"/>
  <c r="G16" i="24"/>
  <c r="G14" i="24"/>
  <c r="G13" i="24"/>
  <c r="G12" i="24"/>
  <c r="G11" i="24"/>
  <c r="F128" i="24"/>
  <c r="F9" i="24"/>
  <c r="F126" i="24"/>
  <c r="F114" i="24"/>
  <c r="F106" i="24"/>
  <c r="F103" i="24"/>
  <c r="F98" i="24"/>
  <c r="F97" i="24"/>
  <c r="F94" i="24"/>
  <c r="F92" i="24"/>
  <c r="F91" i="24"/>
  <c r="F90" i="24"/>
  <c r="F89" i="24"/>
  <c r="F88" i="24"/>
  <c r="F87" i="24"/>
  <c r="F83" i="24"/>
  <c r="F82" i="24"/>
  <c r="F81" i="24"/>
  <c r="F80" i="24"/>
  <c r="F79" i="24"/>
  <c r="F78" i="24"/>
  <c r="F71" i="24"/>
  <c r="F69" i="24"/>
  <c r="F68" i="24"/>
  <c r="F66" i="24"/>
  <c r="F61" i="24"/>
  <c r="F60" i="24"/>
  <c r="F58" i="24"/>
  <c r="F57" i="24"/>
  <c r="F54" i="24"/>
  <c r="F51" i="24"/>
  <c r="F49" i="24"/>
  <c r="F48" i="24"/>
  <c r="F47" i="24"/>
  <c r="F46" i="24"/>
  <c r="F45" i="24"/>
  <c r="F44" i="24"/>
  <c r="F41" i="24"/>
  <c r="F40" i="24"/>
  <c r="F39" i="24"/>
  <c r="F36" i="24"/>
  <c r="F33" i="24" s="1"/>
  <c r="F35" i="24"/>
  <c r="F26" i="24"/>
  <c r="F25" i="24"/>
  <c r="F22" i="24"/>
  <c r="F21" i="24"/>
  <c r="F19" i="24"/>
  <c r="F16" i="24"/>
  <c r="F12" i="24"/>
  <c r="F11" i="24"/>
  <c r="E128" i="24"/>
  <c r="E126" i="24"/>
  <c r="I119" i="24"/>
  <c r="F119" i="24"/>
  <c r="E119" i="24"/>
  <c r="F111" i="24"/>
  <c r="E111" i="24"/>
  <c r="E109" i="24"/>
  <c r="E110" i="24" s="1"/>
  <c r="F72" i="24"/>
  <c r="E72" i="24"/>
  <c r="I64" i="24"/>
  <c r="F64" i="24"/>
  <c r="E64" i="24"/>
  <c r="E63" i="24"/>
  <c r="E33" i="24"/>
  <c r="E9" i="24"/>
  <c r="E106" i="24"/>
  <c r="E103" i="24"/>
  <c r="E98" i="24"/>
  <c r="E97" i="24"/>
  <c r="E94" i="24"/>
  <c r="E92" i="24"/>
  <c r="E91" i="24"/>
  <c r="E90" i="24"/>
  <c r="E89" i="24"/>
  <c r="E88" i="24"/>
  <c r="E87" i="24"/>
  <c r="E83" i="24"/>
  <c r="E82" i="24"/>
  <c r="E81" i="24"/>
  <c r="E80" i="24"/>
  <c r="E79" i="24"/>
  <c r="E78" i="24"/>
  <c r="E61" i="24"/>
  <c r="E60" i="24"/>
  <c r="E58" i="24"/>
  <c r="E57" i="24"/>
  <c r="E54" i="24"/>
  <c r="E51" i="24"/>
  <c r="E49" i="24"/>
  <c r="E48" i="24"/>
  <c r="E47" i="24"/>
  <c r="E46" i="24"/>
  <c r="E45" i="24"/>
  <c r="E44" i="24"/>
  <c r="E41" i="24"/>
  <c r="E40" i="24"/>
  <c r="E39" i="24"/>
  <c r="E36" i="24"/>
  <c r="E35" i="24"/>
  <c r="E114" i="24"/>
  <c r="E71" i="24"/>
  <c r="E70" i="24"/>
  <c r="E69" i="24"/>
  <c r="E68" i="24"/>
  <c r="E66" i="24"/>
  <c r="E28" i="24"/>
  <c r="E26" i="24"/>
  <c r="E25" i="24"/>
  <c r="E22" i="24"/>
  <c r="E21" i="24"/>
  <c r="E19" i="24"/>
  <c r="E16" i="24"/>
  <c r="E12" i="24"/>
  <c r="E11" i="24"/>
  <c r="I126" i="24" l="1"/>
  <c r="I72" i="24"/>
  <c r="I109" i="24" s="1"/>
  <c r="I9" i="24"/>
  <c r="I63" i="24" s="1"/>
  <c r="G119" i="24"/>
  <c r="G126" i="24" s="1"/>
  <c r="H126" i="24"/>
  <c r="H72" i="24"/>
  <c r="H109" i="24" s="1"/>
  <c r="H9" i="24"/>
  <c r="H63" i="24" s="1"/>
  <c r="G72" i="24"/>
  <c r="G109" i="24" s="1"/>
  <c r="G63" i="24"/>
  <c r="G128" i="24"/>
  <c r="F109" i="24"/>
  <c r="F63" i="24"/>
  <c r="I110" i="24" l="1"/>
  <c r="I128" i="24"/>
  <c r="H110" i="24"/>
  <c r="H128" i="24"/>
  <c r="G110" i="24"/>
  <c r="F110" i="24"/>
  <c r="D128" i="24" l="1"/>
  <c r="D126" i="24"/>
  <c r="D119" i="24"/>
  <c r="D111" i="24"/>
  <c r="D109" i="24"/>
  <c r="D110" i="24" s="1"/>
  <c r="D72" i="24"/>
  <c r="D64" i="24"/>
  <c r="D63" i="24"/>
  <c r="D33" i="24"/>
  <c r="D9" i="24"/>
  <c r="D106" i="24"/>
  <c r="D104" i="24"/>
  <c r="D103" i="24"/>
  <c r="D98" i="24"/>
  <c r="D97" i="24"/>
  <c r="D94" i="24"/>
  <c r="D92" i="24"/>
  <c r="D91" i="24"/>
  <c r="D90" i="24"/>
  <c r="D89" i="24"/>
  <c r="D88" i="24"/>
  <c r="D87" i="24"/>
  <c r="D84" i="24"/>
  <c r="D83" i="24"/>
  <c r="D82" i="24"/>
  <c r="D79" i="24"/>
  <c r="D78" i="24"/>
  <c r="D58" i="24"/>
  <c r="D51" i="24"/>
  <c r="D49" i="24"/>
  <c r="D48" i="24"/>
  <c r="D47" i="24"/>
  <c r="D46" i="24"/>
  <c r="D45" i="24"/>
  <c r="D44" i="24"/>
  <c r="D41" i="24"/>
  <c r="D40" i="24"/>
  <c r="D39" i="24"/>
  <c r="D36" i="24"/>
  <c r="D35" i="24"/>
  <c r="D118" i="24"/>
  <c r="D68" i="24"/>
  <c r="D66" i="24"/>
  <c r="D28" i="24"/>
  <c r="D26" i="24"/>
  <c r="D25" i="24"/>
  <c r="D22" i="24"/>
  <c r="D21" i="24"/>
  <c r="D19" i="24"/>
  <c r="D16" i="24"/>
  <c r="D14" i="24"/>
  <c r="D12" i="24"/>
  <c r="D11" i="24"/>
  <c r="C128" i="24"/>
  <c r="C111" i="24"/>
  <c r="C64" i="24"/>
  <c r="C119" i="24"/>
  <c r="C107" i="24"/>
  <c r="C106" i="24"/>
  <c r="C104" i="24"/>
  <c r="C103" i="24"/>
  <c r="C98" i="24"/>
  <c r="C97" i="24"/>
  <c r="C94" i="24"/>
  <c r="C92" i="24"/>
  <c r="C91" i="24"/>
  <c r="C90" i="24"/>
  <c r="C89" i="24"/>
  <c r="C88" i="24"/>
  <c r="C87" i="24"/>
  <c r="C83" i="24"/>
  <c r="C82" i="24"/>
  <c r="C79" i="24"/>
  <c r="C78" i="24"/>
  <c r="C75" i="24"/>
  <c r="C118" i="24"/>
  <c r="C114" i="24"/>
  <c r="C71" i="24"/>
  <c r="C70" i="24"/>
  <c r="C68" i="24"/>
  <c r="C58" i="24"/>
  <c r="C52" i="24"/>
  <c r="C51" i="24"/>
  <c r="C50" i="24"/>
  <c r="C49" i="24"/>
  <c r="C48" i="24"/>
  <c r="C47" i="24"/>
  <c r="C46" i="24"/>
  <c r="C45" i="24"/>
  <c r="C44" i="24"/>
  <c r="C40" i="24"/>
  <c r="C39" i="24"/>
  <c r="C36" i="24"/>
  <c r="C35" i="24"/>
  <c r="C26" i="24"/>
  <c r="C25" i="24"/>
  <c r="C22" i="24"/>
  <c r="C21" i="24"/>
  <c r="C19" i="24"/>
  <c r="C16" i="24"/>
  <c r="C12" i="24"/>
  <c r="C28" i="24"/>
  <c r="C14" i="24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D36" i="21"/>
  <c r="C72" i="24" l="1"/>
  <c r="C33" i="24"/>
  <c r="C9" i="24"/>
  <c r="C38" i="20"/>
  <c r="D23" i="20"/>
  <c r="C23" i="20" l="1"/>
  <c r="D18" i="20"/>
  <c r="C18" i="20"/>
  <c r="B30" i="26"/>
  <c r="B29" i="26"/>
  <c r="B27" i="26"/>
  <c r="B26" i="26"/>
  <c r="D19" i="20"/>
  <c r="C19" i="20"/>
  <c r="B24" i="26"/>
  <c r="B23" i="26"/>
  <c r="B20" i="26"/>
  <c r="B19" i="26"/>
  <c r="D14" i="20" l="1"/>
  <c r="C26" i="20"/>
  <c r="D26" i="20" s="1"/>
  <c r="D15" i="20" l="1"/>
  <c r="B12" i="26"/>
  <c r="B11" i="26"/>
  <c r="C15" i="20" l="1"/>
  <c r="C14" i="20"/>
  <c r="C6" i="26"/>
  <c r="C4" i="26"/>
  <c r="C11" i="20" l="1"/>
  <c r="C30" i="20" l="1"/>
  <c r="C29" i="20"/>
  <c r="H185" i="23"/>
  <c r="B16" i="26" l="1"/>
  <c r="C126" i="24"/>
  <c r="C63" i="24"/>
  <c r="G185" i="23"/>
  <c r="F185" i="23"/>
  <c r="B15" i="26" l="1"/>
  <c r="D11" i="20"/>
  <c r="D30" i="20" l="1"/>
  <c r="D29" i="20"/>
  <c r="D38" i="20" l="1"/>
  <c r="C109" i="24"/>
  <c r="C110" i="24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<sst xmlns="http://schemas.openxmlformats.org/spreadsheetml/2006/main" count="803" uniqueCount="626">
  <si>
    <t>MINISTERIO DE FINANZAS</t>
  </si>
  <si>
    <t>FORMULARIO 1: "FUENTES DE FINANCIAMIENTO DEL PROYECTO DE CONTRATO COLECTIVO"</t>
  </si>
  <si>
    <t>DETALLE DE INGRESOS</t>
  </si>
  <si>
    <t>GOBIERNO AUTÓNOMO DESCENTRALIZADO MUNICIPAL DE CATAMAYO</t>
  </si>
  <si>
    <t xml:space="preserve">Nº PROYECTO CONTRATO COLECTIVO: DÉCIMO SEGUNDO </t>
  </si>
  <si>
    <t xml:space="preserve"> Nº ACTA TRANSACCIONAL ___________________________</t>
  </si>
  <si>
    <t>FUENTES DE FINANCIAMIENTO</t>
  </si>
  <si>
    <t>FINANCIAMIENTO REAL DEL CONTRATO COLECTIVO VIGENTE USD</t>
  </si>
  <si>
    <t>FINANCIAMIENTO ESTIMADO DEL   CONTRATO COLECTIVO PROPUESTO USD $</t>
  </si>
  <si>
    <t>OBSERVACIONES</t>
  </si>
  <si>
    <t>INGRESOS CORRIENTES  Y PERMANENTES</t>
  </si>
  <si>
    <t>POR 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</si>
  <si>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</si>
  <si>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</si>
  <si>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</si>
  <si>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</si>
  <si>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</si>
  <si>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</si>
  <si>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</si>
  <si>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</si>
  <si>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</si>
  <si>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 xml:space="preserve">VENTA DE BIENES Y SERVICIOS </t>
  </si>
  <si>
    <t>RENTAS DE INVERSIONES Y MULTAS</t>
  </si>
  <si>
    <t xml:space="preserve">TRANSFERENCIAS Y DONACIONES CORRIENTES  </t>
  </si>
  <si>
    <t>COOTAD</t>
  </si>
  <si>
    <t>OTROS INGRESOS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</si>
  <si>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</si>
  <si>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</si>
  <si>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</si>
  <si>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</si>
  <si>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</si>
  <si>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</si>
  <si>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</si>
  <si>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</si>
  <si>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FIRMA DIRECTOR (A) FINANCIERO (A) DEL GAD</t>
  </si>
  <si>
    <t>Nombre:</t>
  </si>
  <si>
    <t>Sello Institucional</t>
  </si>
  <si>
    <t>FORMULARIO 2: "COSTOS DEL PROYECTO DE CONTRATO COLECTIVO"</t>
  </si>
  <si>
    <t>CLASIFICADOR PRESUPUESTARIO</t>
  </si>
  <si>
    <t>GASTO DEL PERSONAL</t>
  </si>
  <si>
    <t>COSTO REAL DEL CONTRATO COLECTIVO VIGENTE USD</t>
  </si>
  <si>
    <t>COSTO ESTIMADO DEL CONTRATO COLECTIVO PROPUESTO USD</t>
  </si>
  <si>
    <t>GASTO PERSONAL</t>
  </si>
  <si>
    <t>REMUNERACIONES BASICAS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</si>
  <si>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</si>
  <si>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</si>
  <si>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</si>
  <si>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</si>
  <si>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</si>
  <si>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</si>
  <si>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</si>
  <si>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</si>
  <si>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</si>
  <si>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510509</t>
  </si>
  <si>
    <t>HORAS EXTRAORDINARIAS Y SUPLEMENTARIAS</t>
  </si>
  <si>
    <t>APORTES A LA SEGURIDAD SOCIAL</t>
  </si>
  <si>
    <t>510601</t>
  </si>
  <si>
    <t xml:space="preserve">APORTE PATRONAL </t>
  </si>
  <si>
    <t>510602</t>
  </si>
  <si>
    <t xml:space="preserve">FONDO DE RESERVA </t>
  </si>
  <si>
    <t>510603</t>
  </si>
  <si>
    <t>FONDO DE JUBILACION PATRONAL</t>
  </si>
  <si>
    <t xml:space="preserve">INDEMNIZACIONES </t>
  </si>
  <si>
    <t>COMPENSACION POR DESAHUCIO</t>
  </si>
  <si>
    <t xml:space="preserve">POR JUBILACIÓN 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</si>
  <si>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</si>
  <si>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</si>
  <si>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CEDULA</t>
  </si>
  <si>
    <t>APELLIDOS Y NOMBRES</t>
  </si>
  <si>
    <t>No. TRABAJADOR</t>
  </si>
  <si>
    <t>GRADO DEL CARGO O PUESTO</t>
  </si>
  <si>
    <t>DENOMINACIÓN DEL PUESTO O CARGO DE OCUPACIÓN</t>
  </si>
  <si>
    <t>REMUNERACIÓN UNIFICADA CONTRATO COLECTIVO VIGENTE USD $</t>
  </si>
  <si>
    <t>SUMAN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</si>
  <si>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</si>
  <si>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</si>
  <si>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FORMULARIO 4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</si>
  <si>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</si>
  <si>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</si>
  <si>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</si>
  <si>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</si>
  <si>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</si>
  <si>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</si>
  <si>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AÑO 1</t>
  </si>
  <si>
    <t>AÑO 2</t>
  </si>
  <si>
    <t xml:space="preserve">AÑO 3 </t>
  </si>
  <si>
    <t>AÑO 4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</si>
  <si>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</si>
  <si>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</si>
  <si>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</si>
  <si>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</si>
  <si>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</si>
  <si>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</si>
  <si>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</si>
  <si>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</si>
  <si>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</si>
  <si>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</si>
  <si>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</si>
  <si>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</si>
  <si>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</si>
  <si>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</si>
  <si>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</si>
  <si>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</si>
  <si>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</si>
  <si>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</si>
  <si>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</si>
  <si>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</si>
  <si>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</si>
  <si>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</si>
  <si>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</si>
  <si>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</si>
  <si>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</si>
  <si>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</si>
  <si>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</si>
  <si>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</si>
  <si>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</si>
  <si>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</si>
  <si>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</si>
  <si>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</si>
  <si>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</si>
  <si>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</si>
  <si>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</si>
  <si>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</si>
  <si>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</si>
  <si>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</si>
  <si>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</si>
  <si>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</si>
  <si>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</si>
  <si>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</si>
  <si>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</si>
  <si>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</si>
  <si>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</si>
  <si>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</si>
  <si>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</si>
  <si>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</si>
  <si>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</si>
  <si>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</si>
  <si>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</si>
  <si>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</si>
  <si>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</si>
  <si>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</si>
  <si>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</si>
  <si>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</si>
  <si>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</si>
  <si>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</si>
  <si>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</si>
  <si>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 - COPLAFIP y el artículo 136 al Reglamento al COPLAFIP.</t>
  </si>
  <si>
    <t>FIRMA MÁXIMA AUTORIDAD DEL GAD</t>
  </si>
  <si>
    <t>1103017040</t>
  </si>
  <si>
    <t>CARREÑO MARIN IVAN PATRICIO</t>
  </si>
  <si>
    <t>AUXILIAR DE SERV. MUNICIPALES</t>
  </si>
  <si>
    <t>1101175709</t>
  </si>
  <si>
    <t>CUESTA JIMENEZ MARCO ANTONIO</t>
  </si>
  <si>
    <t>JORNALERO DE PARQUES Y JARDINES</t>
  </si>
  <si>
    <t>1103654313</t>
  </si>
  <si>
    <t>MARIN SOLORZANO LEONARDO EZEQUIEL</t>
  </si>
  <si>
    <t>AUXILIAR ADM. DE TRAMITES</t>
  </si>
  <si>
    <t>1105156853</t>
  </si>
  <si>
    <t>MAZA GUAMAN GUIDO RENE</t>
  </si>
  <si>
    <t>AYUDANTE DE ALBAÑIL</t>
  </si>
  <si>
    <t>1101628483</t>
  </si>
  <si>
    <t>SACAPI LUIS ENRIQUE</t>
  </si>
  <si>
    <t>GUARDIAN ADMINISTRATIVO</t>
  </si>
  <si>
    <t>1100809993</t>
  </si>
  <si>
    <t>BALCAZAR RAMIREZ ANGEL TORIBIO</t>
  </si>
  <si>
    <t>1103256374</t>
  </si>
  <si>
    <t>BARRERA POLO HECTOR ENRIQUE</t>
  </si>
  <si>
    <t>AUXILIAR ADMINISTRATIVO 111</t>
  </si>
  <si>
    <t>1104721384</t>
  </si>
  <si>
    <t>BRICEÑO BRICEÑO DIEGO FERNANDO</t>
  </si>
  <si>
    <t>1102914007</t>
  </si>
  <si>
    <t>CABRERA GONZALEZ MANUEL IGNACIO</t>
  </si>
  <si>
    <t>1101055463</t>
  </si>
  <si>
    <t>CABRERA MACAS EFRAIN</t>
  </si>
  <si>
    <t>1101060588</t>
  </si>
  <si>
    <t>CARRION ENCALADA ELICEO</t>
  </si>
  <si>
    <t>1101431839</t>
  </si>
  <si>
    <t>CASTILLO FRANCO VICENTE</t>
  </si>
  <si>
    <t>1100607702</t>
  </si>
  <si>
    <t>CASTILLO RIOFRIO LUIS AMABLE</t>
  </si>
  <si>
    <t>1102276100</t>
  </si>
  <si>
    <t>CELI GALVAN QUILVER AUGUSTO</t>
  </si>
  <si>
    <t>1100604386</t>
  </si>
  <si>
    <t>CHAMBA MAZA VICENTE GONZALO</t>
  </si>
  <si>
    <t>1100036076</t>
  </si>
  <si>
    <t>CUENCA CANGO RAIMUNDO</t>
  </si>
  <si>
    <t>1101711818</t>
  </si>
  <si>
    <t>DIAZ CHAMBA JUANA</t>
  </si>
  <si>
    <t>REVISOR MUNICIPAL</t>
  </si>
  <si>
    <t>1102714795</t>
  </si>
  <si>
    <t>DIAZ JOSE MIGUEL</t>
  </si>
  <si>
    <t>1102190491</t>
  </si>
  <si>
    <t>DIAZ YAURE MIGUEL ALBERTO</t>
  </si>
  <si>
    <t>1703156552</t>
  </si>
  <si>
    <t>ENCALADA GALVEZ ANGEL SIGIFREDO</t>
  </si>
  <si>
    <t>1100379708</t>
  </si>
  <si>
    <t>GOMEZ CASTILLO PEDRO</t>
  </si>
  <si>
    <t>1100249745</t>
  </si>
  <si>
    <t>GONZALEZ EDUARDO CLEOFE</t>
  </si>
  <si>
    <t>1102332713</t>
  </si>
  <si>
    <t>GUAMAN VIÑAGUAZO PEDRO GUILLERMO</t>
  </si>
  <si>
    <t>1100152394</t>
  </si>
  <si>
    <t>IRENE OCHOA PEDRO</t>
  </si>
  <si>
    <t>0700831373</t>
  </si>
  <si>
    <t>JIMENEZ SANCHEZ MIGUEL ANGEL</t>
  </si>
  <si>
    <t>1101719258</t>
  </si>
  <si>
    <t>MACAS FREDY MANUEL</t>
  </si>
  <si>
    <t>1101762936</t>
  </si>
  <si>
    <t>MERIZALDE LILIA MARIA</t>
  </si>
  <si>
    <t>1103397525</t>
  </si>
  <si>
    <t>MINGA CHAMBA MERCY ESPERANZA</t>
  </si>
  <si>
    <t>1101751046</t>
  </si>
  <si>
    <t>NARVAEZ COFRE CARMEN</t>
  </si>
  <si>
    <t>0702084484</t>
  </si>
  <si>
    <t>OCHOA MENDOZA JUANA  ELOIZA</t>
  </si>
  <si>
    <t>1101765525</t>
  </si>
  <si>
    <t>ORDOÑEZ JIMENEZ JOSE ANTONIO</t>
  </si>
  <si>
    <t>1103350870</t>
  </si>
  <si>
    <t>PARDO JIMENEZ ULISES VICENTE</t>
  </si>
  <si>
    <t>1104232820</t>
  </si>
  <si>
    <t>PAZ QUEZADA CESAR VINICIO</t>
  </si>
  <si>
    <t>1100578168</t>
  </si>
  <si>
    <t>PEÑA MONTAÑO SEGUNDO LEOPOLDO</t>
  </si>
  <si>
    <t>1101357448</t>
  </si>
  <si>
    <t>PUCHA TAMBO ANGEL ERIBERTO</t>
  </si>
  <si>
    <t>1102358189</t>
  </si>
  <si>
    <t>RIOFRIO HERRERA EDGAR AGUSTIN</t>
  </si>
  <si>
    <t>1101444642</t>
  </si>
  <si>
    <t>RODRIGUEZ ERAZO ANGEL RICARDO</t>
  </si>
  <si>
    <t>1102031547</t>
  </si>
  <si>
    <t>ROJAS LUNA ANSELMO GABRIEL</t>
  </si>
  <si>
    <t>1101809901</t>
  </si>
  <si>
    <t>SOLORZANO ORDOÑEZ JESUS KLEVER</t>
  </si>
  <si>
    <t>1100130499</t>
  </si>
  <si>
    <t>VUELE RUQUE CRISTOBAL BALECIO</t>
  </si>
  <si>
    <t>1900336833</t>
  </si>
  <si>
    <t>ROSALES CORREA JOSE ROGELIO</t>
  </si>
  <si>
    <t>BOMBERO RAZO 111</t>
  </si>
  <si>
    <t>1102538558</t>
  </si>
  <si>
    <t>AGILA PIEDAD DE JESUS</t>
  </si>
  <si>
    <t>AUXILIAR DE SERVICIOS</t>
  </si>
  <si>
    <t>1101417176</t>
  </si>
  <si>
    <t>AZANZA HERRERA GLORIA</t>
  </si>
  <si>
    <t>COCINERA</t>
  </si>
  <si>
    <t>1100194180</t>
  </si>
  <si>
    <t>AZANZA RAMOS GEORGINA</t>
  </si>
  <si>
    <t>AYUDANTE DE COCINA</t>
  </si>
  <si>
    <t>0701553356</t>
  </si>
  <si>
    <t>BEJARANO AURORA LEONOR</t>
  </si>
  <si>
    <t>1103146328</t>
  </si>
  <si>
    <t>CARRION SARANGO CARMEN ELIZABETH</t>
  </si>
  <si>
    <t>1101366076</t>
  </si>
  <si>
    <t>CHAMBA VEINTIMILLA DELIA</t>
  </si>
  <si>
    <t>AUXILIAR DE ENFERMERIA</t>
  </si>
  <si>
    <t>1101772364</t>
  </si>
  <si>
    <t>CORDOVA MARIA ELIDA</t>
  </si>
  <si>
    <t>1102225255</t>
  </si>
  <si>
    <t>FERNANDEZ SANCHEZ JOSE EDUARDO</t>
  </si>
  <si>
    <t>CONSERJE</t>
  </si>
  <si>
    <t>1101924460</t>
  </si>
  <si>
    <t>PAUTA CARAGUAY LAURA ROSANA</t>
  </si>
  <si>
    <t>1102224415</t>
  </si>
  <si>
    <t>PAUTA CARAGUAY SABINA DE JESUS</t>
  </si>
  <si>
    <t>1703838035</t>
  </si>
  <si>
    <t>PEÑA MONTAÑO ZOILA ANTONIA</t>
  </si>
  <si>
    <t>1102849252</t>
  </si>
  <si>
    <t>PINTADO GONZALEZ MARIA ROSARIO</t>
  </si>
  <si>
    <t>1102041942</t>
  </si>
  <si>
    <t>SOLORZANO ORDÓÑEZ MARCELA</t>
  </si>
  <si>
    <t>1900174366</t>
  </si>
  <si>
    <t>TACURI MINGA CECILIA PIEDAD</t>
  </si>
  <si>
    <t>1101476883</t>
  </si>
  <si>
    <t>TANDAZO HIDALGO MARIA EUFIDES</t>
  </si>
  <si>
    <t>1100607728</t>
  </si>
  <si>
    <t>VILLAVICENCIO TOMIN LIDA</t>
  </si>
  <si>
    <t>1200705877</t>
  </si>
  <si>
    <t>ACHUPALLAS CESAR HUMBERTO</t>
  </si>
  <si>
    <t>BARREDOR</t>
  </si>
  <si>
    <t>1103406516</t>
  </si>
  <si>
    <t>ALEJANDRO CHAMBA CARLOS EDUARDO</t>
  </si>
  <si>
    <t>AYUD. DE CUIDADO Y ORNAMENTO JARDINES</t>
  </si>
  <si>
    <t>1101835765</t>
  </si>
  <si>
    <t>ARMIJOS ABRIGO AMABLE NICOLAS</t>
  </si>
  <si>
    <t>1102566161</t>
  </si>
  <si>
    <t>BRICEÑO CARMEN SENOVIA</t>
  </si>
  <si>
    <t>1500300700</t>
  </si>
  <si>
    <t>CASTILLO PAREDES SONIA MARIA</t>
  </si>
  <si>
    <t>1104777683</t>
  </si>
  <si>
    <t>CHAMBA TORRES ROBERTO CARLOS</t>
  </si>
  <si>
    <t>AYUDANTE RECOLECTOR</t>
  </si>
  <si>
    <t>1104774854</t>
  </si>
  <si>
    <t>CHAMBA TORRES ROMEL GUSTAVO</t>
  </si>
  <si>
    <t>1101840781</t>
  </si>
  <si>
    <t>CUENCA CABRERA JOSÉ FÉLIX</t>
  </si>
  <si>
    <t>1104417611</t>
  </si>
  <si>
    <t>CUEVA CASTILLO LUIS MIGUEL</t>
  </si>
  <si>
    <t>1101985727</t>
  </si>
  <si>
    <t>ENCALADA VICENTE  LUIS</t>
  </si>
  <si>
    <t>AYUDANTE RECOLECCION DE ASEO</t>
  </si>
  <si>
    <t>1101719621</t>
  </si>
  <si>
    <t>FLORES ERRAIS LUIS CORCINO</t>
  </si>
  <si>
    <t>1100414877</t>
  </si>
  <si>
    <t>GUAMAN GUIÑAGUAZO MANUEL DE LA CRUZ</t>
  </si>
  <si>
    <t>1103215438</t>
  </si>
  <si>
    <t>JARAMILLO PEÑA GABRIEL HERALDO</t>
  </si>
  <si>
    <t>1103617609</t>
  </si>
  <si>
    <t>JUMBO AGUILAR WILSON JOSE</t>
  </si>
  <si>
    <t>1102602131</t>
  </si>
  <si>
    <t>LAPO PALADINES WILFRIDO ANTONIO</t>
  </si>
  <si>
    <t>1101057717</t>
  </si>
  <si>
    <t>MACAS ROMAN SIXTO BOLIVAR</t>
  </si>
  <si>
    <t>1103917611</t>
  </si>
  <si>
    <t>MALDONADO LOAIZA OMAR JAVIER</t>
  </si>
  <si>
    <t>1900251388</t>
  </si>
  <si>
    <t>MAZA QUINCHE KLEBER GIOVANY</t>
  </si>
  <si>
    <t>1102436134</t>
  </si>
  <si>
    <t>MEDINA LAPO ALEJANDRO</t>
  </si>
  <si>
    <t>1102170543</t>
  </si>
  <si>
    <t>PALADINES TORRES JOSE DURVELIN</t>
  </si>
  <si>
    <t>1101758975</t>
  </si>
  <si>
    <t>QUILLE QUINCHE JUAN ISIDRO</t>
  </si>
  <si>
    <t>1101863726</t>
  </si>
  <si>
    <t>QUILLE QUINCHE SEGUNDO EDUARDO</t>
  </si>
  <si>
    <t>1102393772</t>
  </si>
  <si>
    <t>REYES GAONA ANGEL EZEQUIEL</t>
  </si>
  <si>
    <t>1104458086</t>
  </si>
  <si>
    <t>SARANGO SANCHEZ GEOVANY SAUL</t>
  </si>
  <si>
    <t>1104456494</t>
  </si>
  <si>
    <t>SARANGO SANCHEZ VICTOR JOSELITO</t>
  </si>
  <si>
    <t>1104715972</t>
  </si>
  <si>
    <t>TORRES SANCHEZ HERMEL REINALDO</t>
  </si>
  <si>
    <t>1102871751</t>
  </si>
  <si>
    <t>CARRION HERRERA ANGEL FELICIANO</t>
  </si>
  <si>
    <t>AYUDANTE ALCANTARILLADO</t>
  </si>
  <si>
    <t>1103181663</t>
  </si>
  <si>
    <t>GALAN PALADINES SERGIO AMABLE</t>
  </si>
  <si>
    <t>AYUDANTE GASFITERO</t>
  </si>
  <si>
    <t>1104244833</t>
  </si>
  <si>
    <t>JARAMILLO MARTINEZ CESAR AGUSTO</t>
  </si>
  <si>
    <t>AUX. MANTEN. DE REDES AGUA POTABLE</t>
  </si>
  <si>
    <t>1101996336</t>
  </si>
  <si>
    <t>JIMENEZ DAVILA CARLOS HUMBERTO</t>
  </si>
  <si>
    <t>1101858627</t>
  </si>
  <si>
    <t>MATAILO JOSE GONZALO</t>
  </si>
  <si>
    <t>1900090687</t>
  </si>
  <si>
    <t>MERINO CALVA JUSTO AGUSTIN</t>
  </si>
  <si>
    <t>AYU. DE CAMPO DE AGUA POTABLE</t>
  </si>
  <si>
    <t>1101667424</t>
  </si>
  <si>
    <t>ORDOÑEZ JIMENEZ MELQUE HUGO</t>
  </si>
  <si>
    <t>1105218927</t>
  </si>
  <si>
    <t>VICENTE GUERRERO ANGEL VINICIO</t>
  </si>
  <si>
    <t>LECTOR</t>
  </si>
  <si>
    <t>1101058764</t>
  </si>
  <si>
    <t>VIVANCO LIDER ANTONIO</t>
  </si>
  <si>
    <t>1100321510</t>
  </si>
  <si>
    <t>AGUIRRE CORDOVA MIGUEL IGNACIO</t>
  </si>
  <si>
    <t>MECANICO</t>
  </si>
  <si>
    <t>1103657860</t>
  </si>
  <si>
    <t>CHANTA CASTILLO ANGEL AUGUSTO</t>
  </si>
  <si>
    <t>1103571871</t>
  </si>
  <si>
    <t>CHAUNAY QUINCHE LIDER FABRICIO</t>
  </si>
  <si>
    <t>1103085039</t>
  </si>
  <si>
    <t>CORONEL  CEVALLOS NEANFO</t>
  </si>
  <si>
    <t>AYUDANTE MOTONIVELADORA</t>
  </si>
  <si>
    <t>1101800165</t>
  </si>
  <si>
    <t>CUENCA CELI LUIS MANUEL</t>
  </si>
  <si>
    <t>AYUDANTE DE MECANICA</t>
  </si>
  <si>
    <t>1104160781</t>
  </si>
  <si>
    <t>CUENCA YAGUANA LUIS FRANCISCO</t>
  </si>
  <si>
    <t>ALBAÑIL 1111</t>
  </si>
  <si>
    <t>1103592398</t>
  </si>
  <si>
    <t>GONZALEZ ABARCA ROBERT GUILLERMO</t>
  </si>
  <si>
    <t>1102837802</t>
  </si>
  <si>
    <t>GUAMAN MEDINA MANUEL AGUSTIN</t>
  </si>
  <si>
    <t>0800606253</t>
  </si>
  <si>
    <t>LAFAO MORÁN LUIS PELAYO</t>
  </si>
  <si>
    <t>CADENERO</t>
  </si>
  <si>
    <t>1103029235</t>
  </si>
  <si>
    <t>ORDOÑEZ CARMITA DEL ROSARIO</t>
  </si>
  <si>
    <t>1104365406</t>
  </si>
  <si>
    <t>PINOS ORDOÑEZ PABLO DAVID</t>
  </si>
  <si>
    <t>1103813844</t>
  </si>
  <si>
    <t>PUCHA NARVAEZ WILMER ERIBERTO</t>
  </si>
  <si>
    <t>AYUD. MECAN. DE QUIPO TY MAQUINARIA</t>
  </si>
  <si>
    <t>1101718094</t>
  </si>
  <si>
    <t>RAMIREZ JARAMILLO ENRIQUE BOLIVAR</t>
  </si>
  <si>
    <t>1103293385</t>
  </si>
  <si>
    <t>UCHUARI MEDINA ANGEL EFRÉN</t>
  </si>
  <si>
    <t>1102654413</t>
  </si>
  <si>
    <t>UCHUARI MEDINA ROSA ANGELICA</t>
  </si>
  <si>
    <t>1100765989</t>
  </si>
  <si>
    <t>YAGUANA POGO CESAR AMABLE</t>
  </si>
  <si>
    <t>1104395007</t>
  </si>
  <si>
    <t>JARAMILLO JARAMILLO DIEGO ARMANDO</t>
  </si>
  <si>
    <t>CONTROLADOR MANTENIMIENTO AGUA</t>
  </si>
  <si>
    <t>0701942575</t>
  </si>
  <si>
    <t>MACAS CHUNCHO FLORESMILO ADRIANO</t>
  </si>
  <si>
    <t>1103141899</t>
  </si>
  <si>
    <t>NAVARRO CHIRIBOGA NILO ALBERTO</t>
  </si>
  <si>
    <t>GASFITERO</t>
  </si>
  <si>
    <t>1102135652</t>
  </si>
  <si>
    <t>AGUIRRE GONZAGA WILMAN ORLANDO</t>
  </si>
  <si>
    <t>MAESTRO ALBAÑIL</t>
  </si>
  <si>
    <t>1101963427</t>
  </si>
  <si>
    <t>CASTILLO CUENCA JORGE ENRIQUE</t>
  </si>
  <si>
    <t>1102997705</t>
  </si>
  <si>
    <t>CHAMBA CUENCA OLGER EDUARDO</t>
  </si>
  <si>
    <t>1103292759</t>
  </si>
  <si>
    <t>JIMENEZ CHAMBA JORGE FELICITO</t>
  </si>
  <si>
    <t>1718055542</t>
  </si>
  <si>
    <t>RIVAS ALVAREZ LUIS RODRIGO</t>
  </si>
  <si>
    <t>MECANICO INDUSTRIAL</t>
  </si>
  <si>
    <t>0701121519</t>
  </si>
  <si>
    <t>RODRIGUEZ RODRIGUEZ ROBERT RAUL</t>
  </si>
  <si>
    <t>PINTOR AUTOMOTRIZ</t>
  </si>
  <si>
    <t>1102740154</t>
  </si>
  <si>
    <t>VASQUEZ FERNÁNDEZ HONORATO</t>
  </si>
  <si>
    <t>PINTOR</t>
  </si>
  <si>
    <t>1102773775</t>
  </si>
  <si>
    <t>VEGA VIÑAGUAZO JOSE AUGUSTO</t>
  </si>
  <si>
    <t>1100255023</t>
  </si>
  <si>
    <t>VILLALTA  TORRES LEONARDO AMADEO</t>
  </si>
  <si>
    <t>1103397004</t>
  </si>
  <si>
    <t>VILLALTA LÓPEZ HENRY BOLÍVAR</t>
  </si>
  <si>
    <t>1101395844</t>
  </si>
  <si>
    <t>VIÑAN ANGAMARCA MARCO</t>
  </si>
  <si>
    <t>ALBAÑIL 2222</t>
  </si>
  <si>
    <t>1103906689</t>
  </si>
  <si>
    <t>VIVANCO CUEVA EDI RENE</t>
  </si>
  <si>
    <t>VULCANIZADOR</t>
  </si>
  <si>
    <t>1101797171</t>
  </si>
  <si>
    <t>YAGUANA HERRERA FRANCISCO JAVIER</t>
  </si>
  <si>
    <t>1103230585</t>
  </si>
  <si>
    <t>SOLANO SOLANO JOSÉ RAMIRO</t>
  </si>
  <si>
    <t>CHOFER VEHICULOS LIVIANOS</t>
  </si>
  <si>
    <t>1103245146</t>
  </si>
  <si>
    <t>CHUBA QUITO CÉSAR ROLANDO</t>
  </si>
  <si>
    <t>1101347506</t>
  </si>
  <si>
    <t>GONZALEZ AYORA JUAN IGNACIO</t>
  </si>
  <si>
    <t>0101510477</t>
  </si>
  <si>
    <t>QUITO ENRIQUEZ LUIS MIGUEL</t>
  </si>
  <si>
    <t>MAESTRO ALBAÑIL 11</t>
  </si>
  <si>
    <t>1101673034</t>
  </si>
  <si>
    <t>VACA TAMAYO ANGEL SALVADOR</t>
  </si>
  <si>
    <t>CHOFER VEHICULOS PESADOS</t>
  </si>
  <si>
    <t>1101879482</t>
  </si>
  <si>
    <t>CARRILLO MARÍN JORGE NICOLÁS</t>
  </si>
  <si>
    <t>1104412398</t>
  </si>
  <si>
    <t>CRUZ VALDIVIEZO DIEGO FERNANDO</t>
  </si>
  <si>
    <t>1103908081</t>
  </si>
  <si>
    <t>ESCALERAS SANTUORUM CRISTOBAL COLON</t>
  </si>
  <si>
    <t>1102888854</t>
  </si>
  <si>
    <t>HIDALGO ORTIZ EDISON FRANKLIN</t>
  </si>
  <si>
    <t>CHOFER RECOLECTOR</t>
  </si>
  <si>
    <t>1706099841</t>
  </si>
  <si>
    <t>JARAMILLO SANCHEZ EFRAIN</t>
  </si>
  <si>
    <t>1104075195</t>
  </si>
  <si>
    <t>MERINO RODAS JOSE ANTONIO</t>
  </si>
  <si>
    <t>1104504509</t>
  </si>
  <si>
    <t>OGOÑO CARAGUAY ANGEL ROBERTO</t>
  </si>
  <si>
    <t>1101402434</t>
  </si>
  <si>
    <t>QUINDE ROSILLO FIDEL AGUSTIN</t>
  </si>
  <si>
    <t>1100583804</t>
  </si>
  <si>
    <t>RIOFRIO NARVAEZ BENIGNO</t>
  </si>
  <si>
    <t>1103162804</t>
  </si>
  <si>
    <t>ROJAS GAONA JIMMY RENÁN</t>
  </si>
  <si>
    <t>1102150636</t>
  </si>
  <si>
    <t>ROJAS ROJAS WALTER BENJAMIN</t>
  </si>
  <si>
    <t>1103029813</t>
  </si>
  <si>
    <t>RUALES AGUIRRE JUAN CARLOS</t>
  </si>
  <si>
    <t>1103625875</t>
  </si>
  <si>
    <t>SARANGO SANCHEZ DARWIN ELIZANDRO</t>
  </si>
  <si>
    <t>1103033724</t>
  </si>
  <si>
    <t>SUING VUELE ALBITO ROMEL</t>
  </si>
  <si>
    <t>1103390017</t>
  </si>
  <si>
    <t>TANDAZO ENCALADA HAMILTON</t>
  </si>
  <si>
    <t>1102487244</t>
  </si>
  <si>
    <t>ABAD FRANCO NOE</t>
  </si>
  <si>
    <t>OPERADOR ESTACION DE BOMBEO</t>
  </si>
  <si>
    <t>1102535182</t>
  </si>
  <si>
    <t>CARRION HERRERA SAÚL IVÁN</t>
  </si>
  <si>
    <t>OPERADOR PLANTA DE TRATAMIENTO DE AGUA</t>
  </si>
  <si>
    <t>1100807815</t>
  </si>
  <si>
    <t>CELI OBANDO LUIS HUMBERTO</t>
  </si>
  <si>
    <t xml:space="preserve">OPERADOR VALVULA SURTIDORA DE AGUA </t>
  </si>
  <si>
    <t>1101952412</t>
  </si>
  <si>
    <t>GUIÑAGUAZO CANGO HIPOLITO</t>
  </si>
  <si>
    <t>1102990825</t>
  </si>
  <si>
    <t>OCHOA BUSTAMANTE ÁNGEL ENRIQUE</t>
  </si>
  <si>
    <t>1102705330</t>
  </si>
  <si>
    <t>OCHOA BUSTAMANTE HUGO SALVADOR</t>
  </si>
  <si>
    <t xml:space="preserve">CONTROLADOR MANTENIMIENTO DE AGUA </t>
  </si>
  <si>
    <t>1102486600</t>
  </si>
  <si>
    <t>OCHOA BUSTAMANTE JORGE ALBERTO</t>
  </si>
  <si>
    <t>1103957385</t>
  </si>
  <si>
    <t>PARDO LEON GLORIA PATRICIA</t>
  </si>
  <si>
    <t>1103084800</t>
  </si>
  <si>
    <t>PAZ QUEZADA FLAVIO OLIVERIO</t>
  </si>
  <si>
    <t>1101613709</t>
  </si>
  <si>
    <t>PEREZ SILVERIO HIPOLITO LAURIANO</t>
  </si>
  <si>
    <t>1102265012</t>
  </si>
  <si>
    <t>PEREZ SILVERIO JUAN JAVIER</t>
  </si>
  <si>
    <t>1103379531</t>
  </si>
  <si>
    <t>ROJAS SALINAS LUCIO STALIN</t>
  </si>
  <si>
    <t>JEFE DE ALCANTARILLADO</t>
  </si>
  <si>
    <t>1101937736</t>
  </si>
  <si>
    <t>UCHUARI GUAMÁN CARLOS ALFONSO</t>
  </si>
  <si>
    <t>1102968144</t>
  </si>
  <si>
    <t>ACHIG RAMIREZ VICTOR HUGO</t>
  </si>
  <si>
    <t>OPERADOR AUTO TREN CAMA BAJA</t>
  </si>
  <si>
    <t>1101369856</t>
  </si>
  <si>
    <t>AJILA CANGO CORNELIO HUGO</t>
  </si>
  <si>
    <t>OPERADOR DE RODILLO</t>
  </si>
  <si>
    <t>1103835961</t>
  </si>
  <si>
    <t>CANO GODOY PATRICIO ARTURO</t>
  </si>
  <si>
    <t>1900523331</t>
  </si>
  <si>
    <t>CASTILLO TAMAYO LUIS ALFONSO</t>
  </si>
  <si>
    <t>OPERADOR CARGADORA</t>
  </si>
  <si>
    <t>1103541981</t>
  </si>
  <si>
    <t>CRIOLLO LOJAN DARWIN ROBERTO</t>
  </si>
  <si>
    <t>OPERADOR RETROEXCAVADORA</t>
  </si>
  <si>
    <t>0701412108</t>
  </si>
  <si>
    <t>MAZA GUERRERO CAMILO EDUARDO</t>
  </si>
  <si>
    <t>MAESTRO MAYOR EN MECANICO AUTOMOTRIZ</t>
  </si>
  <si>
    <t>0801447962</t>
  </si>
  <si>
    <t>ORTIZ CHEME MARCO ANTONIO</t>
  </si>
  <si>
    <t>1103462188</t>
  </si>
  <si>
    <t>PEÑA PEÑA ULISES ERVIN</t>
  </si>
  <si>
    <t>1101711941</t>
  </si>
  <si>
    <t>RUILOVA ROMERO FULVIO ARMANDO</t>
  </si>
  <si>
    <t>OPERADOR MOTONIVELADORA</t>
  </si>
  <si>
    <t>1103205090</t>
  </si>
  <si>
    <t>SANCHEZ TORRES LENIN EDUARDO</t>
  </si>
  <si>
    <t>OPERADOR EXCAVADORA</t>
  </si>
  <si>
    <t>1001457561</t>
  </si>
  <si>
    <t>TRUJILLO LUIS FRANCISCO</t>
  </si>
  <si>
    <t>MAESTRO MAYOR EN EBANISTERIA</t>
  </si>
  <si>
    <t>1709032195</t>
  </si>
  <si>
    <t>TRUJILLO TORRES HUGO NORBERTO</t>
  </si>
  <si>
    <t>1101438727</t>
  </si>
  <si>
    <t>VIVANCO MEJIA CRISTOBAL GONZALO</t>
  </si>
  <si>
    <t>1102047964</t>
  </si>
  <si>
    <t>CUENCA CELI ANGEL BENIGNO</t>
  </si>
  <si>
    <t>INSPECTOR REDES AGUA POTABLE</t>
  </si>
  <si>
    <t>1102334206</t>
  </si>
  <si>
    <t>AGURTO JIMENEZ CARLOS ENRIQUE</t>
  </si>
  <si>
    <t>MAESTRO MAYOR EN EJECUCION DE OBRAS</t>
  </si>
  <si>
    <t>0701803074</t>
  </si>
  <si>
    <t>GIRON RAMIREZ HUGO RAMIRO</t>
  </si>
  <si>
    <t>SUPERVISOR DE MANT. EQUIPO PESADO</t>
  </si>
  <si>
    <t>1103213730</t>
  </si>
  <si>
    <t>LOAIZA YAGUANA JOSÉ JULIO</t>
  </si>
  <si>
    <t>TECNICO DE ELECTRICIDAD</t>
  </si>
  <si>
    <t xml:space="preserve">SALARIOS UNIFICADOS </t>
  </si>
  <si>
    <t>total mensual salarios</t>
  </si>
  <si>
    <t xml:space="preserve">Decimo tercer sueldo </t>
  </si>
  <si>
    <t>Decimo cuarto</t>
  </si>
  <si>
    <t>Decimo Cuarto 2016</t>
  </si>
  <si>
    <t>se toma en cuenta 174 trabajadores por 366 que es el salario minimo unificado</t>
  </si>
  <si>
    <t>Decimo Cuarto 2017</t>
  </si>
  <si>
    <t>se toma en cuenta 174 trabajadores por 380 que es el salario minimo unificado</t>
  </si>
  <si>
    <t>Decimo Tercer 2016</t>
  </si>
  <si>
    <t>Decimo Tercer 2017</t>
  </si>
  <si>
    <t>ALIMENTACION</t>
  </si>
  <si>
    <t>Alimentacion 2014</t>
  </si>
  <si>
    <t>la alimentacion se considera 3 dola diarios por 22 dias del mes por 12 meses y por 188 trabajadores permanentes</t>
  </si>
  <si>
    <t>la alimentacion se considera 3 dola diarios por 22 dias del mes por 12 meses y por 176 trabajadores permanentes</t>
  </si>
  <si>
    <t>Alimentacion 2015</t>
  </si>
  <si>
    <t>Alimentacion 2016</t>
  </si>
  <si>
    <t>la alimentacion se considera 4 dola diarios por 22 dias del mes por 12 meses y por 174 trabajadores permanentes</t>
  </si>
  <si>
    <t>Alimentacion 2017</t>
  </si>
  <si>
    <t>transporte 2014</t>
  </si>
  <si>
    <t>transporte 2015</t>
  </si>
  <si>
    <t>la alimentacion se considera 0.5 dola diarios por 22 dias del mes por 12 meses y por 188 trabajadores permanentes</t>
  </si>
  <si>
    <t>la alimentacion se considera 0.5 dola diarios por 22 dias del mes por 12 meses y por 176 trabajadores permanentes</t>
  </si>
  <si>
    <t>transporte 2016</t>
  </si>
  <si>
    <t>transporte 2017</t>
  </si>
  <si>
    <t>la alimentacion se considera 0.5 dola diarios por 22 dias del mes por 12 meses y por 174 trabajadores permanentes</t>
  </si>
  <si>
    <t>subs. Familiar</t>
  </si>
  <si>
    <t>solo de marzo a diciembre 2015 7.08 de marzo y 10.62 de abril a diciembre de 2015</t>
  </si>
  <si>
    <t>Nombre: Dr. C.P.A. Julio Farinango Benalcázar</t>
  </si>
  <si>
    <t>Lugar y Fecha: Catamayo, 19/05/2016</t>
  </si>
  <si>
    <t>REMUNERACIÓN UNIFICADA 2016 CONTRATO COLECTIVO PROPUESTO USD $</t>
  </si>
  <si>
    <t>REMUNERACIÓN UNIFICADA 2017 CONTRATO COLECTIVO PROPUESTO USD $</t>
  </si>
  <si>
    <t>Ventas de productos y materiales</t>
  </si>
  <si>
    <t>Ventas no industriales</t>
  </si>
  <si>
    <t>Rentas de inversiones</t>
  </si>
  <si>
    <t>Rentas por arrendamientos de bienes</t>
  </si>
  <si>
    <t>Multas</t>
  </si>
  <si>
    <t>Aporte y participación cooriente del Régimen Seccional Autónomo</t>
  </si>
  <si>
    <t>Venta de Activos no Financieros</t>
  </si>
  <si>
    <t>Bienes inmuebles</t>
  </si>
  <si>
    <t>Transferencias de capital e inversión del sector público</t>
  </si>
  <si>
    <t>Gobiernos Autónomos</t>
  </si>
  <si>
    <t>IVA</t>
  </si>
  <si>
    <t>Financiamiento público interno</t>
  </si>
  <si>
    <t>Cuentas pendientes por cobrar</t>
  </si>
  <si>
    <t>Servicios básicos</t>
  </si>
  <si>
    <t>Servicios generales</t>
  </si>
  <si>
    <t>Traslados, instalaciones, viáticos y subsistencias</t>
  </si>
  <si>
    <t>Instalación, mantenimiento y reparaciones</t>
  </si>
  <si>
    <t>Arrendamientos de bienes</t>
  </si>
  <si>
    <t>Contratación de estudios, investigaciones y servicios técnicos especial.</t>
  </si>
  <si>
    <t>Gastos en informática</t>
  </si>
  <si>
    <t>Bienes de uso y consumo corriente</t>
  </si>
  <si>
    <t>Bienes muebles no depreciables</t>
  </si>
  <si>
    <t>Títulos y valores en circulación</t>
  </si>
  <si>
    <t>Intereses y otros cargos de la deuda pública</t>
  </si>
  <si>
    <t>Impuestos, tasas y contribuciones</t>
  </si>
  <si>
    <t>Seguros, costos financieros y otros gastos</t>
  </si>
  <si>
    <t>Transferencias corrientes al sector público</t>
  </si>
  <si>
    <t>Donaciones corrientes al sector privado interno</t>
  </si>
  <si>
    <t>TOTAL GASTOS CORRIENTES  (2)</t>
  </si>
  <si>
    <t>Adquisiciones de productos terminados</t>
  </si>
  <si>
    <t>Bienes de uso y consumo de inversión</t>
  </si>
  <si>
    <t>Transferencias para inversión al sector público</t>
  </si>
  <si>
    <t>Donaciones de inversión al sector privado interno</t>
  </si>
  <si>
    <t xml:space="preserve">Bienes muebles </t>
  </si>
  <si>
    <t>Expropiación de bienes</t>
  </si>
  <si>
    <t>Amortización deuda interna</t>
  </si>
  <si>
    <t>Deuda flotante</t>
  </si>
  <si>
    <t>Donaciones de capital del sector externo</t>
  </si>
  <si>
    <t xml:space="preserve"> </t>
  </si>
  <si>
    <t>Saldos en caja bancos</t>
  </si>
  <si>
    <t>Segusros, costos financieros y otros gastos</t>
  </si>
  <si>
    <t>Abg. Janet Guerrero Luzuriaga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</si>
</sst>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[$€]* #,##0.00_);_([$€]* \(#,##0.00\);_([$€]* &quot;-&quot;??_);_(@_)"/>
  </numFmts>
  <fonts count="42" x14ac:knownFonts="1">
    <font>
      <sz val="10"/>
      <name val="Arial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6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8"/>
      <color indexed="8"/>
      <name val="Arial"/>
      <charset val="1"/>
    </font>
    <font>
      <sz val="7"/>
      <color indexed="8"/>
      <name val="Arial"/>
      <charset val="1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9"/>
      <color rgb="FFFF0000"/>
      <name val="Times New Roman"/>
      <family val="1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/>
  </cellStyleXfs>
  <cellXfs count="232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Border="1"/>
    <xf numFmtId="0" fontId="3" fillId="0" borderId="0" xfId="0" applyFont="1" applyFill="1" applyBorder="1" applyAlignment="1"/>
    <xf numFmtId="0" fontId="3" fillId="0" borderId="0" xfId="0" applyFont="1" applyBorder="1" applyAlignment="1"/>
    <xf numFmtId="0" fontId="13" fillId="0" borderId="0" xfId="0" applyFont="1"/>
    <xf numFmtId="4" fontId="5" fillId="0" borderId="0" xfId="0" applyNumberFormat="1" applyFont="1"/>
    <xf numFmtId="0" fontId="14" fillId="0" borderId="0" xfId="0" applyFont="1" applyBorder="1"/>
    <xf numFmtId="0" fontId="10" fillId="0" borderId="0" xfId="6"/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1" fillId="2" borderId="6" xfId="6" applyFont="1" applyFill="1" applyBorder="1" applyAlignment="1">
      <alignment horizontal="center" vertical="center" wrapText="1"/>
    </xf>
    <xf numFmtId="0" fontId="11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0" fillId="0" borderId="13" xfId="6" applyBorder="1"/>
    <xf numFmtId="0" fontId="10" fillId="0" borderId="14" xfId="6" applyBorder="1"/>
    <xf numFmtId="0" fontId="10" fillId="0" borderId="12" xfId="6" applyBorder="1"/>
    <xf numFmtId="0" fontId="19" fillId="0" borderId="10" xfId="6" applyFont="1" applyBorder="1"/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0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18" fillId="0" borderId="17" xfId="6" applyFont="1" applyBorder="1"/>
    <xf numFmtId="0" fontId="21" fillId="4" borderId="12" xfId="6" applyFont="1" applyFill="1" applyBorder="1"/>
    <xf numFmtId="0" fontId="22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8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2" fillId="2" borderId="15" xfId="6" applyFont="1" applyFill="1" applyBorder="1"/>
    <xf numFmtId="0" fontId="22" fillId="0" borderId="0" xfId="6" applyFont="1" applyFill="1" applyBorder="1" applyAlignment="1">
      <alignment horizontal="center"/>
    </xf>
    <xf numFmtId="0" fontId="22" fillId="0" borderId="0" xfId="6" applyFont="1" applyFill="1" applyBorder="1"/>
    <xf numFmtId="0" fontId="10" fillId="0" borderId="0" xfId="6" applyFill="1"/>
    <xf numFmtId="0" fontId="12" fillId="0" borderId="22" xfId="6" applyFont="1" applyFill="1" applyBorder="1" applyAlignment="1">
      <alignment horizontal="center"/>
    </xf>
    <xf numFmtId="0" fontId="12" fillId="0" borderId="23" xfId="6" applyFont="1" applyFill="1" applyBorder="1" applyAlignment="1">
      <alignment horizontal="center"/>
    </xf>
    <xf numFmtId="0" fontId="12" fillId="0" borderId="24" xfId="6" applyFont="1" applyFill="1" applyBorder="1" applyAlignment="1">
      <alignment horizontal="center"/>
    </xf>
    <xf numFmtId="0" fontId="12" fillId="0" borderId="25" xfId="6" applyFont="1" applyFill="1" applyBorder="1" applyAlignment="1">
      <alignment horizontal="center"/>
    </xf>
    <xf numFmtId="0" fontId="12" fillId="0" borderId="26" xfId="6" applyFont="1" applyFill="1" applyBorder="1" applyAlignment="1">
      <alignment horizontal="center"/>
    </xf>
    <xf numFmtId="0" fontId="22" fillId="0" borderId="26" xfId="6" applyFont="1" applyFill="1" applyBorder="1"/>
    <xf numFmtId="0" fontId="22" fillId="0" borderId="27" xfId="6" applyFont="1" applyFill="1" applyBorder="1"/>
    <xf numFmtId="0" fontId="18" fillId="0" borderId="0" xfId="6" applyFont="1" applyFill="1" applyBorder="1"/>
    <xf numFmtId="0" fontId="12" fillId="0" borderId="0" xfId="6" applyFont="1"/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3" fillId="0" borderId="0" xfId="0" applyFont="1" applyBorder="1" applyAlignment="1"/>
    <xf numFmtId="0" fontId="23" fillId="0" borderId="14" xfId="0" applyFont="1" applyBorder="1" applyAlignment="1">
      <alignment horizontal="center"/>
    </xf>
    <xf numFmtId="0" fontId="24" fillId="0" borderId="0" xfId="0" applyFont="1" applyBorder="1"/>
    <xf numFmtId="0" fontId="25" fillId="0" borderId="0" xfId="0" applyFont="1" applyBorder="1" applyAlignment="1">
      <alignment horizontal="center"/>
    </xf>
    <xf numFmtId="4" fontId="24" fillId="0" borderId="0" xfId="0" applyNumberFormat="1" applyFont="1" applyBorder="1"/>
    <xf numFmtId="0" fontId="24" fillId="0" borderId="28" xfId="0" applyFont="1" applyBorder="1"/>
    <xf numFmtId="0" fontId="24" fillId="0" borderId="0" xfId="0" applyFont="1"/>
    <xf numFmtId="0" fontId="26" fillId="0" borderId="0" xfId="0" applyFont="1" applyFill="1" applyBorder="1" applyAlignment="1"/>
    <xf numFmtId="0" fontId="26" fillId="0" borderId="0" xfId="0" applyFont="1" applyBorder="1" applyAlignment="1"/>
    <xf numFmtId="0" fontId="23" fillId="0" borderId="0" xfId="0" applyFont="1" applyFill="1" applyBorder="1" applyAlignment="1">
      <alignment horizontal="left"/>
    </xf>
    <xf numFmtId="0" fontId="27" fillId="0" borderId="0" xfId="0" applyFont="1" applyFill="1" applyBorder="1" applyAlignment="1"/>
    <xf numFmtId="0" fontId="23" fillId="0" borderId="14" xfId="0" applyFont="1" applyFill="1" applyBorder="1" applyAlignment="1">
      <alignment horizontal="center"/>
    </xf>
    <xf numFmtId="4" fontId="23" fillId="0" borderId="14" xfId="0" applyNumberFormat="1" applyFont="1" applyFill="1" applyBorder="1" applyAlignment="1">
      <alignment horizontal="right" vertical="center" wrapText="1"/>
    </xf>
    <xf numFmtId="43" fontId="24" fillId="0" borderId="0" xfId="2" applyFont="1" applyBorder="1"/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/>
    <xf numFmtId="0" fontId="25" fillId="0" borderId="0" xfId="0" applyFont="1" applyBorder="1" applyAlignment="1"/>
    <xf numFmtId="0" fontId="24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4" fontId="23" fillId="0" borderId="0" xfId="0" applyNumberFormat="1" applyFont="1" applyFill="1" applyBorder="1" applyAlignment="1">
      <alignment horizontal="right" vertical="center" wrapText="1"/>
    </xf>
    <xf numFmtId="0" fontId="28" fillId="0" borderId="0" xfId="0" applyFont="1" applyBorder="1"/>
    <xf numFmtId="49" fontId="17" fillId="2" borderId="23" xfId="0" applyNumberFormat="1" applyFont="1" applyFill="1" applyBorder="1" applyAlignment="1">
      <alignment horizontal="center" vertical="center" wrapText="1"/>
    </xf>
    <xf numFmtId="49" fontId="17" fillId="2" borderId="29" xfId="0" applyNumberFormat="1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center"/>
    </xf>
    <xf numFmtId="4" fontId="27" fillId="0" borderId="32" xfId="0" applyNumberFormat="1" applyFont="1" applyFill="1" applyBorder="1" applyAlignment="1">
      <alignment horizontal="center"/>
    </xf>
    <xf numFmtId="4" fontId="27" fillId="0" borderId="33" xfId="0" applyNumberFormat="1" applyFont="1" applyFill="1" applyBorder="1" applyAlignment="1">
      <alignment horizontal="center"/>
    </xf>
    <xf numFmtId="4" fontId="23" fillId="0" borderId="33" xfId="0" applyNumberFormat="1" applyFont="1" applyFill="1" applyBorder="1" applyAlignment="1">
      <alignment horizontal="center"/>
    </xf>
    <xf numFmtId="4" fontId="29" fillId="0" borderId="33" xfId="2" applyNumberFormat="1" applyFont="1" applyBorder="1" applyAlignment="1">
      <alignment horizontal="center"/>
    </xf>
    <xf numFmtId="0" fontId="24" fillId="0" borderId="33" xfId="0" applyFont="1" applyBorder="1"/>
    <xf numFmtId="4" fontId="24" fillId="0" borderId="33" xfId="0" applyNumberFormat="1" applyFont="1" applyBorder="1"/>
    <xf numFmtId="4" fontId="23" fillId="0" borderId="9" xfId="0" applyNumberFormat="1" applyFont="1" applyFill="1" applyBorder="1" applyAlignment="1">
      <alignment horizontal="center"/>
    </xf>
    <xf numFmtId="4" fontId="27" fillId="0" borderId="10" xfId="0" applyNumberFormat="1" applyFont="1" applyFill="1" applyBorder="1" applyAlignment="1">
      <alignment horizontal="center"/>
    </xf>
    <xf numFmtId="4" fontId="23" fillId="0" borderId="10" xfId="0" applyNumberFormat="1" applyFont="1" applyFill="1" applyBorder="1" applyAlignment="1">
      <alignment horizontal="center"/>
    </xf>
    <xf numFmtId="4" fontId="29" fillId="0" borderId="10" xfId="2" applyNumberFormat="1" applyFont="1" applyBorder="1" applyAlignment="1">
      <alignment horizontal="center"/>
    </xf>
    <xf numFmtId="0" fontId="24" fillId="0" borderId="10" xfId="0" applyFont="1" applyBorder="1"/>
    <xf numFmtId="4" fontId="24" fillId="0" borderId="10" xfId="0" applyNumberFormat="1" applyFont="1" applyBorder="1"/>
    <xf numFmtId="0" fontId="23" fillId="0" borderId="34" xfId="0" applyFont="1" applyBorder="1" applyAlignment="1">
      <alignment horizontal="left"/>
    </xf>
    <xf numFmtId="0" fontId="18" fillId="0" borderId="35" xfId="6" applyFont="1" applyBorder="1" applyAlignment="1">
      <alignment horizontal="left" indent="2"/>
    </xf>
    <xf numFmtId="0" fontId="27" fillId="0" borderId="35" xfId="0" applyFont="1" applyBorder="1" applyAlignment="1">
      <alignment horizontal="left"/>
    </xf>
    <xf numFmtId="0" fontId="23" fillId="0" borderId="35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49" fontId="27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18" fillId="0" borderId="31" xfId="6" applyFont="1" applyBorder="1" applyAlignment="1">
      <alignment horizontal="left" indent="2"/>
    </xf>
    <xf numFmtId="0" fontId="25" fillId="0" borderId="6" xfId="0" applyFont="1" applyBorder="1" applyAlignment="1">
      <alignment horizontal="center"/>
    </xf>
    <xf numFmtId="0" fontId="24" fillId="0" borderId="3" xfId="0" applyFont="1" applyBorder="1"/>
    <xf numFmtId="0" fontId="24" fillId="0" borderId="36" xfId="0" applyFont="1" applyBorder="1"/>
    <xf numFmtId="0" fontId="12" fillId="0" borderId="0" xfId="6" applyFont="1" applyBorder="1" applyAlignment="1">
      <alignment horizontal="center"/>
    </xf>
    <xf numFmtId="0" fontId="24" fillId="0" borderId="38" xfId="0" applyFont="1" applyBorder="1"/>
    <xf numFmtId="4" fontId="27" fillId="0" borderId="10" xfId="2" applyNumberFormat="1" applyFont="1" applyFill="1" applyBorder="1" applyAlignment="1">
      <alignment horizontal="center"/>
    </xf>
    <xf numFmtId="4" fontId="27" fillId="0" borderId="39" xfId="0" applyNumberFormat="1" applyFont="1" applyBorder="1" applyAlignment="1">
      <alignment horizontal="center"/>
    </xf>
    <xf numFmtId="4" fontId="29" fillId="0" borderId="3" xfId="2" applyNumberFormat="1" applyFont="1" applyBorder="1" applyAlignment="1">
      <alignment horizontal="center"/>
    </xf>
    <xf numFmtId="0" fontId="24" fillId="0" borderId="40" xfId="0" applyFont="1" applyBorder="1"/>
    <xf numFmtId="0" fontId="23" fillId="0" borderId="41" xfId="0" applyFont="1" applyBorder="1" applyAlignment="1">
      <alignment horizontal="left"/>
    </xf>
    <xf numFmtId="0" fontId="27" fillId="0" borderId="41" xfId="0" applyFont="1" applyBorder="1" applyAlignment="1">
      <alignment horizontal="left"/>
    </xf>
    <xf numFmtId="0" fontId="27" fillId="0" borderId="42" xfId="0" applyFont="1" applyBorder="1" applyAlignment="1">
      <alignment horizontal="left"/>
    </xf>
    <xf numFmtId="0" fontId="29" fillId="0" borderId="4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49" fontId="27" fillId="0" borderId="7" xfId="0" applyNumberFormat="1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3" xfId="0" applyFont="1" applyBorder="1"/>
    <xf numFmtId="49" fontId="17" fillId="2" borderId="43" xfId="0" applyNumberFormat="1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2" fontId="23" fillId="0" borderId="19" xfId="0" applyNumberFormat="1" applyFont="1" applyFill="1" applyBorder="1" applyAlignment="1">
      <alignment horizontal="center"/>
    </xf>
    <xf numFmtId="2" fontId="23" fillId="0" borderId="7" xfId="0" applyNumberFormat="1" applyFont="1" applyFill="1" applyBorder="1" applyAlignment="1">
      <alignment horizontal="center"/>
    </xf>
    <xf numFmtId="0" fontId="11" fillId="2" borderId="25" xfId="6" applyFont="1" applyFill="1" applyBorder="1" applyAlignment="1"/>
    <xf numFmtId="0" fontId="11" fillId="2" borderId="26" xfId="6" applyFont="1" applyFill="1" applyBorder="1" applyAlignment="1"/>
    <xf numFmtId="4" fontId="24" fillId="0" borderId="10" xfId="0" applyNumberFormat="1" applyFont="1" applyBorder="1" applyAlignment="1">
      <alignment horizontal="center"/>
    </xf>
    <xf numFmtId="49" fontId="17" fillId="2" borderId="44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15" fillId="0" borderId="0" xfId="6" applyFont="1" applyAlignment="1">
      <alignment horizontal="center"/>
    </xf>
    <xf numFmtId="0" fontId="26" fillId="0" borderId="0" xfId="0" applyFont="1" applyFill="1" applyBorder="1" applyAlignment="1">
      <alignment horizontal="center"/>
    </xf>
    <xf numFmtId="2" fontId="11" fillId="2" borderId="14" xfId="0" applyNumberFormat="1" applyFont="1" applyFill="1" applyBorder="1" applyAlignment="1">
      <alignment horizontal="center" vertical="center" wrapText="1"/>
    </xf>
    <xf numFmtId="2" fontId="31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center"/>
    </xf>
    <xf numFmtId="2" fontId="32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right"/>
    </xf>
    <xf numFmtId="2" fontId="27" fillId="0" borderId="14" xfId="0" applyNumberFormat="1" applyFont="1" applyFill="1" applyBorder="1" applyAlignment="1">
      <alignment horizontal="left"/>
    </xf>
    <xf numFmtId="1" fontId="27" fillId="0" borderId="14" xfId="0" applyNumberFormat="1" applyFont="1" applyFill="1" applyBorder="1" applyAlignment="1">
      <alignment horizontal="center"/>
    </xf>
    <xf numFmtId="2" fontId="33" fillId="6" borderId="14" xfId="0" applyNumberFormat="1" applyFont="1" applyFill="1" applyBorder="1" applyAlignment="1">
      <alignment horizontal="center"/>
    </xf>
    <xf numFmtId="2" fontId="34" fillId="0" borderId="14" xfId="0" applyNumberFormat="1" applyFont="1" applyFill="1" applyBorder="1" applyAlignment="1">
      <alignment horizontal="center"/>
    </xf>
    <xf numFmtId="2" fontId="34" fillId="5" borderId="14" xfId="2" applyNumberFormat="1" applyFont="1" applyFill="1" applyBorder="1" applyAlignment="1">
      <alignment horizontal="center"/>
    </xf>
    <xf numFmtId="0" fontId="1" fillId="0" borderId="0" xfId="0" applyFont="1"/>
    <xf numFmtId="4" fontId="27" fillId="0" borderId="10" xfId="2" applyNumberFormat="1" applyFont="1" applyFill="1" applyBorder="1" applyAlignment="1">
      <alignment horizontal="right"/>
    </xf>
    <xf numFmtId="4" fontId="27" fillId="0" borderId="10" xfId="0" applyNumberFormat="1" applyFont="1" applyFill="1" applyBorder="1" applyAlignment="1">
      <alignment horizontal="right"/>
    </xf>
    <xf numFmtId="4" fontId="27" fillId="0" borderId="39" xfId="0" applyNumberFormat="1" applyFont="1" applyBorder="1" applyAlignment="1">
      <alignment horizontal="right"/>
    </xf>
    <xf numFmtId="4" fontId="27" fillId="0" borderId="16" xfId="2" applyNumberFormat="1" applyFont="1" applyFill="1" applyBorder="1" applyAlignment="1">
      <alignment horizontal="right"/>
    </xf>
    <xf numFmtId="4" fontId="27" fillId="0" borderId="16" xfId="0" applyNumberFormat="1" applyFont="1" applyFill="1" applyBorder="1" applyAlignment="1">
      <alignment horizontal="right"/>
    </xf>
    <xf numFmtId="4" fontId="27" fillId="0" borderId="37" xfId="0" applyNumberFormat="1" applyFont="1" applyBorder="1" applyAlignment="1">
      <alignment horizontal="right"/>
    </xf>
    <xf numFmtId="4" fontId="29" fillId="0" borderId="2" xfId="2" applyNumberFormat="1" applyFont="1" applyBorder="1" applyAlignment="1">
      <alignment horizontal="right"/>
    </xf>
    <xf numFmtId="2" fontId="23" fillId="0" borderId="7" xfId="0" applyNumberFormat="1" applyFont="1" applyFill="1" applyBorder="1" applyAlignment="1">
      <alignment horizontal="right"/>
    </xf>
    <xf numFmtId="0" fontId="35" fillId="0" borderId="0" xfId="0" applyFont="1" applyBorder="1"/>
    <xf numFmtId="0" fontId="30" fillId="0" borderId="0" xfId="0" applyFont="1" applyFill="1" applyBorder="1" applyAlignment="1">
      <alignment horizontal="center"/>
    </xf>
    <xf numFmtId="49" fontId="17" fillId="2" borderId="22" xfId="0" applyNumberFormat="1" applyFont="1" applyFill="1" applyBorder="1" applyAlignment="1">
      <alignment horizontal="center" vertical="center" wrapText="1"/>
    </xf>
    <xf numFmtId="49" fontId="17" fillId="2" borderId="44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/>
    </xf>
    <xf numFmtId="0" fontId="29" fillId="3" borderId="25" xfId="0" applyFont="1" applyFill="1" applyBorder="1" applyAlignment="1">
      <alignment horizontal="center"/>
    </xf>
    <xf numFmtId="0" fontId="29" fillId="3" borderId="26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0" fontId="29" fillId="3" borderId="46" xfId="0" applyFont="1" applyFill="1" applyBorder="1" applyAlignment="1">
      <alignment horizontal="center"/>
    </xf>
    <xf numFmtId="0" fontId="29" fillId="3" borderId="36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9" fillId="3" borderId="13" xfId="6" applyFont="1" applyFill="1" applyBorder="1" applyAlignment="1">
      <alignment horizontal="left"/>
    </xf>
    <xf numFmtId="0" fontId="19" fillId="3" borderId="37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8" xfId="6" applyFont="1" applyFill="1" applyBorder="1" applyAlignment="1">
      <alignment horizontal="left"/>
    </xf>
    <xf numFmtId="0" fontId="22" fillId="2" borderId="13" xfId="6" applyFont="1" applyFill="1" applyBorder="1" applyAlignment="1">
      <alignment horizontal="center"/>
    </xf>
    <xf numFmtId="0" fontId="22" fillId="2" borderId="16" xfId="6" applyFont="1" applyFill="1" applyBorder="1" applyAlignment="1">
      <alignment horizontal="center"/>
    </xf>
    <xf numFmtId="0" fontId="19" fillId="3" borderId="47" xfId="6" applyFont="1" applyFill="1" applyBorder="1" applyAlignment="1">
      <alignment horizontal="left"/>
    </xf>
    <xf numFmtId="0" fontId="22" fillId="2" borderId="49" xfId="6" applyFont="1" applyFill="1" applyBorder="1" applyAlignment="1">
      <alignment horizontal="center"/>
    </xf>
    <xf numFmtId="0" fontId="22" fillId="2" borderId="38" xfId="6" applyFont="1" applyFill="1" applyBorder="1" applyAlignment="1">
      <alignment horizontal="center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2" fillId="0" borderId="0" xfId="6" applyFont="1" applyAlignment="1">
      <alignment horizontal="center"/>
    </xf>
    <xf numFmtId="0" fontId="11" fillId="2" borderId="22" xfId="6" applyFont="1" applyFill="1" applyBorder="1" applyAlignment="1">
      <alignment horizontal="center" vertical="center" wrapText="1"/>
    </xf>
    <xf numFmtId="0" fontId="11" fillId="2" borderId="23" xfId="6" applyFont="1" applyFill="1" applyBorder="1" applyAlignment="1">
      <alignment horizontal="center" vertical="center" wrapText="1"/>
    </xf>
    <xf numFmtId="0" fontId="11" fillId="2" borderId="50" xfId="6" applyFont="1" applyFill="1" applyBorder="1" applyAlignment="1">
      <alignment horizontal="center" vertical="center" wrapText="1"/>
    </xf>
    <xf numFmtId="0" fontId="11" fillId="2" borderId="0" xfId="6" applyFont="1" applyFill="1" applyBorder="1" applyAlignment="1">
      <alignment horizontal="center" vertical="center" wrapText="1"/>
    </xf>
    <xf numFmtId="0" fontId="11" fillId="2" borderId="24" xfId="6" applyFont="1" applyFill="1" applyBorder="1" applyAlignment="1">
      <alignment horizontal="center" vertical="center" wrapText="1"/>
    </xf>
    <xf numFmtId="0" fontId="11" fillId="2" borderId="51" xfId="6" applyFont="1" applyFill="1" applyBorder="1" applyAlignment="1">
      <alignment horizontal="center" vertical="center" wrapText="1"/>
    </xf>
    <xf numFmtId="0" fontId="11" fillId="2" borderId="25" xfId="6" applyFont="1" applyFill="1" applyBorder="1" applyAlignment="1">
      <alignment horizontal="center" vertical="center" wrapText="1"/>
    </xf>
    <xf numFmtId="0" fontId="11" fillId="2" borderId="26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24" fillId="0" borderId="33" xfId="0" applyNumberFormat="1" applyFont="1" applyBorder="1" applyAlignment="1">
      <alignment horizontal="center"/>
    </xf>
    <xf numFmtId="2" fontId="36" fillId="0" borderId="40" xfId="0" applyNumberFormat="1" applyFont="1" applyBorder="1" applyAlignment="1">
      <alignment horizontal="center"/>
    </xf>
    <xf numFmtId="0" fontId="19" fillId="0" borderId="13" xfId="6" applyFont="1" applyBorder="1" applyAlignment="1">
      <alignment horizontal="center"/>
    </xf>
    <xf numFmtId="0" fontId="19" fillId="7" borderId="8" xfId="6" applyFont="1" applyFill="1" applyBorder="1" applyAlignment="1"/>
    <xf numFmtId="0" fontId="24" fillId="0" borderId="51" xfId="0" applyFont="1" applyBorder="1"/>
    <xf numFmtId="0" fontId="19" fillId="7" borderId="10" xfId="6" applyFont="1" applyFill="1" applyBorder="1" applyAlignment="1"/>
    <xf numFmtId="0" fontId="24" fillId="0" borderId="35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2" fontId="37" fillId="0" borderId="36" xfId="0" applyNumberFormat="1" applyFont="1" applyBorder="1" applyAlignment="1">
      <alignment horizontal="center"/>
    </xf>
    <xf numFmtId="0" fontId="27" fillId="0" borderId="40" xfId="0" applyFont="1" applyBorder="1"/>
    <xf numFmtId="4" fontId="36" fillId="0" borderId="7" xfId="0" applyNumberFormat="1" applyFont="1" applyBorder="1" applyAlignment="1">
      <alignment horizontal="center"/>
    </xf>
    <xf numFmtId="4" fontId="36" fillId="0" borderId="52" xfId="0" applyNumberFormat="1" applyFont="1" applyBorder="1" applyAlignment="1">
      <alignment horizontal="center"/>
    </xf>
    <xf numFmtId="4" fontId="24" fillId="0" borderId="15" xfId="0" applyNumberFormat="1" applyFont="1" applyBorder="1" applyAlignment="1">
      <alignment horizontal="center"/>
    </xf>
    <xf numFmtId="4" fontId="24" fillId="0" borderId="53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18" fillId="0" borderId="15" xfId="6" applyFont="1" applyBorder="1"/>
    <xf numFmtId="0" fontId="18" fillId="0" borderId="15" xfId="6" applyFont="1" applyBorder="1" applyAlignment="1">
      <alignment horizontal="center"/>
    </xf>
    <xf numFmtId="43" fontId="20" fillId="0" borderId="11" xfId="2" applyFont="1" applyBorder="1" applyAlignment="1">
      <alignment horizontal="center"/>
    </xf>
    <xf numFmtId="43" fontId="20" fillId="0" borderId="12" xfId="2" applyFont="1" applyBorder="1"/>
    <xf numFmtId="2" fontId="18" fillId="0" borderId="10" xfId="6" applyNumberFormat="1" applyFont="1" applyBorder="1"/>
    <xf numFmtId="0" fontId="18" fillId="0" borderId="33" xfId="6" applyFont="1" applyBorder="1"/>
    <xf numFmtId="0" fontId="19" fillId="3" borderId="18" xfId="6" applyFont="1" applyFill="1" applyBorder="1" applyAlignment="1">
      <alignment horizontal="left"/>
    </xf>
    <xf numFmtId="2" fontId="18" fillId="0" borderId="33" xfId="6" applyNumberFormat="1" applyFont="1" applyBorder="1"/>
    <xf numFmtId="0" fontId="18" fillId="0" borderId="35" xfId="6" applyFont="1" applyBorder="1" applyAlignment="1">
      <alignment horizontal="center"/>
    </xf>
    <xf numFmtId="2" fontId="38" fillId="3" borderId="7" xfId="6" applyNumberFormat="1" applyFont="1" applyFill="1" applyBorder="1"/>
    <xf numFmtId="0" fontId="38" fillId="3" borderId="10" xfId="6" applyFont="1" applyFill="1" applyBorder="1"/>
    <xf numFmtId="0" fontId="39" fillId="4" borderId="10" xfId="6" applyFont="1" applyFill="1" applyBorder="1"/>
    <xf numFmtId="0" fontId="25" fillId="4" borderId="9" xfId="6" applyFont="1" applyFill="1" applyBorder="1"/>
    <xf numFmtId="2" fontId="12" fillId="0" borderId="23" xfId="6" applyNumberFormat="1" applyFont="1" applyFill="1" applyBorder="1" applyAlignment="1">
      <alignment horizontal="center"/>
    </xf>
    <xf numFmtId="2" fontId="11" fillId="2" borderId="26" xfId="6" applyNumberFormat="1" applyFont="1" applyFill="1" applyBorder="1" applyAlignment="1"/>
    <xf numFmtId="2" fontId="18" fillId="0" borderId="11" xfId="6" applyNumberFormat="1" applyFont="1" applyBorder="1"/>
    <xf numFmtId="2" fontId="18" fillId="0" borderId="12" xfId="6" applyNumberFormat="1" applyFont="1" applyBorder="1"/>
    <xf numFmtId="2" fontId="18" fillId="0" borderId="14" xfId="6" applyNumberFormat="1" applyFont="1" applyBorder="1"/>
    <xf numFmtId="0" fontId="41" fillId="2" borderId="24" xfId="0" applyFont="1" applyFill="1" applyBorder="1" applyAlignment="1">
      <alignment horizontal="center" vertical="center" wrapText="1"/>
    </xf>
    <xf numFmtId="49" fontId="41" fillId="2" borderId="29" xfId="0" applyNumberFormat="1" applyFont="1" applyFill="1" applyBorder="1" applyAlignment="1">
      <alignment horizontal="center" vertical="center" wrapText="1"/>
    </xf>
    <xf numFmtId="2" fontId="40" fillId="2" borderId="14" xfId="0" applyNumberFormat="1" applyFont="1" applyFill="1" applyBorder="1" applyAlignment="1">
      <alignment horizontal="center" vertical="center" wrapText="1"/>
    </xf>
    <xf numFmtId="0" fontId="40" fillId="2" borderId="45" xfId="6" applyFont="1" applyFill="1" applyBorder="1" applyAlignment="1">
      <alignment horizontal="center" vertical="center" wrapText="1"/>
    </xf>
    <xf numFmtId="0" fontId="40" fillId="2" borderId="39" xfId="6" applyFont="1" applyFill="1" applyBorder="1" applyAlignment="1">
      <alignment horizontal="center" vertical="center" wrapText="1"/>
    </xf>
    <xf numFmtId="0" fontId="40" fillId="2" borderId="40" xfId="6" applyFont="1" applyFill="1" applyBorder="1" applyAlignment="1">
      <alignment horizontal="center" vertical="center" wrapText="1"/>
    </xf>
  </cellXfs>
  <cellStyles count="8">
    <cellStyle name="Euro" xfId="1"/>
    <cellStyle name="Millares" xfId="2" builtinId="3"/>
    <cellStyle name="Millares 2" xfId="3"/>
    <cellStyle name="Normal" xfId="0" builtinId="0"/>
    <cellStyle name="Normal 14" xfId="4"/>
    <cellStyle name="Normal 15" xfId="5"/>
    <cellStyle name="Normal 2" xfId="6"/>
    <cellStyle name="Normal 7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33"/>
  <sheetViews>
    <sheetView topLeftCell="A5" zoomScaleNormal="100" workbookViewId="0">
      <selection activeCell="C18" sqref="C18"/>
    </sheetView>
  </sheetViews>
  <sheetFormatPr baseColWidth="10" defaultColWidth="11.42578125" defaultRowHeight="20.100000000000001" customHeight="1" x14ac:dyDescent="0.2"/>
  <cols>
    <col min="1" max="1" width="13.140625" style="65" customWidth="1"/>
    <col min="2" max="2" width="43.85546875" style="65" customWidth="1"/>
    <col min="3" max="3" width="21.5703125" style="65" customWidth="1"/>
    <col min="4" max="4" width="29.7109375" style="65" bestFit="1" customWidth="1"/>
    <col min="5" max="5" width="17.28515625" style="2" customWidth="1"/>
    <col min="6" max="16384" width="11.42578125" style="2"/>
  </cols>
  <sheetData>
    <row r="1" spans="1:5" ht="20.100000000000001" customHeight="1" x14ac:dyDescent="0.3">
      <c r="A1" s="157" t="s">
        <v>0</v>
      </c>
      <c r="B1" s="157"/>
      <c r="C1" s="157"/>
      <c r="D1" s="157"/>
      <c r="E1" s="157"/>
    </row>
    <row r="2" spans="1:5" ht="20.100000000000001" customHeight="1" x14ac:dyDescent="0.25">
      <c r="A2" s="160" t="s">
        <v>1</v>
      </c>
      <c r="B2" s="160"/>
      <c r="C2" s="160"/>
      <c r="D2" s="160"/>
      <c r="E2" s="160"/>
    </row>
    <row r="3" spans="1:5" ht="20.100000000000001" customHeight="1" x14ac:dyDescent="0.25">
      <c r="A3" s="160" t="s">
        <v>2</v>
      </c>
      <c r="B3" s="160"/>
      <c r="C3" s="160"/>
      <c r="D3" s="160"/>
      <c r="E3" s="160"/>
    </row>
    <row r="4" spans="1:5" ht="20.100000000000001" customHeight="1" x14ac:dyDescent="0.25">
      <c r="A4" s="133"/>
      <c r="B4" s="133"/>
      <c r="C4" s="133"/>
      <c r="D4" s="133"/>
    </row>
    <row r="5" spans="1:5" ht="20.100000000000001" customHeight="1" x14ac:dyDescent="0.25">
      <c r="A5" s="66" t="s">
        <v>3</v>
      </c>
      <c r="B5" s="133"/>
      <c r="C5" s="2"/>
      <c r="D5" s="66"/>
    </row>
    <row r="6" spans="1:5" ht="20.100000000000001" customHeight="1" x14ac:dyDescent="0.25">
      <c r="A6" s="66" t="s">
        <v>4</v>
      </c>
      <c r="B6" s="133"/>
      <c r="C6" s="2"/>
      <c r="D6" s="66"/>
    </row>
    <row r="7" spans="1:5" ht="20.100000000000001" customHeight="1" x14ac:dyDescent="0.25">
      <c r="A7" s="67" t="s">
        <v>5</v>
      </c>
      <c r="B7" s="67"/>
      <c r="C7" s="2"/>
      <c r="D7" s="67"/>
    </row>
    <row r="8" spans="1:5" ht="20.100000000000001" customHeight="1" thickBot="1" x14ac:dyDescent="0.3">
      <c r="A8" s="67"/>
      <c r="B8" s="67"/>
      <c r="C8" s="2"/>
      <c r="D8" s="67"/>
    </row>
    <row r="9" spans="1:5" ht="62.25" customHeight="1" x14ac:dyDescent="0.2">
      <c r="A9" s="158" t="s">
        <v>6</v>
      </c>
      <c r="B9" s="159"/>
      <c r="C9" s="80" t="s">
        <v>7</v>
      </c>
      <c r="D9" s="81" t="s">
        <v>8</v>
      </c>
      <c r="E9" s="227" t="s">
        <v>9</v>
      </c>
    </row>
    <row r="10" spans="1:5" ht="20.100000000000001" customHeight="1" thickBot="1" x14ac:dyDescent="0.3">
      <c r="A10" s="161" t="s">
        <v>10</v>
      </c>
      <c r="B10" s="162"/>
      <c r="C10" s="162"/>
      <c r="D10" s="162"/>
      <c r="E10" s="162"/>
    </row>
    <row r="11" spans="1:5" ht="20.100000000000001" customHeight="1" x14ac:dyDescent="0.2">
      <c r="A11" s="99">
        <v>11</v>
      </c>
      <c r="B11" s="95" t="s">
        <v>11</v>
      </c>
      <c r="C11" s="89"/>
      <c r="D11" s="83"/>
      <c r="E11" s="83"/>
    </row>
    <row r="12" spans="1:5" ht="20.100000000000001" customHeight="1" x14ac:dyDescent="0.2">
      <c r="A12" s="100">
        <v>1101</v>
      </c>
      <c r="B12" s="96" t="s">
        <v>12</v>
      </c>
      <c r="C12" s="90"/>
      <c r="D12" s="84"/>
      <c r="E12" s="84"/>
    </row>
    <row r="13" spans="1:5" ht="20.100000000000001" customHeight="1" x14ac:dyDescent="0.2">
      <c r="A13" s="100">
        <v>1102</v>
      </c>
      <c r="B13" s="96" t="s">
        <v>13</v>
      </c>
      <c r="C13" s="90"/>
      <c r="D13" s="84"/>
      <c r="E13" s="84"/>
    </row>
    <row r="14" spans="1:5" ht="20.100000000000001" customHeight="1" x14ac:dyDescent="0.2">
      <c r="A14" s="100">
        <v>1103</v>
      </c>
      <c r="B14" s="96" t="s">
        <v>14</v>
      </c>
      <c r="C14" s="90"/>
      <c r="D14" s="84"/>
      <c r="E14" s="84"/>
    </row>
    <row r="15" spans="1:5" ht="20.100000000000001" customHeight="1" x14ac:dyDescent="0.2">
      <c r="A15" s="100">
        <v>1107</v>
      </c>
      <c r="B15" s="96" t="s">
        <v>15</v>
      </c>
      <c r="C15" s="90"/>
      <c r="D15" s="84"/>
      <c r="E15" s="84"/>
    </row>
    <row r="16" spans="1:5" ht="20.100000000000001" customHeight="1" x14ac:dyDescent="0.2">
      <c r="A16" s="101"/>
      <c r="B16" s="97"/>
      <c r="C16" s="91"/>
      <c r="D16" s="85"/>
      <c r="E16" s="85"/>
    </row>
    <row r="17" spans="1:5" ht="20.100000000000001" customHeight="1" x14ac:dyDescent="0.2">
      <c r="A17" s="102">
        <v>13</v>
      </c>
      <c r="B17" s="98" t="s">
        <v>16</v>
      </c>
      <c r="C17" s="90"/>
      <c r="D17" s="84"/>
      <c r="E17" s="84"/>
    </row>
    <row r="18" spans="1:5" ht="20.100000000000001" customHeight="1" x14ac:dyDescent="0.2">
      <c r="A18" s="100">
        <v>1301</v>
      </c>
      <c r="B18" s="96" t="s">
        <v>17</v>
      </c>
      <c r="C18" s="90"/>
      <c r="D18" s="84"/>
      <c r="E18" s="84"/>
    </row>
    <row r="19" spans="1:5" ht="20.100000000000001" customHeight="1" x14ac:dyDescent="0.2">
      <c r="A19" s="100">
        <v>1302</v>
      </c>
      <c r="B19" s="96" t="s">
        <v>18</v>
      </c>
      <c r="C19" s="90"/>
      <c r="D19" s="84"/>
      <c r="E19" s="84"/>
    </row>
    <row r="20" spans="1:5" ht="20.100000000000001" customHeight="1" x14ac:dyDescent="0.2">
      <c r="A20" s="100">
        <v>1303</v>
      </c>
      <c r="B20" s="96" t="s">
        <v>19</v>
      </c>
      <c r="C20" s="91"/>
      <c r="D20" s="85"/>
      <c r="E20" s="85"/>
    </row>
    <row r="21" spans="1:5" ht="20.100000000000001" customHeight="1" x14ac:dyDescent="0.2">
      <c r="A21" s="100">
        <v>1304</v>
      </c>
      <c r="B21" s="96" t="s">
        <v>20</v>
      </c>
      <c r="C21" s="91"/>
      <c r="D21" s="85"/>
      <c r="E21" s="85"/>
    </row>
    <row r="22" spans="1:5" ht="20.100000000000001" customHeight="1" x14ac:dyDescent="0.2">
      <c r="A22" s="101"/>
      <c r="B22" s="97"/>
      <c r="C22" s="91"/>
      <c r="D22" s="84"/>
      <c r="E22" s="84"/>
    </row>
    <row r="23" spans="1:5" ht="20.100000000000001" customHeight="1" x14ac:dyDescent="0.25">
      <c r="A23" s="102">
        <v>14</v>
      </c>
      <c r="B23" s="98" t="s">
        <v>21</v>
      </c>
      <c r="C23" s="92"/>
      <c r="D23" s="86"/>
      <c r="E23" s="86"/>
    </row>
    <row r="24" spans="1:5" ht="20.100000000000001" customHeight="1" x14ac:dyDescent="0.2">
      <c r="A24" s="103"/>
      <c r="B24" s="97"/>
      <c r="C24" s="93"/>
      <c r="D24" s="87"/>
      <c r="E24" s="87"/>
    </row>
    <row r="25" spans="1:5" ht="20.100000000000001" customHeight="1" x14ac:dyDescent="0.2">
      <c r="A25" s="102">
        <v>17</v>
      </c>
      <c r="B25" s="98" t="s">
        <v>22</v>
      </c>
      <c r="C25" s="93"/>
      <c r="D25" s="87"/>
      <c r="E25" s="87"/>
    </row>
    <row r="26" spans="1:5" ht="20.100000000000001" customHeight="1" x14ac:dyDescent="0.2">
      <c r="A26" s="101"/>
      <c r="B26" s="97"/>
      <c r="C26" s="94"/>
      <c r="D26" s="88"/>
      <c r="E26" s="88"/>
    </row>
    <row r="27" spans="1:5" ht="20.100000000000001" customHeight="1" x14ac:dyDescent="0.2">
      <c r="A27" s="102">
        <v>18</v>
      </c>
      <c r="B27" s="98" t="s">
        <v>23</v>
      </c>
      <c r="C27" s="93"/>
      <c r="D27" s="88"/>
      <c r="E27" s="88"/>
    </row>
    <row r="28" spans="1:5" ht="20.100000000000001" customHeight="1" x14ac:dyDescent="0.2">
      <c r="A28" s="101"/>
      <c r="B28" s="96" t="s">
        <v>24</v>
      </c>
      <c r="C28" s="131"/>
      <c r="D28" s="192"/>
      <c r="E28" s="88"/>
    </row>
    <row r="29" spans="1:5" ht="20.100000000000001" customHeight="1" x14ac:dyDescent="0.2">
      <c r="A29" s="102">
        <v>19</v>
      </c>
      <c r="B29" s="98" t="s">
        <v>25</v>
      </c>
      <c r="C29" s="94"/>
      <c r="D29" s="88"/>
      <c r="E29" s="88"/>
    </row>
    <row r="30" spans="1:5" ht="20.100000000000001" customHeight="1" x14ac:dyDescent="0.2">
      <c r="A30" s="100">
        <v>1901</v>
      </c>
      <c r="B30" s="96" t="s">
        <v>26</v>
      </c>
      <c r="C30" s="94"/>
      <c r="D30" s="88"/>
      <c r="E30" s="88"/>
    </row>
    <row r="31" spans="1:5" ht="20.100000000000001" customHeight="1" x14ac:dyDescent="0.2">
      <c r="A31" s="100">
        <v>1902</v>
      </c>
      <c r="B31" s="96" t="s">
        <v>27</v>
      </c>
      <c r="C31" s="93"/>
      <c r="D31" s="87"/>
      <c r="E31" s="87"/>
    </row>
    <row r="32" spans="1:5" ht="20.100000000000001" customHeight="1" x14ac:dyDescent="0.2">
      <c r="A32" s="104">
        <v>1904</v>
      </c>
      <c r="B32" s="105" t="s">
        <v>28</v>
      </c>
      <c r="C32" s="93"/>
      <c r="D32" s="198"/>
      <c r="E32" s="199"/>
    </row>
    <row r="33" spans="1:7" ht="20.100000000000001" customHeight="1" x14ac:dyDescent="0.2">
      <c r="A33" s="194">
        <v>28</v>
      </c>
      <c r="B33" s="195" t="s">
        <v>109</v>
      </c>
      <c r="C33" s="197"/>
      <c r="D33" s="198"/>
      <c r="E33" s="199"/>
    </row>
    <row r="34" spans="1:7" ht="20.100000000000001" customHeight="1" thickBot="1" x14ac:dyDescent="0.25">
      <c r="A34" s="209">
        <v>2806</v>
      </c>
      <c r="B34" s="208" t="s">
        <v>110</v>
      </c>
      <c r="C34" s="205">
        <v>3703715.57</v>
      </c>
      <c r="D34" s="206">
        <v>4051861.42</v>
      </c>
      <c r="E34" s="207"/>
    </row>
    <row r="35" spans="1:7" ht="20.100000000000001" customHeight="1" thickBot="1" x14ac:dyDescent="0.3">
      <c r="A35" s="202"/>
      <c r="B35" s="200" t="s">
        <v>29</v>
      </c>
      <c r="C35" s="203">
        <v>3703715.57</v>
      </c>
      <c r="D35" s="204">
        <v>4051861.42</v>
      </c>
      <c r="E35" s="196"/>
      <c r="G35" s="7"/>
    </row>
    <row r="36" spans="1:7" ht="20.100000000000001" customHeight="1" thickBot="1" x14ac:dyDescent="0.3">
      <c r="A36" s="114"/>
      <c r="B36" s="106" t="s">
        <v>30</v>
      </c>
      <c r="C36" s="107"/>
      <c r="D36" s="201">
        <f>SUM(348145.85*100)/C35</f>
        <v>9.399907833635293</v>
      </c>
      <c r="E36" s="108"/>
    </row>
    <row r="37" spans="1:7" ht="20.100000000000001" customHeight="1" x14ac:dyDescent="0.2">
      <c r="A37" s="61"/>
      <c r="B37" s="62"/>
      <c r="C37" s="61"/>
      <c r="D37" s="61"/>
    </row>
    <row r="38" spans="1:7" ht="20.100000000000001" customHeight="1" x14ac:dyDescent="0.2">
      <c r="A38" s="79" t="s">
        <v>31</v>
      </c>
      <c r="B38" s="62"/>
      <c r="C38" s="61"/>
      <c r="D38" s="61"/>
    </row>
    <row r="39" spans="1:7" ht="20.100000000000001" customHeight="1" x14ac:dyDescent="0.2">
      <c r="A39" s="79" t="s">
        <v>32</v>
      </c>
      <c r="B39" s="62"/>
      <c r="C39" s="61"/>
      <c r="D39" s="61"/>
    </row>
    <row r="40" spans="1:7" ht="20.100000000000001" customHeight="1" x14ac:dyDescent="0.2">
      <c r="A40" s="79" t="s">
        <v>33</v>
      </c>
      <c r="B40" s="61"/>
      <c r="C40" s="61"/>
      <c r="D40" s="61"/>
    </row>
    <row r="41" spans="1:7" ht="20.100000000000001" customHeight="1" x14ac:dyDescent="0.2">
      <c r="A41" s="61"/>
      <c r="B41" s="62"/>
      <c r="C41" s="61"/>
      <c r="D41" s="61"/>
    </row>
    <row r="42" spans="1:7" ht="20.100000000000001" customHeight="1" x14ac:dyDescent="0.2">
      <c r="A42" s="61"/>
      <c r="B42" s="62"/>
      <c r="C42" s="61"/>
      <c r="D42" s="61"/>
    </row>
    <row r="43" spans="1:7" ht="20.100000000000001" customHeight="1" x14ac:dyDescent="0.2">
      <c r="A43" s="61"/>
      <c r="B43" s="61"/>
      <c r="C43" s="61"/>
      <c r="D43" s="61"/>
    </row>
    <row r="44" spans="1:7" ht="20.100000000000001" customHeight="1" x14ac:dyDescent="0.2">
      <c r="A44" s="61"/>
      <c r="B44" s="64"/>
      <c r="C44" s="61"/>
      <c r="D44" s="61"/>
    </row>
    <row r="45" spans="1:7" ht="20.100000000000001" customHeight="1" x14ac:dyDescent="0.25">
      <c r="A45" s="2"/>
      <c r="B45" s="134" t="s">
        <v>34</v>
      </c>
      <c r="C45" s="134"/>
      <c r="D45" s="61"/>
    </row>
    <row r="46" spans="1:7" ht="20.100000000000001" customHeight="1" x14ac:dyDescent="0.25">
      <c r="A46" s="2"/>
      <c r="B46" s="109"/>
      <c r="C46" s="109"/>
      <c r="D46" s="61"/>
    </row>
    <row r="47" spans="1:7" ht="20.100000000000001" customHeight="1" x14ac:dyDescent="0.25">
      <c r="A47" s="2"/>
      <c r="B47" s="56" t="s">
        <v>580</v>
      </c>
      <c r="C47" s="61"/>
      <c r="D47" s="61"/>
    </row>
    <row r="48" spans="1:7" ht="20.100000000000001" customHeight="1" x14ac:dyDescent="0.2">
      <c r="A48" s="2"/>
      <c r="B48" s="61"/>
      <c r="C48" s="61"/>
      <c r="D48" s="61"/>
    </row>
    <row r="49" spans="1:4" ht="20.100000000000001" customHeight="1" x14ac:dyDescent="0.25">
      <c r="A49" s="2"/>
      <c r="B49" s="56" t="s">
        <v>581</v>
      </c>
      <c r="C49" s="61"/>
      <c r="D49" s="61"/>
    </row>
    <row r="50" spans="1:4" ht="20.100000000000001" customHeight="1" x14ac:dyDescent="0.25">
      <c r="A50" s="2"/>
      <c r="B50" s="56" t="s">
        <v>36</v>
      </c>
      <c r="C50" s="61"/>
      <c r="D50" s="61"/>
    </row>
    <row r="51" spans="1:4" ht="20.100000000000001" customHeight="1" x14ac:dyDescent="0.2">
      <c r="A51" s="61"/>
      <c r="B51" s="61"/>
    </row>
    <row r="52" spans="1:4" ht="20.100000000000001" customHeight="1" x14ac:dyDescent="0.2">
      <c r="A52" s="61"/>
      <c r="B52" s="61"/>
    </row>
    <row r="53" spans="1:4" ht="20.100000000000001" customHeight="1" x14ac:dyDescent="0.2">
      <c r="A53" s="61"/>
      <c r="B53" s="61"/>
    </row>
    <row r="54" spans="1:4" ht="20.100000000000001" customHeight="1" x14ac:dyDescent="0.2">
      <c r="A54" s="61"/>
      <c r="B54" s="61"/>
    </row>
    <row r="55" spans="1:4" ht="20.100000000000001" customHeight="1" x14ac:dyDescent="0.2">
      <c r="A55" s="61"/>
      <c r="B55" s="61"/>
    </row>
    <row r="56" spans="1:4" ht="45.75" customHeight="1" x14ac:dyDescent="0.2">
      <c r="A56" s="61"/>
      <c r="B56" s="61"/>
    </row>
    <row r="57" spans="1:4" ht="20.100000000000001" customHeight="1" x14ac:dyDescent="0.2">
      <c r="A57" s="61"/>
      <c r="B57" s="61"/>
    </row>
    <row r="58" spans="1:4" ht="20.100000000000001" customHeight="1" x14ac:dyDescent="0.2">
      <c r="A58" s="61"/>
      <c r="B58" s="61"/>
    </row>
    <row r="59" spans="1:4" ht="20.100000000000001" customHeight="1" x14ac:dyDescent="0.2">
      <c r="A59" s="61"/>
      <c r="B59" s="61"/>
    </row>
    <row r="60" spans="1:4" ht="20.100000000000001" customHeight="1" x14ac:dyDescent="0.2">
      <c r="A60" s="61"/>
      <c r="B60" s="61"/>
    </row>
    <row r="61" spans="1:4" ht="20.100000000000001" customHeight="1" x14ac:dyDescent="0.2">
      <c r="A61" s="61"/>
      <c r="B61" s="61"/>
    </row>
    <row r="62" spans="1:4" ht="20.100000000000001" customHeight="1" x14ac:dyDescent="0.2">
      <c r="A62" s="61"/>
      <c r="B62" s="61"/>
    </row>
    <row r="133" ht="27.75" customHeight="1" x14ac:dyDescent="0.2"/>
  </sheetData>
  <mergeCells count="5">
    <mergeCell ref="A1:E1"/>
    <mergeCell ref="A2:E2"/>
    <mergeCell ref="A3:E3"/>
    <mergeCell ref="A9:B9"/>
    <mergeCell ref="A10:E10"/>
  </mergeCells>
  <phoneticPr fontId="0" type="noConversion"/>
  <printOptions horizontalCentered="1" verticalCentered="1"/>
  <pageMargins left="0.39370078740157483" right="0.70866141732283472" top="0.39370078740157483" bottom="0.39370078740157483" header="0" footer="0"/>
  <pageSetup paperSize="9" scale="68" orientation="portrait" r:id="rId1"/>
  <rowBreaks count="1" manualBreakCount="1">
    <brk id="51" max="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3"/>
  <sheetViews>
    <sheetView topLeftCell="A39" zoomScaleNormal="100" workbookViewId="0">
      <selection activeCell="A52" sqref="A52"/>
    </sheetView>
  </sheetViews>
  <sheetFormatPr baseColWidth="10" defaultColWidth="11.42578125" defaultRowHeight="20.100000000000001" customHeight="1" x14ac:dyDescent="0.2"/>
  <cols>
    <col min="1" max="1" width="18" style="65" customWidth="1"/>
    <col min="2" max="2" width="42.28515625" style="65" customWidth="1"/>
    <col min="3" max="4" width="23" style="65" customWidth="1"/>
    <col min="5" max="5" width="16.7109375" style="2" customWidth="1"/>
    <col min="6" max="16384" width="11.42578125" style="2"/>
  </cols>
  <sheetData>
    <row r="1" spans="1:8" ht="20.100000000000001" customHeight="1" x14ac:dyDescent="0.3">
      <c r="A1" s="157" t="s">
        <v>0</v>
      </c>
      <c r="B1" s="157"/>
      <c r="C1" s="157"/>
      <c r="D1" s="157"/>
      <c r="E1" s="157"/>
      <c r="F1" s="4"/>
      <c r="G1" s="4"/>
    </row>
    <row r="2" spans="1:8" ht="20.100000000000001" customHeight="1" x14ac:dyDescent="0.25">
      <c r="A2" s="160" t="s">
        <v>37</v>
      </c>
      <c r="B2" s="160"/>
      <c r="C2" s="160"/>
      <c r="D2" s="160"/>
      <c r="E2" s="160"/>
      <c r="F2" s="4"/>
      <c r="G2" s="4"/>
    </row>
    <row r="3" spans="1:8" ht="20.100000000000001" customHeight="1" x14ac:dyDescent="0.25">
      <c r="A3" s="133"/>
      <c r="B3" s="133"/>
      <c r="C3" s="133"/>
      <c r="D3" s="133"/>
      <c r="E3" s="4"/>
      <c r="F3" s="4"/>
      <c r="G3" s="4"/>
    </row>
    <row r="4" spans="1:8" ht="20.100000000000001" customHeight="1" x14ac:dyDescent="0.25">
      <c r="A4" s="66" t="s">
        <v>3</v>
      </c>
      <c r="B4" s="133"/>
      <c r="C4" s="133"/>
      <c r="D4" s="133"/>
      <c r="E4" s="133"/>
      <c r="F4" s="4"/>
      <c r="G4" s="4"/>
    </row>
    <row r="5" spans="1:8" ht="20.100000000000001" customHeight="1" x14ac:dyDescent="0.25">
      <c r="A5" s="66" t="s">
        <v>4</v>
      </c>
      <c r="B5" s="68"/>
      <c r="C5" s="69"/>
      <c r="D5" s="69"/>
      <c r="E5" s="57"/>
      <c r="F5" s="4"/>
      <c r="G5" s="4"/>
    </row>
    <row r="6" spans="1:8" ht="20.100000000000001" customHeight="1" x14ac:dyDescent="0.25">
      <c r="A6" s="67" t="s">
        <v>5</v>
      </c>
      <c r="B6" s="59"/>
      <c r="C6" s="59"/>
      <c r="D6" s="59"/>
      <c r="E6" s="59"/>
      <c r="F6" s="5"/>
      <c r="G6" s="5"/>
      <c r="H6" s="3"/>
    </row>
    <row r="7" spans="1:8" ht="20.100000000000001" customHeight="1" thickBot="1" x14ac:dyDescent="0.3">
      <c r="A7" s="67"/>
      <c r="B7" s="59"/>
      <c r="C7" s="59"/>
      <c r="D7" s="59"/>
      <c r="E7" s="59"/>
      <c r="F7" s="5"/>
      <c r="G7" s="5"/>
      <c r="H7" s="3"/>
    </row>
    <row r="8" spans="1:8" ht="45" customHeight="1" thickBot="1" x14ac:dyDescent="0.25">
      <c r="A8" s="124" t="s">
        <v>38</v>
      </c>
      <c r="B8" s="132" t="s">
        <v>39</v>
      </c>
      <c r="C8" s="125" t="s">
        <v>40</v>
      </c>
      <c r="D8" s="126" t="s">
        <v>41</v>
      </c>
      <c r="E8" s="226" t="s">
        <v>9</v>
      </c>
    </row>
    <row r="9" spans="1:8" ht="20.100000000000001" customHeight="1" thickBot="1" x14ac:dyDescent="0.3">
      <c r="A9" s="164" t="s">
        <v>42</v>
      </c>
      <c r="B9" s="165"/>
      <c r="C9" s="165"/>
      <c r="D9" s="165"/>
      <c r="E9" s="166"/>
    </row>
    <row r="10" spans="1:8" ht="20.100000000000001" customHeight="1" x14ac:dyDescent="0.2">
      <c r="A10" s="120">
        <v>5101</v>
      </c>
      <c r="B10" s="115" t="s">
        <v>43</v>
      </c>
      <c r="C10" s="127"/>
      <c r="D10" s="155"/>
      <c r="E10" s="128"/>
    </row>
    <row r="11" spans="1:8" ht="20.100000000000001" customHeight="1" x14ac:dyDescent="0.2">
      <c r="A11" s="119">
        <v>510106</v>
      </c>
      <c r="B11" s="116" t="s">
        <v>553</v>
      </c>
      <c r="C11" s="151">
        <f>(88370.42+100514)*12</f>
        <v>2266613.04</v>
      </c>
      <c r="D11" s="148">
        <f>'FORMULARIO 3'!G185+'FORMULARIO 3'!H185</f>
        <v>206548</v>
      </c>
      <c r="E11" s="111"/>
      <c r="F11" s="3"/>
      <c r="G11" s="3"/>
    </row>
    <row r="12" spans="1:8" ht="20.100000000000001" customHeight="1" x14ac:dyDescent="0.2">
      <c r="A12" s="119"/>
      <c r="B12" s="116"/>
      <c r="C12" s="152"/>
      <c r="D12" s="149"/>
      <c r="E12" s="90"/>
    </row>
    <row r="13" spans="1:8" ht="20.100000000000001" customHeight="1" x14ac:dyDescent="0.2">
      <c r="A13" s="120">
        <v>5102</v>
      </c>
      <c r="B13" s="115" t="s">
        <v>44</v>
      </c>
      <c r="C13" s="152"/>
      <c r="D13" s="149"/>
      <c r="E13" s="90"/>
    </row>
    <row r="14" spans="1:8" ht="20.100000000000001" customHeight="1" x14ac:dyDescent="0.2">
      <c r="A14" s="119">
        <v>510203</v>
      </c>
      <c r="B14" s="116" t="s">
        <v>45</v>
      </c>
      <c r="C14" s="151">
        <f>84911.16+144255.99</f>
        <v>229167.15</v>
      </c>
      <c r="D14" s="148">
        <f>102230+104318</f>
        <v>206548</v>
      </c>
      <c r="E14" s="111"/>
    </row>
    <row r="15" spans="1:8" ht="20.100000000000001" customHeight="1" x14ac:dyDescent="0.2">
      <c r="A15" s="119">
        <v>510204</v>
      </c>
      <c r="B15" s="116" t="s">
        <v>46</v>
      </c>
      <c r="C15" s="151">
        <f>53380+66966.5</f>
        <v>120346.5</v>
      </c>
      <c r="D15" s="148">
        <f>63684+66120</f>
        <v>129804</v>
      </c>
      <c r="E15" s="111"/>
    </row>
    <row r="16" spans="1:8" ht="20.100000000000001" customHeight="1" x14ac:dyDescent="0.2">
      <c r="A16" s="119"/>
      <c r="B16" s="116"/>
      <c r="C16" s="151"/>
      <c r="D16" s="148"/>
      <c r="E16" s="111"/>
    </row>
    <row r="17" spans="1:7" ht="20.100000000000001" customHeight="1" x14ac:dyDescent="0.2">
      <c r="A17" s="120">
        <v>5103</v>
      </c>
      <c r="B17" s="115" t="s">
        <v>47</v>
      </c>
      <c r="C17" s="151"/>
      <c r="D17" s="148"/>
      <c r="E17" s="111"/>
    </row>
    <row r="18" spans="1:7" ht="20.100000000000001" customHeight="1" x14ac:dyDescent="0.2">
      <c r="A18" s="119">
        <v>510304</v>
      </c>
      <c r="B18" s="116" t="s">
        <v>48</v>
      </c>
      <c r="C18" s="151">
        <f>24816+23232</f>
        <v>48048</v>
      </c>
      <c r="D18" s="148">
        <f>22968+22968</f>
        <v>45936</v>
      </c>
      <c r="E18" s="111"/>
    </row>
    <row r="19" spans="1:7" ht="20.100000000000001" customHeight="1" x14ac:dyDescent="0.2">
      <c r="A19" s="119">
        <v>510306</v>
      </c>
      <c r="B19" s="116" t="s">
        <v>563</v>
      </c>
      <c r="C19" s="151">
        <f>148896+139392</f>
        <v>288288</v>
      </c>
      <c r="D19" s="148">
        <f>183744+183744</f>
        <v>367488</v>
      </c>
      <c r="E19" s="111"/>
    </row>
    <row r="20" spans="1:7" ht="20.100000000000001" customHeight="1" x14ac:dyDescent="0.2">
      <c r="A20" s="119">
        <v>510307</v>
      </c>
      <c r="B20" s="116" t="s">
        <v>49</v>
      </c>
      <c r="C20" s="151">
        <v>0</v>
      </c>
      <c r="D20" s="148">
        <v>0</v>
      </c>
      <c r="E20" s="111"/>
    </row>
    <row r="21" spans="1:7" ht="20.100000000000001" customHeight="1" x14ac:dyDescent="0.2">
      <c r="A21" s="119"/>
      <c r="B21" s="116"/>
      <c r="C21" s="151"/>
      <c r="D21" s="148"/>
      <c r="E21" s="111"/>
    </row>
    <row r="22" spans="1:7" ht="20.100000000000001" customHeight="1" x14ac:dyDescent="0.2">
      <c r="A22" s="120">
        <v>5104</v>
      </c>
      <c r="B22" s="115" t="s">
        <v>50</v>
      </c>
      <c r="C22" s="151"/>
      <c r="D22" s="148"/>
      <c r="E22" s="111"/>
    </row>
    <row r="23" spans="1:7" ht="20.100000000000001" customHeight="1" x14ac:dyDescent="0.2">
      <c r="A23" s="119">
        <v>510401</v>
      </c>
      <c r="B23" s="116" t="s">
        <v>51</v>
      </c>
      <c r="C23" s="151">
        <f>102.66</f>
        <v>102.66</v>
      </c>
      <c r="D23" s="148">
        <f>(10.62*24)</f>
        <v>254.88</v>
      </c>
      <c r="E23" s="111"/>
    </row>
    <row r="24" spans="1:7" ht="20.100000000000001" customHeight="1" x14ac:dyDescent="0.2">
      <c r="A24" s="119"/>
      <c r="B24" s="115"/>
      <c r="C24" s="151"/>
      <c r="D24" s="148"/>
      <c r="E24" s="111"/>
    </row>
    <row r="25" spans="1:7" ht="20.100000000000001" customHeight="1" x14ac:dyDescent="0.2">
      <c r="A25" s="120">
        <v>5105</v>
      </c>
      <c r="B25" s="115" t="s">
        <v>52</v>
      </c>
      <c r="C25" s="152"/>
      <c r="D25" s="149"/>
      <c r="E25" s="90"/>
      <c r="G25" s="7"/>
    </row>
    <row r="26" spans="1:7" ht="20.100000000000001" customHeight="1" x14ac:dyDescent="0.2">
      <c r="A26" s="121" t="s">
        <v>53</v>
      </c>
      <c r="B26" s="116" t="s">
        <v>54</v>
      </c>
      <c r="C26" s="152">
        <f>(16622.28+15630.97+16500+15440+9168.66+11712.27+12681.84+13542.37+8249.07+7538.95+11128.79+12012.83)+(10026.96+12790.16+13122.45+10123.66+13608.86+10728.94+11487.59+13784.5+10493.81+13113.98+8428.74+8934.64)</f>
        <v>286872.31999999995</v>
      </c>
      <c r="D26" s="149">
        <f>C26*10%+C26</f>
        <v>315559.55199999997</v>
      </c>
      <c r="E26" s="90"/>
    </row>
    <row r="27" spans="1:7" ht="20.100000000000001" customHeight="1" x14ac:dyDescent="0.2">
      <c r="A27" s="119"/>
      <c r="B27" s="116"/>
      <c r="C27" s="152"/>
      <c r="D27" s="149"/>
      <c r="E27" s="90"/>
    </row>
    <row r="28" spans="1:7" ht="20.100000000000001" customHeight="1" x14ac:dyDescent="0.2">
      <c r="A28" s="120">
        <v>5106</v>
      </c>
      <c r="B28" s="115" t="s">
        <v>55</v>
      </c>
      <c r="C28" s="152"/>
      <c r="D28" s="149"/>
      <c r="E28" s="90"/>
    </row>
    <row r="29" spans="1:7" ht="20.100000000000001" customHeight="1" x14ac:dyDescent="0.2">
      <c r="A29" s="121" t="s">
        <v>56</v>
      </c>
      <c r="B29" s="116" t="s">
        <v>57</v>
      </c>
      <c r="C29" s="151">
        <f>C11*12.15%</f>
        <v>275393.48436</v>
      </c>
      <c r="D29" s="148">
        <f>D11*12.15%</f>
        <v>25095.581999999999</v>
      </c>
      <c r="E29" s="111"/>
    </row>
    <row r="30" spans="1:7" ht="20.100000000000001" customHeight="1" x14ac:dyDescent="0.2">
      <c r="A30" s="121" t="s">
        <v>58</v>
      </c>
      <c r="B30" s="116" t="s">
        <v>59</v>
      </c>
      <c r="C30" s="151">
        <f>C11/12</f>
        <v>188884.42</v>
      </c>
      <c r="D30" s="148">
        <f>D11/12</f>
        <v>17212.333333333332</v>
      </c>
      <c r="E30" s="111"/>
    </row>
    <row r="31" spans="1:7" ht="20.100000000000001" customHeight="1" x14ac:dyDescent="0.2">
      <c r="A31" s="121" t="s">
        <v>60</v>
      </c>
      <c r="B31" s="116" t="s">
        <v>61</v>
      </c>
      <c r="C31" s="151">
        <v>0</v>
      </c>
      <c r="D31" s="148">
        <v>0</v>
      </c>
      <c r="E31" s="111"/>
    </row>
    <row r="32" spans="1:7" ht="20.100000000000001" customHeight="1" x14ac:dyDescent="0.2">
      <c r="A32" s="119"/>
      <c r="B32" s="116"/>
      <c r="C32" s="152"/>
      <c r="D32" s="149"/>
      <c r="E32" s="90"/>
    </row>
    <row r="33" spans="1:5" ht="20.100000000000001" customHeight="1" x14ac:dyDescent="0.2">
      <c r="A33" s="120">
        <v>5107</v>
      </c>
      <c r="B33" s="115" t="s">
        <v>62</v>
      </c>
      <c r="C33" s="152"/>
      <c r="D33" s="149"/>
      <c r="E33" s="90"/>
    </row>
    <row r="34" spans="1:5" ht="20.100000000000001" customHeight="1" x14ac:dyDescent="0.2">
      <c r="A34" s="119">
        <v>510704</v>
      </c>
      <c r="B34" s="116" t="s">
        <v>63</v>
      </c>
      <c r="C34" s="152">
        <v>0</v>
      </c>
      <c r="D34" s="149">
        <v>0</v>
      </c>
      <c r="E34" s="90"/>
    </row>
    <row r="35" spans="1:5" ht="20.100000000000001" customHeight="1" x14ac:dyDescent="0.2">
      <c r="A35" s="119">
        <v>510705</v>
      </c>
      <c r="B35" s="116" t="s">
        <v>64</v>
      </c>
      <c r="C35" s="152">
        <v>0</v>
      </c>
      <c r="D35" s="149">
        <v>0</v>
      </c>
      <c r="E35" s="90"/>
    </row>
    <row r="36" spans="1:5" ht="20.100000000000001" customHeight="1" x14ac:dyDescent="0.2">
      <c r="A36" s="119"/>
      <c r="B36" s="116"/>
      <c r="C36" s="152"/>
      <c r="D36" s="149"/>
      <c r="E36" s="90"/>
    </row>
    <row r="37" spans="1:5" ht="20.100000000000001" customHeight="1" thickBot="1" x14ac:dyDescent="0.25">
      <c r="A37" s="122"/>
      <c r="B37" s="117"/>
      <c r="C37" s="153"/>
      <c r="D37" s="150"/>
      <c r="E37" s="112"/>
    </row>
    <row r="38" spans="1:5" ht="20.100000000000001" customHeight="1" thickBot="1" x14ac:dyDescent="0.3">
      <c r="A38" s="123"/>
      <c r="B38" s="118" t="s">
        <v>29</v>
      </c>
      <c r="C38" s="154">
        <f>SUM(C10:C37)</f>
        <v>3703715.57436</v>
      </c>
      <c r="D38" s="154">
        <f>SUM(D10:D37)</f>
        <v>1314446.3473333332</v>
      </c>
      <c r="E38" s="113"/>
    </row>
    <row r="39" spans="1:5" ht="20.100000000000001" customHeight="1" thickBot="1" x14ac:dyDescent="0.3">
      <c r="A39" s="114"/>
      <c r="B39" s="82" t="s">
        <v>30</v>
      </c>
      <c r="C39" s="110"/>
      <c r="D39" s="193">
        <v>9.4</v>
      </c>
      <c r="E39" s="114"/>
    </row>
    <row r="40" spans="1:5" ht="20.100000000000001" customHeight="1" x14ac:dyDescent="0.2">
      <c r="A40" s="61"/>
      <c r="B40" s="62"/>
      <c r="C40" s="61"/>
      <c r="D40" s="61"/>
    </row>
    <row r="41" spans="1:5" ht="20.100000000000001" customHeight="1" x14ac:dyDescent="0.2">
      <c r="A41" s="79" t="s">
        <v>31</v>
      </c>
      <c r="B41" s="62"/>
      <c r="C41" s="61"/>
      <c r="D41" s="61"/>
      <c r="E41" s="3"/>
    </row>
    <row r="42" spans="1:5" ht="20.100000000000001" customHeight="1" x14ac:dyDescent="0.2">
      <c r="A42" s="79" t="s">
        <v>32</v>
      </c>
      <c r="B42" s="61"/>
      <c r="C42" s="61"/>
      <c r="D42" s="63"/>
      <c r="E42" s="3"/>
    </row>
    <row r="43" spans="1:5" ht="20.100000000000001" customHeight="1" x14ac:dyDescent="0.2">
      <c r="A43" s="79" t="s">
        <v>33</v>
      </c>
      <c r="B43" s="61"/>
      <c r="C43" s="61"/>
      <c r="D43" s="63"/>
      <c r="E43" s="3"/>
    </row>
    <row r="44" spans="1:5" ht="20.100000000000001" customHeight="1" x14ac:dyDescent="0.2">
      <c r="A44" s="61"/>
      <c r="B44" s="61"/>
      <c r="C44" s="61"/>
      <c r="D44" s="63"/>
      <c r="E44" s="3"/>
    </row>
    <row r="45" spans="1:5" ht="20.100000000000001" customHeight="1" x14ac:dyDescent="0.2">
      <c r="A45" s="61"/>
      <c r="B45" s="61"/>
      <c r="C45" s="61"/>
      <c r="D45" s="63"/>
      <c r="E45" s="3"/>
    </row>
    <row r="46" spans="1:5" ht="20.100000000000001" customHeight="1" x14ac:dyDescent="0.2">
      <c r="A46" s="61"/>
      <c r="B46" s="61"/>
      <c r="C46" s="61"/>
      <c r="D46" s="63"/>
      <c r="E46" s="3"/>
    </row>
    <row r="47" spans="1:5" ht="20.100000000000001" customHeight="1" x14ac:dyDescent="0.2">
      <c r="A47" s="2"/>
      <c r="B47" s="61"/>
      <c r="C47" s="61"/>
      <c r="D47" s="61"/>
      <c r="E47" s="3"/>
    </row>
    <row r="48" spans="1:5" ht="20.100000000000001" customHeight="1" x14ac:dyDescent="0.25">
      <c r="A48" s="2"/>
      <c r="B48" s="163" t="s">
        <v>34</v>
      </c>
      <c r="C48" s="163"/>
      <c r="D48" s="109"/>
      <c r="E48" s="3"/>
    </row>
    <row r="49" spans="1:5" ht="20.100000000000001" customHeight="1" x14ac:dyDescent="0.25">
      <c r="A49" s="2"/>
      <c r="B49" s="109"/>
      <c r="C49" s="109"/>
      <c r="D49" s="109"/>
      <c r="E49" s="3"/>
    </row>
    <row r="50" spans="1:5" ht="15" x14ac:dyDescent="0.25">
      <c r="A50" s="2"/>
      <c r="B50" s="56" t="s">
        <v>580</v>
      </c>
      <c r="C50" s="9"/>
      <c r="D50" s="9"/>
      <c r="E50" s="3"/>
    </row>
    <row r="51" spans="1:5" ht="20.100000000000001" customHeight="1" x14ac:dyDescent="0.2">
      <c r="A51" s="2"/>
      <c r="B51" s="61"/>
      <c r="C51" s="61"/>
      <c r="D51" s="61"/>
    </row>
    <row r="52" spans="1:5" ht="20.100000000000001" customHeight="1" x14ac:dyDescent="0.25">
      <c r="A52" s="2"/>
      <c r="B52" s="56" t="s">
        <v>581</v>
      </c>
      <c r="C52" s="61"/>
      <c r="D52" s="61"/>
    </row>
    <row r="53" spans="1:5" ht="20.100000000000001" customHeight="1" x14ac:dyDescent="0.25">
      <c r="B53" s="56" t="s">
        <v>36</v>
      </c>
    </row>
  </sheetData>
  <mergeCells count="4">
    <mergeCell ref="B48:C48"/>
    <mergeCell ref="A9:E9"/>
    <mergeCell ref="A1:E1"/>
    <mergeCell ref="A2:E2"/>
  </mergeCells>
  <phoneticPr fontId="0" type="noConversion"/>
  <pageMargins left="0.70866141732283472" right="0.70866141732283472" top="0.74803149606299213" bottom="0.74803149606299213" header="0.31496062992125984" footer="0.31496062992125984"/>
  <pageSetup scale="63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00"/>
  <sheetViews>
    <sheetView topLeftCell="A46" zoomScaleNormal="100" workbookViewId="0">
      <selection activeCell="A5" sqref="A5"/>
    </sheetView>
  </sheetViews>
  <sheetFormatPr baseColWidth="10" defaultColWidth="11.42578125" defaultRowHeight="20.100000000000001" customHeight="1" x14ac:dyDescent="0.2"/>
  <cols>
    <col min="1" max="1" width="13.85546875" style="65" customWidth="1"/>
    <col min="2" max="2" width="37.28515625" style="65" bestFit="1" customWidth="1"/>
    <col min="3" max="3" width="12.5703125" style="65" customWidth="1"/>
    <col min="4" max="4" width="9.28515625" style="65" customWidth="1"/>
    <col min="5" max="5" width="36" style="65" bestFit="1" customWidth="1"/>
    <col min="6" max="8" width="15.7109375" style="65" customWidth="1"/>
    <col min="9" max="9" width="13.7109375" style="2" customWidth="1"/>
    <col min="10" max="16384" width="11.42578125" style="2"/>
  </cols>
  <sheetData>
    <row r="1" spans="1:13" ht="19.5" customHeight="1" x14ac:dyDescent="0.2">
      <c r="A1" s="167" t="s">
        <v>0</v>
      </c>
      <c r="B1" s="167"/>
      <c r="C1" s="167"/>
      <c r="D1" s="167"/>
      <c r="E1" s="167"/>
      <c r="F1" s="167"/>
      <c r="G1" s="167"/>
      <c r="H1" s="167"/>
      <c r="I1" s="167"/>
    </row>
    <row r="2" spans="1:13" ht="23.25" customHeight="1" x14ac:dyDescent="0.2">
      <c r="A2" s="168" t="s">
        <v>65</v>
      </c>
      <c r="B2" s="168"/>
      <c r="C2" s="168"/>
      <c r="D2" s="168"/>
      <c r="E2" s="168"/>
      <c r="F2" s="168"/>
      <c r="G2" s="168"/>
      <c r="H2" s="168"/>
      <c r="I2" s="168"/>
    </row>
    <row r="3" spans="1:13" ht="15.95" customHeight="1" x14ac:dyDescent="0.25">
      <c r="A3" s="160" t="s">
        <v>66</v>
      </c>
      <c r="B3" s="160"/>
      <c r="C3" s="160"/>
      <c r="D3" s="160"/>
      <c r="E3" s="160"/>
      <c r="F3" s="160"/>
      <c r="G3" s="160"/>
      <c r="H3" s="160"/>
      <c r="I3" s="160"/>
    </row>
    <row r="4" spans="1:13" ht="15.95" customHeight="1" x14ac:dyDescent="0.25">
      <c r="A4" s="133"/>
      <c r="B4" s="133"/>
      <c r="C4" s="133"/>
      <c r="D4" s="133"/>
      <c r="E4" s="133"/>
      <c r="F4" s="133"/>
      <c r="G4" s="133"/>
      <c r="H4" s="136"/>
    </row>
    <row r="5" spans="1:13" ht="15.95" customHeight="1" x14ac:dyDescent="0.25">
      <c r="A5" s="66" t="s">
        <v>3</v>
      </c>
      <c r="B5" s="133"/>
      <c r="C5" s="133"/>
      <c r="D5" s="133"/>
      <c r="E5" s="133"/>
      <c r="F5" s="133"/>
      <c r="G5" s="133"/>
      <c r="H5" s="136"/>
    </row>
    <row r="6" spans="1:13" ht="15.95" customHeight="1" x14ac:dyDescent="0.25">
      <c r="A6" s="66" t="s">
        <v>4</v>
      </c>
      <c r="B6" s="68"/>
      <c r="C6" s="69"/>
      <c r="D6" s="69"/>
      <c r="E6" s="57"/>
      <c r="F6" s="57"/>
      <c r="G6" s="57"/>
      <c r="H6" s="57"/>
    </row>
    <row r="7" spans="1:13" ht="15.95" customHeight="1" x14ac:dyDescent="0.25">
      <c r="A7" s="67" t="s">
        <v>5</v>
      </c>
      <c r="B7" s="59"/>
      <c r="C7" s="59"/>
      <c r="D7" s="59"/>
      <c r="E7" s="59"/>
      <c r="F7" s="59"/>
      <c r="G7" s="59"/>
      <c r="H7" s="59"/>
    </row>
    <row r="8" spans="1:13" ht="15.95" customHeight="1" x14ac:dyDescent="0.25">
      <c r="A8" s="67"/>
      <c r="B8" s="59"/>
      <c r="C8" s="59"/>
      <c r="D8" s="59"/>
      <c r="E8" s="59"/>
      <c r="F8" s="59"/>
      <c r="G8" s="59"/>
      <c r="H8" s="59"/>
    </row>
    <row r="9" spans="1:13" s="1" customFormat="1" ht="90" x14ac:dyDescent="0.2">
      <c r="A9" s="137" t="s">
        <v>67</v>
      </c>
      <c r="B9" s="137" t="s">
        <v>68</v>
      </c>
      <c r="C9" s="137" t="s">
        <v>69</v>
      </c>
      <c r="D9" s="137" t="s">
        <v>70</v>
      </c>
      <c r="E9" s="137" t="s">
        <v>71</v>
      </c>
      <c r="F9" s="137" t="s">
        <v>72</v>
      </c>
      <c r="G9" s="137" t="s">
        <v>582</v>
      </c>
      <c r="H9" s="137" t="s">
        <v>583</v>
      </c>
      <c r="I9" s="228" t="s">
        <v>9</v>
      </c>
    </row>
    <row r="10" spans="1:13" ht="15.95" customHeight="1" x14ac:dyDescent="0.2">
      <c r="A10" s="138" t="s">
        <v>148</v>
      </c>
      <c r="B10" s="138" t="s">
        <v>149</v>
      </c>
      <c r="C10" s="143">
        <v>1</v>
      </c>
      <c r="D10" s="143">
        <v>1</v>
      </c>
      <c r="E10" s="140" t="s">
        <v>150</v>
      </c>
      <c r="F10" s="146">
        <f>531</f>
        <v>531</v>
      </c>
      <c r="G10" s="144">
        <f>549</f>
        <v>549</v>
      </c>
      <c r="H10" s="144">
        <f>561</f>
        <v>561</v>
      </c>
      <c r="I10" s="141"/>
      <c r="J10" s="7"/>
    </row>
    <row r="11" spans="1:13" ht="15.95" customHeight="1" x14ac:dyDescent="0.2">
      <c r="A11" s="138" t="s">
        <v>151</v>
      </c>
      <c r="B11" s="138" t="s">
        <v>152</v>
      </c>
      <c r="C11" s="143">
        <v>2</v>
      </c>
      <c r="D11" s="143">
        <v>1</v>
      </c>
      <c r="E11" s="140" t="s">
        <v>153</v>
      </c>
      <c r="F11" s="146">
        <f>531</f>
        <v>531</v>
      </c>
      <c r="G11" s="144">
        <f>549</f>
        <v>549</v>
      </c>
      <c r="H11" s="144">
        <f>561</f>
        <v>561</v>
      </c>
      <c r="I11" s="141"/>
      <c r="J11" s="7"/>
      <c r="K11" s="6"/>
      <c r="L11" s="6"/>
      <c r="M11" s="6"/>
    </row>
    <row r="12" spans="1:13" ht="15.95" customHeight="1" x14ac:dyDescent="0.2">
      <c r="A12" s="138" t="s">
        <v>154</v>
      </c>
      <c r="B12" s="138" t="s">
        <v>155</v>
      </c>
      <c r="C12" s="143">
        <v>3</v>
      </c>
      <c r="D12" s="143">
        <v>1</v>
      </c>
      <c r="E12" s="140" t="s">
        <v>156</v>
      </c>
      <c r="F12" s="146">
        <f>531</f>
        <v>531</v>
      </c>
      <c r="G12" s="144">
        <f>549</f>
        <v>549</v>
      </c>
      <c r="H12" s="144">
        <f>561</f>
        <v>561</v>
      </c>
      <c r="I12" s="141"/>
      <c r="J12" s="7"/>
      <c r="K12" s="6"/>
      <c r="L12" s="6"/>
      <c r="M12" s="6"/>
    </row>
    <row r="13" spans="1:13" ht="15.95" customHeight="1" x14ac:dyDescent="0.2">
      <c r="A13" s="138" t="s">
        <v>157</v>
      </c>
      <c r="B13" s="138" t="s">
        <v>158</v>
      </c>
      <c r="C13" s="143">
        <v>4</v>
      </c>
      <c r="D13" s="143">
        <v>1</v>
      </c>
      <c r="E13" s="140" t="s">
        <v>159</v>
      </c>
      <c r="F13" s="146">
        <f>531</f>
        <v>531</v>
      </c>
      <c r="G13" s="144">
        <f>549</f>
        <v>549</v>
      </c>
      <c r="H13" s="144">
        <f>561</f>
        <v>561</v>
      </c>
      <c r="I13" s="141"/>
      <c r="J13" s="7"/>
      <c r="K13" s="6"/>
      <c r="L13" s="6"/>
      <c r="M13" s="6"/>
    </row>
    <row r="14" spans="1:13" ht="15.95" customHeight="1" x14ac:dyDescent="0.2">
      <c r="A14" s="138" t="s">
        <v>160</v>
      </c>
      <c r="B14" s="138" t="s">
        <v>161</v>
      </c>
      <c r="C14" s="143">
        <v>5</v>
      </c>
      <c r="D14" s="143">
        <v>1</v>
      </c>
      <c r="E14" s="140" t="s">
        <v>162</v>
      </c>
      <c r="F14" s="146">
        <f>531</f>
        <v>531</v>
      </c>
      <c r="G14" s="144">
        <f>549</f>
        <v>549</v>
      </c>
      <c r="H14" s="144">
        <f>561</f>
        <v>561</v>
      </c>
      <c r="I14" s="141"/>
      <c r="J14" s="7"/>
      <c r="K14" s="6"/>
      <c r="L14" s="6"/>
      <c r="M14" s="6"/>
    </row>
    <row r="15" spans="1:13" ht="15.95" customHeight="1" x14ac:dyDescent="0.2">
      <c r="A15" s="138" t="s">
        <v>163</v>
      </c>
      <c r="B15" s="138" t="s">
        <v>164</v>
      </c>
      <c r="C15" s="143">
        <v>6</v>
      </c>
      <c r="D15" s="143">
        <v>1</v>
      </c>
      <c r="E15" s="140" t="s">
        <v>162</v>
      </c>
      <c r="F15" s="146">
        <f>531</f>
        <v>531</v>
      </c>
      <c r="G15" s="144">
        <f>549</f>
        <v>549</v>
      </c>
      <c r="H15" s="144">
        <f>561</f>
        <v>561</v>
      </c>
      <c r="I15" s="141"/>
      <c r="J15" s="7"/>
      <c r="K15" s="6"/>
      <c r="L15" s="6"/>
      <c r="M15" s="6"/>
    </row>
    <row r="16" spans="1:13" ht="15.95" customHeight="1" x14ac:dyDescent="0.2">
      <c r="A16" s="138" t="s">
        <v>165</v>
      </c>
      <c r="B16" s="138" t="s">
        <v>166</v>
      </c>
      <c r="C16" s="143">
        <v>7</v>
      </c>
      <c r="D16" s="143">
        <v>1</v>
      </c>
      <c r="E16" s="140" t="s">
        <v>167</v>
      </c>
      <c r="F16" s="146">
        <f>531</f>
        <v>531</v>
      </c>
      <c r="G16" s="144">
        <f>549</f>
        <v>549</v>
      </c>
      <c r="H16" s="144">
        <f>561</f>
        <v>561</v>
      </c>
      <c r="I16" s="141"/>
      <c r="J16" s="7"/>
      <c r="K16" s="6"/>
      <c r="L16" s="6"/>
      <c r="M16" s="6"/>
    </row>
    <row r="17" spans="1:13" ht="15.95" customHeight="1" x14ac:dyDescent="0.2">
      <c r="A17" s="138" t="s">
        <v>168</v>
      </c>
      <c r="B17" s="138" t="s">
        <v>169</v>
      </c>
      <c r="C17" s="143">
        <v>8</v>
      </c>
      <c r="D17" s="143">
        <v>1</v>
      </c>
      <c r="E17" s="140" t="s">
        <v>162</v>
      </c>
      <c r="F17" s="146">
        <f>531</f>
        <v>531</v>
      </c>
      <c r="G17" s="144">
        <f>549</f>
        <v>549</v>
      </c>
      <c r="H17" s="144">
        <f>561</f>
        <v>561</v>
      </c>
      <c r="I17" s="141"/>
      <c r="J17" s="7"/>
      <c r="K17" s="6"/>
      <c r="L17" s="6"/>
      <c r="M17" s="6"/>
    </row>
    <row r="18" spans="1:13" ht="15.95" customHeight="1" x14ac:dyDescent="0.2">
      <c r="A18" s="138" t="s">
        <v>170</v>
      </c>
      <c r="B18" s="138" t="s">
        <v>171</v>
      </c>
      <c r="C18" s="143">
        <v>9</v>
      </c>
      <c r="D18" s="143">
        <v>1</v>
      </c>
      <c r="E18" s="140" t="s">
        <v>162</v>
      </c>
      <c r="F18" s="146">
        <f>531</f>
        <v>531</v>
      </c>
      <c r="G18" s="144">
        <f>549</f>
        <v>549</v>
      </c>
      <c r="H18" s="144">
        <f>561</f>
        <v>561</v>
      </c>
      <c r="I18" s="141"/>
      <c r="J18" s="7"/>
      <c r="K18" s="6"/>
      <c r="L18" s="6"/>
      <c r="M18" s="6"/>
    </row>
    <row r="19" spans="1:13" ht="15.95" customHeight="1" x14ac:dyDescent="0.2">
      <c r="A19" s="138" t="s">
        <v>172</v>
      </c>
      <c r="B19" s="138" t="s">
        <v>173</v>
      </c>
      <c r="C19" s="143">
        <v>10</v>
      </c>
      <c r="D19" s="143">
        <v>1</v>
      </c>
      <c r="E19" s="140" t="s">
        <v>162</v>
      </c>
      <c r="F19" s="146">
        <f>531</f>
        <v>531</v>
      </c>
      <c r="G19" s="144">
        <f>549</f>
        <v>549</v>
      </c>
      <c r="H19" s="144">
        <f>561</f>
        <v>561</v>
      </c>
      <c r="I19" s="141"/>
      <c r="J19" s="7"/>
      <c r="K19" s="6"/>
      <c r="L19" s="6"/>
      <c r="M19" s="6"/>
    </row>
    <row r="20" spans="1:13" ht="15.95" customHeight="1" x14ac:dyDescent="0.2">
      <c r="A20" s="138" t="s">
        <v>174</v>
      </c>
      <c r="B20" s="138" t="s">
        <v>175</v>
      </c>
      <c r="C20" s="143">
        <v>11</v>
      </c>
      <c r="D20" s="143">
        <v>1</v>
      </c>
      <c r="E20" s="140" t="s">
        <v>162</v>
      </c>
      <c r="F20" s="146">
        <f>531</f>
        <v>531</v>
      </c>
      <c r="G20" s="144">
        <f>549</f>
        <v>549</v>
      </c>
      <c r="H20" s="144">
        <f>561</f>
        <v>561</v>
      </c>
      <c r="I20" s="141"/>
      <c r="J20" s="7"/>
      <c r="K20" s="6"/>
      <c r="L20" s="6"/>
      <c r="M20" s="6"/>
    </row>
    <row r="21" spans="1:13" ht="15.95" customHeight="1" x14ac:dyDescent="0.2">
      <c r="A21" s="138" t="s">
        <v>176</v>
      </c>
      <c r="B21" s="138" t="s">
        <v>177</v>
      </c>
      <c r="C21" s="143">
        <v>12</v>
      </c>
      <c r="D21" s="143">
        <v>1</v>
      </c>
      <c r="E21" s="140" t="s">
        <v>162</v>
      </c>
      <c r="F21" s="146">
        <f>531</f>
        <v>531</v>
      </c>
      <c r="G21" s="144">
        <f>549</f>
        <v>549</v>
      </c>
      <c r="H21" s="144">
        <f>561</f>
        <v>561</v>
      </c>
      <c r="I21" s="141"/>
      <c r="J21" s="7"/>
      <c r="K21" s="6"/>
      <c r="L21" s="6"/>
      <c r="M21" s="6"/>
    </row>
    <row r="22" spans="1:13" ht="15.95" customHeight="1" x14ac:dyDescent="0.2">
      <c r="A22" s="138" t="s">
        <v>178</v>
      </c>
      <c r="B22" s="138" t="s">
        <v>179</v>
      </c>
      <c r="C22" s="143">
        <v>13</v>
      </c>
      <c r="D22" s="143">
        <v>1</v>
      </c>
      <c r="E22" s="140" t="s">
        <v>162</v>
      </c>
      <c r="F22" s="146">
        <f>531</f>
        <v>531</v>
      </c>
      <c r="G22" s="144">
        <f>549</f>
        <v>549</v>
      </c>
      <c r="H22" s="144">
        <f>561</f>
        <v>561</v>
      </c>
      <c r="I22" s="141"/>
      <c r="J22" s="7"/>
      <c r="K22" s="6"/>
      <c r="L22" s="6"/>
      <c r="M22" s="6"/>
    </row>
    <row r="23" spans="1:13" ht="15.95" customHeight="1" x14ac:dyDescent="0.2">
      <c r="A23" s="138" t="s">
        <v>180</v>
      </c>
      <c r="B23" s="138" t="s">
        <v>181</v>
      </c>
      <c r="C23" s="143">
        <v>14</v>
      </c>
      <c r="D23" s="143">
        <v>1</v>
      </c>
      <c r="E23" s="140" t="s">
        <v>162</v>
      </c>
      <c r="F23" s="146">
        <f>531</f>
        <v>531</v>
      </c>
      <c r="G23" s="144">
        <f>549</f>
        <v>549</v>
      </c>
      <c r="H23" s="144">
        <f>561</f>
        <v>561</v>
      </c>
      <c r="I23" s="141"/>
      <c r="J23" s="7"/>
      <c r="K23" s="6"/>
      <c r="L23" s="6"/>
      <c r="M23" s="6"/>
    </row>
    <row r="24" spans="1:13" ht="15.95" customHeight="1" x14ac:dyDescent="0.2">
      <c r="A24" s="138" t="s">
        <v>182</v>
      </c>
      <c r="B24" s="138" t="s">
        <v>183</v>
      </c>
      <c r="C24" s="143">
        <v>15</v>
      </c>
      <c r="D24" s="143">
        <v>1</v>
      </c>
      <c r="E24" s="140" t="s">
        <v>162</v>
      </c>
      <c r="F24" s="146">
        <f>531</f>
        <v>531</v>
      </c>
      <c r="G24" s="144">
        <f>549</f>
        <v>549</v>
      </c>
      <c r="H24" s="144">
        <f>561</f>
        <v>561</v>
      </c>
      <c r="I24" s="141"/>
      <c r="J24" s="7"/>
      <c r="K24" s="6"/>
      <c r="L24" s="6"/>
      <c r="M24" s="6"/>
    </row>
    <row r="25" spans="1:13" ht="15.95" customHeight="1" x14ac:dyDescent="0.2">
      <c r="A25" s="138" t="s">
        <v>184</v>
      </c>
      <c r="B25" s="138" t="s">
        <v>185</v>
      </c>
      <c r="C25" s="143">
        <v>16</v>
      </c>
      <c r="D25" s="143">
        <v>1</v>
      </c>
      <c r="E25" s="140" t="s">
        <v>162</v>
      </c>
      <c r="F25" s="146">
        <f>531</f>
        <v>531</v>
      </c>
      <c r="G25" s="144">
        <f>549</f>
        <v>549</v>
      </c>
      <c r="H25" s="144">
        <f>561</f>
        <v>561</v>
      </c>
      <c r="I25" s="141"/>
      <c r="J25" s="7"/>
      <c r="K25" s="6"/>
      <c r="L25" s="6"/>
      <c r="M25" s="6"/>
    </row>
    <row r="26" spans="1:13" ht="15.95" customHeight="1" x14ac:dyDescent="0.2">
      <c r="A26" s="138" t="s">
        <v>186</v>
      </c>
      <c r="B26" s="138" t="s">
        <v>187</v>
      </c>
      <c r="C26" s="143">
        <v>17</v>
      </c>
      <c r="D26" s="143">
        <v>1</v>
      </c>
      <c r="E26" s="140" t="s">
        <v>188</v>
      </c>
      <c r="F26" s="146">
        <f>531</f>
        <v>531</v>
      </c>
      <c r="G26" s="144">
        <f>549</f>
        <v>549</v>
      </c>
      <c r="H26" s="144">
        <f>561</f>
        <v>561</v>
      </c>
      <c r="I26" s="141"/>
      <c r="J26" s="7"/>
      <c r="K26" s="6"/>
      <c r="L26" s="6"/>
      <c r="M26" s="6"/>
    </row>
    <row r="27" spans="1:13" ht="15.95" customHeight="1" x14ac:dyDescent="0.2">
      <c r="A27" s="138" t="s">
        <v>189</v>
      </c>
      <c r="B27" s="138" t="s">
        <v>190</v>
      </c>
      <c r="C27" s="143">
        <v>18</v>
      </c>
      <c r="D27" s="143">
        <v>1</v>
      </c>
      <c r="E27" s="140" t="s">
        <v>162</v>
      </c>
      <c r="F27" s="146">
        <f>531</f>
        <v>531</v>
      </c>
      <c r="G27" s="144">
        <f>549</f>
        <v>549</v>
      </c>
      <c r="H27" s="144">
        <f>561</f>
        <v>561</v>
      </c>
      <c r="I27" s="141"/>
      <c r="J27" s="7"/>
      <c r="K27" s="6"/>
      <c r="L27" s="6"/>
      <c r="M27" s="6"/>
    </row>
    <row r="28" spans="1:13" ht="15.95" customHeight="1" x14ac:dyDescent="0.2">
      <c r="A28" s="138" t="s">
        <v>191</v>
      </c>
      <c r="B28" s="138" t="s">
        <v>192</v>
      </c>
      <c r="C28" s="143">
        <v>19</v>
      </c>
      <c r="D28" s="143">
        <v>1</v>
      </c>
      <c r="E28" s="140" t="s">
        <v>162</v>
      </c>
      <c r="F28" s="146">
        <f>531</f>
        <v>531</v>
      </c>
      <c r="G28" s="144">
        <f>549</f>
        <v>549</v>
      </c>
      <c r="H28" s="144">
        <f>561</f>
        <v>561</v>
      </c>
      <c r="I28" s="141"/>
      <c r="J28" s="7"/>
      <c r="K28" s="6"/>
      <c r="L28" s="6"/>
      <c r="M28" s="6"/>
    </row>
    <row r="29" spans="1:13" ht="15.95" customHeight="1" x14ac:dyDescent="0.2">
      <c r="A29" s="138" t="s">
        <v>193</v>
      </c>
      <c r="B29" s="138" t="s">
        <v>194</v>
      </c>
      <c r="C29" s="143">
        <v>20</v>
      </c>
      <c r="D29" s="143">
        <v>1</v>
      </c>
      <c r="E29" s="140" t="s">
        <v>188</v>
      </c>
      <c r="F29" s="146">
        <f>531</f>
        <v>531</v>
      </c>
      <c r="G29" s="144">
        <f>549</f>
        <v>549</v>
      </c>
      <c r="H29" s="144">
        <f>561</f>
        <v>561</v>
      </c>
      <c r="I29" s="141"/>
      <c r="J29" s="7"/>
      <c r="K29" s="6"/>
      <c r="L29" s="6"/>
      <c r="M29" s="6"/>
    </row>
    <row r="30" spans="1:13" ht="15.95" customHeight="1" x14ac:dyDescent="0.2">
      <c r="A30" s="138" t="s">
        <v>195</v>
      </c>
      <c r="B30" s="138" t="s">
        <v>196</v>
      </c>
      <c r="C30" s="143">
        <v>21</v>
      </c>
      <c r="D30" s="143">
        <v>1</v>
      </c>
      <c r="E30" s="140" t="s">
        <v>162</v>
      </c>
      <c r="F30" s="146">
        <f>531</f>
        <v>531</v>
      </c>
      <c r="G30" s="144">
        <f>549</f>
        <v>549</v>
      </c>
      <c r="H30" s="144">
        <f>561</f>
        <v>561</v>
      </c>
      <c r="I30" s="141"/>
      <c r="J30" s="7"/>
      <c r="K30" s="6"/>
      <c r="L30" s="6"/>
      <c r="M30" s="6"/>
    </row>
    <row r="31" spans="1:13" ht="15.95" customHeight="1" x14ac:dyDescent="0.2">
      <c r="A31" s="138" t="s">
        <v>197</v>
      </c>
      <c r="B31" s="138" t="s">
        <v>198</v>
      </c>
      <c r="C31" s="143">
        <v>22</v>
      </c>
      <c r="D31" s="143">
        <v>1</v>
      </c>
      <c r="E31" s="140" t="s">
        <v>162</v>
      </c>
      <c r="F31" s="146">
        <f>531</f>
        <v>531</v>
      </c>
      <c r="G31" s="144">
        <f>549</f>
        <v>549</v>
      </c>
      <c r="H31" s="144">
        <f>561</f>
        <v>561</v>
      </c>
      <c r="I31" s="141"/>
      <c r="J31" s="7"/>
      <c r="K31" s="6"/>
      <c r="L31" s="6"/>
      <c r="M31" s="6"/>
    </row>
    <row r="32" spans="1:13" ht="15.95" customHeight="1" x14ac:dyDescent="0.2">
      <c r="A32" s="138" t="s">
        <v>199</v>
      </c>
      <c r="B32" s="138" t="s">
        <v>200</v>
      </c>
      <c r="C32" s="143">
        <v>23</v>
      </c>
      <c r="D32" s="143">
        <v>1</v>
      </c>
      <c r="E32" s="140" t="s">
        <v>162</v>
      </c>
      <c r="F32" s="146">
        <f>531</f>
        <v>531</v>
      </c>
      <c r="G32" s="144">
        <f>549</f>
        <v>549</v>
      </c>
      <c r="H32" s="144">
        <f>561</f>
        <v>561</v>
      </c>
      <c r="I32" s="141"/>
      <c r="J32" s="7"/>
      <c r="K32" s="6"/>
      <c r="L32" s="6"/>
      <c r="M32" s="6"/>
    </row>
    <row r="33" spans="1:13" ht="15.95" customHeight="1" x14ac:dyDescent="0.2">
      <c r="A33" s="138" t="s">
        <v>201</v>
      </c>
      <c r="B33" s="138" t="s">
        <v>202</v>
      </c>
      <c r="C33" s="143">
        <v>24</v>
      </c>
      <c r="D33" s="143">
        <v>1</v>
      </c>
      <c r="E33" s="140" t="s">
        <v>162</v>
      </c>
      <c r="F33" s="146">
        <f>531</f>
        <v>531</v>
      </c>
      <c r="G33" s="144">
        <f>549</f>
        <v>549</v>
      </c>
      <c r="H33" s="144">
        <f>561</f>
        <v>561</v>
      </c>
      <c r="I33" s="141"/>
      <c r="J33" s="7"/>
      <c r="K33" s="6"/>
      <c r="L33" s="6"/>
      <c r="M33" s="6"/>
    </row>
    <row r="34" spans="1:13" ht="15.95" customHeight="1" x14ac:dyDescent="0.2">
      <c r="A34" s="138" t="s">
        <v>203</v>
      </c>
      <c r="B34" s="138" t="s">
        <v>204</v>
      </c>
      <c r="C34" s="143">
        <v>25</v>
      </c>
      <c r="D34" s="143">
        <v>1</v>
      </c>
      <c r="E34" s="140" t="s">
        <v>162</v>
      </c>
      <c r="F34" s="146">
        <f>531</f>
        <v>531</v>
      </c>
      <c r="G34" s="144">
        <f>549</f>
        <v>549</v>
      </c>
      <c r="H34" s="144">
        <f>561</f>
        <v>561</v>
      </c>
      <c r="I34" s="141"/>
      <c r="J34" s="7"/>
      <c r="K34" s="6"/>
      <c r="L34" s="6"/>
      <c r="M34" s="6"/>
    </row>
    <row r="35" spans="1:13" ht="15.95" customHeight="1" x14ac:dyDescent="0.2">
      <c r="A35" s="138" t="s">
        <v>205</v>
      </c>
      <c r="B35" s="138" t="s">
        <v>206</v>
      </c>
      <c r="C35" s="143">
        <v>26</v>
      </c>
      <c r="D35" s="143">
        <v>1</v>
      </c>
      <c r="E35" s="140" t="s">
        <v>162</v>
      </c>
      <c r="F35" s="146">
        <f>531</f>
        <v>531</v>
      </c>
      <c r="G35" s="144">
        <f>549</f>
        <v>549</v>
      </c>
      <c r="H35" s="144">
        <f>561</f>
        <v>561</v>
      </c>
      <c r="I35" s="141"/>
      <c r="J35" s="7"/>
      <c r="K35" s="6"/>
      <c r="L35" s="6"/>
      <c r="M35" s="6"/>
    </row>
    <row r="36" spans="1:13" ht="15.95" customHeight="1" x14ac:dyDescent="0.2">
      <c r="A36" s="138" t="s">
        <v>207</v>
      </c>
      <c r="B36" s="138" t="s">
        <v>208</v>
      </c>
      <c r="C36" s="143">
        <v>27</v>
      </c>
      <c r="D36" s="143">
        <v>1</v>
      </c>
      <c r="E36" s="140" t="s">
        <v>188</v>
      </c>
      <c r="F36" s="146">
        <f>531</f>
        <v>531</v>
      </c>
      <c r="G36" s="144">
        <f>549</f>
        <v>549</v>
      </c>
      <c r="H36" s="144">
        <f>561</f>
        <v>561</v>
      </c>
      <c r="I36" s="141"/>
      <c r="J36" s="7"/>
      <c r="K36" s="6"/>
      <c r="L36" s="6"/>
      <c r="M36" s="6"/>
    </row>
    <row r="37" spans="1:13" ht="15.95" customHeight="1" x14ac:dyDescent="0.2">
      <c r="A37" s="138" t="s">
        <v>209</v>
      </c>
      <c r="B37" s="138" t="s">
        <v>210</v>
      </c>
      <c r="C37" s="143">
        <v>28</v>
      </c>
      <c r="D37" s="143">
        <v>1</v>
      </c>
      <c r="E37" s="140" t="s">
        <v>188</v>
      </c>
      <c r="F37" s="146">
        <f>531</f>
        <v>531</v>
      </c>
      <c r="G37" s="144">
        <f>549</f>
        <v>549</v>
      </c>
      <c r="H37" s="144">
        <f>561</f>
        <v>561</v>
      </c>
      <c r="I37" s="141"/>
      <c r="J37" s="7"/>
      <c r="K37" s="6"/>
      <c r="L37" s="6"/>
      <c r="M37" s="6"/>
    </row>
    <row r="38" spans="1:13" ht="15.95" customHeight="1" x14ac:dyDescent="0.2">
      <c r="A38" s="138" t="s">
        <v>211</v>
      </c>
      <c r="B38" s="138" t="s">
        <v>212</v>
      </c>
      <c r="C38" s="143">
        <v>29</v>
      </c>
      <c r="D38" s="143">
        <v>1</v>
      </c>
      <c r="E38" s="140" t="s">
        <v>162</v>
      </c>
      <c r="F38" s="146">
        <f>531</f>
        <v>531</v>
      </c>
      <c r="G38" s="144">
        <f>549</f>
        <v>549</v>
      </c>
      <c r="H38" s="144">
        <f>561</f>
        <v>561</v>
      </c>
      <c r="I38" s="141"/>
      <c r="J38" s="7"/>
      <c r="K38" s="6"/>
      <c r="L38" s="6"/>
      <c r="M38" s="6"/>
    </row>
    <row r="39" spans="1:13" ht="15.95" customHeight="1" x14ac:dyDescent="0.2">
      <c r="A39" s="138" t="s">
        <v>213</v>
      </c>
      <c r="B39" s="138" t="s">
        <v>214</v>
      </c>
      <c r="C39" s="143">
        <v>30</v>
      </c>
      <c r="D39" s="143">
        <v>1</v>
      </c>
      <c r="E39" s="140" t="s">
        <v>188</v>
      </c>
      <c r="F39" s="146">
        <f>531</f>
        <v>531</v>
      </c>
      <c r="G39" s="144">
        <f>549</f>
        <v>549</v>
      </c>
      <c r="H39" s="144">
        <f>561</f>
        <v>561</v>
      </c>
      <c r="I39" s="141"/>
      <c r="J39" s="7"/>
      <c r="K39" s="6"/>
      <c r="L39" s="6"/>
      <c r="M39" s="6"/>
    </row>
    <row r="40" spans="1:13" ht="15.95" customHeight="1" x14ac:dyDescent="0.2">
      <c r="A40" s="138" t="s">
        <v>215</v>
      </c>
      <c r="B40" s="138" t="s">
        <v>216</v>
      </c>
      <c r="C40" s="143">
        <v>31</v>
      </c>
      <c r="D40" s="143">
        <v>1</v>
      </c>
      <c r="E40" s="140" t="s">
        <v>162</v>
      </c>
      <c r="F40" s="146">
        <f>531</f>
        <v>531</v>
      </c>
      <c r="G40" s="144">
        <f>549</f>
        <v>549</v>
      </c>
      <c r="H40" s="144">
        <f>561</f>
        <v>561</v>
      </c>
      <c r="I40" s="141"/>
      <c r="J40" s="7"/>
      <c r="K40" s="6"/>
      <c r="L40" s="6"/>
      <c r="M40" s="6"/>
    </row>
    <row r="41" spans="1:13" ht="15.95" customHeight="1" x14ac:dyDescent="0.2">
      <c r="A41" s="138" t="s">
        <v>217</v>
      </c>
      <c r="B41" s="138" t="s">
        <v>218</v>
      </c>
      <c r="C41" s="143">
        <v>32</v>
      </c>
      <c r="D41" s="143">
        <v>1</v>
      </c>
      <c r="E41" s="140" t="s">
        <v>162</v>
      </c>
      <c r="F41" s="146">
        <f>531</f>
        <v>531</v>
      </c>
      <c r="G41" s="144">
        <f>549</f>
        <v>549</v>
      </c>
      <c r="H41" s="144">
        <f>561</f>
        <v>561</v>
      </c>
      <c r="I41" s="141"/>
      <c r="J41" s="7"/>
      <c r="K41" s="6"/>
      <c r="L41" s="6"/>
      <c r="M41" s="6"/>
    </row>
    <row r="42" spans="1:13" ht="15.95" customHeight="1" x14ac:dyDescent="0.2">
      <c r="A42" s="138" t="s">
        <v>219</v>
      </c>
      <c r="B42" s="138" t="s">
        <v>220</v>
      </c>
      <c r="C42" s="143">
        <v>33</v>
      </c>
      <c r="D42" s="143">
        <v>1</v>
      </c>
      <c r="E42" s="140" t="s">
        <v>162</v>
      </c>
      <c r="F42" s="146">
        <f>531</f>
        <v>531</v>
      </c>
      <c r="G42" s="144">
        <f>549</f>
        <v>549</v>
      </c>
      <c r="H42" s="144">
        <f>561</f>
        <v>561</v>
      </c>
      <c r="I42" s="141"/>
      <c r="J42" s="7"/>
      <c r="K42" s="6"/>
      <c r="L42" s="6"/>
      <c r="M42" s="6"/>
    </row>
    <row r="43" spans="1:13" ht="15.95" customHeight="1" x14ac:dyDescent="0.2">
      <c r="A43" s="138" t="s">
        <v>221</v>
      </c>
      <c r="B43" s="138" t="s">
        <v>222</v>
      </c>
      <c r="C43" s="143">
        <v>34</v>
      </c>
      <c r="D43" s="143">
        <v>1</v>
      </c>
      <c r="E43" s="140" t="s">
        <v>162</v>
      </c>
      <c r="F43" s="146">
        <f>531</f>
        <v>531</v>
      </c>
      <c r="G43" s="144">
        <f>549</f>
        <v>549</v>
      </c>
      <c r="H43" s="144">
        <f>561</f>
        <v>561</v>
      </c>
      <c r="I43" s="141"/>
      <c r="J43" s="7"/>
      <c r="K43" s="6"/>
      <c r="L43" s="6"/>
      <c r="M43" s="6"/>
    </row>
    <row r="44" spans="1:13" ht="15.95" customHeight="1" x14ac:dyDescent="0.2">
      <c r="A44" s="138" t="s">
        <v>223</v>
      </c>
      <c r="B44" s="138" t="s">
        <v>224</v>
      </c>
      <c r="C44" s="143">
        <v>35</v>
      </c>
      <c r="D44" s="143">
        <v>1</v>
      </c>
      <c r="E44" s="140" t="s">
        <v>162</v>
      </c>
      <c r="F44" s="146">
        <f>531</f>
        <v>531</v>
      </c>
      <c r="G44" s="144">
        <f>549</f>
        <v>549</v>
      </c>
      <c r="H44" s="144">
        <f>561</f>
        <v>561</v>
      </c>
      <c r="I44" s="141"/>
      <c r="J44" s="7"/>
      <c r="K44" s="6"/>
      <c r="L44" s="6"/>
      <c r="M44" s="6"/>
    </row>
    <row r="45" spans="1:13" ht="15.95" customHeight="1" x14ac:dyDescent="0.2">
      <c r="A45" s="138" t="s">
        <v>225</v>
      </c>
      <c r="B45" s="138" t="s">
        <v>226</v>
      </c>
      <c r="C45" s="143">
        <v>36</v>
      </c>
      <c r="D45" s="143">
        <v>1</v>
      </c>
      <c r="E45" s="140" t="s">
        <v>167</v>
      </c>
      <c r="F45" s="146">
        <f>531</f>
        <v>531</v>
      </c>
      <c r="G45" s="144">
        <f>549</f>
        <v>549</v>
      </c>
      <c r="H45" s="144">
        <f>561</f>
        <v>561</v>
      </c>
      <c r="I45" s="141"/>
      <c r="J45" s="7"/>
      <c r="K45" s="6"/>
      <c r="L45" s="6"/>
      <c r="M45" s="6"/>
    </row>
    <row r="46" spans="1:13" ht="15.95" customHeight="1" x14ac:dyDescent="0.2">
      <c r="A46" s="138" t="s">
        <v>227</v>
      </c>
      <c r="B46" s="138" t="s">
        <v>228</v>
      </c>
      <c r="C46" s="143">
        <v>37</v>
      </c>
      <c r="D46" s="143">
        <v>1</v>
      </c>
      <c r="E46" s="140" t="s">
        <v>162</v>
      </c>
      <c r="F46" s="146">
        <f>531</f>
        <v>531</v>
      </c>
      <c r="G46" s="144">
        <f>549</f>
        <v>549</v>
      </c>
      <c r="H46" s="144">
        <f>561</f>
        <v>561</v>
      </c>
      <c r="I46" s="141"/>
      <c r="J46" s="7"/>
      <c r="K46" s="6"/>
      <c r="L46" s="6"/>
      <c r="M46" s="6"/>
    </row>
    <row r="47" spans="1:13" ht="15.95" customHeight="1" x14ac:dyDescent="0.2">
      <c r="A47" s="138" t="s">
        <v>229</v>
      </c>
      <c r="B47" s="138" t="s">
        <v>230</v>
      </c>
      <c r="C47" s="143">
        <v>38</v>
      </c>
      <c r="D47" s="143">
        <v>1</v>
      </c>
      <c r="E47" s="140" t="s">
        <v>162</v>
      </c>
      <c r="F47" s="146">
        <f>531</f>
        <v>531</v>
      </c>
      <c r="G47" s="144">
        <f>549</f>
        <v>549</v>
      </c>
      <c r="H47" s="144">
        <f>561</f>
        <v>561</v>
      </c>
      <c r="I47" s="141"/>
      <c r="J47" s="7"/>
      <c r="K47" s="6"/>
      <c r="L47" s="6"/>
      <c r="M47" s="6"/>
    </row>
    <row r="48" spans="1:13" ht="15.95" customHeight="1" x14ac:dyDescent="0.2">
      <c r="A48" s="138" t="s">
        <v>231</v>
      </c>
      <c r="B48" s="138" t="s">
        <v>232</v>
      </c>
      <c r="C48" s="143">
        <v>39</v>
      </c>
      <c r="D48" s="143">
        <v>1</v>
      </c>
      <c r="E48" s="140" t="s">
        <v>162</v>
      </c>
      <c r="F48" s="146">
        <f>531</f>
        <v>531</v>
      </c>
      <c r="G48" s="144">
        <f>549</f>
        <v>549</v>
      </c>
      <c r="H48" s="144">
        <f>561</f>
        <v>561</v>
      </c>
      <c r="I48" s="141"/>
      <c r="J48" s="7"/>
      <c r="K48" s="6"/>
      <c r="L48" s="6"/>
      <c r="M48" s="6"/>
    </row>
    <row r="49" spans="1:13" ht="15.95" customHeight="1" x14ac:dyDescent="0.2">
      <c r="A49" s="138" t="s">
        <v>233</v>
      </c>
      <c r="B49" s="138" t="s">
        <v>234</v>
      </c>
      <c r="C49" s="143">
        <v>40</v>
      </c>
      <c r="D49" s="143">
        <v>1</v>
      </c>
      <c r="E49" s="140" t="s">
        <v>162</v>
      </c>
      <c r="F49" s="146">
        <f>531</f>
        <v>531</v>
      </c>
      <c r="G49" s="144">
        <f>549</f>
        <v>549</v>
      </c>
      <c r="H49" s="144">
        <f>561</f>
        <v>561</v>
      </c>
      <c r="I49" s="141"/>
      <c r="J49" s="7"/>
      <c r="K49" s="6"/>
      <c r="L49" s="6"/>
      <c r="M49" s="6"/>
    </row>
    <row r="50" spans="1:13" ht="15.95" customHeight="1" x14ac:dyDescent="0.2">
      <c r="A50" s="138" t="s">
        <v>235</v>
      </c>
      <c r="B50" s="138" t="s">
        <v>236</v>
      </c>
      <c r="C50" s="143">
        <v>41</v>
      </c>
      <c r="D50" s="143">
        <v>1</v>
      </c>
      <c r="E50" s="140" t="s">
        <v>237</v>
      </c>
      <c r="F50" s="146">
        <f>531</f>
        <v>531</v>
      </c>
      <c r="G50" s="144">
        <f>549</f>
        <v>549</v>
      </c>
      <c r="H50" s="144">
        <f>561</f>
        <v>561</v>
      </c>
      <c r="I50" s="141"/>
      <c r="J50" s="7"/>
      <c r="K50" s="6"/>
      <c r="L50" s="6"/>
      <c r="M50" s="6"/>
    </row>
    <row r="51" spans="1:13" ht="15.95" customHeight="1" x14ac:dyDescent="0.2">
      <c r="A51" s="138" t="s">
        <v>238</v>
      </c>
      <c r="B51" s="138" t="s">
        <v>239</v>
      </c>
      <c r="C51" s="143">
        <v>42</v>
      </c>
      <c r="D51" s="143">
        <v>1</v>
      </c>
      <c r="E51" s="140" t="s">
        <v>240</v>
      </c>
      <c r="F51" s="146">
        <f>531</f>
        <v>531</v>
      </c>
      <c r="G51" s="144">
        <f>549</f>
        <v>549</v>
      </c>
      <c r="H51" s="144">
        <f>561</f>
        <v>561</v>
      </c>
      <c r="I51" s="141"/>
      <c r="J51" s="7"/>
      <c r="K51" s="6"/>
      <c r="L51" s="6"/>
      <c r="M51" s="6"/>
    </row>
    <row r="52" spans="1:13" ht="15.95" customHeight="1" x14ac:dyDescent="0.2">
      <c r="A52" s="138" t="s">
        <v>241</v>
      </c>
      <c r="B52" s="138" t="s">
        <v>242</v>
      </c>
      <c r="C52" s="143">
        <v>43</v>
      </c>
      <c r="D52" s="143">
        <v>1</v>
      </c>
      <c r="E52" s="140" t="s">
        <v>243</v>
      </c>
      <c r="F52" s="146">
        <f>531</f>
        <v>531</v>
      </c>
      <c r="G52" s="144">
        <f>549</f>
        <v>549</v>
      </c>
      <c r="H52" s="144">
        <f>561</f>
        <v>561</v>
      </c>
      <c r="I52" s="141"/>
      <c r="J52" s="7"/>
      <c r="K52" s="6"/>
      <c r="L52" s="6"/>
      <c r="M52" s="6"/>
    </row>
    <row r="53" spans="1:13" ht="15.95" customHeight="1" x14ac:dyDescent="0.2">
      <c r="A53" s="138" t="s">
        <v>244</v>
      </c>
      <c r="B53" s="138" t="s">
        <v>245</v>
      </c>
      <c r="C53" s="143">
        <v>44</v>
      </c>
      <c r="D53" s="143">
        <v>1</v>
      </c>
      <c r="E53" s="140" t="s">
        <v>246</v>
      </c>
      <c r="F53" s="146">
        <f>531</f>
        <v>531</v>
      </c>
      <c r="G53" s="144">
        <f>549</f>
        <v>549</v>
      </c>
      <c r="H53" s="144">
        <f>561</f>
        <v>561</v>
      </c>
      <c r="I53" s="141"/>
      <c r="J53" s="7"/>
      <c r="K53" s="6"/>
      <c r="L53" s="6"/>
      <c r="M53" s="6"/>
    </row>
    <row r="54" spans="1:13" ht="15.95" customHeight="1" x14ac:dyDescent="0.2">
      <c r="A54" s="138" t="s">
        <v>247</v>
      </c>
      <c r="B54" s="138" t="s">
        <v>248</v>
      </c>
      <c r="C54" s="143">
        <v>45</v>
      </c>
      <c r="D54" s="143">
        <v>1</v>
      </c>
      <c r="E54" s="140" t="s">
        <v>246</v>
      </c>
      <c r="F54" s="146">
        <f>531</f>
        <v>531</v>
      </c>
      <c r="G54" s="144">
        <f>549</f>
        <v>549</v>
      </c>
      <c r="H54" s="144">
        <f>561</f>
        <v>561</v>
      </c>
      <c r="I54" s="141"/>
      <c r="J54" s="7"/>
      <c r="K54" s="6"/>
      <c r="L54" s="6"/>
      <c r="M54" s="6"/>
    </row>
    <row r="55" spans="1:13" ht="15.95" customHeight="1" x14ac:dyDescent="0.2">
      <c r="A55" s="138" t="s">
        <v>249</v>
      </c>
      <c r="B55" s="138" t="s">
        <v>250</v>
      </c>
      <c r="C55" s="143">
        <v>46</v>
      </c>
      <c r="D55" s="143">
        <v>1</v>
      </c>
      <c r="E55" s="140" t="s">
        <v>243</v>
      </c>
      <c r="F55" s="146">
        <f>531</f>
        <v>531</v>
      </c>
      <c r="G55" s="144">
        <f>549</f>
        <v>549</v>
      </c>
      <c r="H55" s="144">
        <f>561</f>
        <v>561</v>
      </c>
      <c r="I55" s="141"/>
      <c r="J55" s="7"/>
      <c r="K55" s="6"/>
      <c r="L55" s="6"/>
      <c r="M55" s="6"/>
    </row>
    <row r="56" spans="1:13" ht="15.95" customHeight="1" x14ac:dyDescent="0.2">
      <c r="A56" s="138" t="s">
        <v>251</v>
      </c>
      <c r="B56" s="138" t="s">
        <v>252</v>
      </c>
      <c r="C56" s="143">
        <v>47</v>
      </c>
      <c r="D56" s="143">
        <v>1</v>
      </c>
      <c r="E56" s="140" t="s">
        <v>253</v>
      </c>
      <c r="F56" s="146">
        <f>531</f>
        <v>531</v>
      </c>
      <c r="G56" s="144">
        <f>549</f>
        <v>549</v>
      </c>
      <c r="H56" s="144">
        <f>561</f>
        <v>561</v>
      </c>
      <c r="I56" s="141"/>
      <c r="J56" s="7"/>
      <c r="K56" s="6"/>
      <c r="L56" s="6"/>
      <c r="M56" s="6"/>
    </row>
    <row r="57" spans="1:13" ht="15.95" customHeight="1" x14ac:dyDescent="0.2">
      <c r="A57" s="138" t="s">
        <v>254</v>
      </c>
      <c r="B57" s="138" t="s">
        <v>255</v>
      </c>
      <c r="C57" s="143">
        <v>48</v>
      </c>
      <c r="D57" s="143">
        <v>1</v>
      </c>
      <c r="E57" s="140" t="s">
        <v>243</v>
      </c>
      <c r="F57" s="146">
        <f>531</f>
        <v>531</v>
      </c>
      <c r="G57" s="144">
        <f>549</f>
        <v>549</v>
      </c>
      <c r="H57" s="144">
        <f>561</f>
        <v>561</v>
      </c>
      <c r="I57" s="141"/>
      <c r="J57" s="7"/>
      <c r="K57" s="6"/>
      <c r="L57" s="6"/>
      <c r="M57" s="6"/>
    </row>
    <row r="58" spans="1:13" ht="15.95" customHeight="1" x14ac:dyDescent="0.2">
      <c r="A58" s="138" t="s">
        <v>256</v>
      </c>
      <c r="B58" s="138" t="s">
        <v>257</v>
      </c>
      <c r="C58" s="143">
        <v>49</v>
      </c>
      <c r="D58" s="143">
        <v>1</v>
      </c>
      <c r="E58" s="140" t="s">
        <v>258</v>
      </c>
      <c r="F58" s="146">
        <f>531</f>
        <v>531</v>
      </c>
      <c r="G58" s="144">
        <f>549</f>
        <v>549</v>
      </c>
      <c r="H58" s="144">
        <f>561</f>
        <v>561</v>
      </c>
      <c r="I58" s="141"/>
      <c r="J58" s="7"/>
      <c r="K58" s="6"/>
      <c r="L58" s="6"/>
      <c r="M58" s="6"/>
    </row>
    <row r="59" spans="1:13" ht="15.95" customHeight="1" x14ac:dyDescent="0.2">
      <c r="A59" s="138" t="s">
        <v>259</v>
      </c>
      <c r="B59" s="138" t="s">
        <v>260</v>
      </c>
      <c r="C59" s="143">
        <v>50</v>
      </c>
      <c r="D59" s="143">
        <v>1</v>
      </c>
      <c r="E59" s="140" t="s">
        <v>240</v>
      </c>
      <c r="F59" s="146">
        <f>531</f>
        <v>531</v>
      </c>
      <c r="G59" s="144">
        <f>549</f>
        <v>549</v>
      </c>
      <c r="H59" s="144">
        <f>561</f>
        <v>561</v>
      </c>
      <c r="I59" s="141"/>
      <c r="J59" s="7"/>
      <c r="K59" s="6"/>
      <c r="L59" s="6"/>
      <c r="M59" s="6"/>
    </row>
    <row r="60" spans="1:13" ht="15.95" customHeight="1" x14ac:dyDescent="0.2">
      <c r="A60" s="138" t="s">
        <v>261</v>
      </c>
      <c r="B60" s="138" t="s">
        <v>262</v>
      </c>
      <c r="C60" s="143">
        <v>51</v>
      </c>
      <c r="D60" s="143">
        <v>1</v>
      </c>
      <c r="E60" s="140" t="s">
        <v>240</v>
      </c>
      <c r="F60" s="146">
        <f>531</f>
        <v>531</v>
      </c>
      <c r="G60" s="144">
        <f>549</f>
        <v>549</v>
      </c>
      <c r="H60" s="144">
        <f>561</f>
        <v>561</v>
      </c>
      <c r="I60" s="141"/>
      <c r="J60" s="7"/>
      <c r="K60" s="6"/>
      <c r="L60" s="6"/>
      <c r="M60" s="6"/>
    </row>
    <row r="61" spans="1:13" ht="15.95" customHeight="1" x14ac:dyDescent="0.2">
      <c r="A61" s="138" t="s">
        <v>263</v>
      </c>
      <c r="B61" s="138" t="s">
        <v>264</v>
      </c>
      <c r="C61" s="143">
        <v>52</v>
      </c>
      <c r="D61" s="143">
        <v>1</v>
      </c>
      <c r="E61" s="140" t="s">
        <v>243</v>
      </c>
      <c r="F61" s="146">
        <f>531</f>
        <v>531</v>
      </c>
      <c r="G61" s="144">
        <f>549</f>
        <v>549</v>
      </c>
      <c r="H61" s="144">
        <f>561</f>
        <v>561</v>
      </c>
      <c r="I61" s="141"/>
      <c r="J61" s="7"/>
      <c r="K61" s="6"/>
      <c r="L61" s="6"/>
      <c r="M61" s="6"/>
    </row>
    <row r="62" spans="1:13" ht="15.95" customHeight="1" x14ac:dyDescent="0.2">
      <c r="A62" s="138" t="s">
        <v>265</v>
      </c>
      <c r="B62" s="138" t="s">
        <v>266</v>
      </c>
      <c r="C62" s="143">
        <v>53</v>
      </c>
      <c r="D62" s="143">
        <v>1</v>
      </c>
      <c r="E62" s="140" t="s">
        <v>243</v>
      </c>
      <c r="F62" s="146">
        <f>531</f>
        <v>531</v>
      </c>
      <c r="G62" s="144">
        <f>549</f>
        <v>549</v>
      </c>
      <c r="H62" s="144">
        <f>561</f>
        <v>561</v>
      </c>
      <c r="I62" s="141"/>
      <c r="J62" s="7"/>
      <c r="K62" s="6"/>
      <c r="L62" s="6"/>
      <c r="M62" s="6"/>
    </row>
    <row r="63" spans="1:13" ht="15.95" customHeight="1" x14ac:dyDescent="0.2">
      <c r="A63" s="138" t="s">
        <v>267</v>
      </c>
      <c r="B63" s="138" t="s">
        <v>268</v>
      </c>
      <c r="C63" s="143">
        <v>54</v>
      </c>
      <c r="D63" s="143">
        <v>1</v>
      </c>
      <c r="E63" s="140" t="s">
        <v>162</v>
      </c>
      <c r="F63" s="146">
        <f>531</f>
        <v>531</v>
      </c>
      <c r="G63" s="144">
        <f>549</f>
        <v>549</v>
      </c>
      <c r="H63" s="144">
        <f>561</f>
        <v>561</v>
      </c>
      <c r="I63" s="141"/>
      <c r="J63" s="7"/>
      <c r="K63" s="6"/>
      <c r="L63" s="6"/>
      <c r="M63" s="6"/>
    </row>
    <row r="64" spans="1:13" ht="15.95" customHeight="1" x14ac:dyDescent="0.2">
      <c r="A64" s="138" t="s">
        <v>269</v>
      </c>
      <c r="B64" s="138" t="s">
        <v>270</v>
      </c>
      <c r="C64" s="143">
        <v>55</v>
      </c>
      <c r="D64" s="143">
        <v>1</v>
      </c>
      <c r="E64" s="140" t="s">
        <v>240</v>
      </c>
      <c r="F64" s="146">
        <f>531</f>
        <v>531</v>
      </c>
      <c r="G64" s="144">
        <f>549</f>
        <v>549</v>
      </c>
      <c r="H64" s="144">
        <f>561</f>
        <v>561</v>
      </c>
      <c r="I64" s="141"/>
      <c r="J64" s="7"/>
      <c r="K64" s="6"/>
      <c r="L64" s="6"/>
      <c r="M64" s="6"/>
    </row>
    <row r="65" spans="1:13" ht="15.95" customHeight="1" x14ac:dyDescent="0.2">
      <c r="A65" s="138" t="s">
        <v>271</v>
      </c>
      <c r="B65" s="138" t="s">
        <v>272</v>
      </c>
      <c r="C65" s="143">
        <v>56</v>
      </c>
      <c r="D65" s="143">
        <v>1</v>
      </c>
      <c r="E65" s="140" t="s">
        <v>246</v>
      </c>
      <c r="F65" s="146">
        <f>531</f>
        <v>531</v>
      </c>
      <c r="G65" s="144">
        <f>549</f>
        <v>549</v>
      </c>
      <c r="H65" s="144">
        <f>561</f>
        <v>561</v>
      </c>
      <c r="I65" s="141"/>
      <c r="J65" s="7"/>
      <c r="K65" s="6"/>
      <c r="L65" s="6"/>
      <c r="M65" s="6"/>
    </row>
    <row r="66" spans="1:13" ht="15.95" customHeight="1" x14ac:dyDescent="0.2">
      <c r="A66" s="138" t="s">
        <v>273</v>
      </c>
      <c r="B66" s="138" t="s">
        <v>274</v>
      </c>
      <c r="C66" s="143">
        <v>57</v>
      </c>
      <c r="D66" s="143">
        <v>1</v>
      </c>
      <c r="E66" s="140" t="s">
        <v>243</v>
      </c>
      <c r="F66" s="146">
        <f>531</f>
        <v>531</v>
      </c>
      <c r="G66" s="144">
        <f>549</f>
        <v>549</v>
      </c>
      <c r="H66" s="144">
        <f>561</f>
        <v>561</v>
      </c>
      <c r="I66" s="141"/>
      <c r="J66" s="7"/>
      <c r="K66" s="6"/>
      <c r="L66" s="6"/>
      <c r="M66" s="6"/>
    </row>
    <row r="67" spans="1:13" ht="15.95" customHeight="1" x14ac:dyDescent="0.2">
      <c r="A67" s="138" t="s">
        <v>275</v>
      </c>
      <c r="B67" s="138" t="s">
        <v>276</v>
      </c>
      <c r="C67" s="143">
        <v>58</v>
      </c>
      <c r="D67" s="143">
        <v>1</v>
      </c>
      <c r="E67" s="140" t="s">
        <v>277</v>
      </c>
      <c r="F67" s="146">
        <f>531</f>
        <v>531</v>
      </c>
      <c r="G67" s="144">
        <f>549</f>
        <v>549</v>
      </c>
      <c r="H67" s="144">
        <f>561</f>
        <v>561</v>
      </c>
      <c r="I67" s="141"/>
      <c r="J67" s="7"/>
      <c r="K67" s="6"/>
      <c r="L67" s="6"/>
      <c r="M67" s="6"/>
    </row>
    <row r="68" spans="1:13" ht="15.95" customHeight="1" x14ac:dyDescent="0.2">
      <c r="A68" s="138" t="s">
        <v>278</v>
      </c>
      <c r="B68" s="138" t="s">
        <v>279</v>
      </c>
      <c r="C68" s="143">
        <v>59</v>
      </c>
      <c r="D68" s="143">
        <v>1</v>
      </c>
      <c r="E68" s="140" t="s">
        <v>280</v>
      </c>
      <c r="F68" s="146">
        <f>531</f>
        <v>531</v>
      </c>
      <c r="G68" s="144">
        <f>549</f>
        <v>549</v>
      </c>
      <c r="H68" s="144">
        <f>561</f>
        <v>561</v>
      </c>
      <c r="I68" s="141"/>
      <c r="J68" s="7"/>
      <c r="K68" s="6"/>
      <c r="L68" s="6"/>
      <c r="M68" s="6"/>
    </row>
    <row r="69" spans="1:13" ht="15.95" customHeight="1" x14ac:dyDescent="0.2">
      <c r="A69" s="138" t="s">
        <v>281</v>
      </c>
      <c r="B69" s="138" t="s">
        <v>282</v>
      </c>
      <c r="C69" s="143">
        <v>60</v>
      </c>
      <c r="D69" s="143">
        <v>1</v>
      </c>
      <c r="E69" s="140" t="s">
        <v>277</v>
      </c>
      <c r="F69" s="146">
        <f>531</f>
        <v>531</v>
      </c>
      <c r="G69" s="144">
        <f>549</f>
        <v>549</v>
      </c>
      <c r="H69" s="144">
        <f>561</f>
        <v>561</v>
      </c>
      <c r="I69" s="141"/>
      <c r="J69" s="7"/>
      <c r="K69" s="6"/>
      <c r="L69" s="6"/>
      <c r="M69" s="6"/>
    </row>
    <row r="70" spans="1:13" ht="15.95" customHeight="1" x14ac:dyDescent="0.2">
      <c r="A70" s="138" t="s">
        <v>283</v>
      </c>
      <c r="B70" s="138" t="s">
        <v>284</v>
      </c>
      <c r="C70" s="143">
        <v>61</v>
      </c>
      <c r="D70" s="143">
        <v>1</v>
      </c>
      <c r="E70" s="140" t="s">
        <v>277</v>
      </c>
      <c r="F70" s="146">
        <f>531</f>
        <v>531</v>
      </c>
      <c r="G70" s="144">
        <f>549</f>
        <v>549</v>
      </c>
      <c r="H70" s="144">
        <f>561</f>
        <v>561</v>
      </c>
      <c r="I70" s="141"/>
      <c r="J70" s="7"/>
      <c r="K70" s="6"/>
      <c r="L70" s="6"/>
      <c r="M70" s="6"/>
    </row>
    <row r="71" spans="1:13" ht="15.95" customHeight="1" x14ac:dyDescent="0.2">
      <c r="A71" s="138" t="s">
        <v>285</v>
      </c>
      <c r="B71" s="138" t="s">
        <v>286</v>
      </c>
      <c r="C71" s="143">
        <v>62</v>
      </c>
      <c r="D71" s="143">
        <v>1</v>
      </c>
      <c r="E71" s="140" t="s">
        <v>280</v>
      </c>
      <c r="F71" s="146">
        <f>531</f>
        <v>531</v>
      </c>
      <c r="G71" s="144">
        <f>549</f>
        <v>549</v>
      </c>
      <c r="H71" s="144">
        <f>561</f>
        <v>561</v>
      </c>
      <c r="I71" s="141"/>
      <c r="J71" s="7"/>
      <c r="K71" s="6"/>
      <c r="L71" s="6"/>
      <c r="M71" s="6"/>
    </row>
    <row r="72" spans="1:13" ht="15.95" customHeight="1" x14ac:dyDescent="0.2">
      <c r="A72" s="138" t="s">
        <v>287</v>
      </c>
      <c r="B72" s="138" t="s">
        <v>288</v>
      </c>
      <c r="C72" s="143">
        <v>63</v>
      </c>
      <c r="D72" s="143">
        <v>1</v>
      </c>
      <c r="E72" s="140" t="s">
        <v>289</v>
      </c>
      <c r="F72" s="146">
        <f>531</f>
        <v>531</v>
      </c>
      <c r="G72" s="144">
        <f>549</f>
        <v>549</v>
      </c>
      <c r="H72" s="144">
        <f>561</f>
        <v>561</v>
      </c>
      <c r="I72" s="141"/>
      <c r="J72" s="7"/>
      <c r="K72" s="6"/>
      <c r="L72" s="6"/>
      <c r="M72" s="6"/>
    </row>
    <row r="73" spans="1:13" ht="15.95" customHeight="1" x14ac:dyDescent="0.2">
      <c r="A73" s="138" t="s">
        <v>290</v>
      </c>
      <c r="B73" s="138" t="s">
        <v>291</v>
      </c>
      <c r="C73" s="143">
        <v>64</v>
      </c>
      <c r="D73" s="143">
        <v>1</v>
      </c>
      <c r="E73" s="140" t="s">
        <v>289</v>
      </c>
      <c r="F73" s="146">
        <f>531</f>
        <v>531</v>
      </c>
      <c r="G73" s="144">
        <f>549</f>
        <v>549</v>
      </c>
      <c r="H73" s="144">
        <f>561</f>
        <v>561</v>
      </c>
      <c r="I73" s="141"/>
      <c r="J73" s="7"/>
      <c r="K73" s="6"/>
      <c r="L73" s="6"/>
      <c r="M73" s="6"/>
    </row>
    <row r="74" spans="1:13" ht="15.95" customHeight="1" x14ac:dyDescent="0.2">
      <c r="A74" s="138" t="s">
        <v>292</v>
      </c>
      <c r="B74" s="138" t="s">
        <v>293</v>
      </c>
      <c r="C74" s="143">
        <v>65</v>
      </c>
      <c r="D74" s="143">
        <v>1</v>
      </c>
      <c r="E74" s="140" t="s">
        <v>153</v>
      </c>
      <c r="F74" s="146">
        <f>531</f>
        <v>531</v>
      </c>
      <c r="G74" s="144">
        <f>549</f>
        <v>549</v>
      </c>
      <c r="H74" s="144">
        <f>561</f>
        <v>561</v>
      </c>
      <c r="I74" s="141"/>
      <c r="J74" s="7"/>
      <c r="K74" s="6"/>
      <c r="L74" s="6"/>
      <c r="M74" s="6"/>
    </row>
    <row r="75" spans="1:13" ht="15.95" customHeight="1" x14ac:dyDescent="0.2">
      <c r="A75" s="138" t="s">
        <v>294</v>
      </c>
      <c r="B75" s="138" t="s">
        <v>295</v>
      </c>
      <c r="C75" s="143">
        <v>66</v>
      </c>
      <c r="D75" s="143">
        <v>1</v>
      </c>
      <c r="E75" s="140" t="s">
        <v>280</v>
      </c>
      <c r="F75" s="146">
        <f>531</f>
        <v>531</v>
      </c>
      <c r="G75" s="144">
        <f>549</f>
        <v>549</v>
      </c>
      <c r="H75" s="144">
        <f>561</f>
        <v>561</v>
      </c>
      <c r="I75" s="141"/>
      <c r="J75" s="7"/>
      <c r="K75" s="6"/>
      <c r="L75" s="6"/>
      <c r="M75" s="6"/>
    </row>
    <row r="76" spans="1:13" ht="15.95" customHeight="1" x14ac:dyDescent="0.2">
      <c r="A76" s="138" t="s">
        <v>296</v>
      </c>
      <c r="B76" s="138" t="s">
        <v>297</v>
      </c>
      <c r="C76" s="143">
        <v>67</v>
      </c>
      <c r="D76" s="143">
        <v>1</v>
      </c>
      <c r="E76" s="140" t="s">
        <v>298</v>
      </c>
      <c r="F76" s="146">
        <f>531</f>
        <v>531</v>
      </c>
      <c r="G76" s="144">
        <f>549</f>
        <v>549</v>
      </c>
      <c r="H76" s="144">
        <f>561</f>
        <v>561</v>
      </c>
      <c r="I76" s="141"/>
      <c r="J76" s="7"/>
      <c r="K76" s="6"/>
      <c r="L76" s="6"/>
      <c r="M76" s="6"/>
    </row>
    <row r="77" spans="1:13" ht="15.95" customHeight="1" x14ac:dyDescent="0.2">
      <c r="A77" s="138" t="s">
        <v>299</v>
      </c>
      <c r="B77" s="138" t="s">
        <v>300</v>
      </c>
      <c r="C77" s="143">
        <v>68</v>
      </c>
      <c r="D77" s="143">
        <v>1</v>
      </c>
      <c r="E77" s="140" t="s">
        <v>153</v>
      </c>
      <c r="F77" s="146">
        <f>531</f>
        <v>531</v>
      </c>
      <c r="G77" s="144">
        <f>549</f>
        <v>549</v>
      </c>
      <c r="H77" s="144">
        <f>561</f>
        <v>561</v>
      </c>
      <c r="I77" s="141"/>
      <c r="J77" s="7"/>
      <c r="K77" s="6"/>
      <c r="L77" s="6"/>
      <c r="M77" s="6"/>
    </row>
    <row r="78" spans="1:13" ht="15.95" customHeight="1" x14ac:dyDescent="0.2">
      <c r="A78" s="138" t="s">
        <v>301</v>
      </c>
      <c r="B78" s="138" t="s">
        <v>302</v>
      </c>
      <c r="C78" s="143">
        <v>69</v>
      </c>
      <c r="D78" s="143">
        <v>1</v>
      </c>
      <c r="E78" s="140" t="s">
        <v>280</v>
      </c>
      <c r="F78" s="146">
        <f>531</f>
        <v>531</v>
      </c>
      <c r="G78" s="144">
        <f>549</f>
        <v>549</v>
      </c>
      <c r="H78" s="144">
        <f>561</f>
        <v>561</v>
      </c>
      <c r="I78" s="141"/>
      <c r="J78" s="7"/>
      <c r="K78" s="6"/>
      <c r="L78" s="6"/>
      <c r="M78" s="6"/>
    </row>
    <row r="79" spans="1:13" ht="15.95" customHeight="1" x14ac:dyDescent="0.2">
      <c r="A79" s="138" t="s">
        <v>303</v>
      </c>
      <c r="B79" s="138" t="s">
        <v>304</v>
      </c>
      <c r="C79" s="143">
        <v>70</v>
      </c>
      <c r="D79" s="143">
        <v>1</v>
      </c>
      <c r="E79" s="140" t="s">
        <v>289</v>
      </c>
      <c r="F79" s="146">
        <f>531</f>
        <v>531</v>
      </c>
      <c r="G79" s="144">
        <f>549</f>
        <v>549</v>
      </c>
      <c r="H79" s="144">
        <f>561</f>
        <v>561</v>
      </c>
      <c r="I79" s="141"/>
      <c r="J79" s="7"/>
      <c r="K79" s="6"/>
      <c r="L79" s="6"/>
      <c r="M79" s="6"/>
    </row>
    <row r="80" spans="1:13" ht="15.95" customHeight="1" x14ac:dyDescent="0.2">
      <c r="A80" s="138" t="s">
        <v>305</v>
      </c>
      <c r="B80" s="138" t="s">
        <v>306</v>
      </c>
      <c r="C80" s="143">
        <v>71</v>
      </c>
      <c r="D80" s="143">
        <v>1</v>
      </c>
      <c r="E80" s="140" t="s">
        <v>280</v>
      </c>
      <c r="F80" s="146">
        <f>531</f>
        <v>531</v>
      </c>
      <c r="G80" s="144">
        <f>549</f>
        <v>549</v>
      </c>
      <c r="H80" s="144">
        <f>561</f>
        <v>561</v>
      </c>
      <c r="I80" s="141"/>
      <c r="J80" s="7"/>
      <c r="K80" s="6"/>
      <c r="L80" s="6"/>
      <c r="M80" s="6"/>
    </row>
    <row r="81" spans="1:13" ht="15.95" customHeight="1" x14ac:dyDescent="0.2">
      <c r="A81" s="138" t="s">
        <v>307</v>
      </c>
      <c r="B81" s="138" t="s">
        <v>308</v>
      </c>
      <c r="C81" s="143">
        <v>72</v>
      </c>
      <c r="D81" s="143">
        <v>1</v>
      </c>
      <c r="E81" s="140" t="s">
        <v>277</v>
      </c>
      <c r="F81" s="146">
        <f>531</f>
        <v>531</v>
      </c>
      <c r="G81" s="144">
        <f>549</f>
        <v>549</v>
      </c>
      <c r="H81" s="144">
        <f>561</f>
        <v>561</v>
      </c>
      <c r="I81" s="141"/>
      <c r="J81" s="7"/>
      <c r="K81" s="6"/>
      <c r="L81" s="6"/>
      <c r="M81" s="6"/>
    </row>
    <row r="82" spans="1:13" ht="15.95" customHeight="1" x14ac:dyDescent="0.2">
      <c r="A82" s="138" t="s">
        <v>309</v>
      </c>
      <c r="B82" s="138" t="s">
        <v>310</v>
      </c>
      <c r="C82" s="143">
        <v>73</v>
      </c>
      <c r="D82" s="143">
        <v>1</v>
      </c>
      <c r="E82" s="140" t="s">
        <v>277</v>
      </c>
      <c r="F82" s="146">
        <f>531</f>
        <v>531</v>
      </c>
      <c r="G82" s="144">
        <f>549</f>
        <v>549</v>
      </c>
      <c r="H82" s="144">
        <f>561</f>
        <v>561</v>
      </c>
      <c r="I82" s="141"/>
      <c r="J82" s="7"/>
      <c r="K82" s="6"/>
      <c r="L82" s="6"/>
      <c r="M82" s="6"/>
    </row>
    <row r="83" spans="1:13" ht="15.95" customHeight="1" x14ac:dyDescent="0.2">
      <c r="A83" s="138" t="s">
        <v>311</v>
      </c>
      <c r="B83" s="138" t="s">
        <v>312</v>
      </c>
      <c r="C83" s="143">
        <v>74</v>
      </c>
      <c r="D83" s="143">
        <v>1</v>
      </c>
      <c r="E83" s="140" t="s">
        <v>277</v>
      </c>
      <c r="F83" s="146">
        <f>531</f>
        <v>531</v>
      </c>
      <c r="G83" s="144">
        <f>549</f>
        <v>549</v>
      </c>
      <c r="H83" s="144">
        <f>561</f>
        <v>561</v>
      </c>
      <c r="I83" s="141"/>
      <c r="J83" s="7"/>
      <c r="K83" s="6"/>
      <c r="L83" s="6"/>
      <c r="M83" s="6"/>
    </row>
    <row r="84" spans="1:13" ht="15.95" customHeight="1" x14ac:dyDescent="0.2">
      <c r="A84" s="138" t="s">
        <v>313</v>
      </c>
      <c r="B84" s="138" t="s">
        <v>314</v>
      </c>
      <c r="C84" s="143">
        <v>75</v>
      </c>
      <c r="D84" s="143">
        <v>1</v>
      </c>
      <c r="E84" s="140" t="s">
        <v>280</v>
      </c>
      <c r="F84" s="146">
        <f>531</f>
        <v>531</v>
      </c>
      <c r="G84" s="144">
        <f>549</f>
        <v>549</v>
      </c>
      <c r="H84" s="144">
        <f>561</f>
        <v>561</v>
      </c>
      <c r="I84" s="141"/>
      <c r="J84" s="7"/>
      <c r="K84" s="6"/>
      <c r="L84" s="6"/>
      <c r="M84" s="6"/>
    </row>
    <row r="85" spans="1:13" ht="15.95" customHeight="1" x14ac:dyDescent="0.2">
      <c r="A85" s="138" t="s">
        <v>315</v>
      </c>
      <c r="B85" s="138" t="s">
        <v>316</v>
      </c>
      <c r="C85" s="143">
        <v>76</v>
      </c>
      <c r="D85" s="143">
        <v>1</v>
      </c>
      <c r="E85" s="140" t="s">
        <v>277</v>
      </c>
      <c r="F85" s="146">
        <f>531</f>
        <v>531</v>
      </c>
      <c r="G85" s="144">
        <f>549</f>
        <v>549</v>
      </c>
      <c r="H85" s="144">
        <f>561</f>
        <v>561</v>
      </c>
      <c r="I85" s="141"/>
      <c r="J85" s="7"/>
      <c r="K85" s="6"/>
      <c r="L85" s="6"/>
      <c r="M85" s="6"/>
    </row>
    <row r="86" spans="1:13" ht="15.95" customHeight="1" x14ac:dyDescent="0.2">
      <c r="A86" s="138" t="s">
        <v>317</v>
      </c>
      <c r="B86" s="138" t="s">
        <v>318</v>
      </c>
      <c r="C86" s="143">
        <v>77</v>
      </c>
      <c r="D86" s="143">
        <v>1</v>
      </c>
      <c r="E86" s="140" t="s">
        <v>153</v>
      </c>
      <c r="F86" s="146">
        <f>531</f>
        <v>531</v>
      </c>
      <c r="G86" s="144">
        <f>549</f>
        <v>549</v>
      </c>
      <c r="H86" s="144">
        <f>561</f>
        <v>561</v>
      </c>
      <c r="I86" s="141"/>
      <c r="J86" s="7"/>
      <c r="K86" s="6"/>
      <c r="L86" s="6"/>
      <c r="M86" s="6"/>
    </row>
    <row r="87" spans="1:13" ht="15.95" customHeight="1" x14ac:dyDescent="0.2">
      <c r="A87" s="138" t="s">
        <v>319</v>
      </c>
      <c r="B87" s="138" t="s">
        <v>320</v>
      </c>
      <c r="C87" s="143">
        <v>78</v>
      </c>
      <c r="D87" s="143">
        <v>1</v>
      </c>
      <c r="E87" s="140" t="s">
        <v>277</v>
      </c>
      <c r="F87" s="146">
        <f>531</f>
        <v>531</v>
      </c>
      <c r="G87" s="144">
        <f>549</f>
        <v>549</v>
      </c>
      <c r="H87" s="144">
        <f>561</f>
        <v>561</v>
      </c>
      <c r="I87" s="141"/>
      <c r="J87" s="7"/>
      <c r="K87" s="6"/>
      <c r="L87" s="6"/>
      <c r="M87" s="6"/>
    </row>
    <row r="88" spans="1:13" ht="15.95" customHeight="1" x14ac:dyDescent="0.2">
      <c r="A88" s="138" t="s">
        <v>321</v>
      </c>
      <c r="B88" s="138" t="s">
        <v>322</v>
      </c>
      <c r="C88" s="143">
        <v>79</v>
      </c>
      <c r="D88" s="143">
        <v>1</v>
      </c>
      <c r="E88" s="140" t="s">
        <v>277</v>
      </c>
      <c r="F88" s="146">
        <f>531</f>
        <v>531</v>
      </c>
      <c r="G88" s="144">
        <f>549</f>
        <v>549</v>
      </c>
      <c r="H88" s="144">
        <f>561</f>
        <v>561</v>
      </c>
      <c r="I88" s="141"/>
      <c r="J88" s="7"/>
      <c r="K88" s="6"/>
      <c r="L88" s="6"/>
      <c r="M88" s="6"/>
    </row>
    <row r="89" spans="1:13" ht="15.95" customHeight="1" x14ac:dyDescent="0.2">
      <c r="A89" s="138" t="s">
        <v>323</v>
      </c>
      <c r="B89" s="138" t="s">
        <v>324</v>
      </c>
      <c r="C89" s="143">
        <v>80</v>
      </c>
      <c r="D89" s="143">
        <v>1</v>
      </c>
      <c r="E89" s="140" t="s">
        <v>277</v>
      </c>
      <c r="F89" s="146">
        <f>531</f>
        <v>531</v>
      </c>
      <c r="G89" s="144">
        <f>549</f>
        <v>549</v>
      </c>
      <c r="H89" s="144">
        <f>561</f>
        <v>561</v>
      </c>
      <c r="I89" s="141"/>
      <c r="J89" s="7"/>
      <c r="K89" s="6"/>
      <c r="L89" s="6"/>
      <c r="M89" s="6"/>
    </row>
    <row r="90" spans="1:13" ht="15.95" customHeight="1" x14ac:dyDescent="0.2">
      <c r="A90" s="138" t="s">
        <v>325</v>
      </c>
      <c r="B90" s="138" t="s">
        <v>326</v>
      </c>
      <c r="C90" s="143">
        <v>81</v>
      </c>
      <c r="D90" s="143">
        <v>1</v>
      </c>
      <c r="E90" s="140" t="s">
        <v>289</v>
      </c>
      <c r="F90" s="146">
        <f>531</f>
        <v>531</v>
      </c>
      <c r="G90" s="144">
        <f>549</f>
        <v>549</v>
      </c>
      <c r="H90" s="144">
        <f>561</f>
        <v>561</v>
      </c>
      <c r="I90" s="141"/>
      <c r="J90" s="7"/>
      <c r="K90" s="6"/>
      <c r="L90" s="6"/>
      <c r="M90" s="6"/>
    </row>
    <row r="91" spans="1:13" ht="15.95" customHeight="1" x14ac:dyDescent="0.2">
      <c r="A91" s="138" t="s">
        <v>327</v>
      </c>
      <c r="B91" s="138" t="s">
        <v>328</v>
      </c>
      <c r="C91" s="143">
        <v>82</v>
      </c>
      <c r="D91" s="143">
        <v>1</v>
      </c>
      <c r="E91" s="140" t="s">
        <v>289</v>
      </c>
      <c r="F91" s="146">
        <f>531</f>
        <v>531</v>
      </c>
      <c r="G91" s="144">
        <f>549</f>
        <v>549</v>
      </c>
      <c r="H91" s="144">
        <f>561</f>
        <v>561</v>
      </c>
      <c r="I91" s="141"/>
      <c r="J91" s="7"/>
      <c r="K91" s="6"/>
      <c r="L91" s="6"/>
      <c r="M91" s="6"/>
    </row>
    <row r="92" spans="1:13" ht="15.95" customHeight="1" x14ac:dyDescent="0.2">
      <c r="A92" s="138" t="s">
        <v>329</v>
      </c>
      <c r="B92" s="138" t="s">
        <v>330</v>
      </c>
      <c r="C92" s="143">
        <v>83</v>
      </c>
      <c r="D92" s="143">
        <v>1</v>
      </c>
      <c r="E92" s="140" t="s">
        <v>153</v>
      </c>
      <c r="F92" s="146">
        <f>531</f>
        <v>531</v>
      </c>
      <c r="G92" s="144">
        <f>549</f>
        <v>549</v>
      </c>
      <c r="H92" s="144">
        <f>561</f>
        <v>561</v>
      </c>
      <c r="I92" s="141"/>
      <c r="J92" s="7"/>
      <c r="K92" s="6"/>
      <c r="L92" s="6"/>
      <c r="M92" s="6"/>
    </row>
    <row r="93" spans="1:13" ht="15.95" customHeight="1" x14ac:dyDescent="0.2">
      <c r="A93" s="138" t="s">
        <v>331</v>
      </c>
      <c r="B93" s="138" t="s">
        <v>332</v>
      </c>
      <c r="C93" s="143">
        <v>84</v>
      </c>
      <c r="D93" s="143">
        <v>1</v>
      </c>
      <c r="E93" s="140" t="s">
        <v>333</v>
      </c>
      <c r="F93" s="146">
        <f>531</f>
        <v>531</v>
      </c>
      <c r="G93" s="144">
        <f>549</f>
        <v>549</v>
      </c>
      <c r="H93" s="144">
        <f>561</f>
        <v>561</v>
      </c>
      <c r="I93" s="141"/>
      <c r="J93" s="7"/>
      <c r="K93" s="6"/>
      <c r="L93" s="6"/>
      <c r="M93" s="6"/>
    </row>
    <row r="94" spans="1:13" ht="15.95" customHeight="1" x14ac:dyDescent="0.2">
      <c r="A94" s="138" t="s">
        <v>334</v>
      </c>
      <c r="B94" s="138" t="s">
        <v>335</v>
      </c>
      <c r="C94" s="143">
        <v>85</v>
      </c>
      <c r="D94" s="143">
        <v>1</v>
      </c>
      <c r="E94" s="140" t="s">
        <v>336</v>
      </c>
      <c r="F94" s="146">
        <f>531</f>
        <v>531</v>
      </c>
      <c r="G94" s="144">
        <f>549</f>
        <v>549</v>
      </c>
      <c r="H94" s="144">
        <f>561</f>
        <v>561</v>
      </c>
      <c r="I94" s="141"/>
      <c r="J94" s="7"/>
      <c r="K94" s="6"/>
      <c r="L94" s="6"/>
      <c r="M94" s="6"/>
    </row>
    <row r="95" spans="1:13" ht="15.95" customHeight="1" x14ac:dyDescent="0.2">
      <c r="A95" s="138" t="s">
        <v>337</v>
      </c>
      <c r="B95" s="138" t="s">
        <v>338</v>
      </c>
      <c r="C95" s="143">
        <v>86</v>
      </c>
      <c r="D95" s="143">
        <v>1</v>
      </c>
      <c r="E95" s="140" t="s">
        <v>339</v>
      </c>
      <c r="F95" s="146">
        <f>531</f>
        <v>531</v>
      </c>
      <c r="G95" s="144">
        <f>549</f>
        <v>549</v>
      </c>
      <c r="H95" s="144">
        <f>561</f>
        <v>561</v>
      </c>
      <c r="I95" s="141"/>
      <c r="J95" s="7"/>
      <c r="K95" s="6"/>
      <c r="L95" s="6"/>
      <c r="M95" s="6"/>
    </row>
    <row r="96" spans="1:13" ht="15.95" customHeight="1" x14ac:dyDescent="0.2">
      <c r="A96" s="138" t="s">
        <v>340</v>
      </c>
      <c r="B96" s="138" t="s">
        <v>341</v>
      </c>
      <c r="C96" s="143">
        <v>87</v>
      </c>
      <c r="D96" s="143">
        <v>1</v>
      </c>
      <c r="E96" s="140" t="s">
        <v>336</v>
      </c>
      <c r="F96" s="146">
        <f>531</f>
        <v>531</v>
      </c>
      <c r="G96" s="144">
        <f>549</f>
        <v>549</v>
      </c>
      <c r="H96" s="144">
        <f>561</f>
        <v>561</v>
      </c>
      <c r="I96" s="141"/>
      <c r="J96" s="7"/>
      <c r="K96" s="6"/>
      <c r="L96" s="6"/>
      <c r="M96" s="6"/>
    </row>
    <row r="97" spans="1:13" ht="15.95" customHeight="1" x14ac:dyDescent="0.2">
      <c r="A97" s="138" t="s">
        <v>342</v>
      </c>
      <c r="B97" s="138" t="s">
        <v>343</v>
      </c>
      <c r="C97" s="143">
        <v>88</v>
      </c>
      <c r="D97" s="143">
        <v>1</v>
      </c>
      <c r="E97" s="140" t="s">
        <v>339</v>
      </c>
      <c r="F97" s="146">
        <f>531</f>
        <v>531</v>
      </c>
      <c r="G97" s="144">
        <f>549</f>
        <v>549</v>
      </c>
      <c r="H97" s="144">
        <f>561</f>
        <v>561</v>
      </c>
      <c r="I97" s="141"/>
      <c r="J97" s="7"/>
      <c r="K97" s="6"/>
      <c r="L97" s="6"/>
      <c r="M97" s="6"/>
    </row>
    <row r="98" spans="1:13" ht="15.95" customHeight="1" x14ac:dyDescent="0.2">
      <c r="A98" s="138" t="s">
        <v>344</v>
      </c>
      <c r="B98" s="138" t="s">
        <v>345</v>
      </c>
      <c r="C98" s="143">
        <v>89</v>
      </c>
      <c r="D98" s="143">
        <v>1</v>
      </c>
      <c r="E98" s="140" t="s">
        <v>346</v>
      </c>
      <c r="F98" s="146">
        <f>531</f>
        <v>531</v>
      </c>
      <c r="G98" s="144">
        <f>549</f>
        <v>549</v>
      </c>
      <c r="H98" s="144">
        <f>561</f>
        <v>561</v>
      </c>
      <c r="I98" s="141"/>
      <c r="J98" s="7"/>
      <c r="K98" s="6"/>
      <c r="L98" s="6"/>
      <c r="M98" s="6"/>
    </row>
    <row r="99" spans="1:13" ht="15.95" customHeight="1" x14ac:dyDescent="0.2">
      <c r="A99" s="138" t="s">
        <v>347</v>
      </c>
      <c r="B99" s="138" t="s">
        <v>348</v>
      </c>
      <c r="C99" s="143">
        <v>90</v>
      </c>
      <c r="D99" s="143">
        <v>1</v>
      </c>
      <c r="E99" s="140" t="s">
        <v>336</v>
      </c>
      <c r="F99" s="146">
        <f>531</f>
        <v>531</v>
      </c>
      <c r="G99" s="144">
        <f>549</f>
        <v>549</v>
      </c>
      <c r="H99" s="144">
        <f>561</f>
        <v>561</v>
      </c>
      <c r="I99" s="141"/>
      <c r="J99" s="7"/>
      <c r="K99" s="6"/>
      <c r="L99" s="6"/>
      <c r="M99" s="6"/>
    </row>
    <row r="100" spans="1:13" ht="15.95" customHeight="1" x14ac:dyDescent="0.2">
      <c r="A100" s="138" t="s">
        <v>349</v>
      </c>
      <c r="B100" s="138" t="s">
        <v>350</v>
      </c>
      <c r="C100" s="143">
        <v>91</v>
      </c>
      <c r="D100" s="143">
        <v>1</v>
      </c>
      <c r="E100" s="140" t="s">
        <v>351</v>
      </c>
      <c r="F100" s="146">
        <f>531</f>
        <v>531</v>
      </c>
      <c r="G100" s="144">
        <f>549</f>
        <v>549</v>
      </c>
      <c r="H100" s="144">
        <f>561</f>
        <v>561</v>
      </c>
      <c r="I100" s="141"/>
      <c r="J100" s="7"/>
      <c r="K100" s="6"/>
      <c r="L100" s="6"/>
      <c r="M100" s="6"/>
    </row>
    <row r="101" spans="1:13" ht="15.95" customHeight="1" x14ac:dyDescent="0.2">
      <c r="A101" s="138" t="s">
        <v>352</v>
      </c>
      <c r="B101" s="138" t="s">
        <v>353</v>
      </c>
      <c r="C101" s="143">
        <v>92</v>
      </c>
      <c r="D101" s="143">
        <v>1</v>
      </c>
      <c r="E101" s="140" t="s">
        <v>333</v>
      </c>
      <c r="F101" s="146">
        <f>531</f>
        <v>531</v>
      </c>
      <c r="G101" s="144">
        <f>549</f>
        <v>549</v>
      </c>
      <c r="H101" s="144">
        <f>561</f>
        <v>561</v>
      </c>
      <c r="I101" s="141"/>
      <c r="J101" s="7"/>
      <c r="K101" s="6"/>
      <c r="L101" s="6"/>
      <c r="M101" s="6"/>
    </row>
    <row r="102" spans="1:13" ht="15.95" customHeight="1" x14ac:dyDescent="0.2">
      <c r="A102" s="138" t="s">
        <v>354</v>
      </c>
      <c r="B102" s="138" t="s">
        <v>355</v>
      </c>
      <c r="C102" s="143">
        <v>93</v>
      </c>
      <c r="D102" s="143">
        <v>1</v>
      </c>
      <c r="E102" s="140" t="s">
        <v>356</v>
      </c>
      <c r="F102" s="146">
        <f>531</f>
        <v>531</v>
      </c>
      <c r="G102" s="144">
        <f>549</f>
        <v>549</v>
      </c>
      <c r="H102" s="144">
        <f>561</f>
        <v>561</v>
      </c>
      <c r="I102" s="141"/>
      <c r="J102" s="7"/>
      <c r="K102" s="6"/>
      <c r="L102" s="6"/>
      <c r="M102" s="6"/>
    </row>
    <row r="103" spans="1:13" ht="15.95" customHeight="1" x14ac:dyDescent="0.2">
      <c r="A103" s="138" t="s">
        <v>357</v>
      </c>
      <c r="B103" s="138" t="s">
        <v>358</v>
      </c>
      <c r="C103" s="143">
        <v>94</v>
      </c>
      <c r="D103" s="143">
        <v>1</v>
      </c>
      <c r="E103" s="140" t="s">
        <v>258</v>
      </c>
      <c r="F103" s="146">
        <f>531</f>
        <v>531</v>
      </c>
      <c r="G103" s="144">
        <f>549</f>
        <v>549</v>
      </c>
      <c r="H103" s="144">
        <f>561</f>
        <v>561</v>
      </c>
      <c r="I103" s="141"/>
      <c r="J103" s="7"/>
      <c r="K103" s="6"/>
      <c r="L103" s="6"/>
      <c r="M103" s="6"/>
    </row>
    <row r="104" spans="1:13" ht="15.95" customHeight="1" x14ac:dyDescent="0.2">
      <c r="A104" s="138" t="s">
        <v>359</v>
      </c>
      <c r="B104" s="138" t="s">
        <v>360</v>
      </c>
      <c r="C104" s="143">
        <v>95</v>
      </c>
      <c r="D104" s="143">
        <v>1</v>
      </c>
      <c r="E104" s="140" t="s">
        <v>159</v>
      </c>
      <c r="F104" s="146">
        <f>531</f>
        <v>531</v>
      </c>
      <c r="G104" s="144">
        <f>549</f>
        <v>549</v>
      </c>
      <c r="H104" s="144">
        <f>561</f>
        <v>561</v>
      </c>
      <c r="I104" s="141"/>
      <c r="J104" s="7"/>
      <c r="K104" s="6"/>
      <c r="L104" s="6"/>
      <c r="M104" s="6"/>
    </row>
    <row r="105" spans="1:13" ht="15.95" customHeight="1" x14ac:dyDescent="0.2">
      <c r="A105" s="138" t="s">
        <v>361</v>
      </c>
      <c r="B105" s="138" t="s">
        <v>362</v>
      </c>
      <c r="C105" s="143">
        <v>96</v>
      </c>
      <c r="D105" s="143">
        <v>1</v>
      </c>
      <c r="E105" s="140" t="s">
        <v>363</v>
      </c>
      <c r="F105" s="146">
        <f>531</f>
        <v>531</v>
      </c>
      <c r="G105" s="144">
        <f>549</f>
        <v>549</v>
      </c>
      <c r="H105" s="144">
        <f>561</f>
        <v>561</v>
      </c>
      <c r="I105" s="141"/>
      <c r="J105" s="7"/>
      <c r="K105" s="6"/>
      <c r="L105" s="6"/>
      <c r="M105" s="6"/>
    </row>
    <row r="106" spans="1:13" ht="15.95" customHeight="1" x14ac:dyDescent="0.2">
      <c r="A106" s="138" t="s">
        <v>364</v>
      </c>
      <c r="B106" s="138" t="s">
        <v>365</v>
      </c>
      <c r="C106" s="143">
        <v>97</v>
      </c>
      <c r="D106" s="143">
        <v>1</v>
      </c>
      <c r="E106" s="140" t="s">
        <v>366</v>
      </c>
      <c r="F106" s="146">
        <f>531</f>
        <v>531</v>
      </c>
      <c r="G106" s="144">
        <f>549</f>
        <v>549</v>
      </c>
      <c r="H106" s="144">
        <f>561</f>
        <v>561</v>
      </c>
      <c r="I106" s="141"/>
      <c r="J106" s="7"/>
      <c r="K106" s="6"/>
      <c r="L106" s="6"/>
      <c r="M106" s="6"/>
    </row>
    <row r="107" spans="1:13" ht="15.95" customHeight="1" x14ac:dyDescent="0.2">
      <c r="A107" s="138" t="s">
        <v>367</v>
      </c>
      <c r="B107" s="138" t="s">
        <v>368</v>
      </c>
      <c r="C107" s="143">
        <v>98</v>
      </c>
      <c r="D107" s="143">
        <v>1</v>
      </c>
      <c r="E107" s="140" t="s">
        <v>369</v>
      </c>
      <c r="F107" s="146">
        <f>531</f>
        <v>531</v>
      </c>
      <c r="G107" s="144">
        <f>549</f>
        <v>549</v>
      </c>
      <c r="H107" s="144">
        <f>561</f>
        <v>561</v>
      </c>
      <c r="I107" s="141"/>
      <c r="J107" s="7"/>
      <c r="K107" s="6"/>
      <c r="L107" s="6"/>
      <c r="M107" s="6"/>
    </row>
    <row r="108" spans="1:13" ht="15.95" customHeight="1" x14ac:dyDescent="0.2">
      <c r="A108" s="138" t="s">
        <v>370</v>
      </c>
      <c r="B108" s="138" t="s">
        <v>371</v>
      </c>
      <c r="C108" s="143">
        <v>99</v>
      </c>
      <c r="D108" s="143">
        <v>1</v>
      </c>
      <c r="E108" s="140" t="s">
        <v>369</v>
      </c>
      <c r="F108" s="146">
        <f>531</f>
        <v>531</v>
      </c>
      <c r="G108" s="144">
        <f>549</f>
        <v>549</v>
      </c>
      <c r="H108" s="144">
        <f>561</f>
        <v>561</v>
      </c>
      <c r="I108" s="141"/>
      <c r="J108" s="7"/>
      <c r="K108" s="6"/>
      <c r="L108" s="6"/>
      <c r="M108" s="6"/>
    </row>
    <row r="109" spans="1:13" ht="15.95" customHeight="1" x14ac:dyDescent="0.2">
      <c r="A109" s="138" t="s">
        <v>372</v>
      </c>
      <c r="B109" s="138" t="s">
        <v>373</v>
      </c>
      <c r="C109" s="143">
        <v>100</v>
      </c>
      <c r="D109" s="143">
        <v>1</v>
      </c>
      <c r="E109" s="140" t="s">
        <v>366</v>
      </c>
      <c r="F109" s="146">
        <f>531</f>
        <v>531</v>
      </c>
      <c r="G109" s="144">
        <f>549</f>
        <v>549</v>
      </c>
      <c r="H109" s="144">
        <f>561</f>
        <v>561</v>
      </c>
      <c r="I109" s="141"/>
      <c r="J109" s="7"/>
      <c r="K109" s="6"/>
      <c r="L109" s="6"/>
      <c r="M109" s="6"/>
    </row>
    <row r="110" spans="1:13" ht="15.95" customHeight="1" x14ac:dyDescent="0.2">
      <c r="A110" s="138" t="s">
        <v>374</v>
      </c>
      <c r="B110" s="138" t="s">
        <v>375</v>
      </c>
      <c r="C110" s="143">
        <v>101</v>
      </c>
      <c r="D110" s="143">
        <v>1</v>
      </c>
      <c r="E110" s="140" t="s">
        <v>376</v>
      </c>
      <c r="F110" s="146">
        <f>531</f>
        <v>531</v>
      </c>
      <c r="G110" s="144">
        <f>549</f>
        <v>549</v>
      </c>
      <c r="H110" s="144">
        <f>561</f>
        <v>561</v>
      </c>
      <c r="I110" s="141"/>
      <c r="J110" s="7"/>
      <c r="K110" s="6"/>
      <c r="L110" s="6"/>
      <c r="M110" s="6"/>
    </row>
    <row r="111" spans="1:13" ht="15.95" customHeight="1" x14ac:dyDescent="0.2">
      <c r="A111" s="138" t="s">
        <v>377</v>
      </c>
      <c r="B111" s="138" t="s">
        <v>378</v>
      </c>
      <c r="C111" s="143">
        <v>102</v>
      </c>
      <c r="D111" s="143">
        <v>1</v>
      </c>
      <c r="E111" s="140" t="s">
        <v>156</v>
      </c>
      <c r="F111" s="146">
        <f>531</f>
        <v>531</v>
      </c>
      <c r="G111" s="144">
        <f>549</f>
        <v>549</v>
      </c>
      <c r="H111" s="144">
        <f>561</f>
        <v>561</v>
      </c>
      <c r="I111" s="141"/>
      <c r="J111" s="7"/>
      <c r="K111" s="6"/>
      <c r="L111" s="6"/>
      <c r="M111" s="6"/>
    </row>
    <row r="112" spans="1:13" ht="15.95" customHeight="1" x14ac:dyDescent="0.2">
      <c r="A112" s="138" t="s">
        <v>379</v>
      </c>
      <c r="B112" s="138" t="s">
        <v>380</v>
      </c>
      <c r="C112" s="143">
        <v>103</v>
      </c>
      <c r="D112" s="143">
        <v>1</v>
      </c>
      <c r="E112" s="140" t="s">
        <v>159</v>
      </c>
      <c r="F112" s="146">
        <f>531</f>
        <v>531</v>
      </c>
      <c r="G112" s="144">
        <f>549</f>
        <v>549</v>
      </c>
      <c r="H112" s="144">
        <f>561</f>
        <v>561</v>
      </c>
      <c r="I112" s="141"/>
      <c r="J112" s="7"/>
      <c r="K112" s="6"/>
      <c r="L112" s="6"/>
      <c r="M112" s="6"/>
    </row>
    <row r="113" spans="1:13" ht="15.95" customHeight="1" x14ac:dyDescent="0.2">
      <c r="A113" s="138" t="s">
        <v>381</v>
      </c>
      <c r="B113" s="138" t="s">
        <v>382</v>
      </c>
      <c r="C113" s="143">
        <v>104</v>
      </c>
      <c r="D113" s="143">
        <v>1</v>
      </c>
      <c r="E113" s="140" t="s">
        <v>383</v>
      </c>
      <c r="F113" s="146">
        <f>531</f>
        <v>531</v>
      </c>
      <c r="G113" s="144">
        <f>549</f>
        <v>549</v>
      </c>
      <c r="H113" s="144">
        <f>561</f>
        <v>561</v>
      </c>
      <c r="I113" s="141"/>
      <c r="J113" s="7"/>
      <c r="K113" s="6"/>
      <c r="L113" s="6"/>
      <c r="M113" s="6"/>
    </row>
    <row r="114" spans="1:13" ht="15.95" customHeight="1" x14ac:dyDescent="0.2">
      <c r="A114" s="138" t="s">
        <v>384</v>
      </c>
      <c r="B114" s="138" t="s">
        <v>385</v>
      </c>
      <c r="C114" s="143">
        <v>105</v>
      </c>
      <c r="D114" s="143">
        <v>1</v>
      </c>
      <c r="E114" s="140" t="s">
        <v>376</v>
      </c>
      <c r="F114" s="146">
        <f>531</f>
        <v>531</v>
      </c>
      <c r="G114" s="144">
        <f>549</f>
        <v>549</v>
      </c>
      <c r="H114" s="144">
        <f>561</f>
        <v>561</v>
      </c>
      <c r="I114" s="141"/>
      <c r="J114" s="7"/>
      <c r="K114" s="6"/>
      <c r="L114" s="6"/>
      <c r="M114" s="6"/>
    </row>
    <row r="115" spans="1:13" ht="15.95" customHeight="1" x14ac:dyDescent="0.2">
      <c r="A115" s="138" t="s">
        <v>386</v>
      </c>
      <c r="B115" s="138" t="s">
        <v>387</v>
      </c>
      <c r="C115" s="143">
        <v>106</v>
      </c>
      <c r="D115" s="143">
        <v>1</v>
      </c>
      <c r="E115" s="140" t="s">
        <v>240</v>
      </c>
      <c r="F115" s="146">
        <f>531</f>
        <v>531</v>
      </c>
      <c r="G115" s="144">
        <f>549</f>
        <v>549</v>
      </c>
      <c r="H115" s="144">
        <f>561</f>
        <v>561</v>
      </c>
      <c r="I115" s="141"/>
      <c r="J115" s="7"/>
      <c r="K115" s="6"/>
      <c r="L115" s="6"/>
      <c r="M115" s="6"/>
    </row>
    <row r="116" spans="1:13" ht="15.95" customHeight="1" x14ac:dyDescent="0.2">
      <c r="A116" s="138" t="s">
        <v>388</v>
      </c>
      <c r="B116" s="138" t="s">
        <v>389</v>
      </c>
      <c r="C116" s="143">
        <v>107</v>
      </c>
      <c r="D116" s="143">
        <v>1</v>
      </c>
      <c r="E116" s="140" t="s">
        <v>258</v>
      </c>
      <c r="F116" s="146">
        <f>531</f>
        <v>531</v>
      </c>
      <c r="G116" s="144">
        <f>549</f>
        <v>549</v>
      </c>
      <c r="H116" s="144">
        <f>561</f>
        <v>561</v>
      </c>
      <c r="I116" s="141"/>
      <c r="J116" s="7"/>
      <c r="K116" s="6"/>
      <c r="L116" s="6"/>
      <c r="M116" s="6"/>
    </row>
    <row r="117" spans="1:13" ht="15.95" customHeight="1" x14ac:dyDescent="0.2">
      <c r="A117" s="138" t="s">
        <v>390</v>
      </c>
      <c r="B117" s="138" t="s">
        <v>391</v>
      </c>
      <c r="C117" s="143">
        <v>108</v>
      </c>
      <c r="D117" s="143">
        <v>1</v>
      </c>
      <c r="E117" s="140" t="s">
        <v>159</v>
      </c>
      <c r="F117" s="146">
        <f>531</f>
        <v>531</v>
      </c>
      <c r="G117" s="144">
        <f>549</f>
        <v>549</v>
      </c>
      <c r="H117" s="144">
        <f>561</f>
        <v>561</v>
      </c>
      <c r="I117" s="141"/>
      <c r="J117" s="7"/>
      <c r="K117" s="6"/>
      <c r="L117" s="6"/>
      <c r="M117" s="6"/>
    </row>
    <row r="118" spans="1:13" ht="15.95" customHeight="1" x14ac:dyDescent="0.2">
      <c r="A118" s="138" t="s">
        <v>392</v>
      </c>
      <c r="B118" s="138" t="s">
        <v>393</v>
      </c>
      <c r="C118" s="143">
        <v>109</v>
      </c>
      <c r="D118" s="143">
        <v>2</v>
      </c>
      <c r="E118" s="140" t="s">
        <v>394</v>
      </c>
      <c r="F118" s="145">
        <f>548</f>
        <v>548</v>
      </c>
      <c r="G118" s="145">
        <f>566</f>
        <v>566</v>
      </c>
      <c r="H118" s="145">
        <f>578</f>
        <v>578</v>
      </c>
      <c r="I118" s="141"/>
      <c r="J118" s="7"/>
      <c r="K118" s="6"/>
      <c r="L118" s="6"/>
      <c r="M118" s="6"/>
    </row>
    <row r="119" spans="1:13" ht="15.95" customHeight="1" x14ac:dyDescent="0.2">
      <c r="A119" s="138" t="s">
        <v>395</v>
      </c>
      <c r="B119" s="138" t="s">
        <v>396</v>
      </c>
      <c r="C119" s="143">
        <v>110</v>
      </c>
      <c r="D119" s="143">
        <v>2</v>
      </c>
      <c r="E119" s="140" t="s">
        <v>394</v>
      </c>
      <c r="F119" s="145">
        <f>548</f>
        <v>548</v>
      </c>
      <c r="G119" s="145">
        <f>566</f>
        <v>566</v>
      </c>
      <c r="H119" s="145">
        <f>578</f>
        <v>578</v>
      </c>
      <c r="I119" s="141"/>
      <c r="J119" s="7"/>
      <c r="K119" s="6"/>
      <c r="L119" s="6"/>
      <c r="M119" s="6"/>
    </row>
    <row r="120" spans="1:13" ht="15.95" customHeight="1" x14ac:dyDescent="0.2">
      <c r="A120" s="138" t="s">
        <v>397</v>
      </c>
      <c r="B120" s="138" t="s">
        <v>398</v>
      </c>
      <c r="C120" s="143">
        <v>111</v>
      </c>
      <c r="D120" s="143">
        <v>2</v>
      </c>
      <c r="E120" s="140" t="s">
        <v>399</v>
      </c>
      <c r="F120" s="145">
        <f>548</f>
        <v>548</v>
      </c>
      <c r="G120" s="145">
        <f>566</f>
        <v>566</v>
      </c>
      <c r="H120" s="145">
        <f>578</f>
        <v>578</v>
      </c>
      <c r="I120" s="141"/>
      <c r="J120" s="7"/>
      <c r="K120" s="6"/>
      <c r="L120" s="6"/>
      <c r="M120" s="6"/>
    </row>
    <row r="121" spans="1:13" ht="15.95" customHeight="1" x14ac:dyDescent="0.2">
      <c r="A121" s="138" t="s">
        <v>400</v>
      </c>
      <c r="B121" s="138" t="s">
        <v>401</v>
      </c>
      <c r="C121" s="143">
        <v>112</v>
      </c>
      <c r="D121" s="143">
        <v>2</v>
      </c>
      <c r="E121" s="140" t="s">
        <v>402</v>
      </c>
      <c r="F121" s="145">
        <f>548</f>
        <v>548</v>
      </c>
      <c r="G121" s="145">
        <f>566</f>
        <v>566</v>
      </c>
      <c r="H121" s="145">
        <f>578</f>
        <v>578</v>
      </c>
      <c r="I121" s="141"/>
      <c r="J121" s="7"/>
      <c r="K121" s="6"/>
      <c r="L121" s="6"/>
      <c r="M121" s="6"/>
    </row>
    <row r="122" spans="1:13" ht="15.95" customHeight="1" x14ac:dyDescent="0.2">
      <c r="A122" s="138" t="s">
        <v>403</v>
      </c>
      <c r="B122" s="138" t="s">
        <v>404</v>
      </c>
      <c r="C122" s="143">
        <v>113</v>
      </c>
      <c r="D122" s="143">
        <v>2</v>
      </c>
      <c r="E122" s="140" t="s">
        <v>402</v>
      </c>
      <c r="F122" s="145">
        <f>548</f>
        <v>548</v>
      </c>
      <c r="G122" s="145">
        <f>566</f>
        <v>566</v>
      </c>
      <c r="H122" s="145">
        <f>578</f>
        <v>578</v>
      </c>
      <c r="I122" s="141"/>
      <c r="J122" s="7"/>
      <c r="K122" s="6"/>
      <c r="L122" s="6"/>
      <c r="M122" s="6"/>
    </row>
    <row r="123" spans="1:13" ht="15.95" customHeight="1" x14ac:dyDescent="0.2">
      <c r="A123" s="138" t="s">
        <v>405</v>
      </c>
      <c r="B123" s="138" t="s">
        <v>406</v>
      </c>
      <c r="C123" s="143">
        <v>114</v>
      </c>
      <c r="D123" s="143">
        <v>2</v>
      </c>
      <c r="E123" s="140" t="s">
        <v>402</v>
      </c>
      <c r="F123" s="145">
        <f>548</f>
        <v>548</v>
      </c>
      <c r="G123" s="145">
        <f>566</f>
        <v>566</v>
      </c>
      <c r="H123" s="145">
        <f>578</f>
        <v>578</v>
      </c>
      <c r="I123" s="141"/>
      <c r="J123" s="7"/>
      <c r="K123" s="6"/>
      <c r="L123" s="6"/>
      <c r="M123" s="6"/>
    </row>
    <row r="124" spans="1:13" ht="15.95" customHeight="1" x14ac:dyDescent="0.2">
      <c r="A124" s="138" t="s">
        <v>407</v>
      </c>
      <c r="B124" s="138" t="s">
        <v>408</v>
      </c>
      <c r="C124" s="143">
        <v>115</v>
      </c>
      <c r="D124" s="143">
        <v>2</v>
      </c>
      <c r="E124" s="140" t="s">
        <v>402</v>
      </c>
      <c r="F124" s="145">
        <f>548</f>
        <v>548</v>
      </c>
      <c r="G124" s="145">
        <f>566</f>
        <v>566</v>
      </c>
      <c r="H124" s="145">
        <f>578</f>
        <v>578</v>
      </c>
      <c r="I124" s="141"/>
      <c r="J124" s="7"/>
      <c r="K124" s="6"/>
      <c r="L124" s="6"/>
      <c r="M124" s="6"/>
    </row>
    <row r="125" spans="1:13" ht="15.95" customHeight="1" x14ac:dyDescent="0.2">
      <c r="A125" s="138" t="s">
        <v>409</v>
      </c>
      <c r="B125" s="138" t="s">
        <v>410</v>
      </c>
      <c r="C125" s="143">
        <v>116</v>
      </c>
      <c r="D125" s="143">
        <v>2</v>
      </c>
      <c r="E125" s="140" t="s">
        <v>411</v>
      </c>
      <c r="F125" s="145">
        <f>548</f>
        <v>548</v>
      </c>
      <c r="G125" s="145">
        <f>566</f>
        <v>566</v>
      </c>
      <c r="H125" s="145">
        <f>578</f>
        <v>578</v>
      </c>
      <c r="I125" s="141"/>
      <c r="J125" s="7"/>
      <c r="K125" s="6"/>
      <c r="L125" s="6"/>
      <c r="M125" s="6"/>
    </row>
    <row r="126" spans="1:13" ht="15.95" customHeight="1" x14ac:dyDescent="0.2">
      <c r="A126" s="138" t="s">
        <v>412</v>
      </c>
      <c r="B126" s="138" t="s">
        <v>413</v>
      </c>
      <c r="C126" s="143">
        <v>117</v>
      </c>
      <c r="D126" s="143">
        <v>2</v>
      </c>
      <c r="E126" s="140" t="s">
        <v>414</v>
      </c>
      <c r="F126" s="145">
        <f>548</f>
        <v>548</v>
      </c>
      <c r="G126" s="145">
        <f>566</f>
        <v>566</v>
      </c>
      <c r="H126" s="145">
        <f>578</f>
        <v>578</v>
      </c>
      <c r="I126" s="141"/>
      <c r="J126" s="7"/>
      <c r="K126" s="6"/>
      <c r="L126" s="6"/>
      <c r="M126" s="6"/>
    </row>
    <row r="127" spans="1:13" ht="15.95" customHeight="1" x14ac:dyDescent="0.2">
      <c r="A127" s="138" t="s">
        <v>415</v>
      </c>
      <c r="B127" s="138" t="s">
        <v>416</v>
      </c>
      <c r="C127" s="143">
        <v>118</v>
      </c>
      <c r="D127" s="143">
        <v>2</v>
      </c>
      <c r="E127" s="140" t="s">
        <v>417</v>
      </c>
      <c r="F127" s="145">
        <f>548</f>
        <v>548</v>
      </c>
      <c r="G127" s="145">
        <f>566</f>
        <v>566</v>
      </c>
      <c r="H127" s="145">
        <f>578</f>
        <v>578</v>
      </c>
      <c r="I127" s="141"/>
      <c r="J127" s="7"/>
      <c r="K127" s="6"/>
      <c r="L127" s="6"/>
      <c r="M127" s="6"/>
    </row>
    <row r="128" spans="1:13" ht="15.95" customHeight="1" x14ac:dyDescent="0.2">
      <c r="A128" s="138" t="s">
        <v>418</v>
      </c>
      <c r="B128" s="138" t="s">
        <v>419</v>
      </c>
      <c r="C128" s="143">
        <v>119</v>
      </c>
      <c r="D128" s="143">
        <v>2</v>
      </c>
      <c r="E128" s="140" t="s">
        <v>402</v>
      </c>
      <c r="F128" s="145">
        <f>548</f>
        <v>548</v>
      </c>
      <c r="G128" s="145">
        <f>566</f>
        <v>566</v>
      </c>
      <c r="H128" s="145">
        <f>578</f>
        <v>578</v>
      </c>
      <c r="I128" s="141"/>
      <c r="J128" s="7"/>
      <c r="K128" s="6"/>
      <c r="L128" s="6"/>
      <c r="M128" s="6"/>
    </row>
    <row r="129" spans="1:13" ht="15.95" customHeight="1" x14ac:dyDescent="0.2">
      <c r="A129" s="138" t="s">
        <v>420</v>
      </c>
      <c r="B129" s="138" t="s">
        <v>421</v>
      </c>
      <c r="C129" s="143">
        <v>120</v>
      </c>
      <c r="D129" s="143">
        <v>2</v>
      </c>
      <c r="E129" s="140" t="s">
        <v>402</v>
      </c>
      <c r="F129" s="145">
        <f>548</f>
        <v>548</v>
      </c>
      <c r="G129" s="145">
        <f>566</f>
        <v>566</v>
      </c>
      <c r="H129" s="145">
        <f>578</f>
        <v>578</v>
      </c>
      <c r="I129" s="141"/>
      <c r="J129" s="7"/>
      <c r="K129" s="6"/>
      <c r="L129" s="6"/>
      <c r="M129" s="6"/>
    </row>
    <row r="130" spans="1:13" ht="15.95" customHeight="1" x14ac:dyDescent="0.2">
      <c r="A130" s="138" t="s">
        <v>422</v>
      </c>
      <c r="B130" s="138" t="s">
        <v>423</v>
      </c>
      <c r="C130" s="143">
        <v>121</v>
      </c>
      <c r="D130" s="143">
        <v>2</v>
      </c>
      <c r="E130" s="140" t="s">
        <v>411</v>
      </c>
      <c r="F130" s="145">
        <f>548</f>
        <v>548</v>
      </c>
      <c r="G130" s="145">
        <f>566</f>
        <v>566</v>
      </c>
      <c r="H130" s="145">
        <f>578</f>
        <v>578</v>
      </c>
      <c r="I130" s="141"/>
      <c r="J130" s="7"/>
      <c r="K130" s="6"/>
      <c r="L130" s="6"/>
      <c r="M130" s="6"/>
    </row>
    <row r="131" spans="1:13" ht="15.95" customHeight="1" x14ac:dyDescent="0.2">
      <c r="A131" s="138" t="s">
        <v>424</v>
      </c>
      <c r="B131" s="138" t="s">
        <v>425</v>
      </c>
      <c r="C131" s="143">
        <v>122</v>
      </c>
      <c r="D131" s="143">
        <v>2</v>
      </c>
      <c r="E131" s="140" t="s">
        <v>426</v>
      </c>
      <c r="F131" s="145">
        <f>548</f>
        <v>548</v>
      </c>
      <c r="G131" s="145">
        <f>566</f>
        <v>566</v>
      </c>
      <c r="H131" s="145">
        <f>578</f>
        <v>578</v>
      </c>
      <c r="I131" s="141"/>
      <c r="J131" s="7"/>
      <c r="K131" s="6"/>
      <c r="L131" s="6"/>
      <c r="M131" s="6"/>
    </row>
    <row r="132" spans="1:13" ht="15.95" customHeight="1" x14ac:dyDescent="0.2">
      <c r="A132" s="138" t="s">
        <v>427</v>
      </c>
      <c r="B132" s="138" t="s">
        <v>428</v>
      </c>
      <c r="C132" s="143">
        <v>123</v>
      </c>
      <c r="D132" s="143">
        <v>2</v>
      </c>
      <c r="E132" s="140" t="s">
        <v>429</v>
      </c>
      <c r="F132" s="145">
        <f>548</f>
        <v>548</v>
      </c>
      <c r="G132" s="145">
        <f>566</f>
        <v>566</v>
      </c>
      <c r="H132" s="145">
        <f>578</f>
        <v>578</v>
      </c>
      <c r="I132" s="141"/>
      <c r="J132" s="7"/>
      <c r="K132" s="6"/>
      <c r="L132" s="6"/>
      <c r="M132" s="6"/>
    </row>
    <row r="133" spans="1:13" ht="15.95" customHeight="1" x14ac:dyDescent="0.2">
      <c r="A133" s="138" t="s">
        <v>430</v>
      </c>
      <c r="B133" s="138" t="s">
        <v>431</v>
      </c>
      <c r="C133" s="143">
        <v>124</v>
      </c>
      <c r="D133" s="143">
        <v>2</v>
      </c>
      <c r="E133" s="140" t="s">
        <v>402</v>
      </c>
      <c r="F133" s="145">
        <f>548</f>
        <v>548</v>
      </c>
      <c r="G133" s="145">
        <f>566</f>
        <v>566</v>
      </c>
      <c r="H133" s="145">
        <f>578</f>
        <v>578</v>
      </c>
      <c r="I133" s="141"/>
      <c r="J133" s="7"/>
      <c r="K133" s="6"/>
      <c r="L133" s="6"/>
      <c r="M133" s="6"/>
    </row>
    <row r="134" spans="1:13" ht="15.95" customHeight="1" x14ac:dyDescent="0.2">
      <c r="A134" s="138" t="s">
        <v>432</v>
      </c>
      <c r="B134" s="138" t="s">
        <v>433</v>
      </c>
      <c r="C134" s="143">
        <v>125</v>
      </c>
      <c r="D134" s="143">
        <v>3</v>
      </c>
      <c r="E134" s="140" t="s">
        <v>434</v>
      </c>
      <c r="F134" s="145">
        <f>566</f>
        <v>566</v>
      </c>
      <c r="G134" s="145">
        <f>584</f>
        <v>584</v>
      </c>
      <c r="H134" s="145">
        <f>596</f>
        <v>596</v>
      </c>
      <c r="I134" s="141"/>
      <c r="J134" s="7"/>
      <c r="K134" s="6"/>
      <c r="L134" s="6"/>
      <c r="M134" s="6"/>
    </row>
    <row r="135" spans="1:13" ht="15.95" customHeight="1" x14ac:dyDescent="0.2">
      <c r="A135" s="138" t="s">
        <v>435</v>
      </c>
      <c r="B135" s="138" t="s">
        <v>436</v>
      </c>
      <c r="C135" s="143">
        <v>126</v>
      </c>
      <c r="D135" s="143">
        <v>3</v>
      </c>
      <c r="E135" s="140" t="s">
        <v>434</v>
      </c>
      <c r="F135" s="145">
        <f>566</f>
        <v>566</v>
      </c>
      <c r="G135" s="145">
        <f>584</f>
        <v>584</v>
      </c>
      <c r="H135" s="145">
        <f>596</f>
        <v>596</v>
      </c>
      <c r="I135" s="141"/>
      <c r="J135" s="7"/>
      <c r="K135" s="6"/>
      <c r="L135" s="6"/>
      <c r="M135" s="6"/>
    </row>
    <row r="136" spans="1:13" ht="15.95" customHeight="1" x14ac:dyDescent="0.2">
      <c r="A136" s="138" t="s">
        <v>437</v>
      </c>
      <c r="B136" s="138" t="s">
        <v>438</v>
      </c>
      <c r="C136" s="143">
        <v>127</v>
      </c>
      <c r="D136" s="143">
        <v>3</v>
      </c>
      <c r="E136" s="140" t="s">
        <v>434</v>
      </c>
      <c r="F136" s="145">
        <f>566</f>
        <v>566</v>
      </c>
      <c r="G136" s="145">
        <f>584</f>
        <v>584</v>
      </c>
      <c r="H136" s="145">
        <f>596</f>
        <v>596</v>
      </c>
      <c r="I136" s="141"/>
      <c r="J136" s="7"/>
      <c r="K136" s="6"/>
      <c r="L136" s="6"/>
      <c r="M136" s="6"/>
    </row>
    <row r="137" spans="1:13" ht="15.95" customHeight="1" x14ac:dyDescent="0.2">
      <c r="A137" s="138" t="s">
        <v>439</v>
      </c>
      <c r="B137" s="138" t="s">
        <v>440</v>
      </c>
      <c r="C137" s="143">
        <v>128</v>
      </c>
      <c r="D137" s="143">
        <v>3</v>
      </c>
      <c r="E137" s="140" t="s">
        <v>441</v>
      </c>
      <c r="F137" s="145">
        <f>560</f>
        <v>560</v>
      </c>
      <c r="G137" s="145">
        <f>578</f>
        <v>578</v>
      </c>
      <c r="H137" s="145">
        <f>590</f>
        <v>590</v>
      </c>
      <c r="I137" s="141"/>
      <c r="J137" s="7"/>
      <c r="K137" s="6"/>
      <c r="L137" s="6"/>
      <c r="M137" s="6"/>
    </row>
    <row r="138" spans="1:13" ht="15.95" customHeight="1" x14ac:dyDescent="0.2">
      <c r="A138" s="138" t="s">
        <v>442</v>
      </c>
      <c r="B138" s="138" t="s">
        <v>443</v>
      </c>
      <c r="C138" s="143">
        <v>129</v>
      </c>
      <c r="D138" s="143">
        <v>4</v>
      </c>
      <c r="E138" s="140" t="s">
        <v>444</v>
      </c>
      <c r="F138" s="145">
        <f>584</f>
        <v>584</v>
      </c>
      <c r="G138" s="145">
        <f>602</f>
        <v>602</v>
      </c>
      <c r="H138" s="145">
        <f>614</f>
        <v>614</v>
      </c>
      <c r="I138" s="141"/>
      <c r="J138" s="7"/>
      <c r="K138" s="6"/>
      <c r="L138" s="6"/>
      <c r="M138" s="6"/>
    </row>
    <row r="139" spans="1:13" ht="15.95" customHeight="1" x14ac:dyDescent="0.2">
      <c r="A139" s="138" t="s">
        <v>445</v>
      </c>
      <c r="B139" s="138" t="s">
        <v>446</v>
      </c>
      <c r="C139" s="143">
        <v>130</v>
      </c>
      <c r="D139" s="143">
        <v>4</v>
      </c>
      <c r="E139" s="140" t="s">
        <v>444</v>
      </c>
      <c r="F139" s="145">
        <f>584</f>
        <v>584</v>
      </c>
      <c r="G139" s="145">
        <f>602</f>
        <v>602</v>
      </c>
      <c r="H139" s="145">
        <f>614</f>
        <v>614</v>
      </c>
      <c r="I139" s="141"/>
      <c r="J139" s="7"/>
      <c r="K139" s="6"/>
      <c r="L139" s="6"/>
      <c r="M139" s="6"/>
    </row>
    <row r="140" spans="1:13" ht="15.95" customHeight="1" x14ac:dyDescent="0.2">
      <c r="A140" s="138" t="s">
        <v>447</v>
      </c>
      <c r="B140" s="138" t="s">
        <v>448</v>
      </c>
      <c r="C140" s="143">
        <v>131</v>
      </c>
      <c r="D140" s="143">
        <v>4</v>
      </c>
      <c r="E140" s="140" t="s">
        <v>444</v>
      </c>
      <c r="F140" s="145">
        <f>584</f>
        <v>584</v>
      </c>
      <c r="G140" s="145">
        <f>602</f>
        <v>602</v>
      </c>
      <c r="H140" s="145">
        <f>614</f>
        <v>614</v>
      </c>
      <c r="I140" s="141"/>
      <c r="J140" s="7"/>
      <c r="K140" s="6"/>
      <c r="L140" s="6"/>
      <c r="M140" s="6"/>
    </row>
    <row r="141" spans="1:13" ht="15.95" customHeight="1" x14ac:dyDescent="0.2">
      <c r="A141" s="138" t="s">
        <v>449</v>
      </c>
      <c r="B141" s="138" t="s">
        <v>450</v>
      </c>
      <c r="C141" s="143">
        <v>132</v>
      </c>
      <c r="D141" s="143">
        <v>4</v>
      </c>
      <c r="E141" s="140" t="s">
        <v>444</v>
      </c>
      <c r="F141" s="145">
        <f>584</f>
        <v>584</v>
      </c>
      <c r="G141" s="145">
        <f>602</f>
        <v>602</v>
      </c>
      <c r="H141" s="145">
        <f>614</f>
        <v>614</v>
      </c>
      <c r="I141" s="141"/>
      <c r="J141" s="7"/>
      <c r="K141" s="6"/>
      <c r="L141" s="6"/>
      <c r="M141" s="6"/>
    </row>
    <row r="142" spans="1:13" ht="15.95" customHeight="1" x14ac:dyDescent="0.2">
      <c r="A142" s="138" t="s">
        <v>451</v>
      </c>
      <c r="B142" s="138" t="s">
        <v>452</v>
      </c>
      <c r="C142" s="143">
        <v>133</v>
      </c>
      <c r="D142" s="143">
        <v>4</v>
      </c>
      <c r="E142" s="140" t="s">
        <v>453</v>
      </c>
      <c r="F142" s="145">
        <f>584</f>
        <v>584</v>
      </c>
      <c r="G142" s="145">
        <f>602</f>
        <v>602</v>
      </c>
      <c r="H142" s="145">
        <f>614</f>
        <v>614</v>
      </c>
      <c r="I142" s="141"/>
      <c r="J142" s="7"/>
      <c r="K142" s="6"/>
      <c r="L142" s="6"/>
      <c r="M142" s="6"/>
    </row>
    <row r="143" spans="1:13" ht="15.95" customHeight="1" x14ac:dyDescent="0.2">
      <c r="A143" s="138" t="s">
        <v>454</v>
      </c>
      <c r="B143" s="138" t="s">
        <v>455</v>
      </c>
      <c r="C143" s="143">
        <v>134</v>
      </c>
      <c r="D143" s="143">
        <v>4</v>
      </c>
      <c r="E143" s="140" t="s">
        <v>444</v>
      </c>
      <c r="F143" s="145">
        <f>584</f>
        <v>584</v>
      </c>
      <c r="G143" s="145">
        <f>602</f>
        <v>602</v>
      </c>
      <c r="H143" s="145">
        <f>614</f>
        <v>614</v>
      </c>
      <c r="I143" s="141"/>
      <c r="J143" s="7"/>
      <c r="K143" s="6"/>
      <c r="L143" s="6"/>
      <c r="M143" s="6"/>
    </row>
    <row r="144" spans="1:13" ht="15.95" customHeight="1" x14ac:dyDescent="0.2">
      <c r="A144" s="138" t="s">
        <v>456</v>
      </c>
      <c r="B144" s="138" t="s">
        <v>457</v>
      </c>
      <c r="C144" s="143">
        <v>135</v>
      </c>
      <c r="D144" s="143">
        <v>4</v>
      </c>
      <c r="E144" s="140" t="s">
        <v>444</v>
      </c>
      <c r="F144" s="145">
        <f>584</f>
        <v>584</v>
      </c>
      <c r="G144" s="145">
        <f>602</f>
        <v>602</v>
      </c>
      <c r="H144" s="145">
        <f>614</f>
        <v>614</v>
      </c>
      <c r="I144" s="141"/>
      <c r="J144" s="7"/>
      <c r="K144" s="6"/>
      <c r="L144" s="6"/>
      <c r="M144" s="6"/>
    </row>
    <row r="145" spans="1:13" ht="15.95" customHeight="1" x14ac:dyDescent="0.2">
      <c r="A145" s="138" t="s">
        <v>458</v>
      </c>
      <c r="B145" s="138" t="s">
        <v>459</v>
      </c>
      <c r="C145" s="143">
        <v>136</v>
      </c>
      <c r="D145" s="143">
        <v>4</v>
      </c>
      <c r="E145" s="140" t="s">
        <v>453</v>
      </c>
      <c r="F145" s="145">
        <f>584</f>
        <v>584</v>
      </c>
      <c r="G145" s="145">
        <f>602</f>
        <v>602</v>
      </c>
      <c r="H145" s="145">
        <f>614</f>
        <v>614</v>
      </c>
      <c r="I145" s="141"/>
      <c r="J145" s="7"/>
      <c r="K145" s="6"/>
      <c r="L145" s="6"/>
      <c r="M145" s="6"/>
    </row>
    <row r="146" spans="1:13" ht="15.95" customHeight="1" x14ac:dyDescent="0.2">
      <c r="A146" s="138" t="s">
        <v>460</v>
      </c>
      <c r="B146" s="138" t="s">
        <v>461</v>
      </c>
      <c r="C146" s="143">
        <v>137</v>
      </c>
      <c r="D146" s="143">
        <v>4</v>
      </c>
      <c r="E146" s="140" t="s">
        <v>444</v>
      </c>
      <c r="F146" s="145">
        <f>584</f>
        <v>584</v>
      </c>
      <c r="G146" s="145">
        <f>602</f>
        <v>602</v>
      </c>
      <c r="H146" s="145">
        <f>614</f>
        <v>614</v>
      </c>
      <c r="I146" s="141"/>
      <c r="J146" s="7"/>
      <c r="K146" s="6"/>
      <c r="L146" s="6"/>
      <c r="M146" s="6"/>
    </row>
    <row r="147" spans="1:13" ht="15.95" customHeight="1" x14ac:dyDescent="0.2">
      <c r="A147" s="138" t="s">
        <v>462</v>
      </c>
      <c r="B147" s="138" t="s">
        <v>463</v>
      </c>
      <c r="C147" s="143">
        <v>138</v>
      </c>
      <c r="D147" s="143">
        <v>4</v>
      </c>
      <c r="E147" s="140" t="s">
        <v>444</v>
      </c>
      <c r="F147" s="145">
        <f>584</f>
        <v>584</v>
      </c>
      <c r="G147" s="145">
        <f>602</f>
        <v>602</v>
      </c>
      <c r="H147" s="145">
        <f>614</f>
        <v>614</v>
      </c>
      <c r="I147" s="141"/>
      <c r="J147" s="7"/>
      <c r="K147" s="6"/>
      <c r="L147" s="6"/>
      <c r="M147" s="6"/>
    </row>
    <row r="148" spans="1:13" ht="15.95" customHeight="1" x14ac:dyDescent="0.2">
      <c r="A148" s="138" t="s">
        <v>464</v>
      </c>
      <c r="B148" s="138" t="s">
        <v>465</v>
      </c>
      <c r="C148" s="143">
        <v>139</v>
      </c>
      <c r="D148" s="143">
        <v>4</v>
      </c>
      <c r="E148" s="140" t="s">
        <v>444</v>
      </c>
      <c r="F148" s="145">
        <f>584</f>
        <v>584</v>
      </c>
      <c r="G148" s="145">
        <f>602</f>
        <v>602</v>
      </c>
      <c r="H148" s="145">
        <f>614</f>
        <v>614</v>
      </c>
      <c r="I148" s="141"/>
      <c r="J148" s="7"/>
      <c r="K148" s="6"/>
      <c r="L148" s="6"/>
      <c r="M148" s="6"/>
    </row>
    <row r="149" spans="1:13" ht="15.95" customHeight="1" x14ac:dyDescent="0.2">
      <c r="A149" s="138" t="s">
        <v>466</v>
      </c>
      <c r="B149" s="138" t="s">
        <v>467</v>
      </c>
      <c r="C149" s="143">
        <v>140</v>
      </c>
      <c r="D149" s="143">
        <v>4</v>
      </c>
      <c r="E149" s="140" t="s">
        <v>444</v>
      </c>
      <c r="F149" s="145">
        <f>584</f>
        <v>584</v>
      </c>
      <c r="G149" s="145">
        <f>602</f>
        <v>602</v>
      </c>
      <c r="H149" s="145">
        <f>614</f>
        <v>614</v>
      </c>
      <c r="I149" s="141"/>
      <c r="J149" s="7"/>
      <c r="K149" s="6"/>
      <c r="L149" s="6"/>
      <c r="M149" s="6"/>
    </row>
    <row r="150" spans="1:13" ht="15.95" customHeight="1" x14ac:dyDescent="0.2">
      <c r="A150" s="138" t="s">
        <v>468</v>
      </c>
      <c r="B150" s="138" t="s">
        <v>469</v>
      </c>
      <c r="C150" s="143">
        <v>141</v>
      </c>
      <c r="D150" s="143">
        <v>4</v>
      </c>
      <c r="E150" s="140" t="s">
        <v>444</v>
      </c>
      <c r="F150" s="145">
        <f>584</f>
        <v>584</v>
      </c>
      <c r="G150" s="145">
        <f>602</f>
        <v>602</v>
      </c>
      <c r="H150" s="145">
        <f>614</f>
        <v>614</v>
      </c>
      <c r="I150" s="141"/>
      <c r="J150" s="7"/>
      <c r="K150" s="6"/>
      <c r="L150" s="6"/>
      <c r="M150" s="6"/>
    </row>
    <row r="151" spans="1:13" ht="15.95" customHeight="1" x14ac:dyDescent="0.2">
      <c r="A151" s="138" t="s">
        <v>470</v>
      </c>
      <c r="B151" s="138" t="s">
        <v>471</v>
      </c>
      <c r="C151" s="143">
        <v>142</v>
      </c>
      <c r="D151" s="143">
        <v>4</v>
      </c>
      <c r="E151" s="140" t="s">
        <v>444</v>
      </c>
      <c r="F151" s="145">
        <f>584</f>
        <v>584</v>
      </c>
      <c r="G151" s="145">
        <f>602</f>
        <v>602</v>
      </c>
      <c r="H151" s="145">
        <f>614</f>
        <v>614</v>
      </c>
      <c r="I151" s="141"/>
      <c r="J151" s="7"/>
      <c r="K151" s="6"/>
      <c r="L151" s="6"/>
      <c r="M151" s="6"/>
    </row>
    <row r="152" spans="1:13" ht="15.95" customHeight="1" x14ac:dyDescent="0.2">
      <c r="A152" s="138" t="s">
        <v>472</v>
      </c>
      <c r="B152" s="138" t="s">
        <v>473</v>
      </c>
      <c r="C152" s="143">
        <v>143</v>
      </c>
      <c r="D152" s="143">
        <v>4</v>
      </c>
      <c r="E152" s="140" t="s">
        <v>453</v>
      </c>
      <c r="F152" s="145">
        <f>584</f>
        <v>584</v>
      </c>
      <c r="G152" s="145">
        <f>602</f>
        <v>602</v>
      </c>
      <c r="H152" s="145">
        <f>614</f>
        <v>614</v>
      </c>
      <c r="I152" s="141"/>
      <c r="J152" s="7"/>
      <c r="K152" s="6"/>
      <c r="L152" s="6"/>
      <c r="M152" s="6"/>
    </row>
    <row r="153" spans="1:13" ht="15.95" customHeight="1" x14ac:dyDescent="0.2">
      <c r="A153" s="138" t="s">
        <v>474</v>
      </c>
      <c r="B153" s="138" t="s">
        <v>475</v>
      </c>
      <c r="C153" s="143">
        <v>144</v>
      </c>
      <c r="D153" s="143">
        <v>4</v>
      </c>
      <c r="E153" s="140" t="s">
        <v>444</v>
      </c>
      <c r="F153" s="145">
        <f>584</f>
        <v>584</v>
      </c>
      <c r="G153" s="145">
        <f>602</f>
        <v>602</v>
      </c>
      <c r="H153" s="145">
        <f>614</f>
        <v>614</v>
      </c>
      <c r="I153" s="141"/>
      <c r="J153" s="7"/>
      <c r="K153" s="6"/>
      <c r="L153" s="6"/>
      <c r="M153" s="6"/>
    </row>
    <row r="154" spans="1:13" ht="15.95" customHeight="1" x14ac:dyDescent="0.2">
      <c r="A154" s="138" t="s">
        <v>476</v>
      </c>
      <c r="B154" s="138" t="s">
        <v>477</v>
      </c>
      <c r="C154" s="143">
        <v>145</v>
      </c>
      <c r="D154" s="143">
        <v>5</v>
      </c>
      <c r="E154" s="140" t="s">
        <v>478</v>
      </c>
      <c r="F154" s="145">
        <f>708</f>
        <v>708</v>
      </c>
      <c r="G154" s="145">
        <f>726</f>
        <v>726</v>
      </c>
      <c r="H154" s="145">
        <f>738</f>
        <v>738</v>
      </c>
      <c r="I154" s="141"/>
      <c r="J154" s="7"/>
      <c r="K154" s="6"/>
      <c r="L154" s="6"/>
      <c r="M154" s="6"/>
    </row>
    <row r="155" spans="1:13" ht="15.95" customHeight="1" x14ac:dyDescent="0.2">
      <c r="A155" s="138" t="s">
        <v>479</v>
      </c>
      <c r="B155" s="138" t="s">
        <v>480</v>
      </c>
      <c r="C155" s="143">
        <v>146</v>
      </c>
      <c r="D155" s="143">
        <v>5</v>
      </c>
      <c r="E155" s="140" t="s">
        <v>481</v>
      </c>
      <c r="F155" s="145">
        <f>708</f>
        <v>708</v>
      </c>
      <c r="G155" s="145">
        <f>726</f>
        <v>726</v>
      </c>
      <c r="H155" s="145">
        <f>738</f>
        <v>738</v>
      </c>
      <c r="I155" s="141"/>
      <c r="J155" s="7"/>
      <c r="K155" s="6"/>
      <c r="L155" s="6"/>
      <c r="M155" s="6"/>
    </row>
    <row r="156" spans="1:13" ht="15.95" customHeight="1" x14ac:dyDescent="0.2">
      <c r="A156" s="138" t="s">
        <v>482</v>
      </c>
      <c r="B156" s="138" t="s">
        <v>483</v>
      </c>
      <c r="C156" s="143">
        <v>147</v>
      </c>
      <c r="D156" s="143">
        <v>5</v>
      </c>
      <c r="E156" s="140" t="s">
        <v>484</v>
      </c>
      <c r="F156" s="145">
        <f>708</f>
        <v>708</v>
      </c>
      <c r="G156" s="145">
        <f>726</f>
        <v>726</v>
      </c>
      <c r="H156" s="145">
        <f>738</f>
        <v>738</v>
      </c>
      <c r="I156" s="141"/>
      <c r="J156" s="7"/>
      <c r="K156" s="6"/>
      <c r="L156" s="6"/>
      <c r="M156" s="6"/>
    </row>
    <row r="157" spans="1:13" ht="15.95" customHeight="1" x14ac:dyDescent="0.2">
      <c r="A157" s="138" t="s">
        <v>485</v>
      </c>
      <c r="B157" s="138" t="s">
        <v>486</v>
      </c>
      <c r="C157" s="143">
        <v>148</v>
      </c>
      <c r="D157" s="143">
        <v>5</v>
      </c>
      <c r="E157" s="140" t="s">
        <v>478</v>
      </c>
      <c r="F157" s="145">
        <f>708</f>
        <v>708</v>
      </c>
      <c r="G157" s="145">
        <f>726</f>
        <v>726</v>
      </c>
      <c r="H157" s="145">
        <f>738</f>
        <v>738</v>
      </c>
      <c r="I157" s="141"/>
      <c r="J157" s="7"/>
      <c r="K157" s="6"/>
      <c r="L157" s="6"/>
      <c r="M157" s="6"/>
    </row>
    <row r="158" spans="1:13" ht="15.95" customHeight="1" x14ac:dyDescent="0.2">
      <c r="A158" s="138" t="s">
        <v>487</v>
      </c>
      <c r="B158" s="138" t="s">
        <v>488</v>
      </c>
      <c r="C158" s="143">
        <v>149</v>
      </c>
      <c r="D158" s="143">
        <v>5</v>
      </c>
      <c r="E158" s="140" t="s">
        <v>484</v>
      </c>
      <c r="F158" s="145">
        <f>708</f>
        <v>708</v>
      </c>
      <c r="G158" s="145">
        <f>726</f>
        <v>726</v>
      </c>
      <c r="H158" s="145">
        <f>738</f>
        <v>738</v>
      </c>
      <c r="I158" s="141"/>
      <c r="J158" s="7"/>
      <c r="K158" s="6"/>
      <c r="L158" s="6"/>
      <c r="M158" s="6"/>
    </row>
    <row r="159" spans="1:13" ht="15.95" customHeight="1" x14ac:dyDescent="0.2">
      <c r="A159" s="138" t="s">
        <v>489</v>
      </c>
      <c r="B159" s="138" t="s">
        <v>490</v>
      </c>
      <c r="C159" s="143">
        <v>150</v>
      </c>
      <c r="D159" s="143">
        <v>5</v>
      </c>
      <c r="E159" s="140" t="s">
        <v>491</v>
      </c>
      <c r="F159" s="145">
        <f>708</f>
        <v>708</v>
      </c>
      <c r="G159" s="145">
        <f>726</f>
        <v>726</v>
      </c>
      <c r="H159" s="145">
        <f>738</f>
        <v>738</v>
      </c>
      <c r="I159" s="141"/>
      <c r="J159" s="7"/>
      <c r="K159" s="6"/>
      <c r="L159" s="6"/>
      <c r="M159" s="6"/>
    </row>
    <row r="160" spans="1:13" ht="15.95" customHeight="1" x14ac:dyDescent="0.2">
      <c r="A160" s="138" t="s">
        <v>492</v>
      </c>
      <c r="B160" s="138" t="s">
        <v>493</v>
      </c>
      <c r="C160" s="143">
        <v>151</v>
      </c>
      <c r="D160" s="143">
        <v>5</v>
      </c>
      <c r="E160" s="140" t="s">
        <v>481</v>
      </c>
      <c r="F160" s="145">
        <f>708</f>
        <v>708</v>
      </c>
      <c r="G160" s="145">
        <f>726</f>
        <v>726</v>
      </c>
      <c r="H160" s="145">
        <f>738</f>
        <v>738</v>
      </c>
      <c r="I160" s="141"/>
      <c r="J160" s="7"/>
      <c r="K160" s="6"/>
      <c r="L160" s="6"/>
      <c r="M160" s="6"/>
    </row>
    <row r="161" spans="1:13" ht="15.95" customHeight="1" x14ac:dyDescent="0.2">
      <c r="A161" s="138" t="s">
        <v>494</v>
      </c>
      <c r="B161" s="138" t="s">
        <v>495</v>
      </c>
      <c r="C161" s="143">
        <v>152</v>
      </c>
      <c r="D161" s="143">
        <v>5</v>
      </c>
      <c r="E161" s="140" t="s">
        <v>484</v>
      </c>
      <c r="F161" s="145">
        <f>708</f>
        <v>708</v>
      </c>
      <c r="G161" s="145">
        <f>726</f>
        <v>726</v>
      </c>
      <c r="H161" s="145">
        <f>738</f>
        <v>738</v>
      </c>
      <c r="I161" s="141"/>
      <c r="J161" s="7"/>
      <c r="K161" s="6"/>
      <c r="L161" s="6"/>
      <c r="M161" s="6"/>
    </row>
    <row r="162" spans="1:13" ht="15.95" customHeight="1" x14ac:dyDescent="0.2">
      <c r="A162" s="138" t="s">
        <v>496</v>
      </c>
      <c r="B162" s="138" t="s">
        <v>497</v>
      </c>
      <c r="C162" s="143">
        <v>153</v>
      </c>
      <c r="D162" s="143">
        <v>5</v>
      </c>
      <c r="E162" s="140" t="s">
        <v>481</v>
      </c>
      <c r="F162" s="145">
        <f>708</f>
        <v>708</v>
      </c>
      <c r="G162" s="145">
        <f>726</f>
        <v>726</v>
      </c>
      <c r="H162" s="145">
        <f>738</f>
        <v>738</v>
      </c>
      <c r="I162" s="141"/>
      <c r="J162" s="7"/>
      <c r="K162" s="6"/>
      <c r="L162" s="6"/>
      <c r="M162" s="6"/>
    </row>
    <row r="163" spans="1:13" ht="15.95" customHeight="1" x14ac:dyDescent="0.2">
      <c r="A163" s="138" t="s">
        <v>498</v>
      </c>
      <c r="B163" s="138" t="s">
        <v>499</v>
      </c>
      <c r="C163" s="143">
        <v>154</v>
      </c>
      <c r="D163" s="143">
        <v>5</v>
      </c>
      <c r="E163" s="140" t="s">
        <v>481</v>
      </c>
      <c r="F163" s="145">
        <f>708</f>
        <v>708</v>
      </c>
      <c r="G163" s="145">
        <f>726</f>
        <v>726</v>
      </c>
      <c r="H163" s="145">
        <f>738</f>
        <v>738</v>
      </c>
      <c r="I163" s="141"/>
      <c r="J163" s="7"/>
      <c r="K163" s="6"/>
      <c r="L163" s="6"/>
      <c r="M163" s="6"/>
    </row>
    <row r="164" spans="1:13" ht="15.95" customHeight="1" x14ac:dyDescent="0.2">
      <c r="A164" s="138" t="s">
        <v>500</v>
      </c>
      <c r="B164" s="138" t="s">
        <v>501</v>
      </c>
      <c r="C164" s="143">
        <v>155</v>
      </c>
      <c r="D164" s="143">
        <v>5</v>
      </c>
      <c r="E164" s="140" t="s">
        <v>478</v>
      </c>
      <c r="F164" s="145">
        <f>708</f>
        <v>708</v>
      </c>
      <c r="G164" s="145">
        <f>726</f>
        <v>726</v>
      </c>
      <c r="H164" s="145">
        <f>738</f>
        <v>738</v>
      </c>
      <c r="I164" s="141"/>
      <c r="J164" s="7"/>
      <c r="K164" s="6"/>
      <c r="L164" s="6"/>
      <c r="M164" s="6"/>
    </row>
    <row r="165" spans="1:13" ht="15.95" customHeight="1" x14ac:dyDescent="0.2">
      <c r="A165" s="138" t="s">
        <v>502</v>
      </c>
      <c r="B165" s="138" t="s">
        <v>503</v>
      </c>
      <c r="C165" s="143">
        <v>156</v>
      </c>
      <c r="D165" s="143">
        <v>5</v>
      </c>
      <c r="E165" s="140" t="s">
        <v>504</v>
      </c>
      <c r="F165" s="145">
        <f>708</f>
        <v>708</v>
      </c>
      <c r="G165" s="145">
        <f>726</f>
        <v>726</v>
      </c>
      <c r="H165" s="145">
        <f>738</f>
        <v>738</v>
      </c>
      <c r="I165" s="141"/>
      <c r="J165" s="7"/>
      <c r="K165" s="6"/>
      <c r="L165" s="6"/>
      <c r="M165" s="6"/>
    </row>
    <row r="166" spans="1:13" ht="15.95" customHeight="1" x14ac:dyDescent="0.2">
      <c r="A166" s="138" t="s">
        <v>505</v>
      </c>
      <c r="B166" s="138" t="s">
        <v>506</v>
      </c>
      <c r="C166" s="143">
        <v>157</v>
      </c>
      <c r="D166" s="143">
        <v>5</v>
      </c>
      <c r="E166" s="140" t="s">
        <v>478</v>
      </c>
      <c r="F166" s="145">
        <f>708</f>
        <v>708</v>
      </c>
      <c r="G166" s="145">
        <f>726</f>
        <v>726</v>
      </c>
      <c r="H166" s="145">
        <f>738</f>
        <v>738</v>
      </c>
      <c r="I166" s="141"/>
      <c r="J166" s="7"/>
      <c r="K166" s="6"/>
      <c r="L166" s="6"/>
      <c r="M166" s="6"/>
    </row>
    <row r="167" spans="1:13" ht="15.95" customHeight="1" x14ac:dyDescent="0.2">
      <c r="A167" s="138" t="s">
        <v>507</v>
      </c>
      <c r="B167" s="138" t="s">
        <v>508</v>
      </c>
      <c r="C167" s="143">
        <v>158</v>
      </c>
      <c r="D167" s="143">
        <v>5</v>
      </c>
      <c r="E167" s="140" t="s">
        <v>509</v>
      </c>
      <c r="F167" s="145">
        <f>708</f>
        <v>708</v>
      </c>
      <c r="G167" s="145">
        <f>726</f>
        <v>726</v>
      </c>
      <c r="H167" s="145">
        <f>738</f>
        <v>738</v>
      </c>
      <c r="I167" s="141"/>
      <c r="J167" s="7"/>
      <c r="K167" s="6"/>
      <c r="L167" s="6"/>
      <c r="M167" s="6"/>
    </row>
    <row r="168" spans="1:13" ht="15.95" customHeight="1" x14ac:dyDescent="0.2">
      <c r="A168" s="138" t="s">
        <v>510</v>
      </c>
      <c r="B168" s="138" t="s">
        <v>511</v>
      </c>
      <c r="C168" s="143">
        <v>159</v>
      </c>
      <c r="D168" s="143">
        <v>5</v>
      </c>
      <c r="E168" s="140" t="s">
        <v>512</v>
      </c>
      <c r="F168" s="145">
        <f>708</f>
        <v>708</v>
      </c>
      <c r="G168" s="145">
        <f>726</f>
        <v>726</v>
      </c>
      <c r="H168" s="145">
        <f>738</f>
        <v>738</v>
      </c>
      <c r="I168" s="141"/>
      <c r="J168" s="7"/>
      <c r="K168" s="6"/>
      <c r="L168" s="6"/>
      <c r="M168" s="6"/>
    </row>
    <row r="169" spans="1:13" ht="15.95" customHeight="1" x14ac:dyDescent="0.2">
      <c r="A169" s="138" t="s">
        <v>513</v>
      </c>
      <c r="B169" s="138" t="s">
        <v>514</v>
      </c>
      <c r="C169" s="143">
        <v>160</v>
      </c>
      <c r="D169" s="143">
        <v>5</v>
      </c>
      <c r="E169" s="140" t="s">
        <v>512</v>
      </c>
      <c r="F169" s="145">
        <f>708</f>
        <v>708</v>
      </c>
      <c r="G169" s="145">
        <f>726</f>
        <v>726</v>
      </c>
      <c r="H169" s="145">
        <f>738</f>
        <v>738</v>
      </c>
      <c r="I169" s="141"/>
      <c r="J169" s="7"/>
      <c r="K169" s="6"/>
      <c r="L169" s="6"/>
      <c r="M169" s="6"/>
    </row>
    <row r="170" spans="1:13" ht="15.95" customHeight="1" x14ac:dyDescent="0.2">
      <c r="A170" s="138" t="s">
        <v>515</v>
      </c>
      <c r="B170" s="138" t="s">
        <v>516</v>
      </c>
      <c r="C170" s="143">
        <v>161</v>
      </c>
      <c r="D170" s="143">
        <v>5</v>
      </c>
      <c r="E170" s="140" t="s">
        <v>517</v>
      </c>
      <c r="F170" s="145">
        <f>708</f>
        <v>708</v>
      </c>
      <c r="G170" s="145">
        <f>726</f>
        <v>726</v>
      </c>
      <c r="H170" s="145">
        <f>738</f>
        <v>738</v>
      </c>
      <c r="I170" s="141"/>
      <c r="J170" s="7"/>
      <c r="K170" s="6"/>
      <c r="L170" s="6"/>
      <c r="M170" s="6"/>
    </row>
    <row r="171" spans="1:13" ht="15.95" customHeight="1" x14ac:dyDescent="0.2">
      <c r="A171" s="138" t="s">
        <v>518</v>
      </c>
      <c r="B171" s="138" t="s">
        <v>519</v>
      </c>
      <c r="C171" s="143">
        <v>162</v>
      </c>
      <c r="D171" s="143">
        <v>5</v>
      </c>
      <c r="E171" s="140" t="s">
        <v>520</v>
      </c>
      <c r="F171" s="145">
        <f>708</f>
        <v>708</v>
      </c>
      <c r="G171" s="145">
        <f>726</f>
        <v>726</v>
      </c>
      <c r="H171" s="145">
        <f>738</f>
        <v>738</v>
      </c>
      <c r="I171" s="141"/>
      <c r="J171" s="7"/>
      <c r="K171" s="6"/>
      <c r="L171" s="6"/>
      <c r="M171" s="6"/>
    </row>
    <row r="172" spans="1:13" ht="15.95" customHeight="1" x14ac:dyDescent="0.2">
      <c r="A172" s="138" t="s">
        <v>521</v>
      </c>
      <c r="B172" s="138" t="s">
        <v>522</v>
      </c>
      <c r="C172" s="143">
        <v>163</v>
      </c>
      <c r="D172" s="143">
        <v>5</v>
      </c>
      <c r="E172" s="140" t="s">
        <v>523</v>
      </c>
      <c r="F172" s="145">
        <f>708</f>
        <v>708</v>
      </c>
      <c r="G172" s="145">
        <f>726</f>
        <v>726</v>
      </c>
      <c r="H172" s="145">
        <f>738</f>
        <v>738</v>
      </c>
      <c r="I172" s="141"/>
      <c r="J172" s="7"/>
      <c r="K172" s="6"/>
      <c r="L172" s="6"/>
      <c r="M172" s="6"/>
    </row>
    <row r="173" spans="1:13" ht="15.95" customHeight="1" x14ac:dyDescent="0.2">
      <c r="A173" s="138" t="s">
        <v>524</v>
      </c>
      <c r="B173" s="138" t="s">
        <v>525</v>
      </c>
      <c r="C173" s="143">
        <v>164</v>
      </c>
      <c r="D173" s="143">
        <v>5</v>
      </c>
      <c r="E173" s="140" t="s">
        <v>520</v>
      </c>
      <c r="F173" s="145">
        <f>708</f>
        <v>708</v>
      </c>
      <c r="G173" s="145">
        <f>726</f>
        <v>726</v>
      </c>
      <c r="H173" s="145">
        <f>738</f>
        <v>738</v>
      </c>
      <c r="I173" s="141"/>
      <c r="J173" s="7"/>
      <c r="K173" s="6"/>
      <c r="L173" s="6"/>
      <c r="M173" s="6"/>
    </row>
    <row r="174" spans="1:13" ht="15.95" customHeight="1" x14ac:dyDescent="0.2">
      <c r="A174" s="138" t="s">
        <v>526</v>
      </c>
      <c r="B174" s="138" t="s">
        <v>527</v>
      </c>
      <c r="C174" s="143">
        <v>165</v>
      </c>
      <c r="D174" s="143">
        <v>5</v>
      </c>
      <c r="E174" s="140" t="s">
        <v>520</v>
      </c>
      <c r="F174" s="145">
        <f>708</f>
        <v>708</v>
      </c>
      <c r="G174" s="145">
        <f>726</f>
        <v>726</v>
      </c>
      <c r="H174" s="145">
        <f>738</f>
        <v>738</v>
      </c>
      <c r="I174" s="141"/>
      <c r="J174" s="7"/>
      <c r="K174" s="6"/>
      <c r="L174" s="6"/>
      <c r="M174" s="6"/>
    </row>
    <row r="175" spans="1:13" ht="15.95" customHeight="1" x14ac:dyDescent="0.2">
      <c r="A175" s="138" t="s">
        <v>528</v>
      </c>
      <c r="B175" s="138" t="s">
        <v>529</v>
      </c>
      <c r="C175" s="143">
        <v>166</v>
      </c>
      <c r="D175" s="143">
        <v>5</v>
      </c>
      <c r="E175" s="140" t="s">
        <v>530</v>
      </c>
      <c r="F175" s="145">
        <f>708</f>
        <v>708</v>
      </c>
      <c r="G175" s="145">
        <f>726</f>
        <v>726</v>
      </c>
      <c r="H175" s="145">
        <f>738</f>
        <v>738</v>
      </c>
      <c r="I175" s="141"/>
      <c r="J175" s="7"/>
      <c r="K175" s="6"/>
      <c r="L175" s="6"/>
      <c r="M175" s="6"/>
    </row>
    <row r="176" spans="1:13" ht="15.95" customHeight="1" x14ac:dyDescent="0.2">
      <c r="A176" s="138" t="s">
        <v>531</v>
      </c>
      <c r="B176" s="138" t="s">
        <v>532</v>
      </c>
      <c r="C176" s="143">
        <v>167</v>
      </c>
      <c r="D176" s="143">
        <v>5</v>
      </c>
      <c r="E176" s="140" t="s">
        <v>533</v>
      </c>
      <c r="F176" s="145">
        <f>708</f>
        <v>708</v>
      </c>
      <c r="G176" s="145">
        <f>726</f>
        <v>726</v>
      </c>
      <c r="H176" s="145">
        <f>738</f>
        <v>738</v>
      </c>
      <c r="I176" s="141"/>
      <c r="J176" s="7"/>
      <c r="K176" s="6"/>
      <c r="L176" s="6"/>
      <c r="M176" s="6"/>
    </row>
    <row r="177" spans="1:13" ht="15.95" customHeight="1" x14ac:dyDescent="0.2">
      <c r="A177" s="138" t="s">
        <v>534</v>
      </c>
      <c r="B177" s="138" t="s">
        <v>535</v>
      </c>
      <c r="C177" s="143">
        <v>168</v>
      </c>
      <c r="D177" s="143">
        <v>5</v>
      </c>
      <c r="E177" s="140" t="s">
        <v>536</v>
      </c>
      <c r="F177" s="145">
        <f>708</f>
        <v>708</v>
      </c>
      <c r="G177" s="145">
        <f>726</f>
        <v>726</v>
      </c>
      <c r="H177" s="145">
        <f>738</f>
        <v>738</v>
      </c>
      <c r="I177" s="141"/>
      <c r="J177" s="7"/>
      <c r="K177" s="6"/>
      <c r="L177" s="6"/>
      <c r="M177" s="6"/>
    </row>
    <row r="178" spans="1:13" ht="15.95" customHeight="1" x14ac:dyDescent="0.2">
      <c r="A178" s="138" t="s">
        <v>537</v>
      </c>
      <c r="B178" s="138" t="s">
        <v>538</v>
      </c>
      <c r="C178" s="143">
        <v>169</v>
      </c>
      <c r="D178" s="143">
        <v>5</v>
      </c>
      <c r="E178" s="140" t="s">
        <v>520</v>
      </c>
      <c r="F178" s="145">
        <f>708</f>
        <v>708</v>
      </c>
      <c r="G178" s="145">
        <f>726</f>
        <v>726</v>
      </c>
      <c r="H178" s="145">
        <f>738</f>
        <v>738</v>
      </c>
      <c r="I178" s="141"/>
      <c r="J178" s="7"/>
      <c r="K178" s="6"/>
      <c r="L178" s="6"/>
      <c r="M178" s="6"/>
    </row>
    <row r="179" spans="1:13" ht="15.95" customHeight="1" x14ac:dyDescent="0.2">
      <c r="A179" s="138" t="s">
        <v>539</v>
      </c>
      <c r="B179" s="138" t="s">
        <v>540</v>
      </c>
      <c r="C179" s="143">
        <v>170</v>
      </c>
      <c r="D179" s="143">
        <v>5</v>
      </c>
      <c r="E179" s="140" t="s">
        <v>530</v>
      </c>
      <c r="F179" s="145">
        <f>708</f>
        <v>708</v>
      </c>
      <c r="G179" s="145">
        <f>726</f>
        <v>726</v>
      </c>
      <c r="H179" s="145">
        <f>738</f>
        <v>738</v>
      </c>
      <c r="I179" s="141"/>
      <c r="J179" s="7"/>
      <c r="K179" s="6"/>
      <c r="L179" s="6"/>
      <c r="M179" s="6"/>
    </row>
    <row r="180" spans="1:13" ht="15.95" customHeight="1" x14ac:dyDescent="0.2">
      <c r="A180" s="138" t="s">
        <v>541</v>
      </c>
      <c r="B180" s="138" t="s">
        <v>542</v>
      </c>
      <c r="C180" s="143">
        <v>171</v>
      </c>
      <c r="D180" s="143">
        <v>6</v>
      </c>
      <c r="E180" s="140" t="s">
        <v>543</v>
      </c>
      <c r="F180" s="145">
        <f>743</f>
        <v>743</v>
      </c>
      <c r="G180" s="145">
        <f>761</f>
        <v>761</v>
      </c>
      <c r="H180" s="145">
        <f>773</f>
        <v>773</v>
      </c>
      <c r="I180" s="141"/>
      <c r="J180" s="7"/>
      <c r="K180" s="6"/>
      <c r="L180" s="6"/>
      <c r="M180" s="6"/>
    </row>
    <row r="181" spans="1:13" ht="15.95" customHeight="1" x14ac:dyDescent="0.2">
      <c r="A181" s="138" t="s">
        <v>544</v>
      </c>
      <c r="B181" s="138" t="s">
        <v>545</v>
      </c>
      <c r="C181" s="143">
        <v>172</v>
      </c>
      <c r="D181" s="143">
        <v>6</v>
      </c>
      <c r="E181" s="140" t="s">
        <v>546</v>
      </c>
      <c r="F181" s="145">
        <f>743</f>
        <v>743</v>
      </c>
      <c r="G181" s="145">
        <f>761</f>
        <v>761</v>
      </c>
      <c r="H181" s="145">
        <f>773</f>
        <v>773</v>
      </c>
      <c r="I181" s="141"/>
      <c r="J181" s="7"/>
      <c r="K181" s="6"/>
      <c r="L181" s="6"/>
      <c r="M181" s="6"/>
    </row>
    <row r="182" spans="1:13" ht="15.95" customHeight="1" x14ac:dyDescent="0.2">
      <c r="A182" s="138" t="s">
        <v>547</v>
      </c>
      <c r="B182" s="138" t="s">
        <v>548</v>
      </c>
      <c r="C182" s="143">
        <v>173</v>
      </c>
      <c r="D182" s="143">
        <v>6</v>
      </c>
      <c r="E182" s="140" t="s">
        <v>549</v>
      </c>
      <c r="F182" s="145">
        <f>743</f>
        <v>743</v>
      </c>
      <c r="G182" s="145">
        <f>761</f>
        <v>761</v>
      </c>
      <c r="H182" s="145">
        <f>773</f>
        <v>773</v>
      </c>
      <c r="I182" s="141"/>
      <c r="J182" s="7"/>
      <c r="K182" s="6"/>
      <c r="L182" s="6"/>
      <c r="M182" s="6"/>
    </row>
    <row r="183" spans="1:13" ht="15.95" customHeight="1" x14ac:dyDescent="0.2">
      <c r="A183" s="138" t="s">
        <v>550</v>
      </c>
      <c r="B183" s="138" t="s">
        <v>551</v>
      </c>
      <c r="C183" s="143">
        <v>174</v>
      </c>
      <c r="D183" s="143">
        <v>6</v>
      </c>
      <c r="E183" s="140" t="s">
        <v>552</v>
      </c>
      <c r="F183" s="145">
        <f>743</f>
        <v>743</v>
      </c>
      <c r="G183" s="145">
        <f>761</f>
        <v>761</v>
      </c>
      <c r="H183" s="145">
        <f>773</f>
        <v>773</v>
      </c>
      <c r="I183" s="141"/>
      <c r="J183" s="7"/>
      <c r="K183" s="6"/>
      <c r="L183" s="6"/>
      <c r="M183" s="6"/>
    </row>
    <row r="184" spans="1:13" ht="15.95" customHeight="1" x14ac:dyDescent="0.2">
      <c r="A184" s="139"/>
      <c r="B184" s="142"/>
      <c r="C184" s="139"/>
      <c r="D184" s="143"/>
      <c r="E184" s="142"/>
      <c r="F184" s="141"/>
      <c r="G184" s="141"/>
      <c r="H184" s="141"/>
      <c r="I184" s="141"/>
      <c r="J184" s="7"/>
      <c r="K184" s="6"/>
      <c r="L184" s="6"/>
      <c r="M184" s="6"/>
    </row>
    <row r="185" spans="1:13" ht="15.95" customHeight="1" x14ac:dyDescent="0.2">
      <c r="A185" s="60"/>
      <c r="B185" s="60"/>
      <c r="C185" s="60"/>
      <c r="D185" s="60"/>
      <c r="E185" s="70" t="s">
        <v>73</v>
      </c>
      <c r="F185" s="71">
        <f>SUM(F10:F184)</f>
        <v>99098</v>
      </c>
      <c r="G185" s="71">
        <f>SUM(G10:G184)</f>
        <v>102230</v>
      </c>
      <c r="H185" s="71">
        <f>SUM(H10:H184)</f>
        <v>104318</v>
      </c>
      <c r="I185" s="71"/>
    </row>
    <row r="186" spans="1:13" ht="15.95" customHeight="1" x14ac:dyDescent="0.2">
      <c r="A186" s="77"/>
      <c r="B186" s="77"/>
      <c r="C186" s="77"/>
      <c r="D186" s="77"/>
      <c r="E186" s="58"/>
      <c r="F186" s="78"/>
      <c r="G186" s="78"/>
      <c r="H186" s="78"/>
      <c r="I186" s="8"/>
    </row>
    <row r="187" spans="1:13" ht="15.95" customHeight="1" x14ac:dyDescent="0.2">
      <c r="A187" s="79" t="s">
        <v>74</v>
      </c>
      <c r="B187" s="77"/>
      <c r="C187" s="77"/>
      <c r="D187" s="77"/>
      <c r="E187" s="58"/>
      <c r="F187" s="78"/>
      <c r="G187" s="78"/>
      <c r="H187" s="78"/>
      <c r="I187" s="156"/>
    </row>
    <row r="188" spans="1:13" ht="15.95" customHeight="1" x14ac:dyDescent="0.2">
      <c r="A188" s="79" t="s">
        <v>75</v>
      </c>
      <c r="B188" s="77"/>
      <c r="C188" s="77"/>
      <c r="D188" s="77"/>
      <c r="E188" s="58"/>
      <c r="F188" s="78"/>
      <c r="G188" s="78"/>
      <c r="H188" s="78"/>
      <c r="I188" s="8"/>
    </row>
    <row r="189" spans="1:13" ht="15.95" customHeight="1" x14ac:dyDescent="0.2">
      <c r="A189" s="79" t="s">
        <v>33</v>
      </c>
      <c r="B189" s="61"/>
      <c r="C189" s="61"/>
      <c r="D189" s="61"/>
      <c r="E189" s="61"/>
      <c r="F189" s="61"/>
      <c r="G189" s="61"/>
      <c r="H189" s="61"/>
    </row>
    <row r="190" spans="1:13" ht="15.95" customHeight="1" x14ac:dyDescent="0.2">
      <c r="A190" s="79"/>
      <c r="B190" s="61"/>
      <c r="C190" s="61"/>
      <c r="D190" s="61"/>
      <c r="E190" s="61"/>
      <c r="F190" s="61"/>
      <c r="G190" s="61"/>
      <c r="H190" s="61"/>
    </row>
    <row r="191" spans="1:13" ht="15.95" customHeight="1" x14ac:dyDescent="0.2">
      <c r="A191" s="61"/>
      <c r="B191" s="61"/>
      <c r="C191" s="61"/>
      <c r="D191" s="61"/>
      <c r="E191" s="61"/>
      <c r="F191" s="61"/>
      <c r="G191" s="61"/>
      <c r="H191" s="61"/>
    </row>
    <row r="192" spans="1:13" ht="15.95" customHeight="1" x14ac:dyDescent="0.2">
      <c r="A192" s="61"/>
      <c r="B192" s="61"/>
      <c r="C192" s="61"/>
      <c r="D192" s="61"/>
      <c r="E192" s="61"/>
      <c r="F192" s="61"/>
      <c r="G192" s="61"/>
      <c r="H192" s="61"/>
    </row>
    <row r="193" spans="1:8" ht="15.95" customHeight="1" x14ac:dyDescent="0.2">
      <c r="A193" s="61"/>
      <c r="B193" s="61"/>
      <c r="C193" s="61"/>
      <c r="D193" s="61"/>
      <c r="E193" s="61"/>
      <c r="F193" s="72"/>
      <c r="G193" s="72"/>
      <c r="H193" s="72"/>
    </row>
    <row r="194" spans="1:8" ht="15.95" customHeight="1" x14ac:dyDescent="0.2">
      <c r="A194" s="2"/>
      <c r="B194" s="61"/>
      <c r="D194" s="61"/>
      <c r="G194" s="61"/>
      <c r="H194" s="61"/>
    </row>
    <row r="195" spans="1:8" ht="15.95" customHeight="1" x14ac:dyDescent="0.25">
      <c r="A195" s="2"/>
      <c r="B195" s="163" t="s">
        <v>34</v>
      </c>
      <c r="C195" s="163"/>
      <c r="D195" s="163"/>
      <c r="E195" s="61"/>
      <c r="F195" s="73"/>
      <c r="G195" s="74"/>
      <c r="H195" s="74"/>
    </row>
    <row r="196" spans="1:8" ht="15.95" customHeight="1" x14ac:dyDescent="0.25">
      <c r="A196" s="2"/>
      <c r="B196" s="109"/>
      <c r="C196" s="109"/>
      <c r="D196" s="109"/>
      <c r="E196" s="61"/>
      <c r="F196" s="73"/>
      <c r="G196" s="74"/>
      <c r="H196" s="74"/>
    </row>
    <row r="197" spans="1:8" ht="17.25" customHeight="1" x14ac:dyDescent="0.25">
      <c r="A197" s="2"/>
      <c r="B197" s="56" t="s">
        <v>580</v>
      </c>
      <c r="C197" s="9"/>
      <c r="D197" s="9"/>
      <c r="E197" s="76"/>
      <c r="F197" s="75"/>
      <c r="G197" s="75"/>
      <c r="H197" s="75"/>
    </row>
    <row r="198" spans="1:8" ht="20.100000000000001" customHeight="1" x14ac:dyDescent="0.2">
      <c r="A198" s="2"/>
      <c r="B198" s="61"/>
      <c r="C198" s="61"/>
      <c r="D198" s="61"/>
    </row>
    <row r="199" spans="1:8" ht="20.100000000000001" customHeight="1" x14ac:dyDescent="0.25">
      <c r="A199" s="2"/>
      <c r="B199" s="56" t="s">
        <v>581</v>
      </c>
      <c r="C199" s="61"/>
      <c r="D199" s="61"/>
    </row>
    <row r="200" spans="1:8" ht="20.100000000000001" customHeight="1" x14ac:dyDescent="0.25">
      <c r="B200" s="56" t="s">
        <v>36</v>
      </c>
    </row>
  </sheetData>
  <mergeCells count="4">
    <mergeCell ref="B195:D195"/>
    <mergeCell ref="A1:I1"/>
    <mergeCell ref="A2:I2"/>
    <mergeCell ref="A3:I3"/>
  </mergeCells>
  <phoneticPr fontId="0" type="noConversion"/>
  <printOptions horizontalCentered="1"/>
  <pageMargins left="0.39370078740157499" right="0.39370078740157499" top="0.196850393700787" bottom="0.196850393700787" header="0" footer="0"/>
  <pageSetup paperSize="9" scale="6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topLeftCell="A6" zoomScaleNormal="100" workbookViewId="0">
      <pane xSplit="2" ySplit="4" topLeftCell="G10" activePane="bottomRight" state="frozen"/>
      <selection activeCell="A6" sqref="A6"/>
      <selection pane="topRight" activeCell="C6" sqref="C6"/>
      <selection pane="bottomLeft" activeCell="A10" sqref="A10"/>
      <selection pane="bottomRight" activeCell="L17" sqref="L17"/>
    </sheetView>
  </sheetViews>
  <sheetFormatPr baseColWidth="10" defaultColWidth="11.42578125" defaultRowHeight="15" x14ac:dyDescent="0.25"/>
  <cols>
    <col min="1" max="1" width="11.28515625" style="9" customWidth="1"/>
    <col min="2" max="2" width="53.5703125" style="9" customWidth="1"/>
    <col min="3" max="5" width="21.42578125" style="9" customWidth="1"/>
    <col min="6" max="8" width="20.5703125" style="9" customWidth="1"/>
    <col min="9" max="9" width="15.5703125" style="9" customWidth="1"/>
    <col min="10" max="10" width="13.5703125" style="9" customWidth="1"/>
    <col min="11" max="16384" width="11.42578125" style="9"/>
  </cols>
  <sheetData>
    <row r="1" spans="1:10" ht="18.75" x14ac:dyDescent="0.3">
      <c r="A1" s="180" t="s">
        <v>76</v>
      </c>
      <c r="B1" s="180"/>
      <c r="C1" s="180"/>
      <c r="D1" s="180"/>
      <c r="E1" s="180"/>
      <c r="F1" s="180"/>
      <c r="G1" s="180"/>
      <c r="H1" s="180"/>
    </row>
    <row r="2" spans="1:10" ht="18.75" x14ac:dyDescent="0.3">
      <c r="A2" s="180" t="s">
        <v>77</v>
      </c>
      <c r="B2" s="180"/>
      <c r="C2" s="180"/>
      <c r="D2" s="180"/>
      <c r="E2" s="180"/>
      <c r="F2" s="180"/>
      <c r="G2" s="180"/>
      <c r="H2" s="180"/>
    </row>
    <row r="3" spans="1:10" ht="18.75" x14ac:dyDescent="0.3">
      <c r="A3" s="135"/>
      <c r="B3" s="135"/>
      <c r="C3" s="135"/>
      <c r="D3" s="135"/>
      <c r="E3" s="135"/>
      <c r="F3" s="135"/>
      <c r="G3" s="135"/>
      <c r="H3" s="135"/>
    </row>
    <row r="4" spans="1:10" ht="18.75" x14ac:dyDescent="0.3">
      <c r="A4" s="181" t="s">
        <v>3</v>
      </c>
      <c r="B4" s="181"/>
      <c r="C4" s="181"/>
      <c r="D4" s="181"/>
      <c r="E4" s="181"/>
      <c r="F4" s="181"/>
      <c r="G4" s="181"/>
      <c r="H4" s="181"/>
    </row>
    <row r="5" spans="1:10" ht="15.75" thickBot="1" x14ac:dyDescent="0.3">
      <c r="A5" s="182"/>
      <c r="B5" s="182"/>
      <c r="C5" s="182"/>
      <c r="D5" s="182"/>
      <c r="E5" s="182"/>
      <c r="F5" s="182"/>
      <c r="G5" s="182"/>
      <c r="H5" s="182"/>
    </row>
    <row r="6" spans="1:10" ht="15" customHeight="1" x14ac:dyDescent="0.25">
      <c r="A6" s="183" t="s">
        <v>78</v>
      </c>
      <c r="B6" s="184"/>
      <c r="C6" s="183" t="s">
        <v>79</v>
      </c>
      <c r="D6" s="184"/>
      <c r="E6" s="187"/>
      <c r="F6" s="185" t="s">
        <v>80</v>
      </c>
      <c r="G6" s="186"/>
      <c r="H6" s="186"/>
      <c r="I6" s="186"/>
      <c r="J6" s="229" t="s">
        <v>9</v>
      </c>
    </row>
    <row r="7" spans="1:10" ht="15.75" customHeight="1" thickBot="1" x14ac:dyDescent="0.3">
      <c r="A7" s="185"/>
      <c r="B7" s="186"/>
      <c r="C7" s="185"/>
      <c r="D7" s="186"/>
      <c r="E7" s="188"/>
      <c r="F7" s="189"/>
      <c r="G7" s="190"/>
      <c r="H7" s="190"/>
      <c r="I7" s="190"/>
      <c r="J7" s="230"/>
    </row>
    <row r="8" spans="1:10" ht="28.5" customHeight="1" thickBot="1" x14ac:dyDescent="0.3">
      <c r="A8" s="10" t="s">
        <v>81</v>
      </c>
      <c r="B8" s="11" t="s">
        <v>82</v>
      </c>
      <c r="C8" s="12">
        <v>2013</v>
      </c>
      <c r="D8" s="13">
        <v>2014</v>
      </c>
      <c r="E8" s="14">
        <v>2015</v>
      </c>
      <c r="F8" s="15" t="s">
        <v>83</v>
      </c>
      <c r="G8" s="15" t="s">
        <v>84</v>
      </c>
      <c r="H8" s="16" t="s">
        <v>85</v>
      </c>
      <c r="I8" s="16" t="s">
        <v>86</v>
      </c>
      <c r="J8" s="231"/>
    </row>
    <row r="9" spans="1:10" ht="15.75" thickBot="1" x14ac:dyDescent="0.3">
      <c r="A9" s="169" t="s">
        <v>87</v>
      </c>
      <c r="B9" s="170"/>
      <c r="C9" s="217">
        <f>SUM(C11:C32)</f>
        <v>3297111.5300000003</v>
      </c>
      <c r="D9" s="217">
        <f>SUM(D11:D32)</f>
        <v>3380227.09</v>
      </c>
      <c r="E9" s="217">
        <f t="shared" ref="E9:I9" si="0">SUM(E11:E32)</f>
        <v>3156612.2800000003</v>
      </c>
      <c r="F9" s="217">
        <f>SUM(F11:F32)</f>
        <v>3225297.6</v>
      </c>
      <c r="G9" s="217">
        <f t="shared" si="0"/>
        <v>3289803.5520000001</v>
      </c>
      <c r="H9" s="217">
        <f t="shared" si="0"/>
        <v>3322701.5875199996</v>
      </c>
      <c r="I9" s="217">
        <f t="shared" si="0"/>
        <v>3355928.6033952003</v>
      </c>
      <c r="J9" s="17"/>
    </row>
    <row r="10" spans="1:10" x14ac:dyDescent="0.25">
      <c r="A10" s="18">
        <v>11</v>
      </c>
      <c r="B10" s="19" t="s">
        <v>88</v>
      </c>
      <c r="C10" s="20"/>
      <c r="D10" s="20" t="s">
        <v>622</v>
      </c>
      <c r="E10" s="20"/>
      <c r="F10" s="20"/>
      <c r="G10" s="20"/>
      <c r="H10" s="20"/>
      <c r="I10" s="20"/>
      <c r="J10" s="20"/>
    </row>
    <row r="11" spans="1:10" x14ac:dyDescent="0.25">
      <c r="A11" s="21">
        <v>1101</v>
      </c>
      <c r="B11" s="22" t="s">
        <v>12</v>
      </c>
      <c r="C11" s="20">
        <v>111045.83</v>
      </c>
      <c r="D11" s="23">
        <f>146142.35</f>
        <v>146142.35</v>
      </c>
      <c r="E11" s="24">
        <f>99217.63</f>
        <v>99217.63</v>
      </c>
      <c r="F11" s="24">
        <f>99217.63</f>
        <v>99217.63</v>
      </c>
      <c r="G11" s="225">
        <f>SUM(F11*0.02)+F11</f>
        <v>101201.9826</v>
      </c>
      <c r="H11" s="224">
        <f>SUM(G11*0.01)+G11</f>
        <v>102214.00242600001</v>
      </c>
      <c r="I11" s="224">
        <f>SUM(H11*0.01)+H11</f>
        <v>103236.14245026001</v>
      </c>
      <c r="J11" s="27"/>
    </row>
    <row r="12" spans="1:10" x14ac:dyDescent="0.25">
      <c r="A12" s="21">
        <v>1102</v>
      </c>
      <c r="B12" s="22" t="s">
        <v>13</v>
      </c>
      <c r="C12" s="20">
        <f>167202.17+12114.77+196402.45+166708.73+46095.16</f>
        <v>588523.28</v>
      </c>
      <c r="D12" s="23">
        <f>173338.9+13645.16+182591.57+138360.88+63500.18</f>
        <v>571436.69000000006</v>
      </c>
      <c r="E12" s="24">
        <f>175676.27+13653.89+164394.88+123512.11+53463.72</f>
        <v>530700.87</v>
      </c>
      <c r="F12" s="24">
        <f>175676.27+13653.89+164394.88+123512.11+53463.72</f>
        <v>530700.87</v>
      </c>
      <c r="G12" s="225">
        <f t="shared" ref="G12:G16" si="1">SUM(F12*0.02)+F12</f>
        <v>541314.88740000001</v>
      </c>
      <c r="H12" s="224">
        <f t="shared" ref="H12:I16" si="2">SUM(G12*0.01)+G12</f>
        <v>546728.03627399995</v>
      </c>
      <c r="I12" s="224">
        <f t="shared" si="2"/>
        <v>552195.31663674</v>
      </c>
      <c r="J12" s="27"/>
    </row>
    <row r="13" spans="1:10" x14ac:dyDescent="0.25">
      <c r="A13" s="21">
        <v>1103</v>
      </c>
      <c r="B13" s="22" t="s">
        <v>14</v>
      </c>
      <c r="C13" s="212">
        <v>234</v>
      </c>
      <c r="D13" s="223">
        <v>250</v>
      </c>
      <c r="E13" s="224">
        <v>184</v>
      </c>
      <c r="F13" s="224">
        <v>184</v>
      </c>
      <c r="G13" s="225">
        <f t="shared" si="1"/>
        <v>187.68</v>
      </c>
      <c r="H13" s="224">
        <f t="shared" si="2"/>
        <v>189.55680000000001</v>
      </c>
      <c r="I13" s="224">
        <f t="shared" si="2"/>
        <v>191.45236800000001</v>
      </c>
      <c r="J13" s="27"/>
    </row>
    <row r="14" spans="1:10" x14ac:dyDescent="0.25">
      <c r="A14" s="21">
        <v>1107</v>
      </c>
      <c r="B14" s="22" t="s">
        <v>15</v>
      </c>
      <c r="C14" s="212">
        <f>128387</f>
        <v>128387</v>
      </c>
      <c r="D14" s="23">
        <f>193144.23</f>
        <v>193144.23</v>
      </c>
      <c r="E14" s="24">
        <v>87304.47</v>
      </c>
      <c r="F14" s="24">
        <v>87304.47</v>
      </c>
      <c r="G14" s="225">
        <f t="shared" si="1"/>
        <v>89050.559399999998</v>
      </c>
      <c r="H14" s="224">
        <f t="shared" si="2"/>
        <v>89941.064994</v>
      </c>
      <c r="I14" s="224">
        <f t="shared" si="2"/>
        <v>90840.475643939993</v>
      </c>
      <c r="J14" s="27"/>
    </row>
    <row r="15" spans="1:10" x14ac:dyDescent="0.25">
      <c r="A15" s="18">
        <v>13</v>
      </c>
      <c r="B15" s="28" t="s">
        <v>89</v>
      </c>
      <c r="C15" s="20"/>
      <c r="D15" s="23"/>
      <c r="E15" s="24"/>
      <c r="F15" s="24"/>
      <c r="G15" s="26"/>
      <c r="H15" s="27"/>
      <c r="I15" s="27"/>
      <c r="J15" s="27"/>
    </row>
    <row r="16" spans="1:10" x14ac:dyDescent="0.25">
      <c r="A16" s="21">
        <v>1301</v>
      </c>
      <c r="B16" s="22" t="s">
        <v>17</v>
      </c>
      <c r="C16" s="20">
        <f>122450.83+59887.04+16025+6906.4+58503.05+2955+62158.82+54281.68+9367.31+7982.32+64673.63</f>
        <v>465191.08</v>
      </c>
      <c r="D16" s="23">
        <f>126810.25+52132.71+16403+5639+51161.77+3100+63210.49+27807.4+6855.44+9235+64125.13</f>
        <v>426480.19</v>
      </c>
      <c r="E16" s="24">
        <f>133949.71+50030.13+10596.5+6590.52+50521.26+4440+67357.58+47667.92+7554.51+7410+63037.53</f>
        <v>449155.66000000003</v>
      </c>
      <c r="F16" s="24">
        <f>133949.71+50030.13+10596.5+6590.52+50521.26+4440+67357.58+47667.92+7554.51+7410+63037.53</f>
        <v>449155.66000000003</v>
      </c>
      <c r="G16" s="225">
        <f t="shared" si="1"/>
        <v>458138.77320000005</v>
      </c>
      <c r="H16" s="224">
        <f t="shared" si="2"/>
        <v>462720.16093200003</v>
      </c>
      <c r="I16" s="224">
        <f t="shared" si="2"/>
        <v>467347.36254132004</v>
      </c>
      <c r="J16" s="27"/>
    </row>
    <row r="17" spans="1:10" x14ac:dyDescent="0.25">
      <c r="A17" s="21">
        <v>1302</v>
      </c>
      <c r="B17" s="22" t="s">
        <v>18</v>
      </c>
      <c r="C17" s="20"/>
      <c r="D17" s="23"/>
      <c r="E17" s="24"/>
      <c r="F17" s="24"/>
      <c r="G17" s="26"/>
      <c r="H17" s="27"/>
      <c r="I17" s="27"/>
      <c r="J17" s="27"/>
    </row>
    <row r="18" spans="1:10" x14ac:dyDescent="0.25">
      <c r="A18" s="21">
        <v>1303</v>
      </c>
      <c r="B18" s="22" t="s">
        <v>19</v>
      </c>
      <c r="C18" s="20"/>
      <c r="D18" s="23"/>
      <c r="E18" s="24"/>
      <c r="F18" s="24"/>
      <c r="G18" s="26"/>
      <c r="H18" s="27"/>
      <c r="I18" s="27"/>
      <c r="J18" s="27"/>
    </row>
    <row r="19" spans="1:10" x14ac:dyDescent="0.25">
      <c r="A19" s="21">
        <v>1304</v>
      </c>
      <c r="B19" s="22" t="s">
        <v>20</v>
      </c>
      <c r="C19" s="212">
        <f>28963.58+32272.69+30065.14+231399.67</f>
        <v>322701.08</v>
      </c>
      <c r="D19" s="23">
        <f>1755.94+10980.13+9180.3+219599.83+1089.48</f>
        <v>242605.68</v>
      </c>
      <c r="E19" s="24">
        <f>7185.35+3371.76+19676.54+316687.34</f>
        <v>346920.99000000005</v>
      </c>
      <c r="F19" s="24">
        <f>7185.35+3371.76+19676.54+316687.34</f>
        <v>346920.99000000005</v>
      </c>
      <c r="G19" s="225">
        <f t="shared" ref="G19:G22" si="3">SUM(F19*0.02)+F19</f>
        <v>353859.40980000002</v>
      </c>
      <c r="H19" s="224">
        <f t="shared" ref="H19:I22" si="4">SUM(G19*0.01)+G19</f>
        <v>357398.003898</v>
      </c>
      <c r="I19" s="224">
        <f t="shared" si="4"/>
        <v>360971.98393698002</v>
      </c>
      <c r="J19" s="27"/>
    </row>
    <row r="20" spans="1:10" x14ac:dyDescent="0.25">
      <c r="A20" s="18">
        <v>14</v>
      </c>
      <c r="B20" s="28" t="s">
        <v>90</v>
      </c>
      <c r="C20" s="20"/>
      <c r="D20" s="23"/>
      <c r="E20" s="24"/>
      <c r="F20" s="24"/>
      <c r="G20" s="26"/>
      <c r="H20" s="27"/>
      <c r="I20" s="27"/>
      <c r="J20" s="27"/>
    </row>
    <row r="21" spans="1:10" x14ac:dyDescent="0.25">
      <c r="A21" s="21">
        <v>1402</v>
      </c>
      <c r="B21" s="22" t="s">
        <v>584</v>
      </c>
      <c r="C21" s="20">
        <f>17626.62+230.5</f>
        <v>17857.12</v>
      </c>
      <c r="D21" s="23">
        <f>18974.2+289</f>
        <v>19263.2</v>
      </c>
      <c r="E21" s="24">
        <f>16727.85+182</f>
        <v>16909.849999999999</v>
      </c>
      <c r="F21" s="24">
        <f>16727.85+182</f>
        <v>16909.849999999999</v>
      </c>
      <c r="G21" s="225">
        <f t="shared" si="3"/>
        <v>17248.046999999999</v>
      </c>
      <c r="H21" s="224">
        <f t="shared" si="4"/>
        <v>17420.527469999997</v>
      </c>
      <c r="I21" s="224">
        <f t="shared" ref="I21" si="5">SUM(H21*0.01)+H21</f>
        <v>17594.732744699999</v>
      </c>
      <c r="J21" s="27"/>
    </row>
    <row r="22" spans="1:10" x14ac:dyDescent="0.25">
      <c r="A22" s="21">
        <v>1403</v>
      </c>
      <c r="B22" s="22" t="s">
        <v>585</v>
      </c>
      <c r="C22" s="20">
        <f>154831.61+55623.07</f>
        <v>210454.68</v>
      </c>
      <c r="D22" s="23">
        <f>156344.71+56417.14</f>
        <v>212761.84999999998</v>
      </c>
      <c r="E22" s="24">
        <f>168348.81+63825.22</f>
        <v>232174.03</v>
      </c>
      <c r="F22" s="24">
        <f>168348.81+63825.22</f>
        <v>232174.03</v>
      </c>
      <c r="G22" s="225">
        <f t="shared" si="3"/>
        <v>236817.51060000001</v>
      </c>
      <c r="H22" s="224">
        <f t="shared" si="4"/>
        <v>239185.68570600002</v>
      </c>
      <c r="I22" s="224">
        <f t="shared" ref="I22" si="6">SUM(H22*0.01)+H22</f>
        <v>241577.54256306001</v>
      </c>
      <c r="J22" s="27"/>
    </row>
    <row r="23" spans="1:10" x14ac:dyDescent="0.25">
      <c r="A23" s="18">
        <v>17</v>
      </c>
      <c r="B23" s="28" t="s">
        <v>91</v>
      </c>
      <c r="C23" s="20"/>
      <c r="D23" s="23"/>
      <c r="E23" s="24"/>
      <c r="F23" s="24"/>
      <c r="G23" s="26"/>
      <c r="H23" s="27"/>
      <c r="I23" s="27"/>
      <c r="J23" s="27"/>
    </row>
    <row r="24" spans="1:10" x14ac:dyDescent="0.25">
      <c r="A24" s="21">
        <v>1701</v>
      </c>
      <c r="B24" s="22" t="s">
        <v>586</v>
      </c>
      <c r="C24" s="20">
        <v>15.34</v>
      </c>
      <c r="D24" s="23"/>
      <c r="E24" s="24"/>
      <c r="F24" s="24"/>
      <c r="G24" s="26"/>
      <c r="H24" s="27"/>
      <c r="I24" s="27"/>
      <c r="J24" s="27"/>
    </row>
    <row r="25" spans="1:10" x14ac:dyDescent="0.25">
      <c r="A25" s="21">
        <v>1702</v>
      </c>
      <c r="B25" s="22" t="s">
        <v>587</v>
      </c>
      <c r="C25" s="20">
        <f>32905.95+12463.74</f>
        <v>45369.689999999995</v>
      </c>
      <c r="D25" s="23">
        <f>6160+324.43+12876.9</f>
        <v>19361.330000000002</v>
      </c>
      <c r="E25" s="24">
        <f>6619+635.24+14203.27</f>
        <v>21457.510000000002</v>
      </c>
      <c r="F25" s="24">
        <f>6619+635.24+14203.27</f>
        <v>21457.510000000002</v>
      </c>
      <c r="G25" s="225">
        <f t="shared" ref="G25:G28" si="7">SUM(F25*0.02)+F25</f>
        <v>21886.660200000002</v>
      </c>
      <c r="H25" s="224">
        <f t="shared" ref="H25:I28" si="8">SUM(G25*0.01)+G25</f>
        <v>22105.526802</v>
      </c>
      <c r="I25" s="224">
        <f t="shared" si="8"/>
        <v>22326.582070020002</v>
      </c>
      <c r="J25" s="27"/>
    </row>
    <row r="26" spans="1:10" x14ac:dyDescent="0.25">
      <c r="A26" s="21">
        <v>1704</v>
      </c>
      <c r="B26" s="22" t="s">
        <v>588</v>
      </c>
      <c r="C26" s="212">
        <f>29987.36+1911+39083.23</f>
        <v>70981.59</v>
      </c>
      <c r="D26" s="23">
        <f>39512.92+3234.5+9243.35+55528.12</f>
        <v>107518.89</v>
      </c>
      <c r="E26" s="24">
        <f>35726.56+3103.28+40315.74</f>
        <v>79145.579999999987</v>
      </c>
      <c r="F26" s="24">
        <f>35726.56+3103.28+40315.74</f>
        <v>79145.579999999987</v>
      </c>
      <c r="G26" s="225">
        <f t="shared" si="7"/>
        <v>80728.491599999994</v>
      </c>
      <c r="H26" s="224">
        <f t="shared" si="8"/>
        <v>81535.776515999998</v>
      </c>
      <c r="I26" s="224">
        <f t="shared" si="8"/>
        <v>82351.134281160004</v>
      </c>
      <c r="J26" s="27"/>
    </row>
    <row r="27" spans="1:10" x14ac:dyDescent="0.25">
      <c r="A27" s="18">
        <v>18</v>
      </c>
      <c r="B27" s="28" t="s">
        <v>92</v>
      </c>
      <c r="C27" s="20"/>
      <c r="D27" s="23"/>
      <c r="E27" s="24"/>
      <c r="F27" s="24"/>
      <c r="G27" s="26"/>
      <c r="H27" s="27"/>
      <c r="I27" s="27"/>
      <c r="J27" s="27"/>
    </row>
    <row r="28" spans="1:10" x14ac:dyDescent="0.25">
      <c r="A28" s="21">
        <v>1806</v>
      </c>
      <c r="B28" s="22" t="s">
        <v>589</v>
      </c>
      <c r="C28" s="20">
        <f>1336334.83</f>
        <v>1336334.83</v>
      </c>
      <c r="D28" s="23">
        <f>1441262.68</f>
        <v>1441262.68</v>
      </c>
      <c r="E28" s="24">
        <f>1293441.69</f>
        <v>1293441.69</v>
      </c>
      <c r="F28" s="24">
        <v>1362127.01</v>
      </c>
      <c r="G28" s="225">
        <f t="shared" si="7"/>
        <v>1389369.5501999999</v>
      </c>
      <c r="H28" s="224">
        <f t="shared" si="8"/>
        <v>1403263.2457019999</v>
      </c>
      <c r="I28" s="224">
        <f t="shared" si="8"/>
        <v>1417295.8781590199</v>
      </c>
      <c r="J28" s="27"/>
    </row>
    <row r="29" spans="1:10" x14ac:dyDescent="0.25">
      <c r="A29" s="18">
        <v>19</v>
      </c>
      <c r="B29" s="28" t="s">
        <v>93</v>
      </c>
      <c r="C29" s="20"/>
      <c r="D29" s="23"/>
      <c r="E29" s="24"/>
      <c r="F29" s="24"/>
      <c r="G29" s="26"/>
      <c r="H29" s="27"/>
      <c r="I29" s="27"/>
      <c r="J29" s="27"/>
    </row>
    <row r="30" spans="1:10" x14ac:dyDescent="0.25">
      <c r="A30" s="21">
        <v>1901</v>
      </c>
      <c r="B30" s="22" t="s">
        <v>26</v>
      </c>
      <c r="C30" s="20"/>
      <c r="D30" s="23"/>
      <c r="E30" s="24"/>
      <c r="F30" s="24"/>
      <c r="G30" s="26"/>
      <c r="H30" s="27"/>
      <c r="I30" s="27"/>
      <c r="J30" s="27"/>
    </row>
    <row r="31" spans="1:10" x14ac:dyDescent="0.25">
      <c r="A31" s="21">
        <v>1902</v>
      </c>
      <c r="B31" s="22" t="s">
        <v>27</v>
      </c>
      <c r="C31" s="20"/>
      <c r="D31" s="23"/>
      <c r="E31" s="24"/>
      <c r="F31" s="24"/>
      <c r="G31" s="26"/>
      <c r="H31" s="27"/>
      <c r="I31" s="27"/>
      <c r="J31" s="27"/>
    </row>
    <row r="32" spans="1:10" x14ac:dyDescent="0.25">
      <c r="A32" s="21">
        <v>1904</v>
      </c>
      <c r="B32" s="22" t="s">
        <v>28</v>
      </c>
      <c r="C32" s="20">
        <v>16.010000000000002</v>
      </c>
      <c r="D32" s="23"/>
      <c r="E32" s="24"/>
      <c r="F32" s="24"/>
      <c r="G32" s="26"/>
      <c r="H32" s="27"/>
      <c r="I32" s="27"/>
      <c r="J32" s="27"/>
    </row>
    <row r="33" spans="1:10" ht="15.75" thickBot="1" x14ac:dyDescent="0.3">
      <c r="A33" s="214" t="s">
        <v>612</v>
      </c>
      <c r="B33" s="170"/>
      <c r="C33" s="218">
        <f>SUM(C35:C62)</f>
        <v>2111873.21</v>
      </c>
      <c r="D33" s="218">
        <f>SUM(D35:D62)</f>
        <v>2461219.64</v>
      </c>
      <c r="E33" s="218">
        <f t="shared" ref="E33:I33" si="9">SUM(E35:E62)</f>
        <v>1158028.4800000002</v>
      </c>
      <c r="F33" s="218">
        <f t="shared" si="9"/>
        <v>1158028.4800000002</v>
      </c>
      <c r="G33" s="218">
        <f t="shared" si="9"/>
        <v>1181189.0496</v>
      </c>
      <c r="H33" s="218">
        <f t="shared" si="9"/>
        <v>1193000.940096</v>
      </c>
      <c r="I33" s="218">
        <f t="shared" si="9"/>
        <v>1204930.9494969603</v>
      </c>
      <c r="J33" s="29"/>
    </row>
    <row r="34" spans="1:10" x14ac:dyDescent="0.25">
      <c r="A34" s="18">
        <v>51</v>
      </c>
      <c r="B34" s="19" t="s">
        <v>94</v>
      </c>
      <c r="C34" s="20"/>
      <c r="D34" s="23"/>
      <c r="E34" s="24"/>
      <c r="F34" s="25"/>
      <c r="G34" s="26"/>
      <c r="H34" s="27"/>
      <c r="I34" s="27"/>
      <c r="J34" s="27"/>
    </row>
    <row r="35" spans="1:10" x14ac:dyDescent="0.25">
      <c r="A35" s="21">
        <v>5101</v>
      </c>
      <c r="B35" s="22" t="s">
        <v>95</v>
      </c>
      <c r="C35" s="20">
        <f>872677.46+146486.37</f>
        <v>1019163.83</v>
      </c>
      <c r="D35" s="23">
        <f>878624.15+178728.84</f>
        <v>1057352.99</v>
      </c>
      <c r="E35" s="24">
        <f>472406.44</f>
        <v>472406.44</v>
      </c>
      <c r="F35" s="24">
        <f>472406.44</f>
        <v>472406.44</v>
      </c>
      <c r="G35" s="225">
        <f t="shared" ref="G35:G36" si="10">SUM(F35*0.02)+F35</f>
        <v>481854.56880000001</v>
      </c>
      <c r="H35" s="224">
        <f t="shared" ref="H35:I36" si="11">SUM(G35*0.01)+G35</f>
        <v>486673.11448799999</v>
      </c>
      <c r="I35" s="224">
        <f t="shared" si="11"/>
        <v>491539.84563287999</v>
      </c>
      <c r="J35" s="27"/>
    </row>
    <row r="36" spans="1:10" x14ac:dyDescent="0.25">
      <c r="A36" s="21">
        <v>5102</v>
      </c>
      <c r="B36" s="22" t="s">
        <v>96</v>
      </c>
      <c r="C36" s="20">
        <f>89801+34728.33</f>
        <v>124529.33</v>
      </c>
      <c r="D36" s="23">
        <f>85382.02+38350.18</f>
        <v>123732.20000000001</v>
      </c>
      <c r="E36" s="24">
        <f>43701.21+16377.13</f>
        <v>60078.34</v>
      </c>
      <c r="F36" s="24">
        <f>43701.21+16377.13</f>
        <v>60078.34</v>
      </c>
      <c r="G36" s="225">
        <f t="shared" si="10"/>
        <v>61279.906799999997</v>
      </c>
      <c r="H36" s="224">
        <f t="shared" si="11"/>
        <v>61892.705867999997</v>
      </c>
      <c r="I36" s="224">
        <f t="shared" si="11"/>
        <v>62511.632926679995</v>
      </c>
      <c r="J36" s="27"/>
    </row>
    <row r="37" spans="1:10" x14ac:dyDescent="0.25">
      <c r="A37" s="21">
        <v>5103</v>
      </c>
      <c r="B37" s="22" t="s">
        <v>97</v>
      </c>
      <c r="C37" s="20"/>
      <c r="D37" s="23"/>
      <c r="E37" s="24"/>
      <c r="F37" s="24"/>
      <c r="G37" s="26"/>
      <c r="H37" s="27"/>
      <c r="I37" s="27"/>
      <c r="J37" s="27"/>
    </row>
    <row r="38" spans="1:10" x14ac:dyDescent="0.25">
      <c r="A38" s="21">
        <v>5104</v>
      </c>
      <c r="B38" s="22" t="s">
        <v>98</v>
      </c>
      <c r="C38" s="20"/>
      <c r="D38" s="23"/>
      <c r="E38" s="24"/>
      <c r="F38" s="24"/>
      <c r="G38" s="26"/>
      <c r="H38" s="27"/>
      <c r="I38" s="27"/>
      <c r="J38" s="27"/>
    </row>
    <row r="39" spans="1:10" x14ac:dyDescent="0.25">
      <c r="A39" s="21">
        <v>5105</v>
      </c>
      <c r="B39" s="22" t="s">
        <v>99</v>
      </c>
      <c r="C39" s="20">
        <f>52775.4+213705.87+17737.48</f>
        <v>284218.75</v>
      </c>
      <c r="D39" s="23">
        <f>48630.49+177808.4+7979.6</f>
        <v>234418.49</v>
      </c>
      <c r="E39" s="24">
        <f>3058.99+151593.44+5423.08</f>
        <v>160075.50999999998</v>
      </c>
      <c r="F39" s="24">
        <f>3058.99+151593.44+5423.08</f>
        <v>160075.50999999998</v>
      </c>
      <c r="G39" s="225">
        <f t="shared" ref="G39:G41" si="12">SUM(F39*0.02)+F39</f>
        <v>163277.02019999997</v>
      </c>
      <c r="H39" s="224">
        <f t="shared" ref="H39:I41" si="13">SUM(G39*0.01)+G39</f>
        <v>164909.79040199996</v>
      </c>
      <c r="I39" s="224">
        <f t="shared" si="13"/>
        <v>166558.88830601994</v>
      </c>
      <c r="J39" s="27"/>
    </row>
    <row r="40" spans="1:10" x14ac:dyDescent="0.25">
      <c r="A40" s="21">
        <v>5106</v>
      </c>
      <c r="B40" s="22" t="s">
        <v>100</v>
      </c>
      <c r="C40" s="20">
        <f>127285.26+74536.47</f>
        <v>201821.72999999998</v>
      </c>
      <c r="D40" s="23">
        <f>128069.82+67715.93</f>
        <v>195785.75</v>
      </c>
      <c r="E40" s="24">
        <f>63223.34+35540.18</f>
        <v>98763.51999999999</v>
      </c>
      <c r="F40" s="24">
        <f>63223.34+35540.18</f>
        <v>98763.51999999999</v>
      </c>
      <c r="G40" s="225">
        <f t="shared" si="12"/>
        <v>100738.79039999998</v>
      </c>
      <c r="H40" s="224">
        <f t="shared" si="13"/>
        <v>101746.17830399999</v>
      </c>
      <c r="I40" s="224">
        <f t="shared" si="13"/>
        <v>102763.64008703998</v>
      </c>
      <c r="J40" s="27"/>
    </row>
    <row r="41" spans="1:10" x14ac:dyDescent="0.25">
      <c r="A41" s="21">
        <v>5107</v>
      </c>
      <c r="B41" s="22" t="s">
        <v>101</v>
      </c>
      <c r="C41" s="20">
        <v>55524.37</v>
      </c>
      <c r="D41" s="23">
        <f>163813.55</f>
        <v>163813.54999999999</v>
      </c>
      <c r="E41" s="24">
        <f>86010.09</f>
        <v>86010.09</v>
      </c>
      <c r="F41" s="24">
        <f>86010.09</f>
        <v>86010.09</v>
      </c>
      <c r="G41" s="225">
        <f t="shared" si="12"/>
        <v>87730.291799999992</v>
      </c>
      <c r="H41" s="224">
        <f t="shared" si="13"/>
        <v>88607.594717999993</v>
      </c>
      <c r="I41" s="224">
        <f t="shared" si="13"/>
        <v>89493.67066517999</v>
      </c>
      <c r="J41" s="27"/>
    </row>
    <row r="42" spans="1:10" x14ac:dyDescent="0.25">
      <c r="A42" s="21">
        <v>5199</v>
      </c>
      <c r="B42" s="22" t="s">
        <v>102</v>
      </c>
      <c r="C42" s="20"/>
      <c r="D42" s="23"/>
      <c r="E42" s="24"/>
      <c r="F42" s="24"/>
      <c r="G42" s="26"/>
      <c r="H42" s="27"/>
      <c r="I42" s="27"/>
      <c r="J42" s="27"/>
    </row>
    <row r="43" spans="1:10" x14ac:dyDescent="0.25">
      <c r="A43" s="18">
        <v>53</v>
      </c>
      <c r="B43" s="28" t="s">
        <v>103</v>
      </c>
      <c r="C43" s="20"/>
      <c r="D43" s="23"/>
      <c r="E43" s="24"/>
      <c r="F43" s="24"/>
      <c r="G43" s="26"/>
      <c r="H43" s="27"/>
      <c r="I43" s="27"/>
      <c r="J43" s="27"/>
    </row>
    <row r="44" spans="1:10" x14ac:dyDescent="0.25">
      <c r="A44" s="21">
        <v>5301</v>
      </c>
      <c r="B44" s="22" t="s">
        <v>597</v>
      </c>
      <c r="C44" s="20">
        <f>83.2+21401.7+1039.75</f>
        <v>22524.65</v>
      </c>
      <c r="D44" s="23">
        <f>17508.05+764.53</f>
        <v>18272.579999999998</v>
      </c>
      <c r="E44" s="24">
        <f>22967.18+845.35</f>
        <v>23812.53</v>
      </c>
      <c r="F44" s="24">
        <f>22967.18+845.35</f>
        <v>23812.53</v>
      </c>
      <c r="G44" s="225">
        <f t="shared" ref="G44:G51" si="14">SUM(F44*0.02)+F44</f>
        <v>24288.780599999998</v>
      </c>
      <c r="H44" s="224">
        <f t="shared" ref="H44:I51" si="15">SUM(G44*0.01)+G44</f>
        <v>24531.668405999997</v>
      </c>
      <c r="I44" s="224">
        <f t="shared" si="15"/>
        <v>24776.985090059996</v>
      </c>
      <c r="J44" s="27"/>
    </row>
    <row r="45" spans="1:10" x14ac:dyDescent="0.25">
      <c r="A45" s="21">
        <v>5302</v>
      </c>
      <c r="B45" s="22" t="s">
        <v>598</v>
      </c>
      <c r="C45" s="20">
        <f>634.61+808.24+3440.81+51234.04+3772.64+33301.76+65378.32</f>
        <v>158570.42000000001</v>
      </c>
      <c r="D45" s="23">
        <f>1657.33+34.82+24919.03+41737.69+13103.88</f>
        <v>81452.75</v>
      </c>
      <c r="E45" s="24">
        <f>436.5+15176.71</f>
        <v>15613.21</v>
      </c>
      <c r="F45" s="24">
        <f>436.5+15176.71</f>
        <v>15613.21</v>
      </c>
      <c r="G45" s="225">
        <f t="shared" si="14"/>
        <v>15925.474199999999</v>
      </c>
      <c r="H45" s="224">
        <f t="shared" si="15"/>
        <v>16084.728941999998</v>
      </c>
      <c r="I45" s="224">
        <f t="shared" si="15"/>
        <v>16245.576231419998</v>
      </c>
      <c r="J45" s="27"/>
    </row>
    <row r="46" spans="1:10" x14ac:dyDescent="0.25">
      <c r="A46" s="21">
        <v>5303</v>
      </c>
      <c r="B46" s="22" t="s">
        <v>599</v>
      </c>
      <c r="C46" s="20">
        <f>7114.55+11006.18</f>
        <v>18120.73</v>
      </c>
      <c r="D46" s="23">
        <f>5406.3+5439.2</f>
        <v>10845.5</v>
      </c>
      <c r="E46" s="24">
        <f>2636.24+4133</f>
        <v>6769.24</v>
      </c>
      <c r="F46" s="24">
        <f>2636.24+4133</f>
        <v>6769.24</v>
      </c>
      <c r="G46" s="225">
        <f t="shared" si="14"/>
        <v>6904.6247999999996</v>
      </c>
      <c r="H46" s="224">
        <f t="shared" si="15"/>
        <v>6973.6710479999992</v>
      </c>
      <c r="I46" s="224">
        <f t="shared" si="15"/>
        <v>7043.4077584799988</v>
      </c>
      <c r="J46" s="27"/>
    </row>
    <row r="47" spans="1:10" x14ac:dyDescent="0.25">
      <c r="A47" s="21">
        <v>5304</v>
      </c>
      <c r="B47" s="22" t="s">
        <v>600</v>
      </c>
      <c r="C47" s="20">
        <f>2746.02+3481.21</f>
        <v>6227.23</v>
      </c>
      <c r="D47" s="23">
        <f>4603.13+2125.22</f>
        <v>6728.35</v>
      </c>
      <c r="E47" s="24">
        <f>409.16+656.92</f>
        <v>1066.08</v>
      </c>
      <c r="F47" s="24">
        <f>409.16+656.92</f>
        <v>1066.08</v>
      </c>
      <c r="G47" s="225">
        <f t="shared" si="14"/>
        <v>1087.4015999999999</v>
      </c>
      <c r="H47" s="224">
        <f t="shared" si="15"/>
        <v>1098.2756159999999</v>
      </c>
      <c r="I47" s="224">
        <f t="shared" si="15"/>
        <v>1109.2583721599999</v>
      </c>
      <c r="J47" s="27"/>
    </row>
    <row r="48" spans="1:10" x14ac:dyDescent="0.25">
      <c r="A48" s="21">
        <v>5305</v>
      </c>
      <c r="B48" s="22" t="s">
        <v>601</v>
      </c>
      <c r="C48" s="20">
        <f>3223.66</f>
        <v>3223.66</v>
      </c>
      <c r="D48" s="23">
        <f>2556.46</f>
        <v>2556.46</v>
      </c>
      <c r="E48" s="24">
        <f>2507.13</f>
        <v>2507.13</v>
      </c>
      <c r="F48" s="24">
        <f>2507.13</f>
        <v>2507.13</v>
      </c>
      <c r="G48" s="225">
        <f t="shared" si="14"/>
        <v>2557.2726000000002</v>
      </c>
      <c r="H48" s="224">
        <f t="shared" si="15"/>
        <v>2582.8453260000001</v>
      </c>
      <c r="I48" s="224">
        <f t="shared" si="15"/>
        <v>2608.6737792600002</v>
      </c>
      <c r="J48" s="27"/>
    </row>
    <row r="49" spans="1:10" x14ac:dyDescent="0.25">
      <c r="A49" s="21">
        <v>5306</v>
      </c>
      <c r="B49" s="22" t="s">
        <v>602</v>
      </c>
      <c r="C49" s="212">
        <f>789.6+13438</f>
        <v>14227.6</v>
      </c>
      <c r="D49" s="23">
        <f>26096+437.67</f>
        <v>26533.67</v>
      </c>
      <c r="E49" s="24">
        <f>6440+828.8</f>
        <v>7268.8</v>
      </c>
      <c r="F49" s="24">
        <f>6440+828.8</f>
        <v>7268.8</v>
      </c>
      <c r="G49" s="225">
        <f t="shared" si="14"/>
        <v>7414.1760000000004</v>
      </c>
      <c r="H49" s="224">
        <f t="shared" si="15"/>
        <v>7488.3177600000008</v>
      </c>
      <c r="I49" s="224">
        <f t="shared" si="15"/>
        <v>7563.2009376000005</v>
      </c>
      <c r="J49" s="27"/>
    </row>
    <row r="50" spans="1:10" x14ac:dyDescent="0.25">
      <c r="A50" s="21">
        <v>5307</v>
      </c>
      <c r="B50" s="22" t="s">
        <v>603</v>
      </c>
      <c r="C50" s="20">
        <f>110.7</f>
        <v>110.7</v>
      </c>
      <c r="D50" s="23">
        <v>983.2</v>
      </c>
      <c r="E50" s="24">
        <v>3874.63</v>
      </c>
      <c r="F50" s="24">
        <v>3874.63</v>
      </c>
      <c r="G50" s="225">
        <f t="shared" si="14"/>
        <v>3952.1226000000001</v>
      </c>
      <c r="H50" s="224">
        <f t="shared" si="15"/>
        <v>3991.643826</v>
      </c>
      <c r="I50" s="224">
        <f t="shared" si="15"/>
        <v>4031.5602642600002</v>
      </c>
      <c r="J50" s="27"/>
    </row>
    <row r="51" spans="1:10" x14ac:dyDescent="0.25">
      <c r="A51" s="21">
        <v>5308</v>
      </c>
      <c r="B51" s="22" t="s">
        <v>604</v>
      </c>
      <c r="C51" s="20">
        <f>10594.06+12257.53+23772.81+4494.45+1047+4343.59+6066.57+8415.6+1900</f>
        <v>72891.61</v>
      </c>
      <c r="D51" s="23">
        <f>9256.03+10581.15+20957.63+7380.18+3276.77+3256.8+4698.45+12341.58+962.5</f>
        <v>72711.09</v>
      </c>
      <c r="E51" s="24">
        <f>2785.34+6246.66+20448.92+2911.18+4603.37+1461.72</f>
        <v>38457.19</v>
      </c>
      <c r="F51" s="24">
        <f>2785.34+6246.66+20448.92+2911.18+4603.37+1461.72</f>
        <v>38457.19</v>
      </c>
      <c r="G51" s="225">
        <f t="shared" si="14"/>
        <v>39226.3338</v>
      </c>
      <c r="H51" s="224">
        <f t="shared" si="15"/>
        <v>39618.597137999997</v>
      </c>
      <c r="I51" s="224">
        <f t="shared" si="15"/>
        <v>40014.783109379998</v>
      </c>
      <c r="J51" s="27"/>
    </row>
    <row r="52" spans="1:10" x14ac:dyDescent="0.25">
      <c r="A52" s="21">
        <v>5314</v>
      </c>
      <c r="B52" s="22" t="s">
        <v>605</v>
      </c>
      <c r="C52" s="20">
        <f>1.7</f>
        <v>1.7</v>
      </c>
      <c r="D52" s="23"/>
      <c r="E52" s="24"/>
      <c r="F52" s="24"/>
      <c r="G52" s="26"/>
      <c r="H52" s="27"/>
      <c r="I52" s="27"/>
      <c r="J52" s="27"/>
    </row>
    <row r="53" spans="1:10" x14ac:dyDescent="0.25">
      <c r="A53" s="18">
        <v>56</v>
      </c>
      <c r="B53" s="28" t="s">
        <v>104</v>
      </c>
      <c r="C53" s="20"/>
      <c r="D53" s="23"/>
      <c r="E53" s="24"/>
      <c r="F53" s="24"/>
      <c r="G53" s="26"/>
      <c r="H53" s="27"/>
      <c r="I53" s="27"/>
      <c r="J53" s="27"/>
    </row>
    <row r="54" spans="1:10" x14ac:dyDescent="0.25">
      <c r="A54" s="21">
        <v>5601</v>
      </c>
      <c r="B54" s="22" t="s">
        <v>606</v>
      </c>
      <c r="C54" s="20">
        <v>771.73</v>
      </c>
      <c r="D54" s="23">
        <v>13093.79</v>
      </c>
      <c r="E54" s="24">
        <f>14812.38</f>
        <v>14812.38</v>
      </c>
      <c r="F54" s="24">
        <f>14812.38</f>
        <v>14812.38</v>
      </c>
      <c r="G54" s="225">
        <f t="shared" ref="G54:G61" si="16">SUM(F54*0.02)+F54</f>
        <v>15108.6276</v>
      </c>
      <c r="H54" s="224">
        <f t="shared" ref="H54:I61" si="17">SUM(G54*0.01)+G54</f>
        <v>15259.713876</v>
      </c>
      <c r="I54" s="224">
        <f t="shared" si="17"/>
        <v>15412.31101476</v>
      </c>
      <c r="J54" s="27"/>
    </row>
    <row r="55" spans="1:10" x14ac:dyDescent="0.25">
      <c r="A55" s="21">
        <v>5602</v>
      </c>
      <c r="B55" s="22" t="s">
        <v>607</v>
      </c>
      <c r="C55" s="212">
        <v>17767</v>
      </c>
      <c r="D55" s="23">
        <v>61369.69</v>
      </c>
      <c r="E55" s="24">
        <v>84092.7</v>
      </c>
      <c r="F55" s="24">
        <v>84092.7</v>
      </c>
      <c r="G55" s="225">
        <f t="shared" si="16"/>
        <v>85774.554000000004</v>
      </c>
      <c r="H55" s="224">
        <f t="shared" si="17"/>
        <v>86632.299540000007</v>
      </c>
      <c r="I55" s="224">
        <f t="shared" si="17"/>
        <v>87498.622535400005</v>
      </c>
      <c r="J55" s="27"/>
    </row>
    <row r="56" spans="1:10" x14ac:dyDescent="0.25">
      <c r="A56" s="18">
        <v>57</v>
      </c>
      <c r="B56" s="28" t="s">
        <v>105</v>
      </c>
      <c r="C56" s="20"/>
      <c r="D56" s="23"/>
      <c r="E56" s="24"/>
      <c r="F56" s="24"/>
      <c r="G56" s="26"/>
      <c r="H56" s="27"/>
      <c r="I56" s="27"/>
      <c r="J56" s="27"/>
    </row>
    <row r="57" spans="1:10" x14ac:dyDescent="0.25">
      <c r="A57" s="21">
        <v>5701</v>
      </c>
      <c r="B57" s="22" t="s">
        <v>608</v>
      </c>
      <c r="C57" s="20">
        <v>4777.13</v>
      </c>
      <c r="D57" s="23">
        <v>8610.77</v>
      </c>
      <c r="E57" s="24">
        <f>15484.28</f>
        <v>15484.28</v>
      </c>
      <c r="F57" s="24">
        <f>15484.28</f>
        <v>15484.28</v>
      </c>
      <c r="G57" s="225">
        <f t="shared" si="16"/>
        <v>15793.965600000001</v>
      </c>
      <c r="H57" s="224">
        <f t="shared" si="17"/>
        <v>15951.905256000002</v>
      </c>
      <c r="I57" s="224">
        <f t="shared" ref="I57" si="18">SUM(H57*0.01)+H57</f>
        <v>16111.424308560001</v>
      </c>
      <c r="J57" s="27"/>
    </row>
    <row r="58" spans="1:10" x14ac:dyDescent="0.25">
      <c r="A58" s="21">
        <v>5702</v>
      </c>
      <c r="B58" s="22" t="s">
        <v>609</v>
      </c>
      <c r="C58" s="20">
        <f>22917.76+2568.91+1308.09</f>
        <v>26794.76</v>
      </c>
      <c r="D58" s="23">
        <f>7872.52+2455.44+278.99</f>
        <v>10606.95</v>
      </c>
      <c r="E58" s="24">
        <f>75.07+2236.33+325.4</f>
        <v>2636.8</v>
      </c>
      <c r="F58" s="24">
        <f>75.07+2236.33+325.4</f>
        <v>2636.8</v>
      </c>
      <c r="G58" s="225">
        <f t="shared" si="16"/>
        <v>2689.5360000000001</v>
      </c>
      <c r="H58" s="224">
        <f t="shared" si="17"/>
        <v>2716.43136</v>
      </c>
      <c r="I58" s="224">
        <f t="shared" ref="I58:I61" si="19">SUM(H58*0.01)+H58</f>
        <v>2743.5956735999998</v>
      </c>
      <c r="J58" s="27"/>
    </row>
    <row r="59" spans="1:10" x14ac:dyDescent="0.25">
      <c r="A59" s="18">
        <v>58</v>
      </c>
      <c r="B59" s="28" t="s">
        <v>106</v>
      </c>
      <c r="C59" s="20"/>
      <c r="D59" s="23"/>
      <c r="E59" s="24"/>
      <c r="F59" s="24"/>
      <c r="G59" s="26"/>
      <c r="H59" s="27"/>
      <c r="I59" s="27"/>
      <c r="J59" s="27"/>
    </row>
    <row r="60" spans="1:10" x14ac:dyDescent="0.25">
      <c r="A60" s="21">
        <v>5801</v>
      </c>
      <c r="B60" s="22" t="s">
        <v>610</v>
      </c>
      <c r="C60" s="20">
        <v>40374.620000000003</v>
      </c>
      <c r="D60" s="23">
        <v>63103.63</v>
      </c>
      <c r="E60" s="24">
        <f>27610.48+25160.53</f>
        <v>52771.009999999995</v>
      </c>
      <c r="F60" s="24">
        <f>27610.48+25160.53</f>
        <v>52771.009999999995</v>
      </c>
      <c r="G60" s="225">
        <f t="shared" si="16"/>
        <v>53826.430199999995</v>
      </c>
      <c r="H60" s="224">
        <f t="shared" si="17"/>
        <v>54364.694501999998</v>
      </c>
      <c r="I60" s="224">
        <f t="shared" si="19"/>
        <v>54908.34144702</v>
      </c>
      <c r="J60" s="27"/>
    </row>
    <row r="61" spans="1:10" x14ac:dyDescent="0.25">
      <c r="A61" s="21">
        <v>5802</v>
      </c>
      <c r="B61" s="22" t="s">
        <v>611</v>
      </c>
      <c r="C61" s="20">
        <v>40231.660000000003</v>
      </c>
      <c r="D61" s="23">
        <v>309248.23</v>
      </c>
      <c r="E61" s="24">
        <f>11528.6</f>
        <v>11528.6</v>
      </c>
      <c r="F61" s="24">
        <f>11528.6</f>
        <v>11528.6</v>
      </c>
      <c r="G61" s="225">
        <f t="shared" si="16"/>
        <v>11759.172</v>
      </c>
      <c r="H61" s="224">
        <f t="shared" si="17"/>
        <v>11876.763720000001</v>
      </c>
      <c r="I61" s="224">
        <f t="shared" si="19"/>
        <v>11995.531357200001</v>
      </c>
      <c r="J61" s="27"/>
    </row>
    <row r="62" spans="1:10" ht="15.75" thickBot="1" x14ac:dyDescent="0.3">
      <c r="A62" s="18">
        <v>59</v>
      </c>
      <c r="B62" s="30" t="s">
        <v>107</v>
      </c>
      <c r="C62" s="20"/>
      <c r="D62" s="23"/>
      <c r="E62" s="24"/>
      <c r="F62" s="25"/>
      <c r="G62" s="26"/>
      <c r="H62" s="27"/>
      <c r="I62" s="27"/>
      <c r="J62" s="27"/>
    </row>
    <row r="63" spans="1:10" ht="15.75" x14ac:dyDescent="0.25">
      <c r="A63" s="171" t="s">
        <v>108</v>
      </c>
      <c r="B63" s="172"/>
      <c r="C63" s="219">
        <f>+C9-C33</f>
        <v>1185238.3200000003</v>
      </c>
      <c r="D63" s="219">
        <f>+D9-D33</f>
        <v>919007.44999999972</v>
      </c>
      <c r="E63" s="219">
        <f t="shared" ref="E63:I63" si="20">+E9-E33</f>
        <v>1998583.8</v>
      </c>
      <c r="F63" s="219">
        <f t="shared" si="20"/>
        <v>2067269.1199999999</v>
      </c>
      <c r="G63" s="219">
        <f t="shared" si="20"/>
        <v>2108614.5024000001</v>
      </c>
      <c r="H63" s="219">
        <f t="shared" si="20"/>
        <v>2129700.6474239994</v>
      </c>
      <c r="I63" s="219">
        <f t="shared" si="20"/>
        <v>2150997.6538982401</v>
      </c>
      <c r="J63" s="31"/>
    </row>
    <row r="64" spans="1:10" x14ac:dyDescent="0.25">
      <c r="A64" s="169" t="s">
        <v>109</v>
      </c>
      <c r="B64" s="173"/>
      <c r="C64" s="218">
        <f>SUM(C66:C71)</f>
        <v>3921248.17</v>
      </c>
      <c r="D64" s="218">
        <f>SUM(D66:D71)</f>
        <v>3996262.55</v>
      </c>
      <c r="E64" s="218">
        <f t="shared" ref="E64:I64" si="21">SUM(E66:E71)</f>
        <v>4291120.0600000005</v>
      </c>
      <c r="F64" s="218">
        <f t="shared" si="21"/>
        <v>4451385.8600000003</v>
      </c>
      <c r="G64" s="218">
        <f t="shared" si="21"/>
        <v>4540413.5772000002</v>
      </c>
      <c r="H64" s="218">
        <f t="shared" si="21"/>
        <v>4585817.7129719993</v>
      </c>
      <c r="I64" s="218">
        <f t="shared" si="21"/>
        <v>4631675.8901017196</v>
      </c>
      <c r="J64" s="32"/>
    </row>
    <row r="65" spans="1:10" x14ac:dyDescent="0.25">
      <c r="A65" s="18">
        <v>24</v>
      </c>
      <c r="B65" s="28" t="s">
        <v>590</v>
      </c>
      <c r="C65" s="213"/>
      <c r="D65" s="23"/>
      <c r="E65" s="24"/>
      <c r="F65" s="25"/>
      <c r="G65" s="26"/>
      <c r="H65" s="27"/>
      <c r="I65" s="27"/>
      <c r="J65" s="27"/>
    </row>
    <row r="66" spans="1:10" x14ac:dyDescent="0.25">
      <c r="A66" s="21">
        <v>2402</v>
      </c>
      <c r="B66" s="22" t="s">
        <v>591</v>
      </c>
      <c r="C66" s="213">
        <v>89109.74</v>
      </c>
      <c r="D66" s="210">
        <f>50683.78</f>
        <v>50683.78</v>
      </c>
      <c r="E66" s="211">
        <f>50715.66</f>
        <v>50715.66</v>
      </c>
      <c r="F66" s="211">
        <f>50715.66</f>
        <v>50715.66</v>
      </c>
      <c r="G66" s="225">
        <f t="shared" ref="G66:G71" si="22">SUM(F66*0.02)+F66</f>
        <v>51729.9732</v>
      </c>
      <c r="H66" s="224">
        <f t="shared" ref="H66:I71" si="23">SUM(G66*0.01)+G66</f>
        <v>52247.272932</v>
      </c>
      <c r="I66" s="224">
        <f t="shared" si="23"/>
        <v>52769.745661319997</v>
      </c>
      <c r="J66" s="27"/>
    </row>
    <row r="67" spans="1:10" x14ac:dyDescent="0.25">
      <c r="A67" s="18">
        <v>28</v>
      </c>
      <c r="B67" s="28" t="s">
        <v>110</v>
      </c>
      <c r="C67" s="213"/>
      <c r="D67" s="210"/>
      <c r="E67" s="211"/>
      <c r="F67" s="211"/>
      <c r="G67" s="26"/>
      <c r="H67" s="27"/>
      <c r="I67" s="27"/>
      <c r="J67" s="27"/>
    </row>
    <row r="68" spans="1:10" x14ac:dyDescent="0.25">
      <c r="A68" s="21">
        <v>2801</v>
      </c>
      <c r="B68" s="22" t="s">
        <v>592</v>
      </c>
      <c r="C68" s="215">
        <f>22000+122324.2+252762.74</f>
        <v>397086.94</v>
      </c>
      <c r="D68" s="210">
        <f>293925.79</f>
        <v>293925.78999999998</v>
      </c>
      <c r="E68" s="211">
        <f>90445.93+30008.4+837587.63</f>
        <v>958041.96</v>
      </c>
      <c r="F68" s="211">
        <f>90445.93+30008.4+837587.63</f>
        <v>958041.96</v>
      </c>
      <c r="G68" s="225">
        <f t="shared" si="22"/>
        <v>977202.79920000001</v>
      </c>
      <c r="H68" s="224">
        <f t="shared" si="23"/>
        <v>986974.827192</v>
      </c>
      <c r="I68" s="224">
        <f t="shared" ref="I68" si="24">SUM(H68*0.01)+H68</f>
        <v>996844.57546392002</v>
      </c>
      <c r="J68" s="27"/>
    </row>
    <row r="69" spans="1:10" x14ac:dyDescent="0.25">
      <c r="A69" s="21">
        <v>2803</v>
      </c>
      <c r="B69" s="22" t="s">
        <v>621</v>
      </c>
      <c r="C69" s="215"/>
      <c r="D69" s="210">
        <v>99693</v>
      </c>
      <c r="E69" s="211">
        <f>264235.68</f>
        <v>264235.68</v>
      </c>
      <c r="F69" s="211">
        <f>264235.68</f>
        <v>264235.68</v>
      </c>
      <c r="G69" s="225">
        <f t="shared" si="22"/>
        <v>269520.39360000001</v>
      </c>
      <c r="H69" s="224">
        <f t="shared" si="23"/>
        <v>272215.59753600002</v>
      </c>
      <c r="I69" s="224">
        <f t="shared" ref="I69" si="25">SUM(H69*0.01)+H69</f>
        <v>274937.75351136003</v>
      </c>
      <c r="J69" s="27"/>
    </row>
    <row r="70" spans="1:10" x14ac:dyDescent="0.25">
      <c r="A70" s="21">
        <v>2806</v>
      </c>
      <c r="B70" s="22" t="s">
        <v>593</v>
      </c>
      <c r="C70" s="213">
        <f>3118114.76</f>
        <v>3118114.76</v>
      </c>
      <c r="D70" s="210">
        <v>3362946.41</v>
      </c>
      <c r="E70" s="211">
        <f>3018030.57</f>
        <v>3018030.57</v>
      </c>
      <c r="F70" s="211">
        <v>3178296.37</v>
      </c>
      <c r="G70" s="225">
        <f t="shared" si="22"/>
        <v>3241862.2974</v>
      </c>
      <c r="H70" s="224">
        <f t="shared" si="23"/>
        <v>3274280.920374</v>
      </c>
      <c r="I70" s="224">
        <f t="shared" ref="I70" si="26">SUM(H70*0.01)+H70</f>
        <v>3307023.7295777402</v>
      </c>
      <c r="J70" s="27"/>
    </row>
    <row r="71" spans="1:10" x14ac:dyDescent="0.25">
      <c r="A71" s="216">
        <v>2810</v>
      </c>
      <c r="B71" s="22" t="s">
        <v>594</v>
      </c>
      <c r="C71" s="213">
        <f>316936.73</f>
        <v>316936.73</v>
      </c>
      <c r="D71" s="210">
        <v>189013.57</v>
      </c>
      <c r="E71" s="211">
        <f>96.19</f>
        <v>96.19</v>
      </c>
      <c r="F71" s="211">
        <f>96.19</f>
        <v>96.19</v>
      </c>
      <c r="G71" s="225">
        <f t="shared" si="22"/>
        <v>98.113799999999998</v>
      </c>
      <c r="H71" s="224">
        <f t="shared" si="23"/>
        <v>99.094937999999999</v>
      </c>
      <c r="I71" s="224">
        <f t="shared" ref="I71" si="27">SUM(H71*0.01)+H71</f>
        <v>100.08588738</v>
      </c>
      <c r="J71" s="27"/>
    </row>
    <row r="72" spans="1:10" ht="15.75" thickBot="1" x14ac:dyDescent="0.3">
      <c r="A72" s="169" t="s">
        <v>111</v>
      </c>
      <c r="B72" s="174"/>
      <c r="C72" s="218">
        <f>SUM(C74:C108)</f>
        <v>4612700.76</v>
      </c>
      <c r="D72" s="218">
        <f>SUM(D74:D108)</f>
        <v>5484051.330000001</v>
      </c>
      <c r="E72" s="218">
        <f t="shared" ref="E72:I72" si="28">SUM(E74:E108)</f>
        <v>6331326.2799999984</v>
      </c>
      <c r="F72" s="218">
        <f t="shared" si="28"/>
        <v>6331326.2799999984</v>
      </c>
      <c r="G72" s="218">
        <f t="shared" si="28"/>
        <v>6457952.8056000005</v>
      </c>
      <c r="H72" s="218">
        <f t="shared" si="28"/>
        <v>6522532.333655999</v>
      </c>
      <c r="I72" s="218">
        <f t="shared" si="28"/>
        <v>6587757.6569925593</v>
      </c>
      <c r="J72" s="32"/>
    </row>
    <row r="73" spans="1:10" x14ac:dyDescent="0.25">
      <c r="A73" s="18" t="s">
        <v>112</v>
      </c>
      <c r="B73" s="19" t="s">
        <v>113</v>
      </c>
      <c r="C73" s="20"/>
      <c r="D73" s="23"/>
      <c r="E73" s="24"/>
      <c r="F73" s="25"/>
      <c r="G73" s="26"/>
      <c r="H73" s="27"/>
      <c r="I73" s="27"/>
      <c r="J73" s="27"/>
    </row>
    <row r="74" spans="1:10" x14ac:dyDescent="0.25">
      <c r="A74" s="18" t="s">
        <v>114</v>
      </c>
      <c r="B74" s="28" t="s">
        <v>115</v>
      </c>
      <c r="C74" s="20"/>
      <c r="D74" s="23"/>
      <c r="E74" s="24"/>
      <c r="F74" s="25"/>
      <c r="G74" s="26"/>
      <c r="H74" s="27"/>
      <c r="I74" s="27"/>
      <c r="J74" s="27"/>
    </row>
    <row r="75" spans="1:10" x14ac:dyDescent="0.25">
      <c r="A75" s="216">
        <v>6312</v>
      </c>
      <c r="B75" s="22" t="s">
        <v>613</v>
      </c>
      <c r="C75" s="212">
        <f>10421.6</f>
        <v>10421.6</v>
      </c>
      <c r="D75" s="223">
        <v>7280</v>
      </c>
      <c r="E75" s="24">
        <v>11278.4</v>
      </c>
      <c r="F75" s="24">
        <v>11278.4</v>
      </c>
      <c r="G75" s="225">
        <f t="shared" ref="G75" si="29">SUM(F75*0.02)+F75</f>
        <v>11503.967999999999</v>
      </c>
      <c r="H75" s="224">
        <f t="shared" ref="H75:I75" si="30">SUM(G75*0.01)+G75</f>
        <v>11619.007679999999</v>
      </c>
      <c r="I75" s="224">
        <f t="shared" si="30"/>
        <v>11735.197756799998</v>
      </c>
      <c r="J75" s="27"/>
    </row>
    <row r="76" spans="1:10" x14ac:dyDescent="0.25">
      <c r="A76" s="18" t="s">
        <v>116</v>
      </c>
      <c r="B76" s="28" t="s">
        <v>117</v>
      </c>
      <c r="C76" s="20"/>
      <c r="D76" s="23"/>
      <c r="E76" s="24"/>
      <c r="F76" s="24"/>
      <c r="G76" s="26"/>
      <c r="H76" s="27"/>
      <c r="I76" s="27"/>
      <c r="J76" s="27"/>
    </row>
    <row r="77" spans="1:10" x14ac:dyDescent="0.25">
      <c r="A77" s="18">
        <v>71</v>
      </c>
      <c r="B77" s="28" t="s">
        <v>118</v>
      </c>
      <c r="C77" s="20"/>
      <c r="D77" s="23"/>
      <c r="E77" s="24"/>
      <c r="F77" s="24"/>
      <c r="G77" s="26"/>
      <c r="H77" s="27"/>
      <c r="I77" s="27"/>
      <c r="J77" s="27"/>
    </row>
    <row r="78" spans="1:10" x14ac:dyDescent="0.25">
      <c r="A78" s="21">
        <v>7101</v>
      </c>
      <c r="B78" s="22" t="s">
        <v>95</v>
      </c>
      <c r="C78" s="20">
        <f>292985.07+773462.85</f>
        <v>1066447.92</v>
      </c>
      <c r="D78" s="23">
        <f>308555.23+903698.87</f>
        <v>1212254.1000000001</v>
      </c>
      <c r="E78" s="24">
        <f>417088.83+1110810.42</f>
        <v>1527899.25</v>
      </c>
      <c r="F78" s="24">
        <f>417088.83+1110810.42</f>
        <v>1527899.25</v>
      </c>
      <c r="G78" s="225">
        <f t="shared" ref="G78:G84" si="31">SUM(F78*0.02)+F78</f>
        <v>1558457.2350000001</v>
      </c>
      <c r="H78" s="224">
        <f t="shared" ref="H78:I84" si="32">SUM(G78*0.01)+G78</f>
        <v>1574041.8073500001</v>
      </c>
      <c r="I78" s="224">
        <f t="shared" si="32"/>
        <v>1589782.2254235002</v>
      </c>
      <c r="J78" s="27"/>
    </row>
    <row r="79" spans="1:10" x14ac:dyDescent="0.25">
      <c r="A79" s="21">
        <v>7102</v>
      </c>
      <c r="B79" s="22" t="s">
        <v>96</v>
      </c>
      <c r="C79" s="20">
        <f>105122.73+58555.61</f>
        <v>163678.34</v>
      </c>
      <c r="D79" s="23">
        <f>108349.18+63524.01</f>
        <v>171873.19</v>
      </c>
      <c r="E79" s="24">
        <f>152054.28+88832.73</f>
        <v>240887.01</v>
      </c>
      <c r="F79" s="24">
        <f>152054.28+88832.73</f>
        <v>240887.01</v>
      </c>
      <c r="G79" s="225">
        <f t="shared" si="31"/>
        <v>245704.75020000001</v>
      </c>
      <c r="H79" s="224">
        <f t="shared" si="32"/>
        <v>248161.79770200001</v>
      </c>
      <c r="I79" s="224">
        <f t="shared" si="32"/>
        <v>250643.41567902002</v>
      </c>
      <c r="J79" s="27"/>
    </row>
    <row r="80" spans="1:10" x14ac:dyDescent="0.25">
      <c r="A80" s="21">
        <v>7103</v>
      </c>
      <c r="B80" s="22" t="s">
        <v>97</v>
      </c>
      <c r="C80" s="20"/>
      <c r="D80" s="23"/>
      <c r="E80" s="24">
        <f>15261.5+93447.66</f>
        <v>108709.16</v>
      </c>
      <c r="F80" s="24">
        <f>15261.5+93447.66</f>
        <v>108709.16</v>
      </c>
      <c r="G80" s="225">
        <f t="shared" si="31"/>
        <v>110883.3432</v>
      </c>
      <c r="H80" s="224">
        <f t="shared" si="32"/>
        <v>111992.176632</v>
      </c>
      <c r="I80" s="224">
        <f t="shared" si="32"/>
        <v>113112.09839832</v>
      </c>
      <c r="J80" s="27"/>
    </row>
    <row r="81" spans="1:10" x14ac:dyDescent="0.25">
      <c r="A81" s="21">
        <v>7104</v>
      </c>
      <c r="B81" s="22" t="s">
        <v>98</v>
      </c>
      <c r="C81" s="20"/>
      <c r="D81" s="23"/>
      <c r="E81" s="24">
        <f>81.42+13120.25+189224.87</f>
        <v>202426.54</v>
      </c>
      <c r="F81" s="24">
        <f>81.42+13120.25+189224.87</f>
        <v>202426.54</v>
      </c>
      <c r="G81" s="225">
        <f t="shared" si="31"/>
        <v>206475.07080000002</v>
      </c>
      <c r="H81" s="224">
        <f t="shared" si="32"/>
        <v>208539.82150800002</v>
      </c>
      <c r="I81" s="224">
        <f t="shared" si="32"/>
        <v>210625.21972308002</v>
      </c>
      <c r="J81" s="27"/>
    </row>
    <row r="82" spans="1:10" x14ac:dyDescent="0.25">
      <c r="A82" s="21">
        <v>7105</v>
      </c>
      <c r="B82" s="22" t="s">
        <v>99</v>
      </c>
      <c r="C82" s="20">
        <f>168472.81+244144.61</f>
        <v>412617.42</v>
      </c>
      <c r="D82" s="23">
        <f>136925.29+245206.37</f>
        <v>382131.66000000003</v>
      </c>
      <c r="E82" s="24">
        <f>155749.7+552388.57</f>
        <v>708138.27</v>
      </c>
      <c r="F82" s="24">
        <f>155749.7+552388.57</f>
        <v>708138.27</v>
      </c>
      <c r="G82" s="225">
        <f t="shared" si="31"/>
        <v>722301.03540000005</v>
      </c>
      <c r="H82" s="224">
        <f t="shared" si="32"/>
        <v>729524.04575400008</v>
      </c>
      <c r="I82" s="224">
        <f t="shared" si="32"/>
        <v>736819.28621154011</v>
      </c>
      <c r="J82" s="27"/>
    </row>
    <row r="83" spans="1:10" x14ac:dyDescent="0.25">
      <c r="A83" s="21">
        <v>7106</v>
      </c>
      <c r="B83" s="22" t="s">
        <v>100</v>
      </c>
      <c r="C83" s="20">
        <f>140111.52+88953.55</f>
        <v>229065.07</v>
      </c>
      <c r="D83" s="23">
        <f>162746.95+94726.2</f>
        <v>257473.15000000002</v>
      </c>
      <c r="E83" s="24">
        <f>210590.63+133891.31</f>
        <v>344481.94</v>
      </c>
      <c r="F83" s="24">
        <f>210590.63+133891.31</f>
        <v>344481.94</v>
      </c>
      <c r="G83" s="225">
        <f t="shared" si="31"/>
        <v>351371.57880000002</v>
      </c>
      <c r="H83" s="224">
        <f t="shared" si="32"/>
        <v>354885.29458799999</v>
      </c>
      <c r="I83" s="224">
        <f t="shared" si="32"/>
        <v>358434.14753387996</v>
      </c>
      <c r="J83" s="27"/>
    </row>
    <row r="84" spans="1:10" x14ac:dyDescent="0.25">
      <c r="A84" s="21">
        <v>7107</v>
      </c>
      <c r="B84" s="22" t="s">
        <v>101</v>
      </c>
      <c r="C84" s="20"/>
      <c r="D84" s="23">
        <f>4356.28</f>
        <v>4356.28</v>
      </c>
      <c r="E84" s="224">
        <v>75000</v>
      </c>
      <c r="F84" s="224">
        <v>75000</v>
      </c>
      <c r="G84" s="225">
        <f t="shared" si="31"/>
        <v>76500</v>
      </c>
      <c r="H84" s="224">
        <f t="shared" si="32"/>
        <v>77265</v>
      </c>
      <c r="I84" s="224">
        <f t="shared" si="32"/>
        <v>78037.649999999994</v>
      </c>
      <c r="J84" s="27"/>
    </row>
    <row r="85" spans="1:10" x14ac:dyDescent="0.25">
      <c r="A85" s="21">
        <v>7199</v>
      </c>
      <c r="B85" s="22" t="s">
        <v>102</v>
      </c>
      <c r="C85" s="20"/>
      <c r="D85" s="23"/>
      <c r="E85" s="24"/>
      <c r="F85" s="24"/>
      <c r="G85" s="26"/>
      <c r="H85" s="27"/>
      <c r="I85" s="27"/>
      <c r="J85" s="27"/>
    </row>
    <row r="86" spans="1:10" x14ac:dyDescent="0.25">
      <c r="A86" s="18">
        <v>73</v>
      </c>
      <c r="B86" s="28" t="s">
        <v>119</v>
      </c>
      <c r="C86" s="20"/>
      <c r="D86" s="23"/>
      <c r="E86" s="24"/>
      <c r="F86" s="24"/>
      <c r="G86" s="26"/>
      <c r="H86" s="27"/>
      <c r="I86" s="27"/>
      <c r="J86" s="27"/>
    </row>
    <row r="87" spans="1:10" x14ac:dyDescent="0.25">
      <c r="A87" s="21">
        <v>7301</v>
      </c>
      <c r="B87" s="22" t="s">
        <v>597</v>
      </c>
      <c r="C87" s="20">
        <f>435690.91</f>
        <v>435690.91</v>
      </c>
      <c r="D87" s="23">
        <f>277564.59</f>
        <v>277564.59000000003</v>
      </c>
      <c r="E87" s="24">
        <f>230905.77</f>
        <v>230905.77</v>
      </c>
      <c r="F87" s="24">
        <f>230905.77</f>
        <v>230905.77</v>
      </c>
      <c r="G87" s="225">
        <f t="shared" ref="G87:G94" si="33">SUM(F87*0.02)+F87</f>
        <v>235523.8854</v>
      </c>
      <c r="H87" s="224">
        <f t="shared" ref="H87:I94" si="34">SUM(G87*0.01)+G87</f>
        <v>237879.12425399999</v>
      </c>
      <c r="I87" s="224">
        <f t="shared" si="34"/>
        <v>240257.91549653999</v>
      </c>
      <c r="J87" s="27"/>
    </row>
    <row r="88" spans="1:10" x14ac:dyDescent="0.25">
      <c r="A88" s="21">
        <v>7302</v>
      </c>
      <c r="B88" s="22" t="s">
        <v>598</v>
      </c>
      <c r="C88" s="20">
        <f>1128.92+230.94+4</f>
        <v>1363.8600000000001</v>
      </c>
      <c r="D88" s="23">
        <f>1686.56+1290.14</f>
        <v>2976.7</v>
      </c>
      <c r="E88" s="24">
        <f>14211.97+2173.61+53365.07+87687.14</f>
        <v>157437.78999999998</v>
      </c>
      <c r="F88" s="24">
        <f>14211.97+2173.61+53365.07+87687.14</f>
        <v>157437.78999999998</v>
      </c>
      <c r="G88" s="225">
        <f t="shared" si="33"/>
        <v>160586.54579999999</v>
      </c>
      <c r="H88" s="224">
        <f t="shared" si="34"/>
        <v>162192.41125799998</v>
      </c>
      <c r="I88" s="224">
        <f t="shared" si="34"/>
        <v>163814.33537057997</v>
      </c>
      <c r="J88" s="27"/>
    </row>
    <row r="89" spans="1:10" x14ac:dyDescent="0.25">
      <c r="A89" s="21">
        <v>7303</v>
      </c>
      <c r="B89" s="22" t="s">
        <v>599</v>
      </c>
      <c r="C89" s="20">
        <f>166.89+2126.91</f>
        <v>2293.7999999999997</v>
      </c>
      <c r="D89" s="23">
        <f>673.26+296.4</f>
        <v>969.66</v>
      </c>
      <c r="E89" s="24">
        <f>286+1639.75</f>
        <v>1925.75</v>
      </c>
      <c r="F89" s="24">
        <f>286+1639.75</f>
        <v>1925.75</v>
      </c>
      <c r="G89" s="225">
        <f t="shared" si="33"/>
        <v>1964.2650000000001</v>
      </c>
      <c r="H89" s="224">
        <f t="shared" si="34"/>
        <v>1983.9076500000001</v>
      </c>
      <c r="I89" s="224">
        <f t="shared" si="34"/>
        <v>2003.7467265</v>
      </c>
      <c r="J89" s="27"/>
    </row>
    <row r="90" spans="1:10" x14ac:dyDescent="0.25">
      <c r="A90" s="21">
        <v>7304</v>
      </c>
      <c r="B90" s="22" t="s">
        <v>600</v>
      </c>
      <c r="C90" s="20">
        <f>17431.24+11104.43</f>
        <v>28535.670000000002</v>
      </c>
      <c r="D90" s="23">
        <f>19945.81+3265.3</f>
        <v>23211.11</v>
      </c>
      <c r="E90" s="24">
        <f>11935.51+2210.14</f>
        <v>14145.65</v>
      </c>
      <c r="F90" s="24">
        <f>11935.51+2210.14</f>
        <v>14145.65</v>
      </c>
      <c r="G90" s="225">
        <f t="shared" si="33"/>
        <v>14428.563</v>
      </c>
      <c r="H90" s="224">
        <f t="shared" si="34"/>
        <v>14572.84863</v>
      </c>
      <c r="I90" s="224">
        <f t="shared" si="34"/>
        <v>14718.577116300001</v>
      </c>
      <c r="J90" s="27"/>
    </row>
    <row r="91" spans="1:10" x14ac:dyDescent="0.25">
      <c r="A91" s="21">
        <v>7306</v>
      </c>
      <c r="B91" s="22" t="s">
        <v>602</v>
      </c>
      <c r="C91" s="20">
        <f>28382.35+2420+9950.3</f>
        <v>40752.649999999994</v>
      </c>
      <c r="D91" s="23">
        <f>21105.53</f>
        <v>21105.53</v>
      </c>
      <c r="E91" s="224">
        <f>448+5214.72</f>
        <v>5662.72</v>
      </c>
      <c r="F91" s="224">
        <f>448+5214.72</f>
        <v>5662.72</v>
      </c>
      <c r="G91" s="225">
        <f t="shared" si="33"/>
        <v>5775.9744000000001</v>
      </c>
      <c r="H91" s="224">
        <f t="shared" si="34"/>
        <v>5833.734144</v>
      </c>
      <c r="I91" s="224">
        <f t="shared" si="34"/>
        <v>5892.0714854400003</v>
      </c>
      <c r="J91" s="27"/>
    </row>
    <row r="92" spans="1:10" x14ac:dyDescent="0.25">
      <c r="A92" s="21">
        <v>7308</v>
      </c>
      <c r="B92" s="22" t="s">
        <v>614</v>
      </c>
      <c r="C92" s="20">
        <f>34955.8+14470.09+4020.81+1077.35+2428.67+1820.37+3092.73+13435.89+44388.07+2417.83+28006.5+40618.96</f>
        <v>190733.06999999998</v>
      </c>
      <c r="D92" s="23">
        <f>26516.43+31675.01+4161.68+2001.85+4346.71+952.32+440+11519.03+130589.71+5734.04+61417.23</f>
        <v>279354.01</v>
      </c>
      <c r="E92" s="24">
        <f>56871.2+42382.59+4110.62+1105.19+2116.94+353.66+189.71+14236.98+95790.65+143883.77+2376.59+60481.32</f>
        <v>423899.22</v>
      </c>
      <c r="F92" s="24">
        <f>56871.2+42382.59+4110.62+1105.19+2116.94+353.66+189.71+14236.98+95790.65+143883.77+2376.59+60481.32</f>
        <v>423899.22</v>
      </c>
      <c r="G92" s="225">
        <f t="shared" si="33"/>
        <v>432377.20439999999</v>
      </c>
      <c r="H92" s="224">
        <f t="shared" si="34"/>
        <v>436700.97644399997</v>
      </c>
      <c r="I92" s="224">
        <f t="shared" si="34"/>
        <v>441067.98620843998</v>
      </c>
      <c r="J92" s="27"/>
    </row>
    <row r="93" spans="1:10" x14ac:dyDescent="0.25">
      <c r="A93" s="18">
        <v>75</v>
      </c>
      <c r="B93" s="28" t="s">
        <v>120</v>
      </c>
      <c r="C93" s="20"/>
      <c r="D93" s="23"/>
      <c r="E93" s="24"/>
      <c r="F93" s="24"/>
      <c r="G93" s="26"/>
      <c r="H93" s="27"/>
      <c r="I93" s="27"/>
      <c r="J93" s="27"/>
    </row>
    <row r="94" spans="1:10" x14ac:dyDescent="0.25">
      <c r="A94" s="21">
        <v>7501</v>
      </c>
      <c r="B94" s="22" t="s">
        <v>121</v>
      </c>
      <c r="C94" s="20">
        <f>123838.08+149472.69+133447.62+354967.77+600387.78</f>
        <v>1362113.94</v>
      </c>
      <c r="D94" s="23">
        <f>993690.92+314491.65+202420.45+249716.17+481908.31</f>
        <v>2242227.5</v>
      </c>
      <c r="E94" s="24">
        <f>322871.49+95526.82+80750.43+516176.27+177953.16</f>
        <v>1193278.17</v>
      </c>
      <c r="F94" s="24">
        <f>322871.49+95526.82+80750.43+516176.27+177953.16</f>
        <v>1193278.17</v>
      </c>
      <c r="G94" s="225">
        <f t="shared" si="33"/>
        <v>1217143.7334</v>
      </c>
      <c r="H94" s="224">
        <f t="shared" si="34"/>
        <v>1229315.1707339999</v>
      </c>
      <c r="I94" s="224">
        <f t="shared" si="34"/>
        <v>1241608.32244134</v>
      </c>
      <c r="J94" s="27"/>
    </row>
    <row r="95" spans="1:10" x14ac:dyDescent="0.25">
      <c r="A95" s="21">
        <v>7502</v>
      </c>
      <c r="B95" s="22" t="s">
        <v>122</v>
      </c>
      <c r="C95" s="20"/>
      <c r="D95" s="23"/>
      <c r="E95" s="24"/>
      <c r="F95" s="24"/>
      <c r="G95" s="26"/>
      <c r="H95" s="27"/>
      <c r="I95" s="27"/>
      <c r="J95" s="27"/>
    </row>
    <row r="96" spans="1:10" x14ac:dyDescent="0.25">
      <c r="A96" s="21">
        <v>7503</v>
      </c>
      <c r="B96" s="22" t="s">
        <v>123</v>
      </c>
      <c r="C96" s="20"/>
      <c r="D96" s="23"/>
      <c r="E96" s="24"/>
      <c r="F96" s="24"/>
      <c r="G96" s="26"/>
      <c r="H96" s="27"/>
      <c r="I96" s="27"/>
      <c r="J96" s="27"/>
    </row>
    <row r="97" spans="1:10" x14ac:dyDescent="0.25">
      <c r="A97" s="21">
        <v>7504</v>
      </c>
      <c r="B97" s="22" t="s">
        <v>124</v>
      </c>
      <c r="C97" s="20">
        <f>8636.71</f>
        <v>8636.7099999999991</v>
      </c>
      <c r="D97" s="23">
        <f>1337.63</f>
        <v>1337.63</v>
      </c>
      <c r="E97" s="24">
        <f>12892.63</f>
        <v>12892.63</v>
      </c>
      <c r="F97" s="24">
        <f>12892.63</f>
        <v>12892.63</v>
      </c>
      <c r="G97" s="225">
        <f t="shared" ref="G97:G98" si="35">SUM(F97*0.02)+F97</f>
        <v>13150.482599999999</v>
      </c>
      <c r="H97" s="224">
        <f t="shared" ref="H97:I98" si="36">SUM(G97*0.01)+G97</f>
        <v>13281.987426</v>
      </c>
      <c r="I97" s="224">
        <f t="shared" si="36"/>
        <v>13414.807300259999</v>
      </c>
      <c r="J97" s="27"/>
    </row>
    <row r="98" spans="1:10" x14ac:dyDescent="0.25">
      <c r="A98" s="21">
        <v>7505</v>
      </c>
      <c r="B98" s="22" t="s">
        <v>125</v>
      </c>
      <c r="C98" s="20">
        <f>10168.12+58593.79</f>
        <v>68761.91</v>
      </c>
      <c r="D98" s="23">
        <f>154664.04+50264.76</f>
        <v>204928.80000000002</v>
      </c>
      <c r="E98" s="24">
        <f>7867.61+44688.69</f>
        <v>52556.3</v>
      </c>
      <c r="F98" s="24">
        <f>7867.61+44688.69</f>
        <v>52556.3</v>
      </c>
      <c r="G98" s="225">
        <f t="shared" si="35"/>
        <v>53607.425999999999</v>
      </c>
      <c r="H98" s="224">
        <f t="shared" si="36"/>
        <v>54143.500260000001</v>
      </c>
      <c r="I98" s="224">
        <f t="shared" si="36"/>
        <v>54684.935262600004</v>
      </c>
      <c r="J98" s="27"/>
    </row>
    <row r="99" spans="1:10" x14ac:dyDescent="0.25">
      <c r="A99" s="21">
        <v>7599</v>
      </c>
      <c r="B99" s="22" t="s">
        <v>102</v>
      </c>
      <c r="C99" s="20"/>
      <c r="D99" s="23"/>
      <c r="E99" s="24"/>
      <c r="F99" s="24"/>
      <c r="G99" s="26"/>
      <c r="H99" s="27"/>
      <c r="I99" s="27"/>
      <c r="J99" s="27"/>
    </row>
    <row r="100" spans="1:10" x14ac:dyDescent="0.25">
      <c r="A100" s="18">
        <v>77</v>
      </c>
      <c r="B100" s="35" t="s">
        <v>126</v>
      </c>
      <c r="C100" s="20"/>
      <c r="D100" s="23"/>
      <c r="E100" s="24"/>
      <c r="F100" s="24"/>
      <c r="G100" s="26"/>
      <c r="H100" s="27"/>
      <c r="I100" s="27"/>
      <c r="J100" s="27"/>
    </row>
    <row r="101" spans="1:10" x14ac:dyDescent="0.25">
      <c r="A101" s="21">
        <v>7702</v>
      </c>
      <c r="B101" s="22" t="s">
        <v>624</v>
      </c>
      <c r="C101" s="20"/>
      <c r="D101" s="23"/>
      <c r="E101" s="24">
        <v>56113.87</v>
      </c>
      <c r="F101" s="24">
        <v>56113.87</v>
      </c>
      <c r="G101" s="225">
        <f t="shared" ref="G101:G107" si="37">SUM(F101*0.02)+F101</f>
        <v>57236.147400000002</v>
      </c>
      <c r="H101" s="224">
        <f t="shared" ref="H101:I107" si="38">SUM(G101*0.01)+G101</f>
        <v>57808.508873999999</v>
      </c>
      <c r="I101" s="224">
        <f t="shared" si="38"/>
        <v>58386.59396274</v>
      </c>
      <c r="J101" s="27"/>
    </row>
    <row r="102" spans="1:10" x14ac:dyDescent="0.25">
      <c r="A102" s="18">
        <v>78</v>
      </c>
      <c r="B102" s="28" t="s">
        <v>127</v>
      </c>
      <c r="C102" s="20"/>
      <c r="D102" s="23"/>
      <c r="E102" s="24"/>
      <c r="F102" s="24"/>
      <c r="G102" s="26"/>
      <c r="H102" s="27"/>
      <c r="I102" s="27"/>
      <c r="J102" s="27"/>
    </row>
    <row r="103" spans="1:10" x14ac:dyDescent="0.25">
      <c r="A103" s="21">
        <v>7801</v>
      </c>
      <c r="B103" s="22" t="s">
        <v>615</v>
      </c>
      <c r="C103" s="20">
        <f>265947.26</f>
        <v>265947.26</v>
      </c>
      <c r="D103" s="23">
        <f>321010.45</f>
        <v>321010.45</v>
      </c>
      <c r="E103" s="24">
        <f>787643.89</f>
        <v>787643.89</v>
      </c>
      <c r="F103" s="24">
        <f>787643.89</f>
        <v>787643.89</v>
      </c>
      <c r="G103" s="225">
        <f t="shared" si="37"/>
        <v>803396.76780000003</v>
      </c>
      <c r="H103" s="224">
        <f t="shared" si="38"/>
        <v>811430.73547800002</v>
      </c>
      <c r="I103" s="224">
        <f t="shared" ref="I103" si="39">SUM(H103*0.01)+H103</f>
        <v>819545.04283278005</v>
      </c>
      <c r="J103" s="27"/>
    </row>
    <row r="104" spans="1:10" x14ac:dyDescent="0.25">
      <c r="A104" s="21">
        <v>7802</v>
      </c>
      <c r="B104" s="22" t="s">
        <v>616</v>
      </c>
      <c r="C104" s="20">
        <f>29815.81</f>
        <v>29815.81</v>
      </c>
      <c r="D104" s="23">
        <f>30265.23</f>
        <v>30265.23</v>
      </c>
      <c r="E104" s="24">
        <v>29076.06</v>
      </c>
      <c r="F104" s="24">
        <v>29076.06</v>
      </c>
      <c r="G104" s="225">
        <f t="shared" si="37"/>
        <v>29657.581200000001</v>
      </c>
      <c r="H104" s="224">
        <f t="shared" si="38"/>
        <v>29954.157012</v>
      </c>
      <c r="I104" s="224">
        <f t="shared" ref="I104:I107" si="40">SUM(H104*0.01)+H104</f>
        <v>30253.69858212</v>
      </c>
      <c r="J104" s="27"/>
    </row>
    <row r="105" spans="1:10" x14ac:dyDescent="0.25">
      <c r="A105" s="18">
        <v>84</v>
      </c>
      <c r="B105" s="28" t="s">
        <v>128</v>
      </c>
      <c r="C105" s="20"/>
      <c r="D105" s="23"/>
      <c r="E105" s="24"/>
      <c r="F105" s="24"/>
      <c r="G105" s="26"/>
      <c r="H105" s="27"/>
      <c r="I105" s="27"/>
      <c r="J105" s="27"/>
    </row>
    <row r="106" spans="1:10" x14ac:dyDescent="0.25">
      <c r="A106" s="21">
        <v>8401</v>
      </c>
      <c r="B106" s="22" t="s">
        <v>617</v>
      </c>
      <c r="C106" s="36">
        <f>9859.24+186371.8+4128.04+58972.5</f>
        <v>259331.58</v>
      </c>
      <c r="D106" s="23">
        <f>6149.56+27300.2+1010.21+9271.77</f>
        <v>43731.740000000005</v>
      </c>
      <c r="E106" s="24">
        <f>11643.91+110997.09+1529.32+20282.31</f>
        <v>144452.63</v>
      </c>
      <c r="F106" s="24">
        <f>11643.91+110997.09+1529.32+20282.31</f>
        <v>144452.63</v>
      </c>
      <c r="G106" s="225">
        <f t="shared" si="37"/>
        <v>147341.6826</v>
      </c>
      <c r="H106" s="224">
        <f t="shared" si="38"/>
        <v>148815.099426</v>
      </c>
      <c r="I106" s="224">
        <f t="shared" si="40"/>
        <v>150303.25042026001</v>
      </c>
      <c r="J106" s="27"/>
    </row>
    <row r="107" spans="1:10" x14ac:dyDescent="0.25">
      <c r="A107" s="21">
        <v>8403</v>
      </c>
      <c r="B107" s="22" t="s">
        <v>618</v>
      </c>
      <c r="C107" s="36">
        <f>36493.24</f>
        <v>36493.24</v>
      </c>
      <c r="D107" s="23"/>
      <c r="E107" s="24">
        <v>2515.2600000000002</v>
      </c>
      <c r="F107" s="24">
        <v>2515.2600000000002</v>
      </c>
      <c r="G107" s="225">
        <f t="shared" si="37"/>
        <v>2565.5652</v>
      </c>
      <c r="H107" s="224">
        <f t="shared" si="38"/>
        <v>2591.2208519999999</v>
      </c>
      <c r="I107" s="224">
        <f t="shared" si="40"/>
        <v>2617.1330605200001</v>
      </c>
      <c r="J107" s="27"/>
    </row>
    <row r="108" spans="1:10" ht="15.75" thickBot="1" x14ac:dyDescent="0.3">
      <c r="A108" s="18">
        <v>88</v>
      </c>
      <c r="B108" s="30" t="s">
        <v>129</v>
      </c>
      <c r="C108" s="36"/>
      <c r="D108" s="23"/>
      <c r="E108" s="24"/>
      <c r="F108" s="24"/>
      <c r="G108" s="26"/>
      <c r="H108" s="27"/>
      <c r="I108" s="27"/>
      <c r="J108" s="27"/>
    </row>
    <row r="109" spans="1:10" x14ac:dyDescent="0.25">
      <c r="A109" s="171" t="s">
        <v>130</v>
      </c>
      <c r="B109" s="172"/>
      <c r="C109" s="220">
        <f>C64-C72</f>
        <v>-691452.58999999985</v>
      </c>
      <c r="D109" s="220">
        <f>D64-D72</f>
        <v>-1487788.7800000012</v>
      </c>
      <c r="E109" s="220">
        <f t="shared" ref="E109:I109" si="41">E64-E72</f>
        <v>-2040206.2199999979</v>
      </c>
      <c r="F109" s="220">
        <f t="shared" si="41"/>
        <v>-1879940.4199999981</v>
      </c>
      <c r="G109" s="220">
        <f t="shared" si="41"/>
        <v>-1917539.2284000004</v>
      </c>
      <c r="H109" s="220">
        <f t="shared" si="41"/>
        <v>-1936714.6206839997</v>
      </c>
      <c r="I109" s="220">
        <f t="shared" si="41"/>
        <v>-1956081.7668908397</v>
      </c>
      <c r="J109" s="37"/>
    </row>
    <row r="110" spans="1:10" x14ac:dyDescent="0.25">
      <c r="A110" s="175" t="s">
        <v>131</v>
      </c>
      <c r="B110" s="176"/>
      <c r="C110" s="38">
        <f>+C63+C109</f>
        <v>493785.73000000045</v>
      </c>
      <c r="D110" s="38">
        <f>+D63+D109</f>
        <v>-568781.33000000147</v>
      </c>
      <c r="E110" s="38">
        <f t="shared" ref="E110:I110" si="42">+E63+E109</f>
        <v>-41622.41999999783</v>
      </c>
      <c r="F110" s="38">
        <f t="shared" si="42"/>
        <v>187328.70000000182</v>
      </c>
      <c r="G110" s="38">
        <f t="shared" si="42"/>
        <v>191075.27399999974</v>
      </c>
      <c r="H110" s="38">
        <f t="shared" si="42"/>
        <v>192986.02673999965</v>
      </c>
      <c r="I110" s="38">
        <f t="shared" si="42"/>
        <v>194915.88700740039</v>
      </c>
      <c r="J110" s="38"/>
    </row>
    <row r="111" spans="1:10" x14ac:dyDescent="0.25">
      <c r="A111" s="177" t="s">
        <v>132</v>
      </c>
      <c r="B111" s="174"/>
      <c r="C111" s="218">
        <f>SUM(C112:C118)</f>
        <v>1262350.0799999998</v>
      </c>
      <c r="D111" s="218">
        <f>SUM(D112:D118)</f>
        <v>1075800.7</v>
      </c>
      <c r="E111" s="218">
        <f t="shared" ref="E111:I111" si="43">SUM(E112:E118)</f>
        <v>1163967.67</v>
      </c>
      <c r="F111" s="218">
        <f t="shared" si="43"/>
        <v>723078.37</v>
      </c>
      <c r="G111" s="218">
        <f t="shared" si="43"/>
        <v>664839.93739999994</v>
      </c>
      <c r="H111" s="218">
        <f t="shared" si="43"/>
        <v>628288.33677399997</v>
      </c>
      <c r="I111" s="218">
        <f t="shared" si="43"/>
        <v>634571.22014174005</v>
      </c>
      <c r="J111" s="32"/>
    </row>
    <row r="112" spans="1:10" x14ac:dyDescent="0.25">
      <c r="A112" s="39">
        <v>27</v>
      </c>
      <c r="B112" s="34" t="s">
        <v>133</v>
      </c>
      <c r="C112" s="20"/>
      <c r="D112" s="23"/>
      <c r="E112" s="24"/>
      <c r="F112" s="25"/>
      <c r="G112" s="26"/>
      <c r="H112" s="27"/>
      <c r="I112" s="27"/>
      <c r="J112" s="27"/>
    </row>
    <row r="113" spans="1:10" x14ac:dyDescent="0.25">
      <c r="A113" s="40">
        <v>36</v>
      </c>
      <c r="B113" s="41" t="s">
        <v>134</v>
      </c>
      <c r="C113" s="20"/>
      <c r="D113" s="23"/>
      <c r="E113" s="24"/>
      <c r="F113" s="25"/>
      <c r="G113" s="26"/>
      <c r="H113" s="27"/>
      <c r="I113" s="27"/>
      <c r="J113" s="27"/>
    </row>
    <row r="114" spans="1:10" x14ac:dyDescent="0.25">
      <c r="A114" s="216">
        <v>3602</v>
      </c>
      <c r="B114" s="22" t="s">
        <v>595</v>
      </c>
      <c r="C114" s="213">
        <f>200757.6+90250+136061.99+356403.6+105625.2+63333.23+82022.8</f>
        <v>1034454.4199999999</v>
      </c>
      <c r="D114" s="23">
        <v>743487.57</v>
      </c>
      <c r="E114" s="24">
        <f>337078.37</f>
        <v>337078.37</v>
      </c>
      <c r="F114" s="24">
        <f>337078.37</f>
        <v>337078.37</v>
      </c>
      <c r="G114" s="225">
        <f t="shared" ref="G114:G118" si="44">SUM(F114*0.02)+F114</f>
        <v>343819.9374</v>
      </c>
      <c r="H114" s="224">
        <f t="shared" ref="H114:I118" si="45">SUM(G114*0.01)+G114</f>
        <v>347258.13677400001</v>
      </c>
      <c r="I114" s="224">
        <f t="shared" si="45"/>
        <v>350730.71814174001</v>
      </c>
      <c r="J114" s="27"/>
    </row>
    <row r="115" spans="1:10" x14ac:dyDescent="0.25">
      <c r="A115" s="33">
        <v>37</v>
      </c>
      <c r="B115" s="34" t="s">
        <v>135</v>
      </c>
      <c r="C115" s="20"/>
      <c r="D115" s="23"/>
      <c r="E115" s="24"/>
      <c r="F115" s="24"/>
      <c r="G115" s="26"/>
      <c r="H115" s="27"/>
      <c r="I115" s="27"/>
      <c r="J115" s="27"/>
    </row>
    <row r="116" spans="1:10" x14ac:dyDescent="0.25">
      <c r="A116" s="216">
        <v>3701</v>
      </c>
      <c r="B116" s="22" t="s">
        <v>623</v>
      </c>
      <c r="C116" s="20"/>
      <c r="D116" s="23"/>
      <c r="E116" s="24">
        <v>422766.02</v>
      </c>
      <c r="F116" s="24">
        <v>1000</v>
      </c>
      <c r="G116" s="225">
        <f t="shared" si="44"/>
        <v>1020</v>
      </c>
      <c r="H116" s="224">
        <f t="shared" si="45"/>
        <v>1030.2</v>
      </c>
      <c r="I116" s="224">
        <f t="shared" si="45"/>
        <v>1040.502</v>
      </c>
      <c r="J116" s="27"/>
    </row>
    <row r="117" spans="1:10" x14ac:dyDescent="0.25">
      <c r="A117" s="33">
        <v>38</v>
      </c>
      <c r="B117" s="34" t="s">
        <v>136</v>
      </c>
      <c r="C117" s="20"/>
      <c r="D117" s="23"/>
      <c r="E117" s="24"/>
      <c r="F117" s="24"/>
      <c r="G117" s="26"/>
      <c r="H117" s="27"/>
      <c r="I117" s="27"/>
      <c r="J117" s="27"/>
    </row>
    <row r="118" spans="1:10" x14ac:dyDescent="0.25">
      <c r="A118" s="216">
        <v>3801</v>
      </c>
      <c r="B118" s="22" t="s">
        <v>596</v>
      </c>
      <c r="C118" s="213">
        <f>196168.22+31727.44</f>
        <v>227895.66</v>
      </c>
      <c r="D118" s="23">
        <f>332313.13</f>
        <v>332313.13</v>
      </c>
      <c r="E118" s="24">
        <v>404123.28</v>
      </c>
      <c r="F118" s="24">
        <v>385000</v>
      </c>
      <c r="G118" s="225">
        <v>320000</v>
      </c>
      <c r="H118" s="224">
        <v>280000</v>
      </c>
      <c r="I118" s="224">
        <f t="shared" si="45"/>
        <v>282800</v>
      </c>
      <c r="J118" s="27"/>
    </row>
    <row r="119" spans="1:10" x14ac:dyDescent="0.25">
      <c r="A119" s="169" t="s">
        <v>137</v>
      </c>
      <c r="B119" s="173"/>
      <c r="C119" s="218">
        <f>SUM(C121:C125)</f>
        <v>748754.54</v>
      </c>
      <c r="D119" s="218">
        <f>SUM(D121:D125)</f>
        <v>780263.62</v>
      </c>
      <c r="E119" s="218">
        <f t="shared" ref="E119:I119" si="46">SUM(E121:E125)</f>
        <v>445735.08999999997</v>
      </c>
      <c r="F119" s="218">
        <f t="shared" si="46"/>
        <v>363311.04000000004</v>
      </c>
      <c r="G119" s="218">
        <f t="shared" si="46"/>
        <v>316577.26080000005</v>
      </c>
      <c r="H119" s="218">
        <f t="shared" si="46"/>
        <v>268243.03340800002</v>
      </c>
      <c r="I119" s="218">
        <f t="shared" si="46"/>
        <v>270925.46374208003</v>
      </c>
      <c r="J119" s="32"/>
    </row>
    <row r="120" spans="1:10" x14ac:dyDescent="0.25">
      <c r="A120" s="33">
        <v>87</v>
      </c>
      <c r="B120" s="34" t="s">
        <v>138</v>
      </c>
      <c r="C120" s="20"/>
      <c r="D120" s="23"/>
      <c r="E120" s="24"/>
      <c r="F120" s="25"/>
      <c r="G120" s="26"/>
      <c r="H120" s="27"/>
      <c r="I120" s="27"/>
      <c r="J120" s="27"/>
    </row>
    <row r="121" spans="1:10" x14ac:dyDescent="0.25">
      <c r="A121" s="33">
        <v>96</v>
      </c>
      <c r="B121" s="34" t="s">
        <v>139</v>
      </c>
      <c r="C121" s="20"/>
      <c r="D121" s="23"/>
      <c r="E121" s="24"/>
      <c r="F121" s="25"/>
      <c r="G121" s="26"/>
      <c r="H121" s="27"/>
      <c r="I121" s="27"/>
      <c r="J121" s="27"/>
    </row>
    <row r="122" spans="1:10" x14ac:dyDescent="0.25">
      <c r="A122" s="21">
        <v>9602</v>
      </c>
      <c r="B122" s="22" t="s">
        <v>619</v>
      </c>
      <c r="C122" s="20">
        <v>228129.61</v>
      </c>
      <c r="D122" s="23">
        <v>110747.35</v>
      </c>
      <c r="E122" s="24">
        <v>163311.04000000001</v>
      </c>
      <c r="F122" s="24">
        <v>163311.04000000001</v>
      </c>
      <c r="G122" s="225">
        <f t="shared" ref="G122:G124" si="47">SUM(F122*0.02)+F122</f>
        <v>166577.26080000002</v>
      </c>
      <c r="H122" s="224">
        <f t="shared" ref="H122:I124" si="48">SUM(G122*0.01)+G122</f>
        <v>168243.03340800002</v>
      </c>
      <c r="I122" s="224">
        <f t="shared" si="48"/>
        <v>169925.46374208003</v>
      </c>
      <c r="J122" s="27"/>
    </row>
    <row r="123" spans="1:10" x14ac:dyDescent="0.25">
      <c r="A123" s="33">
        <v>97</v>
      </c>
      <c r="B123" s="34" t="s">
        <v>140</v>
      </c>
      <c r="C123" s="20"/>
      <c r="D123" s="23"/>
      <c r="E123" s="24"/>
      <c r="F123" s="24"/>
      <c r="G123" s="26"/>
      <c r="H123" s="27"/>
      <c r="I123" s="27"/>
      <c r="J123" s="27"/>
    </row>
    <row r="124" spans="1:10" x14ac:dyDescent="0.25">
      <c r="A124" s="21">
        <v>9701</v>
      </c>
      <c r="B124" s="22" t="s">
        <v>620</v>
      </c>
      <c r="C124" s="20">
        <v>520624.93</v>
      </c>
      <c r="D124" s="23">
        <v>669516.27</v>
      </c>
      <c r="E124" s="24">
        <v>282424.05</v>
      </c>
      <c r="F124" s="24">
        <v>200000</v>
      </c>
      <c r="G124" s="225">
        <v>150000</v>
      </c>
      <c r="H124" s="224">
        <v>100000</v>
      </c>
      <c r="I124" s="224">
        <f t="shared" si="48"/>
        <v>101000</v>
      </c>
      <c r="J124" s="27"/>
    </row>
    <row r="125" spans="1:10" ht="15.75" thickBot="1" x14ac:dyDescent="0.3">
      <c r="A125" s="42">
        <v>99</v>
      </c>
      <c r="B125" s="43" t="s">
        <v>141</v>
      </c>
      <c r="C125" s="20"/>
      <c r="D125" s="23"/>
      <c r="E125" s="24"/>
      <c r="F125" s="25"/>
      <c r="G125" s="26"/>
      <c r="H125" s="27"/>
      <c r="I125" s="27"/>
      <c r="J125" s="27"/>
    </row>
    <row r="126" spans="1:10" ht="15.75" thickBot="1" x14ac:dyDescent="0.3">
      <c r="A126" s="178" t="s">
        <v>142</v>
      </c>
      <c r="B126" s="179"/>
      <c r="C126" s="44">
        <f>+C111-C119</f>
        <v>513595.5399999998</v>
      </c>
      <c r="D126" s="44">
        <f>+D111-D119</f>
        <v>295537.07999999996</v>
      </c>
      <c r="E126" s="44">
        <f t="shared" ref="E126:I126" si="49">+E111-E119</f>
        <v>718232.58</v>
      </c>
      <c r="F126" s="44">
        <f t="shared" si="49"/>
        <v>359767.32999999996</v>
      </c>
      <c r="G126" s="44">
        <f t="shared" si="49"/>
        <v>348262.67659999989</v>
      </c>
      <c r="H126" s="44">
        <f t="shared" si="49"/>
        <v>360045.30336599995</v>
      </c>
      <c r="I126" s="44">
        <f t="shared" si="49"/>
        <v>363645.75639966002</v>
      </c>
      <c r="J126" s="44"/>
    </row>
    <row r="127" spans="1:10" s="47" customFormat="1" x14ac:dyDescent="0.25">
      <c r="A127" s="45"/>
      <c r="B127" s="45"/>
      <c r="C127" s="46"/>
      <c r="D127" s="46"/>
      <c r="E127" s="46"/>
      <c r="F127" s="46"/>
      <c r="G127" s="46"/>
      <c r="H127" s="46"/>
    </row>
    <row r="128" spans="1:10" s="47" customFormat="1" ht="15.75" thickBot="1" x14ac:dyDescent="0.3">
      <c r="A128" s="129" t="s">
        <v>143</v>
      </c>
      <c r="B128" s="130"/>
      <c r="C128" s="222">
        <f>SUM(C114+C122)/(C9+C64)*100</f>
        <v>17.491287251866929</v>
      </c>
      <c r="D128" s="222">
        <f>SUM(D114+D122)/(D9+D64)*100</f>
        <v>11.580507283136372</v>
      </c>
      <c r="E128" s="222">
        <f>SUM(E114+E122)/(E9+E64)*100</f>
        <v>6.7186814342471379</v>
      </c>
      <c r="F128" s="222">
        <f t="shared" ref="F128:I128" si="50">SUM(F114+F122)/(F9+F64)*100</f>
        <v>6.5183019803710911</v>
      </c>
      <c r="G128" s="222">
        <f t="shared" si="50"/>
        <v>6.5183019803710911</v>
      </c>
      <c r="H128" s="222">
        <f t="shared" si="50"/>
        <v>6.5183019803710929</v>
      </c>
      <c r="I128" s="222">
        <f t="shared" si="50"/>
        <v>6.5183019803710911</v>
      </c>
    </row>
    <row r="129" spans="1:9" s="47" customFormat="1" x14ac:dyDescent="0.25">
      <c r="A129" s="48"/>
      <c r="B129" s="49"/>
      <c r="C129" s="49"/>
      <c r="D129" s="49"/>
      <c r="E129" s="49"/>
      <c r="F129" s="221"/>
      <c r="G129" s="49"/>
      <c r="H129" s="49"/>
      <c r="I129" s="50"/>
    </row>
    <row r="130" spans="1:9" s="47" customFormat="1" ht="15.75" thickBot="1" x14ac:dyDescent="0.3">
      <c r="A130" s="51"/>
      <c r="B130" s="52"/>
      <c r="C130" s="53"/>
      <c r="D130" s="53"/>
      <c r="E130" s="53"/>
      <c r="F130" s="53"/>
      <c r="G130" s="53"/>
      <c r="H130" s="53"/>
      <c r="I130" s="54"/>
    </row>
    <row r="131" spans="1:9" s="47" customFormat="1" x14ac:dyDescent="0.25">
      <c r="A131" s="45"/>
      <c r="B131" s="45"/>
      <c r="C131" s="46"/>
      <c r="D131" s="46"/>
      <c r="E131" s="46"/>
      <c r="F131" s="46"/>
      <c r="G131" s="46"/>
      <c r="H131" s="46"/>
    </row>
    <row r="132" spans="1:9" x14ac:dyDescent="0.25">
      <c r="A132" s="55" t="s">
        <v>144</v>
      </c>
    </row>
    <row r="133" spans="1:9" x14ac:dyDescent="0.25">
      <c r="A133" s="55" t="s">
        <v>145</v>
      </c>
    </row>
    <row r="134" spans="1:9" x14ac:dyDescent="0.25">
      <c r="A134" s="55" t="s">
        <v>146</v>
      </c>
    </row>
    <row r="135" spans="1:9" x14ac:dyDescent="0.25">
      <c r="A135" s="55" t="s">
        <v>33</v>
      </c>
    </row>
    <row r="136" spans="1:9" x14ac:dyDescent="0.25">
      <c r="A136" s="55"/>
    </row>
    <row r="140" spans="1:9" x14ac:dyDescent="0.25">
      <c r="A140" s="163" t="s">
        <v>147</v>
      </c>
      <c r="B140" s="163"/>
      <c r="C140" s="163"/>
      <c r="E140" s="163" t="s">
        <v>34</v>
      </c>
      <c r="F140" s="163"/>
      <c r="G140" s="163"/>
    </row>
    <row r="141" spans="1:9" x14ac:dyDescent="0.25">
      <c r="A141" s="56" t="s">
        <v>35</v>
      </c>
      <c r="B141" s="56" t="s">
        <v>625</v>
      </c>
      <c r="E141" s="56" t="s">
        <v>580</v>
      </c>
    </row>
    <row r="143" spans="1:9" x14ac:dyDescent="0.25">
      <c r="A143" s="56" t="s">
        <v>581</v>
      </c>
    </row>
    <row r="144" spans="1:9" x14ac:dyDescent="0.25">
      <c r="A144" s="56" t="s">
        <v>36</v>
      </c>
    </row>
  </sheetData>
  <mergeCells count="20">
    <mergeCell ref="J6:J8"/>
    <mergeCell ref="A1:H1"/>
    <mergeCell ref="A2:H2"/>
    <mergeCell ref="A4:H4"/>
    <mergeCell ref="A5:H5"/>
    <mergeCell ref="A6:B7"/>
    <mergeCell ref="C6:E7"/>
    <mergeCell ref="F6:I7"/>
    <mergeCell ref="E140:G140"/>
    <mergeCell ref="A9:B9"/>
    <mergeCell ref="A33:B33"/>
    <mergeCell ref="A63:B63"/>
    <mergeCell ref="A64:B64"/>
    <mergeCell ref="A72:B72"/>
    <mergeCell ref="A109:B109"/>
    <mergeCell ref="A110:B110"/>
    <mergeCell ref="A111:B111"/>
    <mergeCell ref="A119:B119"/>
    <mergeCell ref="A126:B126"/>
    <mergeCell ref="A140:C140"/>
  </mergeCells>
  <printOptions horizontalCentered="1"/>
  <pageMargins left="0" right="0" top="0.75" bottom="0.75" header="0.3" footer="0.3"/>
  <pageSetup paperSize="9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0" workbookViewId="0">
      <selection activeCell="D34" sqref="D34"/>
    </sheetView>
  </sheetViews>
  <sheetFormatPr baseColWidth="10" defaultRowHeight="12.75" x14ac:dyDescent="0.2"/>
  <cols>
    <col min="1" max="1" width="24" customWidth="1"/>
  </cols>
  <sheetData>
    <row r="1" spans="1:6" x14ac:dyDescent="0.2">
      <c r="B1">
        <v>2014</v>
      </c>
      <c r="C1" s="191">
        <v>2015</v>
      </c>
      <c r="D1" s="191"/>
      <c r="E1">
        <v>2016</v>
      </c>
      <c r="F1">
        <v>2017</v>
      </c>
    </row>
    <row r="2" spans="1:6" x14ac:dyDescent="0.2">
      <c r="A2" s="147" t="s">
        <v>554</v>
      </c>
      <c r="B2">
        <v>88370.42</v>
      </c>
      <c r="C2">
        <v>100514</v>
      </c>
      <c r="D2">
        <v>99098</v>
      </c>
      <c r="E2">
        <v>102230</v>
      </c>
      <c r="F2">
        <v>104318</v>
      </c>
    </row>
    <row r="3" spans="1:6" x14ac:dyDescent="0.2">
      <c r="A3" s="147" t="s">
        <v>555</v>
      </c>
      <c r="B3">
        <v>84911.16</v>
      </c>
      <c r="C3">
        <v>129936.74</v>
      </c>
    </row>
    <row r="4" spans="1:6" x14ac:dyDescent="0.2">
      <c r="A4" s="147"/>
      <c r="C4">
        <f>2184.94+1964.14+112.82+1964.14+137.66+1827.03+131.47+1827.03+154.35+1827.03+196.11+1827.03+165.5</f>
        <v>14319.250000000002</v>
      </c>
    </row>
    <row r="5" spans="1:6" x14ac:dyDescent="0.2">
      <c r="A5" s="147"/>
    </row>
    <row r="6" spans="1:6" x14ac:dyDescent="0.2">
      <c r="A6" s="147" t="s">
        <v>556</v>
      </c>
      <c r="B6">
        <v>53380</v>
      </c>
      <c r="C6">
        <f>63248+3718.5</f>
        <v>66966.5</v>
      </c>
    </row>
    <row r="11" spans="1:6" x14ac:dyDescent="0.2">
      <c r="A11" t="s">
        <v>557</v>
      </c>
      <c r="B11">
        <f>174*366</f>
        <v>63684</v>
      </c>
      <c r="D11" t="s">
        <v>558</v>
      </c>
    </row>
    <row r="12" spans="1:6" x14ac:dyDescent="0.2">
      <c r="A12" t="s">
        <v>559</v>
      </c>
      <c r="B12">
        <f>174*380</f>
        <v>66120</v>
      </c>
      <c r="D12" t="s">
        <v>560</v>
      </c>
    </row>
    <row r="15" spans="1:6" x14ac:dyDescent="0.2">
      <c r="A15" t="s">
        <v>561</v>
      </c>
      <c r="B15">
        <f>'FORMULARIO 3'!G185/12</f>
        <v>8519.1666666666661</v>
      </c>
    </row>
    <row r="16" spans="1:6" x14ac:dyDescent="0.2">
      <c r="A16" t="s">
        <v>562</v>
      </c>
      <c r="B16">
        <f>'FORMULARIO 3'!H185/12</f>
        <v>8693.1666666666661</v>
      </c>
    </row>
    <row r="19" spans="1:4" x14ac:dyDescent="0.2">
      <c r="A19" t="s">
        <v>564</v>
      </c>
      <c r="B19">
        <f>(((3*22)*12)*188)</f>
        <v>148896</v>
      </c>
      <c r="D19" t="s">
        <v>565</v>
      </c>
    </row>
    <row r="20" spans="1:4" x14ac:dyDescent="0.2">
      <c r="A20" t="s">
        <v>567</v>
      </c>
      <c r="B20">
        <f>(((3*22)*12)*176)</f>
        <v>139392</v>
      </c>
      <c r="D20" t="s">
        <v>566</v>
      </c>
    </row>
    <row r="23" spans="1:4" x14ac:dyDescent="0.2">
      <c r="A23" t="s">
        <v>568</v>
      </c>
      <c r="B23">
        <f>(((4*22)*12)*174)</f>
        <v>183744</v>
      </c>
      <c r="D23" t="s">
        <v>569</v>
      </c>
    </row>
    <row r="24" spans="1:4" x14ac:dyDescent="0.2">
      <c r="A24" t="s">
        <v>570</v>
      </c>
      <c r="B24">
        <f>(((4*22)*12)*174)</f>
        <v>183744</v>
      </c>
      <c r="D24" t="s">
        <v>569</v>
      </c>
    </row>
    <row r="26" spans="1:4" x14ac:dyDescent="0.2">
      <c r="A26" t="s">
        <v>571</v>
      </c>
      <c r="B26">
        <f>(((0.5*22)*12)*188)</f>
        <v>24816</v>
      </c>
      <c r="D26" t="s">
        <v>573</v>
      </c>
    </row>
    <row r="27" spans="1:4" x14ac:dyDescent="0.2">
      <c r="A27" t="s">
        <v>572</v>
      </c>
      <c r="B27">
        <f>(((0.5*22)*12)*176)</f>
        <v>23232</v>
      </c>
      <c r="D27" t="s">
        <v>574</v>
      </c>
    </row>
    <row r="29" spans="1:4" x14ac:dyDescent="0.2">
      <c r="A29" t="s">
        <v>575</v>
      </c>
      <c r="B29">
        <f>(((0.5*22)*12)*174)</f>
        <v>22968</v>
      </c>
      <c r="D29" t="s">
        <v>577</v>
      </c>
    </row>
    <row r="30" spans="1:4" x14ac:dyDescent="0.2">
      <c r="A30" t="s">
        <v>576</v>
      </c>
      <c r="B30">
        <f>(((0.5*22)*12)*174)</f>
        <v>22968</v>
      </c>
      <c r="D30" t="s">
        <v>577</v>
      </c>
    </row>
    <row r="33" spans="1:4" x14ac:dyDescent="0.2">
      <c r="A33" t="s">
        <v>578</v>
      </c>
      <c r="B33">
        <v>102.66</v>
      </c>
      <c r="D33" s="147" t="s">
        <v>579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FORMULARIO 1</vt:lpstr>
      <vt:lpstr>FORMULARIO 2</vt:lpstr>
      <vt:lpstr>FORMULARIO 3</vt:lpstr>
      <vt:lpstr>FORMULARIO 4</vt:lpstr>
      <vt:lpstr>Hoja2</vt:lpstr>
      <vt:lpstr>'FORMULARIO 1'!Área_de_impresión</vt:lpstr>
      <vt:lpstr>'FORMULARIO 2'!Área_de_impresión</vt:lpstr>
    </vt:vector>
  </TitlesOfParts>
  <Manager/>
  <Company>C.A.C.S.M.Bancos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Vicente</dc:creator>
  <cp:keywords/>
  <dc:description/>
  <cp:lastModifiedBy>YADIRA</cp:lastModifiedBy>
  <cp:revision/>
  <cp:lastPrinted>2016-05-19T21:44:22Z</cp:lastPrinted>
  <dcterms:created xsi:type="dcterms:W3CDTF">2001-11-14T15:50:59Z</dcterms:created>
  <dcterms:modified xsi:type="dcterms:W3CDTF">2016-05-19T21:59:18Z</dcterms:modified>
  <cp:category/>
  <cp:contentStatus/>
</cp:coreProperties>
</file>