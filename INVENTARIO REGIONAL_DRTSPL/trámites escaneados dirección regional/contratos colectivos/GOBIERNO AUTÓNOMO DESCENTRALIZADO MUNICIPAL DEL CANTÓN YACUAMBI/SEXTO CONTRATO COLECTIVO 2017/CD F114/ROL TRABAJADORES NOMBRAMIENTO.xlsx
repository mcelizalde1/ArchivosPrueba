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5" yWindow="3270" windowWidth="11985" windowHeight="1455" activeTab="1"/>
  </bookViews>
  <sheets>
    <sheet name="INFORMACION MINISTERIO1" sheetId="208" r:id="rId1"/>
    <sheet name="INFORMACION MINISTERIO2" sheetId="192" r:id="rId2"/>
  </sheets>
  <calcPr calcId="162913"/>
</workbook>
</file>

<file path=xl/calcChain.xml><?xml version="1.0" encoding="utf-8"?>
<calcChain xmlns="http://schemas.openxmlformats.org/spreadsheetml/2006/main">
  <c r="F61" i="208" l="1"/>
  <c r="E61" i="208"/>
  <c r="C30" i="192"/>
  <c r="C47" i="192" s="1"/>
  <c r="E50" i="192"/>
  <c r="E58" i="192" s="1"/>
  <c r="E41" i="192"/>
  <c r="E40" i="192"/>
  <c r="E39" i="192"/>
  <c r="E38" i="192"/>
  <c r="E37" i="192"/>
  <c r="E36" i="192"/>
  <c r="E35" i="192"/>
  <c r="E33" i="192"/>
  <c r="E32" i="192"/>
  <c r="E25" i="192"/>
  <c r="E23" i="192"/>
  <c r="E22" i="192"/>
  <c r="E21" i="192"/>
  <c r="E20" i="192"/>
  <c r="E19" i="192"/>
  <c r="E7" i="192"/>
  <c r="E6" i="192" s="1"/>
  <c r="D50" i="192"/>
  <c r="D58" i="192" s="1"/>
  <c r="D40" i="192"/>
  <c r="D39" i="192"/>
  <c r="D30" i="192" s="1"/>
  <c r="D47" i="192" s="1"/>
  <c r="C18" i="192"/>
  <c r="C17" i="192" s="1"/>
  <c r="C6" i="192"/>
  <c r="D6" i="192"/>
  <c r="D25" i="192"/>
  <c r="D23" i="192"/>
  <c r="D18" i="192"/>
  <c r="D19" i="192"/>
  <c r="D22" i="192"/>
  <c r="D20" i="192"/>
  <c r="C50" i="192"/>
  <c r="C58" i="192" s="1"/>
  <c r="E18" i="192" l="1"/>
  <c r="E17" i="192" s="1"/>
  <c r="E27" i="192" s="1"/>
  <c r="D17" i="192"/>
  <c r="D27" i="192" s="1"/>
  <c r="D49" i="192" s="1"/>
  <c r="E31" i="192"/>
  <c r="E30" i="192" s="1"/>
  <c r="E47" i="192" s="1"/>
  <c r="E49" i="192" l="1"/>
  <c r="C27" i="192" l="1"/>
  <c r="C49" i="192" s="1"/>
</calcChain>
</file>

<file path=xl/sharedStrings.xml><?xml version="1.0" encoding="utf-8"?>
<sst xmlns="http://schemas.openxmlformats.org/spreadsheetml/2006/main" count="237" uniqueCount="166">
  <si>
    <t>NOMBRES Y APELLIDOS</t>
  </si>
  <si>
    <t>GUARDIAN</t>
  </si>
  <si>
    <t>ALVAREZ ROSALES DANIEL</t>
  </si>
  <si>
    <t>OPERADOR</t>
  </si>
  <si>
    <t xml:space="preserve">GONZALEZ  GONZALEZ ZOILO </t>
  </si>
  <si>
    <t>CANGO GONZALEZ CARLOS ALBERTO</t>
  </si>
  <si>
    <t xml:space="preserve"> GONZALEZ GONZALEZ  ROSA MAGDALENA</t>
  </si>
  <si>
    <t>SERAQUIVE PAQUI PEDRO MANUEL</t>
  </si>
  <si>
    <t>GUARTAN MOROCHO SEGUNDO JULIO</t>
  </si>
  <si>
    <t>CHALAN MACAS SEGUNDO JUAN MARIA</t>
  </si>
  <si>
    <t>JAPON QUIZHPE MANUEL MARIA</t>
  </si>
  <si>
    <t>MONTAÑO LOZANO ROGELIO ALONSO</t>
  </si>
  <si>
    <t>MOROCHO ABRIGO JUAN JOSE</t>
  </si>
  <si>
    <t>OCHOA OCHOA MILTON PRIMITIVO</t>
  </si>
  <si>
    <t>RAMON PATIÑO NICANOR EDUARDO</t>
  </si>
  <si>
    <t>SALINAS MONTAÑO QUERUBIN ISRAEL</t>
  </si>
  <si>
    <t>MAZA LUDEÑA LUIS EDUARDO</t>
  </si>
  <si>
    <t>MECANICO</t>
  </si>
  <si>
    <t>GALARZA CALLE ERMENERJILDO ENRIQUE</t>
  </si>
  <si>
    <t>LABANDA CANGO CARLA VERONICA</t>
  </si>
  <si>
    <t>GONZALEZ CANGO FABIO HERNAN</t>
  </si>
  <si>
    <t>GONZALEZ MEDINA SEGUNDO ABEL</t>
  </si>
  <si>
    <t>CABRERA GONZALEZ RODRIGO ARTURO</t>
  </si>
  <si>
    <t>JIMENEZ SOTO OSCAR AURELIO</t>
  </si>
  <si>
    <t>NAULA LATACELA ESTALIN GUILLERMO</t>
  </si>
  <si>
    <t>CADENERO</t>
  </si>
  <si>
    <t>OTROS INGRESOS</t>
  </si>
  <si>
    <t>ALVAREZ ZAPATA DANNY DANIEL</t>
  </si>
  <si>
    <t>0104709530</t>
  </si>
  <si>
    <t>ALVAREZ ZAPATA DIEGO HENRY</t>
  </si>
  <si>
    <t>0105902670</t>
  </si>
  <si>
    <t>OPERADOR RETROEXCAVADORA</t>
  </si>
  <si>
    <t>AVILA GUAMAN CARMEN ANGELINA</t>
  </si>
  <si>
    <t>AVILA GUAMAN MANUEL DE JESUS</t>
  </si>
  <si>
    <t>CARTUCHE MOROCHO PEDRO FRANCISCO</t>
  </si>
  <si>
    <t>CARTUCHE SARANGO LUIS FRANCISCO</t>
  </si>
  <si>
    <t>GUACHISACA GUALAN MARCO MANUEL</t>
  </si>
  <si>
    <t>GUALAN MOROCHO MIGUEL ANGEL</t>
  </si>
  <si>
    <t>GUAMAN LOZANO SEGUNDO LUIS</t>
  </si>
  <si>
    <t>MEDINA CARTUCHE LUIS FRANCISCO</t>
  </si>
  <si>
    <t>MOROCHO SAUCA MIGUEL ANGEL</t>
  </si>
  <si>
    <t>PUCHAICELA MOROCHO MIGUEL ANGEL POLIVIO</t>
  </si>
  <si>
    <t>PUGLLA MEDINA HENRY ARMANDO</t>
  </si>
  <si>
    <t>ZAPATA CANGO CARLOS HUMBERTO</t>
  </si>
  <si>
    <t>SARANGO GUALAN MANUEL BELISARIO</t>
  </si>
  <si>
    <t>CARPINTERO</t>
  </si>
  <si>
    <t>BARRENDERO</t>
  </si>
  <si>
    <t>CHOFER</t>
  </si>
  <si>
    <t>GOBIERNO AUTONOMO DESCENTRALIZADO MUNICIPAL DEL CANTON YACUAMBI</t>
  </si>
  <si>
    <t>DIRECTORA FINANCIERA</t>
  </si>
  <si>
    <t>ARMIJOS CHALAN JAIME ENRIQUE</t>
  </si>
  <si>
    <t>SEAS QUEZADA JUAN CARLOS</t>
  </si>
  <si>
    <t>GONZALEZ GUAMAN JOSE VICTOR</t>
  </si>
  <si>
    <t>PAQUI SARANGO MARCO ANTONIO</t>
  </si>
  <si>
    <t>GOMEZ AYORA PEDRO AUGUSTO</t>
  </si>
  <si>
    <t>TENTETS YANKUR ERNESTO TUNKI</t>
  </si>
  <si>
    <t>AYUDANTE DE SERVICIOS DE LIMPIEZA</t>
  </si>
  <si>
    <t>GUAMAN GUAMAN ANGEL BENIGNO</t>
  </si>
  <si>
    <t>MOROCHO SARANGO LAURO DE JESUS</t>
  </si>
  <si>
    <t>CRIOLLO GUARTAN LUIS NARCILO</t>
  </si>
  <si>
    <t>SARANGO MARTINEZ MARIA MERCEDES</t>
  </si>
  <si>
    <t>SARANGO SILVA VICTOR ANGEL</t>
  </si>
  <si>
    <t>GONZALEZ MEDINA MANUEL HERNAN</t>
  </si>
  <si>
    <t>GONZALEZ GONZALEZ ROSA BALVINA</t>
  </si>
  <si>
    <t>MEDINA MEDINA MARIA MERCEDES</t>
  </si>
  <si>
    <t>GONZALEZ GONZALEZ MANUEL ROSALINO</t>
  </si>
  <si>
    <t>SUAREZ ARMIJOS IBAN GUSTAVO</t>
  </si>
  <si>
    <t>LOOR TORRES JUNIOR ESTUARDO</t>
  </si>
  <si>
    <t>GONZALEZ SARANGO FLAVIO RUTZBEL</t>
  </si>
  <si>
    <t>AYUD.SERV. ADM./ASIST.AUX. ADM.</t>
  </si>
  <si>
    <t>AYUDANTE OPERADOR</t>
  </si>
  <si>
    <t>POLICIA MUNICIPAL</t>
  </si>
  <si>
    <t>CONSERJE DE LIMPIEZA Y MANTENIMIENTO</t>
  </si>
  <si>
    <t>JORNALERO</t>
  </si>
  <si>
    <t>JORNALERO DE MERCADO</t>
  </si>
  <si>
    <t>AYUDANTE DE AGUA POTABLE</t>
  </si>
  <si>
    <t>INSPECTOR DE AGUA POTABLE</t>
  </si>
  <si>
    <t>OPERADOR DE PLANTA DE AGUA</t>
  </si>
  <si>
    <t>JORNALERO DE RECICLAJE</t>
  </si>
  <si>
    <t>AYUDANTE DE OPERADOR</t>
  </si>
  <si>
    <t>AYUDANTE DE CAMPO DE AGUA POTABLE</t>
  </si>
  <si>
    <t>JEFE DE TRABAJO</t>
  </si>
  <si>
    <t>AYUDANTE DE MECANICA</t>
  </si>
  <si>
    <t>AYUDANTE DE CUADRILLA</t>
  </si>
  <si>
    <t>CEDULA</t>
  </si>
  <si>
    <t>NRO. TRABAJADORES</t>
  </si>
  <si>
    <t>DENOMINACION DEL PUESTO O CARGO</t>
  </si>
  <si>
    <t>REMUNERACION UNIFICADA CONTRATO COLECTIVO PROPUESTO $</t>
  </si>
  <si>
    <t>OBSERVACIONES</t>
  </si>
  <si>
    <t>TRABAJADOR NO SINDICALIZADO</t>
  </si>
  <si>
    <t>AUXILIAR DE SERVICIOS</t>
  </si>
  <si>
    <t>AYUDANTE DE MAQUINA</t>
  </si>
  <si>
    <t>0101241875</t>
  </si>
  <si>
    <t>MINISTERIO DE FINANZAS</t>
  </si>
  <si>
    <t xml:space="preserve">FORMULARIO 3: "COMPARATIVO ENTRE REMUNERACION UNIFICADA Y PROPUESTA" </t>
  </si>
  <si>
    <t>DISTRIBUTIVO DE SALARIO UNIFICADO DESAGREGADO POR TRABAJADOR</t>
  </si>
  <si>
    <t xml:space="preserve">NRO. PROYECTO CONTRATO COLECTIVO: SEXTO </t>
  </si>
  <si>
    <t>EXCEDE LOS TECHOS</t>
  </si>
  <si>
    <t>GRUPO Y SUBGRUPO</t>
  </si>
  <si>
    <t>DETALLE DE GRUPOS Y SUBGRUPOS</t>
  </si>
  <si>
    <t>DESCRIPCION</t>
  </si>
  <si>
    <t>FLUJO PROYECTADO (USD)</t>
  </si>
  <si>
    <t>FLUJO HISTORICO (USD)</t>
  </si>
  <si>
    <t>AÑO 1</t>
  </si>
  <si>
    <t>AÑO 2</t>
  </si>
  <si>
    <t>AÑO 3</t>
  </si>
  <si>
    <t>AÑO 4</t>
  </si>
  <si>
    <t>IMPUESTOS</t>
  </si>
  <si>
    <t>Sobre la Propiedad</t>
  </si>
  <si>
    <t>Impuestos Diversos</t>
  </si>
  <si>
    <t>TASAS Y CONTRIBUCIONES</t>
  </si>
  <si>
    <t>Tasas Generales</t>
  </si>
  <si>
    <t>VENTA DE BIENES Y SERVICIOS</t>
  </si>
  <si>
    <t>RENTAS DE INVERSIONES Y MULTAS</t>
  </si>
  <si>
    <t>TRANSFERENCIAS Y DONACIONES CORRIENTES</t>
  </si>
  <si>
    <t>Otros No Operacionales</t>
  </si>
  <si>
    <t>TOTAL INGRESOS CORRIENTES (1)</t>
  </si>
  <si>
    <t>TOTAL GASTOS CORRIENTES (2)</t>
  </si>
  <si>
    <t>GASTOS EN EL PERSONAL</t>
  </si>
  <si>
    <t>Remuneraciones Basicas</t>
  </si>
  <si>
    <t>Remuneraciones Complementarias</t>
  </si>
  <si>
    <t>Remuneraciones Temporales</t>
  </si>
  <si>
    <t>Aportes a la Seguridad Social</t>
  </si>
  <si>
    <t>BIENES Y SERVICIOS DE CONSUMO</t>
  </si>
  <si>
    <t>Gastos Financieros</t>
  </si>
  <si>
    <t>Otros Gastos Corrientes</t>
  </si>
  <si>
    <t>Transferencias y Donaciones Corrientes</t>
  </si>
  <si>
    <t>SUPERAVIT/DEFICIT CORRIENTE (1)-(2)=3</t>
  </si>
  <si>
    <t>INGRESOS DE CAPITAL E INVERSION (4)</t>
  </si>
  <si>
    <t>Transferencias y donaciones de Capital e Inversion</t>
  </si>
  <si>
    <t>GASTOS DE CAPITAL E INVERSION ( 5 )</t>
  </si>
  <si>
    <t>GASTOS EN PERSONAL PARA INVERSION</t>
  </si>
  <si>
    <t>Remuneraciones  Complementarias</t>
  </si>
  <si>
    <t>Subsidios</t>
  </si>
  <si>
    <t>Aportes Patronal a la Seguridad Social</t>
  </si>
  <si>
    <t>Indemnizaciones</t>
  </si>
  <si>
    <t>BIENES Y SERVICIOS PARA INVERSION</t>
  </si>
  <si>
    <t>OBRAS PUBLICAS</t>
  </si>
  <si>
    <t>Obras de Infraestructura</t>
  </si>
  <si>
    <t>Mantenimiento y Reparaciones</t>
  </si>
  <si>
    <t>OTROS GASTOS DE INVERSION</t>
  </si>
  <si>
    <t>BIENES DE LARGA DURACION</t>
  </si>
  <si>
    <t>SUPERAVIT/DEFICIT DE CAPITAL E INVERSION (4)-(5)=6</t>
  </si>
  <si>
    <t>SUPERAVIT/DEFICIT FISCAL (3)-(6)</t>
  </si>
  <si>
    <t>FINANCIAMIENTO PUBLICO</t>
  </si>
  <si>
    <t>CUENTAS PENDIENTES POR COBRAR</t>
  </si>
  <si>
    <t>FUENTES FINANCIERAS (7)</t>
  </si>
  <si>
    <t>USOS FINANCIEROS (8)</t>
  </si>
  <si>
    <t>INVERSIONES FINANCIERAS</t>
  </si>
  <si>
    <t>AMORTIZACION DE LA DEUDA</t>
  </si>
  <si>
    <t>PASIVO CIRCULANTE</t>
  </si>
  <si>
    <t>OTROS PASIVOS</t>
  </si>
  <si>
    <t>SUPERAVIT/DEFICIT DE FINANCIAMIENTO (7)-(8)</t>
  </si>
  <si>
    <t>Remuneraciones  Compensatorias</t>
  </si>
  <si>
    <t>Obras en Lineas, Redes y distribuciones electricas</t>
  </si>
  <si>
    <t>TRANSFERENCIAS Y DONACIONES PARA INVERSION</t>
  </si>
  <si>
    <t>FORMULARIO 4</t>
  </si>
  <si>
    <t>FLUJO PRESUPUESTARIO DE INGRESOS Y GASTOS</t>
  </si>
  <si>
    <t>REMUNERACION UNIFICADA QUINTO CONTRATO COLECTIVO VIGENTE $</t>
  </si>
  <si>
    <t>FIRMA MAXIMA AUTORIDAD DEL GAD</t>
  </si>
  <si>
    <t>Yacuambi,11 de Diciembre 2015</t>
  </si>
  <si>
    <t>Nombre: Lic- Rosa Anita Esparza Ortìz</t>
  </si>
  <si>
    <t>Nombre: Jorge Rodrigo Sarango Lozano</t>
  </si>
  <si>
    <t>FIRMA DIRECTORA FINANCIERA DEL GAD</t>
  </si>
  <si>
    <t>Nombre: Rosa Anita Esparza Ortìz</t>
  </si>
  <si>
    <t>Yacuambi, 11 de Diciembre del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</si>
</sst>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9">
    <font>
      <sz val="11"/>
      <color theme="1"/>
      <name val="Calibri"/>
      <family val="2"/>
      <scheme val="minor"/>
    </font>
    <font>
      <sz val="9"/>
      <name val="Arial Narrow"/>
      <family val="2"/>
    </font>
    <font>
      <b/>
      <sz val="8"/>
      <name val="Arial Narrow"/>
      <family val="2"/>
    </font>
    <font>
      <sz val="10"/>
      <name val="Americana BT"/>
    </font>
    <font>
      <b/>
      <sz val="9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  <scheme val="minor"/>
    </font>
    <font>
      <sz val="9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00B050"/>
      <name val="Arial Narrow"/>
      <family val="2"/>
    </font>
    <font>
      <b/>
      <sz val="10"/>
      <color theme="1"/>
      <name val="Calibri"/>
      <family val="2"/>
      <scheme val="minor"/>
    </font>
    <font>
      <sz val="10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Fill="1"/>
    <xf numFmtId="0" fontId="5" fillId="0" borderId="0" xfId="0" applyFont="1" applyFill="1"/>
    <xf numFmtId="0" fontId="5" fillId="0" borderId="0" xfId="0" applyFont="1" applyFill="1" applyBorder="1"/>
    <xf numFmtId="0" fontId="5" fillId="0" borderId="8" xfId="0" applyFont="1" applyFill="1" applyBorder="1"/>
    <xf numFmtId="43" fontId="1" fillId="0" borderId="0" xfId="0" applyNumberFormat="1" applyFont="1" applyFill="1"/>
    <xf numFmtId="0" fontId="7" fillId="0" borderId="0" xfId="0" applyFont="1" applyFill="1"/>
    <xf numFmtId="43" fontId="5" fillId="0" borderId="0" xfId="0" applyNumberFormat="1" applyFont="1" applyFill="1"/>
    <xf numFmtId="43" fontId="9" fillId="0" borderId="0" xfId="0" applyNumberFormat="1" applyFont="1" applyFill="1"/>
    <xf numFmtId="0" fontId="1" fillId="0" borderId="8" xfId="0" applyFont="1" applyFill="1" applyBorder="1"/>
    <xf numFmtId="43" fontId="14" fillId="0" borderId="0" xfId="0" applyNumberFormat="1" applyFont="1" applyFill="1"/>
    <xf numFmtId="2" fontId="0" fillId="0" borderId="8" xfId="0" applyNumberFormat="1" applyBorder="1"/>
    <xf numFmtId="0" fontId="0" fillId="0" borderId="0" xfId="0" applyBorder="1"/>
    <xf numFmtId="0" fontId="0" fillId="0" borderId="8" xfId="0" applyBorder="1"/>
    <xf numFmtId="43" fontId="16" fillId="0" borderId="0" xfId="1" applyFont="1" applyFill="1" applyBorder="1"/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right"/>
    </xf>
    <xf numFmtId="2" fontId="13" fillId="0" borderId="8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17" fillId="0" borderId="8" xfId="0" applyFont="1" applyBorder="1"/>
    <xf numFmtId="0" fontId="17" fillId="0" borderId="8" xfId="0" applyFont="1" applyBorder="1" applyAlignment="1">
      <alignment horizontal="center"/>
    </xf>
    <xf numFmtId="2" fontId="17" fillId="0" borderId="8" xfId="0" applyNumberFormat="1" applyFont="1" applyBorder="1"/>
    <xf numFmtId="2" fontId="13" fillId="0" borderId="8" xfId="0" applyNumberFormat="1" applyFont="1" applyBorder="1"/>
    <xf numFmtId="43" fontId="16" fillId="0" borderId="8" xfId="1" applyFont="1" applyFill="1" applyBorder="1"/>
    <xf numFmtId="0" fontId="17" fillId="0" borderId="8" xfId="0" quotePrefix="1" applyFont="1" applyBorder="1" applyAlignment="1">
      <alignment horizontal="right"/>
    </xf>
    <xf numFmtId="43" fontId="17" fillId="0" borderId="8" xfId="1" applyFont="1" applyBorder="1"/>
    <xf numFmtId="43" fontId="17" fillId="0" borderId="8" xfId="1" applyFont="1" applyBorder="1" applyAlignment="1"/>
    <xf numFmtId="0" fontId="13" fillId="0" borderId="8" xfId="0" applyFont="1" applyFill="1" applyBorder="1" applyAlignment="1">
      <alignment horizontal="left"/>
    </xf>
    <xf numFmtId="2" fontId="17" fillId="0" borderId="3" xfId="0" applyNumberFormat="1" applyFont="1" applyBorder="1"/>
    <xf numFmtId="0" fontId="0" fillId="0" borderId="1" xfId="0" applyBorder="1"/>
    <xf numFmtId="0" fontId="4" fillId="0" borderId="8" xfId="0" applyFont="1" applyFill="1" applyBorder="1" applyAlignment="1">
      <alignment horizontal="center" vertical="center"/>
    </xf>
    <xf numFmtId="43" fontId="16" fillId="0" borderId="3" xfId="1" applyFont="1" applyFill="1" applyBorder="1"/>
    <xf numFmtId="43" fontId="1" fillId="0" borderId="8" xfId="0" applyNumberFormat="1" applyFont="1" applyFill="1" applyBorder="1"/>
    <xf numFmtId="0" fontId="7" fillId="0" borderId="8" xfId="0" applyFont="1" applyFill="1" applyBorder="1"/>
    <xf numFmtId="0" fontId="15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2" fontId="15" fillId="0" borderId="8" xfId="0" applyNumberFormat="1" applyFont="1" applyBorder="1" applyAlignment="1">
      <alignment horizontal="center" vertical="center"/>
    </xf>
    <xf numFmtId="2" fontId="18" fillId="0" borderId="8" xfId="0" applyNumberFormat="1" applyFont="1" applyBorder="1" applyAlignment="1">
      <alignment horizontal="center" vertical="center"/>
    </xf>
    <xf numFmtId="43" fontId="18" fillId="0" borderId="2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right"/>
    </xf>
    <xf numFmtId="0" fontId="15" fillId="0" borderId="8" xfId="0" applyFont="1" applyBorder="1" applyAlignment="1">
      <alignment horizontal="left"/>
    </xf>
    <xf numFmtId="0" fontId="15" fillId="0" borderId="8" xfId="0" applyFont="1" applyBorder="1"/>
    <xf numFmtId="0" fontId="18" fillId="0" borderId="8" xfId="0" applyFont="1" applyBorder="1"/>
    <xf numFmtId="2" fontId="17" fillId="0" borderId="8" xfId="0" applyNumberFormat="1" applyFont="1" applyBorder="1" applyAlignment="1">
      <alignment horizontal="right"/>
    </xf>
    <xf numFmtId="0" fontId="15" fillId="0" borderId="5" xfId="0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7" fillId="0" borderId="4" xfId="0" applyFont="1" applyFill="1" applyBorder="1"/>
    <xf numFmtId="0" fontId="15" fillId="0" borderId="8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2" fontId="11" fillId="0" borderId="8" xfId="0" applyNumberFormat="1" applyFont="1" applyBorder="1" applyAlignment="1">
      <alignment horizontal="right"/>
    </xf>
    <xf numFmtId="0" fontId="11" fillId="0" borderId="8" xfId="0" applyFont="1" applyBorder="1"/>
    <xf numFmtId="2" fontId="17" fillId="0" borderId="7" xfId="0" applyNumberFormat="1" applyFont="1" applyBorder="1"/>
    <xf numFmtId="0" fontId="17" fillId="0" borderId="2" xfId="0" applyFont="1" applyBorder="1" applyAlignment="1">
      <alignment horizontal="right"/>
    </xf>
    <xf numFmtId="0" fontId="17" fillId="0" borderId="2" xfId="0" applyFont="1" applyBorder="1"/>
    <xf numFmtId="0" fontId="17" fillId="0" borderId="3" xfId="0" applyFont="1" applyBorder="1"/>
    <xf numFmtId="2" fontId="11" fillId="0" borderId="9" xfId="0" applyNumberFormat="1" applyFont="1" applyBorder="1" applyAlignment="1">
      <alignment horizontal="right"/>
    </xf>
    <xf numFmtId="2" fontId="11" fillId="0" borderId="10" xfId="0" applyNumberFormat="1" applyFont="1" applyBorder="1" applyAlignment="1">
      <alignment horizontal="right"/>
    </xf>
    <xf numFmtId="2" fontId="15" fillId="0" borderId="8" xfId="0" applyNumberFormat="1" applyFont="1" applyBorder="1"/>
    <xf numFmtId="2" fontId="11" fillId="0" borderId="8" xfId="0" applyNumberFormat="1" applyFont="1" applyBorder="1"/>
    <xf numFmtId="0" fontId="17" fillId="0" borderId="9" xfId="0" applyFont="1" applyBorder="1" applyAlignment="1">
      <alignment horizontal="right"/>
    </xf>
    <xf numFmtId="0" fontId="17" fillId="0" borderId="10" xfId="0" applyFont="1" applyBorder="1"/>
    <xf numFmtId="43" fontId="12" fillId="0" borderId="8" xfId="1" applyFont="1" applyFill="1" applyBorder="1" applyAlignment="1"/>
    <xf numFmtId="2" fontId="17" fillId="0" borderId="2" xfId="0" applyNumberFormat="1" applyFont="1" applyBorder="1"/>
    <xf numFmtId="2" fontId="11" fillId="0" borderId="12" xfId="0" applyNumberFormat="1" applyFont="1" applyBorder="1"/>
    <xf numFmtId="0" fontId="15" fillId="0" borderId="0" xfId="0" applyFont="1" applyBorder="1" applyAlignment="1">
      <alignment horizontal="center"/>
    </xf>
    <xf numFmtId="0" fontId="11" fillId="0" borderId="0" xfId="0" applyFont="1" applyBorder="1" applyAlignment="1">
      <alignment horizontal="right"/>
    </xf>
    <xf numFmtId="2" fontId="17" fillId="0" borderId="0" xfId="0" applyNumberFormat="1" applyFont="1" applyBorder="1"/>
    <xf numFmtId="43" fontId="1" fillId="0" borderId="0" xfId="0" applyNumberFormat="1" applyFont="1" applyFill="1" applyBorder="1"/>
    <xf numFmtId="2" fontId="17" fillId="0" borderId="3" xfId="0" applyNumberFormat="1" applyFont="1" applyBorder="1" applyAlignment="1">
      <alignment horizontal="right"/>
    </xf>
    <xf numFmtId="0" fontId="15" fillId="0" borderId="0" xfId="0" applyFont="1" applyBorder="1" applyAlignment="1">
      <alignment horizontal="left"/>
    </xf>
    <xf numFmtId="0" fontId="15" fillId="0" borderId="6" xfId="0" applyFont="1" applyBorder="1" applyAlignment="1">
      <alignment horizontal="center"/>
    </xf>
    <xf numFmtId="0" fontId="17" fillId="0" borderId="14" xfId="0" applyFont="1" applyBorder="1" applyAlignment="1">
      <alignment horizontal="right"/>
    </xf>
    <xf numFmtId="0" fontId="17" fillId="0" borderId="13" xfId="0" applyFont="1" applyBorder="1"/>
    <xf numFmtId="0" fontId="17" fillId="0" borderId="11" xfId="0" applyFont="1" applyBorder="1"/>
    <xf numFmtId="0" fontId="6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0"/>
  <sheetViews>
    <sheetView topLeftCell="A28" workbookViewId="0">
      <selection activeCell="I38" sqref="I38"/>
    </sheetView>
  </sheetViews>
  <sheetFormatPr baseColWidth="10" defaultRowHeight="15"/>
  <cols>
    <col min="1" max="1" width="11.7109375" customWidth="1"/>
    <col min="2" max="2" width="36.28515625" customWidth="1"/>
    <col min="3" max="3" width="9.85546875" customWidth="1"/>
    <col min="4" max="4" width="32.140625" customWidth="1"/>
    <col min="5" max="5" width="17.7109375" customWidth="1"/>
    <col min="6" max="6" width="19" customWidth="1"/>
    <col min="7" max="7" width="29.42578125" customWidth="1"/>
    <col min="8" max="8" width="7.7109375" customWidth="1"/>
  </cols>
  <sheetData>
    <row r="1" spans="1:9" ht="15.75">
      <c r="A1" s="78" t="s">
        <v>93</v>
      </c>
      <c r="B1" s="78"/>
      <c r="C1" s="78"/>
      <c r="D1" s="78"/>
      <c r="E1" s="78"/>
      <c r="F1" s="78"/>
      <c r="G1" s="78"/>
      <c r="H1" s="1"/>
      <c r="I1" s="1"/>
    </row>
    <row r="2" spans="1:9" ht="21.75" customHeight="1">
      <c r="A2" s="79" t="s">
        <v>94</v>
      </c>
      <c r="B2" s="79"/>
      <c r="C2" s="79"/>
      <c r="D2" s="79"/>
      <c r="E2" s="79"/>
      <c r="F2" s="79"/>
      <c r="G2" s="79"/>
      <c r="H2" s="1"/>
      <c r="I2" s="1"/>
    </row>
    <row r="3" spans="1:9" ht="15.75" customHeight="1">
      <c r="A3" s="79" t="s">
        <v>95</v>
      </c>
      <c r="B3" s="79"/>
      <c r="C3" s="79"/>
      <c r="D3" s="79"/>
      <c r="E3" s="79"/>
      <c r="F3" s="79"/>
      <c r="G3" s="79"/>
      <c r="H3" s="1"/>
      <c r="I3" s="1"/>
    </row>
    <row r="4" spans="1:9" ht="27" customHeight="1">
      <c r="A4" s="80" t="s">
        <v>48</v>
      </c>
      <c r="B4" s="80"/>
      <c r="C4" s="80"/>
      <c r="D4" s="80"/>
      <c r="E4" s="80"/>
      <c r="F4" s="80"/>
      <c r="G4" s="80"/>
      <c r="H4" s="1"/>
      <c r="I4" s="1"/>
    </row>
    <row r="5" spans="1:9" ht="18.75" customHeight="1">
      <c r="A5" s="19" t="s">
        <v>96</v>
      </c>
      <c r="B5" s="19"/>
      <c r="C5" s="19"/>
      <c r="D5" s="19"/>
      <c r="E5" s="19"/>
      <c r="F5" s="19"/>
      <c r="G5" s="19"/>
      <c r="H5" s="1"/>
      <c r="I5" s="1"/>
    </row>
    <row r="6" spans="1:9" ht="47.25" customHeight="1">
      <c r="A6" s="15" t="s">
        <v>84</v>
      </c>
      <c r="B6" s="15" t="s">
        <v>0</v>
      </c>
      <c r="C6" s="16" t="s">
        <v>85</v>
      </c>
      <c r="D6" s="16" t="s">
        <v>86</v>
      </c>
      <c r="E6" s="16" t="s">
        <v>158</v>
      </c>
      <c r="F6" s="16" t="s">
        <v>87</v>
      </c>
      <c r="G6" s="16" t="s">
        <v>88</v>
      </c>
      <c r="H6" s="1"/>
      <c r="I6" s="1"/>
    </row>
    <row r="7" spans="1:9" ht="20.100000000000001" customHeight="1">
      <c r="A7" s="20">
        <v>1102764451</v>
      </c>
      <c r="B7" s="20" t="s">
        <v>63</v>
      </c>
      <c r="C7" s="21">
        <v>1</v>
      </c>
      <c r="D7" s="20" t="s">
        <v>90</v>
      </c>
      <c r="E7" s="22">
        <v>531</v>
      </c>
      <c r="F7" s="22">
        <v>561</v>
      </c>
      <c r="G7" s="23" t="s">
        <v>89</v>
      </c>
      <c r="H7" s="5"/>
      <c r="I7" s="1"/>
    </row>
    <row r="8" spans="1:9" ht="20.100000000000001" customHeight="1">
      <c r="A8" s="20">
        <v>1102866645</v>
      </c>
      <c r="B8" s="20" t="s">
        <v>64</v>
      </c>
      <c r="C8" s="21">
        <v>2</v>
      </c>
      <c r="D8" s="20" t="s">
        <v>90</v>
      </c>
      <c r="E8" s="22">
        <v>531</v>
      </c>
      <c r="F8" s="22">
        <v>561</v>
      </c>
      <c r="G8" s="24"/>
      <c r="H8" s="5"/>
      <c r="I8" s="5"/>
    </row>
    <row r="9" spans="1:9" ht="20.100000000000001" customHeight="1">
      <c r="A9" s="20">
        <v>1102156450</v>
      </c>
      <c r="B9" s="20" t="s">
        <v>65</v>
      </c>
      <c r="C9" s="21">
        <v>3</v>
      </c>
      <c r="D9" s="20" t="s">
        <v>47</v>
      </c>
      <c r="E9" s="22">
        <v>566</v>
      </c>
      <c r="F9" s="22">
        <v>596</v>
      </c>
      <c r="G9" s="23" t="s">
        <v>89</v>
      </c>
      <c r="H9" s="5"/>
      <c r="I9" s="1"/>
    </row>
    <row r="10" spans="1:9" ht="20.100000000000001" customHeight="1">
      <c r="A10" s="20">
        <v>1900164631</v>
      </c>
      <c r="B10" s="20" t="s">
        <v>68</v>
      </c>
      <c r="C10" s="21">
        <v>4</v>
      </c>
      <c r="D10" s="20" t="s">
        <v>1</v>
      </c>
      <c r="E10" s="22">
        <v>531</v>
      </c>
      <c r="F10" s="22">
        <v>561</v>
      </c>
      <c r="G10" s="24"/>
      <c r="H10" s="5"/>
      <c r="I10" s="1"/>
    </row>
    <row r="11" spans="1:9" ht="20.100000000000001" customHeight="1">
      <c r="A11" s="20">
        <v>1900293638</v>
      </c>
      <c r="B11" s="20" t="s">
        <v>59</v>
      </c>
      <c r="C11" s="21">
        <v>5</v>
      </c>
      <c r="D11" s="20" t="s">
        <v>71</v>
      </c>
      <c r="E11" s="22">
        <v>566</v>
      </c>
      <c r="F11" s="22">
        <v>596</v>
      </c>
      <c r="G11" s="23" t="s">
        <v>89</v>
      </c>
      <c r="H11" s="5"/>
      <c r="I11" s="1"/>
    </row>
    <row r="12" spans="1:9" ht="20.100000000000001" customHeight="1">
      <c r="A12" s="20">
        <v>1900164607</v>
      </c>
      <c r="B12" s="20" t="s">
        <v>60</v>
      </c>
      <c r="C12" s="21">
        <v>6</v>
      </c>
      <c r="D12" s="20" t="s">
        <v>72</v>
      </c>
      <c r="E12" s="22">
        <v>553</v>
      </c>
      <c r="F12" s="22">
        <v>561</v>
      </c>
      <c r="G12" s="24"/>
      <c r="H12" s="5"/>
      <c r="I12" s="1"/>
    </row>
    <row r="13" spans="1:9" ht="20.100000000000001" customHeight="1">
      <c r="A13" s="25" t="s">
        <v>92</v>
      </c>
      <c r="B13" s="20" t="s">
        <v>8</v>
      </c>
      <c r="C13" s="21">
        <v>7</v>
      </c>
      <c r="D13" s="20" t="s">
        <v>73</v>
      </c>
      <c r="E13" s="26">
        <v>783.3</v>
      </c>
      <c r="F13" s="26">
        <v>783.3</v>
      </c>
      <c r="G13" s="24" t="s">
        <v>97</v>
      </c>
      <c r="H13" s="5"/>
      <c r="I13" s="2"/>
    </row>
    <row r="14" spans="1:9" ht="20.100000000000001" customHeight="1">
      <c r="A14" s="20">
        <v>1900170273</v>
      </c>
      <c r="B14" s="20" t="s">
        <v>6</v>
      </c>
      <c r="C14" s="21">
        <v>8</v>
      </c>
      <c r="D14" s="20" t="s">
        <v>74</v>
      </c>
      <c r="E14" s="20">
        <v>787.67</v>
      </c>
      <c r="F14" s="20">
        <v>787.67</v>
      </c>
      <c r="G14" s="24" t="s">
        <v>97</v>
      </c>
      <c r="H14" s="5"/>
      <c r="I14" s="2"/>
    </row>
    <row r="15" spans="1:9" ht="20.100000000000001" customHeight="1">
      <c r="A15" s="20">
        <v>1900246297</v>
      </c>
      <c r="B15" s="20" t="s">
        <v>58</v>
      </c>
      <c r="C15" s="21">
        <v>9</v>
      </c>
      <c r="D15" s="20" t="s">
        <v>71</v>
      </c>
      <c r="E15" s="22">
        <v>566</v>
      </c>
      <c r="F15" s="22">
        <v>596</v>
      </c>
      <c r="G15" s="23"/>
      <c r="H15" s="10"/>
      <c r="I15" s="2"/>
    </row>
    <row r="16" spans="1:9" ht="20.100000000000001" customHeight="1">
      <c r="A16" s="20">
        <v>1101746384</v>
      </c>
      <c r="B16" s="20" t="s">
        <v>61</v>
      </c>
      <c r="C16" s="21">
        <v>10</v>
      </c>
      <c r="D16" s="20" t="s">
        <v>75</v>
      </c>
      <c r="E16" s="22">
        <v>553</v>
      </c>
      <c r="F16" s="22">
        <v>561</v>
      </c>
      <c r="G16" s="23" t="s">
        <v>89</v>
      </c>
      <c r="H16" s="5"/>
      <c r="I16" s="2"/>
    </row>
    <row r="17" spans="1:9" ht="20.100000000000001" customHeight="1">
      <c r="A17" s="20">
        <v>1900270453</v>
      </c>
      <c r="B17" s="20" t="s">
        <v>62</v>
      </c>
      <c r="C17" s="21">
        <v>11</v>
      </c>
      <c r="D17" s="20" t="s">
        <v>76</v>
      </c>
      <c r="E17" s="22">
        <v>743</v>
      </c>
      <c r="F17" s="22">
        <v>773</v>
      </c>
      <c r="G17" s="23" t="s">
        <v>89</v>
      </c>
      <c r="H17" s="5"/>
      <c r="I17" s="2"/>
    </row>
    <row r="18" spans="1:9" ht="20.100000000000001" customHeight="1">
      <c r="A18" s="20">
        <v>1103142657</v>
      </c>
      <c r="B18" s="20" t="s">
        <v>52</v>
      </c>
      <c r="C18" s="21">
        <v>12</v>
      </c>
      <c r="D18" s="20" t="s">
        <v>75</v>
      </c>
      <c r="E18" s="22">
        <v>622.92999999999995</v>
      </c>
      <c r="F18" s="22">
        <v>622.92999999999995</v>
      </c>
      <c r="G18" s="24" t="s">
        <v>97</v>
      </c>
      <c r="H18" s="5"/>
      <c r="I18" s="2"/>
    </row>
    <row r="19" spans="1:9" ht="20.100000000000001" customHeight="1">
      <c r="A19" s="20">
        <v>1900504760</v>
      </c>
      <c r="B19" s="20" t="s">
        <v>19</v>
      </c>
      <c r="C19" s="21">
        <v>13</v>
      </c>
      <c r="D19" s="20" t="s">
        <v>69</v>
      </c>
      <c r="E19" s="22">
        <v>600.96</v>
      </c>
      <c r="F19" s="22">
        <v>600.96</v>
      </c>
      <c r="G19" s="24" t="s">
        <v>97</v>
      </c>
      <c r="H19" s="5"/>
      <c r="I19" s="6"/>
    </row>
    <row r="20" spans="1:9" ht="20.100000000000001" customHeight="1">
      <c r="A20" s="20">
        <v>1101802740</v>
      </c>
      <c r="B20" s="20" t="s">
        <v>7</v>
      </c>
      <c r="C20" s="21">
        <v>14</v>
      </c>
      <c r="D20" s="20" t="s">
        <v>77</v>
      </c>
      <c r="E20" s="22">
        <v>644.25</v>
      </c>
      <c r="F20" s="22">
        <v>644.25</v>
      </c>
      <c r="G20" s="24" t="s">
        <v>97</v>
      </c>
      <c r="H20" s="5"/>
      <c r="I20" s="2"/>
    </row>
    <row r="21" spans="1:9" ht="20.100000000000001" customHeight="1">
      <c r="A21" s="20">
        <v>1900374420</v>
      </c>
      <c r="B21" s="20" t="s">
        <v>57</v>
      </c>
      <c r="C21" s="21">
        <v>15</v>
      </c>
      <c r="D21" s="20" t="s">
        <v>78</v>
      </c>
      <c r="E21" s="22">
        <v>531</v>
      </c>
      <c r="F21" s="22">
        <v>561</v>
      </c>
      <c r="G21" s="24"/>
      <c r="H21" s="5"/>
      <c r="I21" s="2"/>
    </row>
    <row r="22" spans="1:9" ht="20.100000000000001" customHeight="1">
      <c r="A22" s="20">
        <v>1101905568</v>
      </c>
      <c r="B22" s="20" t="s">
        <v>2</v>
      </c>
      <c r="C22" s="21">
        <v>16</v>
      </c>
      <c r="D22" s="20" t="s">
        <v>3</v>
      </c>
      <c r="E22" s="22">
        <v>837.74</v>
      </c>
      <c r="F22" s="22">
        <v>837.74</v>
      </c>
      <c r="G22" s="23" t="s">
        <v>89</v>
      </c>
      <c r="H22" s="5"/>
      <c r="I22" s="2"/>
    </row>
    <row r="23" spans="1:9" ht="20.100000000000001" customHeight="1">
      <c r="A23" s="20">
        <v>1900320522</v>
      </c>
      <c r="B23" s="20" t="s">
        <v>22</v>
      </c>
      <c r="C23" s="21">
        <v>17</v>
      </c>
      <c r="D23" s="20" t="s">
        <v>3</v>
      </c>
      <c r="E23" s="22">
        <v>708</v>
      </c>
      <c r="F23" s="22">
        <v>738</v>
      </c>
      <c r="G23" s="24"/>
      <c r="H23" s="5"/>
      <c r="I23" s="2"/>
    </row>
    <row r="24" spans="1:9" ht="20.100000000000001" customHeight="1">
      <c r="A24" s="20">
        <v>1900121599</v>
      </c>
      <c r="B24" s="20" t="s">
        <v>5</v>
      </c>
      <c r="C24" s="21">
        <v>18</v>
      </c>
      <c r="D24" s="20" t="s">
        <v>79</v>
      </c>
      <c r="E24" s="22">
        <v>803.08</v>
      </c>
      <c r="F24" s="22">
        <v>803.08</v>
      </c>
      <c r="G24" s="24" t="s">
        <v>97</v>
      </c>
      <c r="H24" s="5"/>
      <c r="I24" s="2"/>
    </row>
    <row r="25" spans="1:9" ht="20.100000000000001" customHeight="1">
      <c r="A25" s="20">
        <v>1900087253</v>
      </c>
      <c r="B25" s="20" t="s">
        <v>9</v>
      </c>
      <c r="C25" s="21">
        <v>19</v>
      </c>
      <c r="D25" s="20" t="s">
        <v>70</v>
      </c>
      <c r="E25" s="22">
        <v>779.94</v>
      </c>
      <c r="F25" s="22">
        <v>779.94</v>
      </c>
      <c r="G25" s="23" t="s">
        <v>89</v>
      </c>
      <c r="H25" s="8"/>
      <c r="I25" s="2"/>
    </row>
    <row r="26" spans="1:9" ht="20.100000000000001" customHeight="1">
      <c r="A26" s="20">
        <v>1900415447</v>
      </c>
      <c r="B26" s="20" t="s">
        <v>18</v>
      </c>
      <c r="C26" s="21">
        <v>20</v>
      </c>
      <c r="D26" s="20" t="s">
        <v>80</v>
      </c>
      <c r="E26" s="22">
        <v>630.66</v>
      </c>
      <c r="F26" s="22">
        <v>630.66</v>
      </c>
      <c r="G26" s="24" t="s">
        <v>97</v>
      </c>
      <c r="H26" s="5"/>
      <c r="I26" s="2"/>
    </row>
    <row r="27" spans="1:9" ht="20.100000000000001" customHeight="1">
      <c r="A27" s="20">
        <v>1900242783</v>
      </c>
      <c r="B27" s="20" t="s">
        <v>20</v>
      </c>
      <c r="C27" s="21">
        <v>21</v>
      </c>
      <c r="D27" s="20" t="s">
        <v>81</v>
      </c>
      <c r="E27" s="22">
        <v>621.66</v>
      </c>
      <c r="F27" s="22">
        <v>773</v>
      </c>
      <c r="G27" s="24"/>
      <c r="H27" s="5"/>
      <c r="I27" s="2"/>
    </row>
    <row r="28" spans="1:9" ht="20.100000000000001" customHeight="1">
      <c r="A28" s="20">
        <v>1900205830</v>
      </c>
      <c r="B28" s="20" t="s">
        <v>4</v>
      </c>
      <c r="C28" s="21">
        <v>22</v>
      </c>
      <c r="D28" s="20" t="s">
        <v>47</v>
      </c>
      <c r="E28" s="22">
        <v>769.71</v>
      </c>
      <c r="F28" s="22">
        <v>769.71</v>
      </c>
      <c r="G28" s="24" t="s">
        <v>97</v>
      </c>
      <c r="H28" s="5"/>
      <c r="I28" s="2"/>
    </row>
    <row r="29" spans="1:9" ht="20.100000000000001" customHeight="1">
      <c r="A29" s="20">
        <v>1900512607</v>
      </c>
      <c r="B29" s="20" t="s">
        <v>21</v>
      </c>
      <c r="C29" s="21">
        <v>23</v>
      </c>
      <c r="D29" s="20" t="s">
        <v>79</v>
      </c>
      <c r="E29" s="22">
        <v>636.92999999999995</v>
      </c>
      <c r="F29" s="22">
        <v>636.92999999999995</v>
      </c>
      <c r="G29" s="24" t="s">
        <v>97</v>
      </c>
      <c r="H29" s="5"/>
      <c r="I29" s="2"/>
    </row>
    <row r="30" spans="1:9" ht="20.100000000000001" customHeight="1">
      <c r="A30" s="20">
        <v>1103038053</v>
      </c>
      <c r="B30" s="20" t="s">
        <v>10</v>
      </c>
      <c r="C30" s="21">
        <v>24</v>
      </c>
      <c r="D30" s="20" t="s">
        <v>47</v>
      </c>
      <c r="E30" s="22">
        <v>600.96</v>
      </c>
      <c r="F30" s="22">
        <v>600.96</v>
      </c>
      <c r="G30" s="23" t="s">
        <v>89</v>
      </c>
      <c r="H30" s="5"/>
      <c r="I30" s="2"/>
    </row>
    <row r="31" spans="1:9" ht="20.100000000000001" customHeight="1">
      <c r="A31" s="20">
        <v>1102590401</v>
      </c>
      <c r="B31" s="20" t="s">
        <v>23</v>
      </c>
      <c r="C31" s="21">
        <v>25</v>
      </c>
      <c r="D31" s="20" t="s">
        <v>3</v>
      </c>
      <c r="E31" s="22">
        <v>708</v>
      </c>
      <c r="F31" s="22">
        <v>738</v>
      </c>
      <c r="G31" s="24" t="s">
        <v>97</v>
      </c>
      <c r="H31" s="5"/>
      <c r="I31" s="2"/>
    </row>
    <row r="32" spans="1:9" ht="20.100000000000001" customHeight="1">
      <c r="A32" s="20">
        <v>1900552827</v>
      </c>
      <c r="B32" s="20" t="s">
        <v>67</v>
      </c>
      <c r="C32" s="21">
        <v>26</v>
      </c>
      <c r="D32" s="20" t="s">
        <v>82</v>
      </c>
      <c r="E32" s="22">
        <v>610.83000000000004</v>
      </c>
      <c r="F32" s="22">
        <v>610.83000000000004</v>
      </c>
      <c r="G32" s="24" t="s">
        <v>97</v>
      </c>
      <c r="H32" s="5"/>
      <c r="I32" s="2"/>
    </row>
    <row r="33" spans="1:9" ht="18" customHeight="1">
      <c r="A33" s="20">
        <v>1103689145</v>
      </c>
      <c r="B33" s="20" t="s">
        <v>16</v>
      </c>
      <c r="C33" s="21">
        <v>27</v>
      </c>
      <c r="D33" s="20" t="s">
        <v>17</v>
      </c>
      <c r="E33" s="22">
        <v>752.25</v>
      </c>
      <c r="F33" s="22">
        <v>752.25</v>
      </c>
      <c r="G33" s="24" t="s">
        <v>97</v>
      </c>
      <c r="H33" s="5"/>
      <c r="I33" s="2"/>
    </row>
    <row r="34" spans="1:9" ht="18" customHeight="1">
      <c r="A34" s="20">
        <v>1101702817</v>
      </c>
      <c r="B34" s="20" t="s">
        <v>11</v>
      </c>
      <c r="C34" s="21">
        <v>28</v>
      </c>
      <c r="D34" s="20" t="s">
        <v>3</v>
      </c>
      <c r="E34" s="22">
        <v>855.39</v>
      </c>
      <c r="F34" s="22">
        <v>855.39</v>
      </c>
      <c r="G34" s="24" t="s">
        <v>97</v>
      </c>
      <c r="H34" s="5"/>
      <c r="I34" s="2"/>
    </row>
    <row r="35" spans="1:9" ht="18" customHeight="1">
      <c r="A35" s="20">
        <v>1102885710</v>
      </c>
      <c r="B35" s="20" t="s">
        <v>12</v>
      </c>
      <c r="C35" s="21">
        <v>29</v>
      </c>
      <c r="D35" s="20" t="s">
        <v>79</v>
      </c>
      <c r="E35" s="22">
        <v>690.23</v>
      </c>
      <c r="F35" s="22">
        <v>690.23</v>
      </c>
      <c r="G35" s="24" t="s">
        <v>97</v>
      </c>
      <c r="H35" s="5"/>
      <c r="I35" s="2"/>
    </row>
    <row r="36" spans="1:9" ht="18" customHeight="1">
      <c r="A36" s="20">
        <v>1900411941</v>
      </c>
      <c r="B36" s="20" t="s">
        <v>24</v>
      </c>
      <c r="C36" s="21">
        <v>30</v>
      </c>
      <c r="D36" s="20" t="s">
        <v>3</v>
      </c>
      <c r="E36" s="22">
        <v>708</v>
      </c>
      <c r="F36" s="22">
        <v>738</v>
      </c>
      <c r="G36" s="24"/>
      <c r="H36" s="5"/>
      <c r="I36" s="2"/>
    </row>
    <row r="37" spans="1:9" ht="18" customHeight="1">
      <c r="A37" s="20">
        <v>1900116995</v>
      </c>
      <c r="B37" s="20" t="s">
        <v>13</v>
      </c>
      <c r="C37" s="21">
        <v>31</v>
      </c>
      <c r="D37" s="20" t="s">
        <v>3</v>
      </c>
      <c r="E37" s="22">
        <v>862.87</v>
      </c>
      <c r="F37" s="22">
        <v>862.87</v>
      </c>
      <c r="G37" s="24" t="s">
        <v>97</v>
      </c>
      <c r="H37" s="5"/>
      <c r="I37" s="2"/>
    </row>
    <row r="38" spans="1:9" ht="18" customHeight="1">
      <c r="A38" s="20">
        <v>1900139617</v>
      </c>
      <c r="B38" s="20" t="s">
        <v>14</v>
      </c>
      <c r="C38" s="21">
        <v>32</v>
      </c>
      <c r="D38" s="20" t="s">
        <v>1</v>
      </c>
      <c r="E38" s="22">
        <v>782.19</v>
      </c>
      <c r="F38" s="22">
        <v>782.19</v>
      </c>
      <c r="G38" s="24" t="s">
        <v>97</v>
      </c>
      <c r="H38" s="5"/>
      <c r="I38" s="2"/>
    </row>
    <row r="39" spans="1:9" ht="18" customHeight="1">
      <c r="A39" s="20">
        <v>1101832465</v>
      </c>
      <c r="B39" s="20" t="s">
        <v>15</v>
      </c>
      <c r="C39" s="21">
        <v>33</v>
      </c>
      <c r="D39" s="20" t="s">
        <v>3</v>
      </c>
      <c r="E39" s="22">
        <v>859.63</v>
      </c>
      <c r="F39" s="22">
        <v>859.63</v>
      </c>
      <c r="G39" s="24" t="s">
        <v>97</v>
      </c>
      <c r="H39" s="5"/>
      <c r="I39" s="2"/>
    </row>
    <row r="40" spans="1:9" ht="18" customHeight="1">
      <c r="A40" s="20">
        <v>1102364500</v>
      </c>
      <c r="B40" s="20" t="s">
        <v>66</v>
      </c>
      <c r="C40" s="21">
        <v>34</v>
      </c>
      <c r="D40" s="20" t="s">
        <v>79</v>
      </c>
      <c r="E40" s="22">
        <v>972.77</v>
      </c>
      <c r="F40" s="22">
        <v>972.77</v>
      </c>
      <c r="G40" s="24" t="s">
        <v>97</v>
      </c>
      <c r="H40" s="5"/>
      <c r="I40" s="2"/>
    </row>
    <row r="41" spans="1:9" ht="18" customHeight="1">
      <c r="A41" s="20">
        <v>1101776134</v>
      </c>
      <c r="B41" s="20" t="s">
        <v>40</v>
      </c>
      <c r="C41" s="21">
        <v>35</v>
      </c>
      <c r="D41" s="20" t="s">
        <v>3</v>
      </c>
      <c r="E41" s="22">
        <v>708</v>
      </c>
      <c r="F41" s="22">
        <v>738</v>
      </c>
      <c r="G41" s="24"/>
      <c r="H41" s="5"/>
      <c r="I41" s="7"/>
    </row>
    <row r="42" spans="1:9" ht="18" customHeight="1">
      <c r="A42" s="20">
        <v>1900362581</v>
      </c>
      <c r="B42" s="20" t="s">
        <v>51</v>
      </c>
      <c r="C42" s="21">
        <v>36</v>
      </c>
      <c r="D42" s="20" t="s">
        <v>47</v>
      </c>
      <c r="E42" s="22">
        <v>584</v>
      </c>
      <c r="F42" s="22">
        <v>614</v>
      </c>
      <c r="G42" s="24"/>
      <c r="H42" s="5"/>
      <c r="I42" s="7"/>
    </row>
    <row r="43" spans="1:9" ht="18" customHeight="1">
      <c r="A43" s="20">
        <v>1900440759</v>
      </c>
      <c r="B43" s="20" t="s">
        <v>53</v>
      </c>
      <c r="C43" s="21">
        <v>37</v>
      </c>
      <c r="D43" s="20" t="s">
        <v>25</v>
      </c>
      <c r="E43" s="22">
        <v>531</v>
      </c>
      <c r="F43" s="22">
        <v>561</v>
      </c>
      <c r="G43" s="24"/>
      <c r="H43" s="8"/>
      <c r="I43" s="7"/>
    </row>
    <row r="44" spans="1:9" ht="18" customHeight="1">
      <c r="A44" s="20">
        <v>1900332113</v>
      </c>
      <c r="B44" s="20" t="s">
        <v>55</v>
      </c>
      <c r="C44" s="21">
        <v>38</v>
      </c>
      <c r="D44" s="20" t="s">
        <v>83</v>
      </c>
      <c r="E44" s="22">
        <v>531</v>
      </c>
      <c r="F44" s="22">
        <v>561</v>
      </c>
      <c r="G44" s="23" t="s">
        <v>89</v>
      </c>
      <c r="H44" s="5"/>
      <c r="I44" s="7"/>
    </row>
    <row r="45" spans="1:9" ht="18" customHeight="1">
      <c r="A45" s="17" t="s">
        <v>28</v>
      </c>
      <c r="B45" s="28" t="s">
        <v>27</v>
      </c>
      <c r="C45" s="21">
        <v>39</v>
      </c>
      <c r="D45" s="28" t="s">
        <v>83</v>
      </c>
      <c r="E45" s="18">
        <v>531</v>
      </c>
      <c r="F45" s="18">
        <v>561</v>
      </c>
      <c r="G45" s="23" t="s">
        <v>89</v>
      </c>
    </row>
    <row r="46" spans="1:9" ht="18" customHeight="1">
      <c r="A46" s="17" t="s">
        <v>30</v>
      </c>
      <c r="B46" s="28" t="s">
        <v>29</v>
      </c>
      <c r="C46" s="21">
        <v>40</v>
      </c>
      <c r="D46" s="28" t="s">
        <v>31</v>
      </c>
      <c r="E46" s="18">
        <v>708</v>
      </c>
      <c r="F46" s="18">
        <v>738</v>
      </c>
      <c r="G46" s="23" t="s">
        <v>89</v>
      </c>
    </row>
    <row r="47" spans="1:9" ht="18" customHeight="1">
      <c r="A47" s="17">
        <v>1900428481</v>
      </c>
      <c r="B47" s="28" t="s">
        <v>32</v>
      </c>
      <c r="C47" s="21">
        <v>41</v>
      </c>
      <c r="D47" s="28" t="s">
        <v>56</v>
      </c>
      <c r="E47" s="18">
        <v>531</v>
      </c>
      <c r="F47" s="18">
        <v>561</v>
      </c>
      <c r="G47" s="23" t="s">
        <v>89</v>
      </c>
    </row>
    <row r="48" spans="1:9" ht="18" customHeight="1">
      <c r="A48" s="17">
        <v>1900206184</v>
      </c>
      <c r="B48" s="28" t="s">
        <v>33</v>
      </c>
      <c r="C48" s="21">
        <v>42</v>
      </c>
      <c r="D48" s="28" t="s">
        <v>83</v>
      </c>
      <c r="E48" s="18">
        <v>531</v>
      </c>
      <c r="F48" s="18">
        <v>561</v>
      </c>
      <c r="G48" s="23" t="s">
        <v>89</v>
      </c>
    </row>
    <row r="49" spans="1:7" ht="18" customHeight="1">
      <c r="A49" s="17">
        <v>1101359576</v>
      </c>
      <c r="B49" s="28" t="s">
        <v>34</v>
      </c>
      <c r="C49" s="21">
        <v>43</v>
      </c>
      <c r="D49" s="28" t="s">
        <v>83</v>
      </c>
      <c r="E49" s="18">
        <v>531</v>
      </c>
      <c r="F49" s="18">
        <v>561</v>
      </c>
      <c r="G49" s="23" t="s">
        <v>89</v>
      </c>
    </row>
    <row r="50" spans="1:7" ht="18" customHeight="1">
      <c r="A50" s="17">
        <v>1102808654</v>
      </c>
      <c r="B50" s="28" t="s">
        <v>35</v>
      </c>
      <c r="C50" s="21">
        <v>44</v>
      </c>
      <c r="D50" s="28" t="s">
        <v>83</v>
      </c>
      <c r="E50" s="18">
        <v>531</v>
      </c>
      <c r="F50" s="18">
        <v>561</v>
      </c>
      <c r="G50" s="23" t="s">
        <v>89</v>
      </c>
    </row>
    <row r="51" spans="1:7" ht="18" customHeight="1">
      <c r="A51" s="17">
        <v>1900424787</v>
      </c>
      <c r="B51" s="28" t="s">
        <v>36</v>
      </c>
      <c r="C51" s="21">
        <v>45</v>
      </c>
      <c r="D51" s="28" t="s">
        <v>83</v>
      </c>
      <c r="E51" s="18">
        <v>531</v>
      </c>
      <c r="F51" s="18">
        <v>561</v>
      </c>
      <c r="G51" s="23" t="s">
        <v>89</v>
      </c>
    </row>
    <row r="52" spans="1:7" ht="18" customHeight="1">
      <c r="A52" s="17">
        <v>1900224385</v>
      </c>
      <c r="B52" s="28" t="s">
        <v>37</v>
      </c>
      <c r="C52" s="21">
        <v>46</v>
      </c>
      <c r="D52" s="28" t="s">
        <v>83</v>
      </c>
      <c r="E52" s="18">
        <v>531</v>
      </c>
      <c r="F52" s="18">
        <v>561</v>
      </c>
      <c r="G52" s="23" t="s">
        <v>89</v>
      </c>
    </row>
    <row r="53" spans="1:7" ht="18" customHeight="1">
      <c r="A53" s="17">
        <v>1900356609</v>
      </c>
      <c r="B53" s="28" t="s">
        <v>38</v>
      </c>
      <c r="C53" s="21">
        <v>47</v>
      </c>
      <c r="D53" s="28" t="s">
        <v>83</v>
      </c>
      <c r="E53" s="18">
        <v>531</v>
      </c>
      <c r="F53" s="18">
        <v>561</v>
      </c>
      <c r="G53" s="23" t="s">
        <v>89</v>
      </c>
    </row>
    <row r="54" spans="1:7" ht="18" customHeight="1">
      <c r="A54" s="17">
        <v>1103143762</v>
      </c>
      <c r="B54" s="28" t="s">
        <v>39</v>
      </c>
      <c r="C54" s="21">
        <v>48</v>
      </c>
      <c r="D54" s="28" t="s">
        <v>83</v>
      </c>
      <c r="E54" s="18">
        <v>531</v>
      </c>
      <c r="F54" s="18">
        <v>561</v>
      </c>
      <c r="G54" s="23" t="s">
        <v>89</v>
      </c>
    </row>
    <row r="55" spans="1:7" ht="18" customHeight="1">
      <c r="A55" s="17">
        <v>1102402995</v>
      </c>
      <c r="B55" s="28" t="s">
        <v>41</v>
      </c>
      <c r="C55" s="21">
        <v>49</v>
      </c>
      <c r="D55" s="28" t="s">
        <v>83</v>
      </c>
      <c r="E55" s="18">
        <v>531</v>
      </c>
      <c r="F55" s="18">
        <v>561</v>
      </c>
      <c r="G55" s="23" t="s">
        <v>89</v>
      </c>
    </row>
    <row r="56" spans="1:7" ht="18" customHeight="1">
      <c r="A56" s="17">
        <v>1900542240</v>
      </c>
      <c r="B56" s="28" t="s">
        <v>42</v>
      </c>
      <c r="C56" s="21">
        <v>50</v>
      </c>
      <c r="D56" s="28" t="s">
        <v>83</v>
      </c>
      <c r="E56" s="18">
        <v>531</v>
      </c>
      <c r="F56" s="18">
        <v>561</v>
      </c>
      <c r="G56" s="23" t="s">
        <v>89</v>
      </c>
    </row>
    <row r="57" spans="1:7" ht="18" customHeight="1">
      <c r="A57" s="17">
        <v>1900205798</v>
      </c>
      <c r="B57" s="28" t="s">
        <v>43</v>
      </c>
      <c r="C57" s="21">
        <v>51</v>
      </c>
      <c r="D57" s="28" t="s">
        <v>83</v>
      </c>
      <c r="E57" s="18">
        <v>531</v>
      </c>
      <c r="F57" s="18">
        <v>561</v>
      </c>
      <c r="G57" s="23" t="s">
        <v>89</v>
      </c>
    </row>
    <row r="58" spans="1:7" ht="18" customHeight="1">
      <c r="A58" s="17">
        <v>1900289248</v>
      </c>
      <c r="B58" s="28" t="s">
        <v>44</v>
      </c>
      <c r="C58" s="21">
        <v>52</v>
      </c>
      <c r="D58" s="28" t="s">
        <v>45</v>
      </c>
      <c r="E58" s="18">
        <v>548</v>
      </c>
      <c r="F58" s="18">
        <v>578</v>
      </c>
      <c r="G58" s="23" t="s">
        <v>89</v>
      </c>
    </row>
    <row r="59" spans="1:7" ht="18" customHeight="1">
      <c r="A59" s="17">
        <v>1900270115</v>
      </c>
      <c r="B59" s="28" t="s">
        <v>50</v>
      </c>
      <c r="C59" s="21">
        <v>53</v>
      </c>
      <c r="D59" s="28" t="s">
        <v>46</v>
      </c>
      <c r="E59" s="18">
        <v>531</v>
      </c>
      <c r="F59" s="18">
        <v>561</v>
      </c>
      <c r="G59" s="23"/>
    </row>
    <row r="60" spans="1:7" ht="18" customHeight="1">
      <c r="A60" s="17">
        <v>1101048880</v>
      </c>
      <c r="B60" s="28" t="s">
        <v>54</v>
      </c>
      <c r="C60" s="21">
        <v>54</v>
      </c>
      <c r="D60" s="28" t="s">
        <v>91</v>
      </c>
      <c r="E60" s="18">
        <v>531</v>
      </c>
      <c r="F60" s="18">
        <v>531</v>
      </c>
      <c r="G60" s="23"/>
    </row>
    <row r="61" spans="1:7" ht="18" customHeight="1">
      <c r="A61" s="13"/>
      <c r="B61" s="13"/>
      <c r="C61" s="13"/>
      <c r="D61" s="13"/>
      <c r="E61" s="11">
        <f>SUM(E7:E60)</f>
        <v>34344.949999999997</v>
      </c>
      <c r="F61" s="11">
        <f>SUM(F7:F60)</f>
        <v>35412.29</v>
      </c>
      <c r="G61" s="13"/>
    </row>
    <row r="67" spans="2:2">
      <c r="B67" t="s">
        <v>163</v>
      </c>
    </row>
    <row r="68" spans="2:2">
      <c r="B68" t="s">
        <v>164</v>
      </c>
    </row>
    <row r="70" spans="2:2">
      <c r="B70" t="s">
        <v>165</v>
      </c>
    </row>
  </sheetData>
  <mergeCells count="4">
    <mergeCell ref="A1:G1"/>
    <mergeCell ref="A4:G4"/>
    <mergeCell ref="A2:G2"/>
    <mergeCell ref="A3:G3"/>
  </mergeCells>
  <pageMargins left="0.70866141732283472" right="0.70866141732283472" top="0.74803149606299213" bottom="0.74803149606299213" header="0.31496062992125984" footer="0.31496062992125984"/>
  <pageSetup scale="78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9"/>
  <sheetViews>
    <sheetView tabSelected="1" workbookViewId="0">
      <selection activeCell="H17" sqref="H17:H18"/>
    </sheetView>
  </sheetViews>
  <sheetFormatPr baseColWidth="10" defaultRowHeight="15"/>
  <cols>
    <col min="1" max="1" width="9.5703125" customWidth="1"/>
    <col min="2" max="2" width="39.28515625" customWidth="1"/>
    <col min="3" max="3" width="16.28515625" customWidth="1"/>
    <col min="4" max="4" width="14.7109375" customWidth="1"/>
    <col min="5" max="5" width="14.28515625" customWidth="1"/>
    <col min="6" max="7" width="10" customWidth="1"/>
    <col min="8" max="8" width="9.85546875" customWidth="1"/>
    <col min="9" max="9" width="10.7109375" customWidth="1"/>
    <col min="10" max="10" width="19.28515625" customWidth="1"/>
    <col min="11" max="46" width="11.42578125" style="12"/>
  </cols>
  <sheetData>
    <row r="1" spans="1:46" ht="15.75">
      <c r="A1" s="79" t="s">
        <v>156</v>
      </c>
      <c r="B1" s="79"/>
      <c r="C1" s="79"/>
      <c r="D1" s="79"/>
      <c r="E1" s="79"/>
      <c r="F1" s="79"/>
      <c r="G1" s="79"/>
      <c r="H1" s="79"/>
      <c r="I1" s="79"/>
      <c r="J1" s="79"/>
    </row>
    <row r="2" spans="1:46" ht="15.75">
      <c r="A2" s="79" t="s">
        <v>157</v>
      </c>
      <c r="B2" s="79"/>
      <c r="C2" s="79"/>
      <c r="D2" s="79"/>
      <c r="E2" s="79"/>
      <c r="F2" s="79"/>
      <c r="G2" s="79"/>
      <c r="H2" s="79"/>
      <c r="I2" s="79"/>
      <c r="J2" s="79"/>
    </row>
    <row r="3" spans="1:46" ht="15.75">
      <c r="A3" s="80" t="s">
        <v>48</v>
      </c>
      <c r="B3" s="80"/>
      <c r="C3" s="80"/>
      <c r="D3" s="80"/>
      <c r="E3" s="80"/>
      <c r="F3" s="80"/>
      <c r="G3" s="80"/>
      <c r="H3" s="1"/>
      <c r="I3" s="1"/>
    </row>
    <row r="4" spans="1:46" s="30" customFormat="1" ht="29.25" customHeight="1">
      <c r="A4" s="84" t="s">
        <v>98</v>
      </c>
      <c r="B4" s="31" t="s">
        <v>99</v>
      </c>
      <c r="C4" s="86" t="s">
        <v>102</v>
      </c>
      <c r="D4" s="87"/>
      <c r="E4" s="88"/>
      <c r="F4" s="86" t="s">
        <v>101</v>
      </c>
      <c r="G4" s="87"/>
      <c r="H4" s="87"/>
      <c r="I4" s="88"/>
      <c r="J4" s="92" t="s">
        <v>88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 ht="22.5" customHeight="1">
      <c r="A5" s="85"/>
      <c r="B5" s="35" t="s">
        <v>100</v>
      </c>
      <c r="C5" s="35">
        <v>2012</v>
      </c>
      <c r="D5" s="35">
        <v>2013</v>
      </c>
      <c r="E5" s="36">
        <v>2014</v>
      </c>
      <c r="F5" s="37" t="s">
        <v>103</v>
      </c>
      <c r="G5" s="38" t="s">
        <v>104</v>
      </c>
      <c r="H5" s="39" t="s">
        <v>105</v>
      </c>
      <c r="I5" s="40" t="s">
        <v>106</v>
      </c>
      <c r="J5" s="93"/>
    </row>
    <row r="6" spans="1:46">
      <c r="A6" s="82" t="s">
        <v>116</v>
      </c>
      <c r="B6" s="83"/>
      <c r="C6" s="53">
        <f>C7+C10+C12+C13+C14+C15</f>
        <v>957153.50000000012</v>
      </c>
      <c r="D6" s="54">
        <f>D7+D10+D12+D13+D14+D15</f>
        <v>1003224.6399999999</v>
      </c>
      <c r="E6" s="54">
        <f>E7+E10+E12+E13+E14+E15</f>
        <v>613290.1</v>
      </c>
      <c r="F6" s="29"/>
      <c r="G6" s="32"/>
      <c r="H6" s="33"/>
      <c r="I6" s="33"/>
      <c r="J6" s="13"/>
    </row>
    <row r="7" spans="1:46" ht="14.1" customHeight="1">
      <c r="A7" s="42">
        <v>11</v>
      </c>
      <c r="B7" s="43" t="s">
        <v>107</v>
      </c>
      <c r="C7" s="52">
        <v>33088.660000000003</v>
      </c>
      <c r="D7" s="52">
        <v>35241.19</v>
      </c>
      <c r="E7" s="62">
        <f>SUM(E8:E9)</f>
        <v>29323.72</v>
      </c>
      <c r="F7" s="22"/>
      <c r="G7" s="23"/>
      <c r="H7" s="33"/>
      <c r="I7" s="9"/>
      <c r="J7" s="13"/>
    </row>
    <row r="8" spans="1:46" ht="14.1" customHeight="1">
      <c r="A8" s="20">
        <v>11.02</v>
      </c>
      <c r="B8" s="20" t="s">
        <v>108</v>
      </c>
      <c r="C8" s="41">
        <v>32175.02</v>
      </c>
      <c r="D8" s="20">
        <v>33665.33</v>
      </c>
      <c r="E8" s="22">
        <v>27814.43</v>
      </c>
      <c r="F8" s="22"/>
      <c r="G8" s="24"/>
      <c r="H8" s="33"/>
      <c r="I8" s="9"/>
      <c r="J8" s="13"/>
    </row>
    <row r="9" spans="1:46" ht="14.1" customHeight="1">
      <c r="A9" s="20">
        <v>11.07</v>
      </c>
      <c r="B9" s="20" t="s">
        <v>109</v>
      </c>
      <c r="C9" s="41">
        <v>913.64</v>
      </c>
      <c r="D9" s="20">
        <v>1575.86</v>
      </c>
      <c r="E9" s="22">
        <v>1509.29</v>
      </c>
      <c r="F9" s="22"/>
      <c r="G9" s="23"/>
      <c r="H9" s="33"/>
      <c r="I9" s="9"/>
      <c r="J9" s="13"/>
    </row>
    <row r="10" spans="1:46" ht="14.1" customHeight="1">
      <c r="A10" s="42">
        <v>13</v>
      </c>
      <c r="B10" s="43" t="s">
        <v>110</v>
      </c>
      <c r="C10" s="52">
        <v>11432.98</v>
      </c>
      <c r="D10" s="54">
        <v>17151.46</v>
      </c>
      <c r="E10" s="62">
        <v>17927.509999999998</v>
      </c>
      <c r="F10" s="22"/>
      <c r="G10" s="24"/>
      <c r="H10" s="33"/>
      <c r="I10" s="9"/>
      <c r="J10" s="13"/>
    </row>
    <row r="11" spans="1:46" ht="14.1" customHeight="1">
      <c r="A11" s="25">
        <v>13.01</v>
      </c>
      <c r="B11" s="20" t="s">
        <v>111</v>
      </c>
      <c r="C11" s="41">
        <v>11432.98</v>
      </c>
      <c r="D11" s="20">
        <v>17151.46</v>
      </c>
      <c r="E11" s="26">
        <v>17927.509999999998</v>
      </c>
      <c r="F11" s="27"/>
      <c r="G11" s="24"/>
      <c r="H11" s="33"/>
      <c r="I11" s="4"/>
      <c r="J11" s="13"/>
    </row>
    <row r="12" spans="1:46" ht="14.1" customHeight="1">
      <c r="A12" s="42">
        <v>14</v>
      </c>
      <c r="B12" s="44" t="s">
        <v>112</v>
      </c>
      <c r="C12" s="41">
        <v>9248.24</v>
      </c>
      <c r="D12" s="20">
        <v>15182.96</v>
      </c>
      <c r="E12" s="20">
        <v>12417.24</v>
      </c>
      <c r="F12" s="20"/>
      <c r="G12" s="24"/>
      <c r="H12" s="33"/>
      <c r="I12" s="4"/>
      <c r="J12" s="13"/>
    </row>
    <row r="13" spans="1:46" ht="14.1" customHeight="1">
      <c r="A13" s="42">
        <v>17</v>
      </c>
      <c r="B13" s="43" t="s">
        <v>113</v>
      </c>
      <c r="C13" s="41">
        <v>6044.66</v>
      </c>
      <c r="D13" s="20">
        <v>9945.6299999999992</v>
      </c>
      <c r="E13" s="22">
        <v>19562.84</v>
      </c>
      <c r="F13" s="22"/>
      <c r="G13" s="23"/>
      <c r="H13" s="33"/>
      <c r="I13" s="4"/>
      <c r="J13" s="13"/>
    </row>
    <row r="14" spans="1:46" ht="14.1" customHeight="1">
      <c r="A14" s="42">
        <v>18</v>
      </c>
      <c r="B14" s="43" t="s">
        <v>114</v>
      </c>
      <c r="C14" s="41">
        <v>892316.43</v>
      </c>
      <c r="D14" s="20">
        <v>924204.71</v>
      </c>
      <c r="E14" s="22">
        <v>532734.12</v>
      </c>
      <c r="F14" s="22"/>
      <c r="G14" s="24"/>
      <c r="H14" s="33"/>
      <c r="I14" s="34"/>
      <c r="J14" s="13"/>
    </row>
    <row r="15" spans="1:46" ht="14.1" customHeight="1">
      <c r="A15" s="42">
        <v>19</v>
      </c>
      <c r="B15" s="43" t="s">
        <v>26</v>
      </c>
      <c r="C15" s="41">
        <v>5022.53</v>
      </c>
      <c r="D15" s="20">
        <v>1498.69</v>
      </c>
      <c r="E15" s="22">
        <v>1324.67</v>
      </c>
      <c r="F15" s="22"/>
      <c r="G15" s="24"/>
      <c r="H15" s="33"/>
      <c r="I15" s="4"/>
      <c r="J15" s="13"/>
    </row>
    <row r="16" spans="1:46" ht="14.1" customHeight="1">
      <c r="A16" s="20">
        <v>19.04</v>
      </c>
      <c r="B16" s="20" t="s">
        <v>115</v>
      </c>
      <c r="C16" s="41">
        <v>5022.53</v>
      </c>
      <c r="D16" s="20">
        <v>1498.69</v>
      </c>
      <c r="E16" s="22">
        <v>1324.67</v>
      </c>
      <c r="F16" s="22"/>
      <c r="G16" s="24"/>
      <c r="H16" s="33"/>
      <c r="I16" s="4"/>
      <c r="J16" s="13"/>
    </row>
    <row r="17" spans="1:10" ht="14.1" customHeight="1">
      <c r="A17" s="82" t="s">
        <v>117</v>
      </c>
      <c r="B17" s="83"/>
      <c r="C17" s="54">
        <f>C18+C23+C24+C25+C26</f>
        <v>900150.18999999983</v>
      </c>
      <c r="D17" s="54">
        <f>D18+D23+D24+D25+D26</f>
        <v>773781.25</v>
      </c>
      <c r="E17" s="65">
        <f>E18+E23+E24+E25+E26</f>
        <v>722896.23999999987</v>
      </c>
      <c r="F17" s="22"/>
      <c r="G17" s="24"/>
      <c r="H17" s="33"/>
      <c r="I17" s="4"/>
      <c r="J17" s="13"/>
    </row>
    <row r="18" spans="1:10" ht="14.1" customHeight="1">
      <c r="A18" s="42">
        <v>51</v>
      </c>
      <c r="B18" s="48" t="s">
        <v>118</v>
      </c>
      <c r="C18" s="43">
        <f>SUM(C19:C22)</f>
        <v>575790.67000000004</v>
      </c>
      <c r="D18" s="43">
        <f>234944.24+136092.66+24841.71+148622.9+39241.54+9746.78</f>
        <v>593489.83000000007</v>
      </c>
      <c r="E18" s="61">
        <f>E19+E20+E21+E22</f>
        <v>582565.91999999993</v>
      </c>
      <c r="F18" s="22"/>
      <c r="H18" s="33"/>
      <c r="I18" s="4"/>
      <c r="J18" s="13"/>
    </row>
    <row r="19" spans="1:10" ht="14.1" customHeight="1">
      <c r="A19" s="41">
        <v>51.01</v>
      </c>
      <c r="B19" s="49" t="s">
        <v>119</v>
      </c>
      <c r="C19" s="20">
        <v>407913.87</v>
      </c>
      <c r="D19" s="20">
        <f>144429.27+109499.99+19200+115449.36+29556.88+7315.54</f>
        <v>425451.04</v>
      </c>
      <c r="E19" s="22">
        <f>160181.6+108394.9+17419.48+102708.23+23334.36+9609.6</f>
        <v>421648.16999999993</v>
      </c>
      <c r="F19" s="22"/>
      <c r="G19" s="24"/>
      <c r="H19" s="33"/>
      <c r="I19" s="4"/>
      <c r="J19" s="13"/>
    </row>
    <row r="20" spans="1:10" ht="14.1" customHeight="1">
      <c r="A20" s="41">
        <v>51.02</v>
      </c>
      <c r="B20" s="49" t="s">
        <v>120</v>
      </c>
      <c r="C20" s="20">
        <v>42466.33</v>
      </c>
      <c r="D20" s="20">
        <f>15564+7890+2285.33+12291.8+3748+940</f>
        <v>42719.130000000005</v>
      </c>
      <c r="E20" s="22">
        <f>14508.14+9044+1359.29+9178.37+3281.99+1123.75</f>
        <v>38495.54</v>
      </c>
      <c r="F20" s="22"/>
      <c r="G20" s="24"/>
      <c r="H20" s="33"/>
      <c r="I20" s="4"/>
      <c r="J20" s="13"/>
    </row>
    <row r="21" spans="1:10" ht="14.1" customHeight="1">
      <c r="A21" s="41">
        <v>51.05</v>
      </c>
      <c r="B21" s="49" t="s">
        <v>121</v>
      </c>
      <c r="C21" s="20">
        <v>46560.98</v>
      </c>
      <c r="D21" s="20">
        <v>45380.99</v>
      </c>
      <c r="E21" s="22">
        <f>50300.69+1251.25</f>
        <v>51551.94</v>
      </c>
      <c r="F21" s="22"/>
      <c r="G21" s="24"/>
      <c r="H21" s="33"/>
      <c r="I21" s="4"/>
      <c r="J21" s="13"/>
    </row>
    <row r="22" spans="1:10" ht="14.1" customHeight="1">
      <c r="A22" s="41">
        <v>51.06</v>
      </c>
      <c r="B22" s="49" t="s">
        <v>122</v>
      </c>
      <c r="C22" s="50">
        <v>78849.490000000005</v>
      </c>
      <c r="D22" s="20">
        <f>29569.98+18702.67+3356.38+20881.74+5936.66+1491.24</f>
        <v>79938.67</v>
      </c>
      <c r="E22" s="22">
        <f>27582.75+15339.56+3222.98+18101.8+4813.9+1809.28</f>
        <v>70870.26999999999</v>
      </c>
      <c r="F22" s="22"/>
      <c r="G22" s="24"/>
      <c r="H22" s="33"/>
      <c r="I22" s="4"/>
      <c r="J22" s="13"/>
    </row>
    <row r="23" spans="1:10" ht="14.1" customHeight="1">
      <c r="A23" s="42">
        <v>53</v>
      </c>
      <c r="B23" s="43" t="s">
        <v>123</v>
      </c>
      <c r="C23" s="41">
        <v>33637.46</v>
      </c>
      <c r="D23" s="20">
        <f>49608.16+678.95+2170.44+21723.17</f>
        <v>74180.72</v>
      </c>
      <c r="E23" s="22">
        <f>24639.53+465.4+1942.13+9906.4</f>
        <v>36953.46</v>
      </c>
      <c r="F23" s="22"/>
      <c r="G23" s="24"/>
      <c r="H23" s="33"/>
      <c r="I23" s="4"/>
      <c r="J23" s="13"/>
    </row>
    <row r="24" spans="1:10" ht="14.1" customHeight="1">
      <c r="A24" s="42">
        <v>56</v>
      </c>
      <c r="B24" s="20" t="s">
        <v>124</v>
      </c>
      <c r="C24" s="41">
        <v>259240.55</v>
      </c>
      <c r="D24" s="20">
        <v>78220.22</v>
      </c>
      <c r="E24" s="22">
        <v>67878.899999999994</v>
      </c>
      <c r="F24" s="22"/>
      <c r="G24" s="24"/>
      <c r="H24" s="33"/>
      <c r="I24" s="4"/>
      <c r="J24" s="13"/>
    </row>
    <row r="25" spans="1:10" ht="14.1" customHeight="1">
      <c r="A25" s="42">
        <v>57</v>
      </c>
      <c r="B25" s="20" t="s">
        <v>125</v>
      </c>
      <c r="C25" s="41">
        <v>6348.19</v>
      </c>
      <c r="D25" s="20">
        <f>2323.57+2427.88</f>
        <v>4751.4500000000007</v>
      </c>
      <c r="E25" s="22">
        <f>250+2732.99</f>
        <v>2982.99</v>
      </c>
      <c r="F25" s="22"/>
      <c r="G25" s="24"/>
      <c r="H25" s="33"/>
      <c r="I25" s="4"/>
      <c r="J25" s="13"/>
    </row>
    <row r="26" spans="1:10" ht="14.1" customHeight="1" thickBot="1">
      <c r="A26" s="42">
        <v>58</v>
      </c>
      <c r="B26" s="20" t="s">
        <v>126</v>
      </c>
      <c r="C26" s="56">
        <v>25133.32</v>
      </c>
      <c r="D26" s="57">
        <v>23139.03</v>
      </c>
      <c r="E26" s="66">
        <v>32514.97</v>
      </c>
      <c r="F26" s="22"/>
      <c r="G26" s="24"/>
      <c r="H26" s="33"/>
      <c r="I26" s="4"/>
      <c r="J26" s="13"/>
    </row>
    <row r="27" spans="1:10" ht="14.1" customHeight="1" thickBot="1">
      <c r="A27" s="89" t="s">
        <v>127</v>
      </c>
      <c r="B27" s="90"/>
      <c r="C27" s="59">
        <f>C6-C17</f>
        <v>57003.310000000289</v>
      </c>
      <c r="D27" s="60">
        <f>D6-D17</f>
        <v>229443.3899999999</v>
      </c>
      <c r="E27" s="67">
        <f>E6-E17</f>
        <v>-109606.1399999999</v>
      </c>
      <c r="F27" s="55"/>
      <c r="G27" s="24"/>
      <c r="H27" s="33"/>
      <c r="I27" s="4"/>
      <c r="J27" s="13"/>
    </row>
    <row r="28" spans="1:10" ht="14.1" customHeight="1">
      <c r="A28" s="82" t="s">
        <v>128</v>
      </c>
      <c r="B28" s="83"/>
      <c r="C28" s="41">
        <v>2335532.4700000002</v>
      </c>
      <c r="D28" s="58">
        <v>2613023.9900000002</v>
      </c>
      <c r="E28" s="22">
        <v>3466259.17</v>
      </c>
      <c r="F28" s="22"/>
      <c r="G28" s="24"/>
      <c r="H28" s="33"/>
      <c r="I28" s="4"/>
      <c r="J28" s="13"/>
    </row>
    <row r="29" spans="1:10" ht="14.1" customHeight="1">
      <c r="A29" s="47">
        <v>28</v>
      </c>
      <c r="B29" s="21" t="s">
        <v>129</v>
      </c>
      <c r="C29" s="41">
        <v>2335532.4700000002</v>
      </c>
      <c r="D29" s="58">
        <v>2613023.9900000002</v>
      </c>
      <c r="E29" s="22">
        <v>3466259.17</v>
      </c>
      <c r="F29" s="22"/>
      <c r="G29" s="24"/>
      <c r="H29" s="33"/>
      <c r="I29" s="4"/>
      <c r="J29" s="13"/>
    </row>
    <row r="30" spans="1:10" ht="14.1" customHeight="1">
      <c r="A30" s="82" t="s">
        <v>130</v>
      </c>
      <c r="B30" s="83"/>
      <c r="C30" s="52">
        <f>C31+C39+C40+C44+C45+C46</f>
        <v>2498086.0600000005</v>
      </c>
      <c r="D30" s="62">
        <f>D31+D39+D40+D44+D45+D46</f>
        <v>2364210.13</v>
      </c>
      <c r="E30" s="62">
        <f>E31+E39+E40+E44+E45+E46</f>
        <v>1740064.4199999997</v>
      </c>
      <c r="F30" s="22"/>
      <c r="G30" s="24"/>
      <c r="H30" s="33"/>
      <c r="I30" s="4"/>
      <c r="J30" s="13"/>
    </row>
    <row r="31" spans="1:10" ht="14.1" customHeight="1">
      <c r="A31" s="42">
        <v>71</v>
      </c>
      <c r="B31" s="43" t="s">
        <v>131</v>
      </c>
      <c r="C31" s="41">
        <v>1203207.96</v>
      </c>
      <c r="D31">
        <v>1148966.54</v>
      </c>
      <c r="E31" s="22">
        <f>SUM(E32:E38)</f>
        <v>917030.89999999991</v>
      </c>
      <c r="F31" s="22"/>
      <c r="G31" s="24"/>
      <c r="H31" s="33"/>
      <c r="I31" s="4"/>
      <c r="J31" s="13"/>
    </row>
    <row r="32" spans="1:10" ht="14.1" customHeight="1">
      <c r="A32" s="21">
        <v>71.010000000000005</v>
      </c>
      <c r="B32" s="20" t="s">
        <v>119</v>
      </c>
      <c r="C32" s="41">
        <v>521279.28</v>
      </c>
      <c r="D32" s="20">
        <v>527953.09</v>
      </c>
      <c r="E32" s="22">
        <f>25350.75+47110.9+232760.03+18185.55+3887.99+9959.39+19915.1+197457.36</f>
        <v>554627.06999999995</v>
      </c>
      <c r="F32" s="22"/>
      <c r="G32" s="24"/>
      <c r="H32" s="33"/>
      <c r="I32" s="4"/>
      <c r="J32" s="13"/>
    </row>
    <row r="33" spans="1:10" ht="14.1" customHeight="1">
      <c r="A33" s="21">
        <v>71.02</v>
      </c>
      <c r="B33" s="20" t="s">
        <v>132</v>
      </c>
      <c r="C33" s="41">
        <v>60929.13</v>
      </c>
      <c r="D33" s="20">
        <v>59854.58</v>
      </c>
      <c r="E33" s="22">
        <f>1895.74+5863.08+23312.63+3495.59+202.69+1518.94+2069.66+25152.37</f>
        <v>63510.7</v>
      </c>
      <c r="F33" s="22"/>
      <c r="G33" s="24"/>
      <c r="H33" s="33"/>
      <c r="I33" s="4"/>
      <c r="J33" s="13"/>
    </row>
    <row r="34" spans="1:10" ht="14.1" customHeight="1">
      <c r="A34" s="21">
        <v>71.03</v>
      </c>
      <c r="B34" s="20" t="s">
        <v>153</v>
      </c>
      <c r="C34" s="41">
        <v>82555.48</v>
      </c>
      <c r="D34" s="22">
        <v>16572</v>
      </c>
      <c r="E34" s="22">
        <v>11182</v>
      </c>
      <c r="F34" s="22"/>
      <c r="G34" s="24"/>
      <c r="H34" s="33"/>
      <c r="I34" s="4"/>
      <c r="J34" s="13"/>
    </row>
    <row r="35" spans="1:10" ht="14.1" customHeight="1">
      <c r="A35" s="21">
        <v>71.040000000000006</v>
      </c>
      <c r="B35" s="20" t="s">
        <v>133</v>
      </c>
      <c r="C35" s="41"/>
      <c r="D35" s="22">
        <v>2412.61</v>
      </c>
      <c r="E35" s="22">
        <f>194.4+440.12+2233.64+2558.49</f>
        <v>5426.65</v>
      </c>
      <c r="F35" s="22"/>
      <c r="G35" s="24"/>
      <c r="H35" s="33"/>
      <c r="I35" s="4"/>
      <c r="J35" s="13"/>
    </row>
    <row r="36" spans="1:10" ht="14.1" customHeight="1">
      <c r="A36" s="21">
        <v>71.05</v>
      </c>
      <c r="B36" s="20" t="s">
        <v>121</v>
      </c>
      <c r="C36" s="41">
        <v>314198.49</v>
      </c>
      <c r="D36" s="20">
        <v>170916.1</v>
      </c>
      <c r="E36" s="22">
        <f>7877.07+38052.47+38775.19</f>
        <v>84704.73000000001</v>
      </c>
      <c r="F36" s="22"/>
      <c r="G36" s="24"/>
      <c r="H36" s="33"/>
      <c r="I36" s="4"/>
      <c r="J36" s="13"/>
    </row>
    <row r="37" spans="1:10" ht="14.1" customHeight="1">
      <c r="A37" s="21">
        <v>71.06</v>
      </c>
      <c r="B37" s="20" t="s">
        <v>134</v>
      </c>
      <c r="C37" s="41">
        <v>105824.96000000001</v>
      </c>
      <c r="D37" s="20">
        <v>103914.83</v>
      </c>
      <c r="E37" s="22">
        <f>4842.53+9631.47+39491.55+3841.67+452.53+1714.8+2400.25+39887.3</f>
        <v>102262.1</v>
      </c>
      <c r="F37" s="22"/>
      <c r="G37" s="24"/>
      <c r="H37" s="33"/>
      <c r="I37" s="4"/>
      <c r="J37" s="13"/>
    </row>
    <row r="38" spans="1:10" ht="14.1" customHeight="1">
      <c r="A38" s="21">
        <v>71.069999999999993</v>
      </c>
      <c r="B38" s="20" t="s">
        <v>135</v>
      </c>
      <c r="C38" s="41">
        <v>118420.62</v>
      </c>
      <c r="D38" s="20">
        <v>267343.33</v>
      </c>
      <c r="E38" s="22">
        <f>95301.99+15.66</f>
        <v>95317.650000000009</v>
      </c>
      <c r="F38" s="22"/>
      <c r="G38" s="24"/>
      <c r="H38" s="33"/>
      <c r="I38" s="4"/>
      <c r="J38" s="13"/>
    </row>
    <row r="39" spans="1:10" ht="14.1" customHeight="1">
      <c r="A39" s="42">
        <v>73</v>
      </c>
      <c r="B39" s="43" t="s">
        <v>136</v>
      </c>
      <c r="C39" s="51">
        <v>359203.43</v>
      </c>
      <c r="D39" s="43">
        <f>6378.4+9517.82+92109.42+74693.61+13478.47+169.06+162803.57</f>
        <v>359150.35</v>
      </c>
      <c r="E39" s="61">
        <f>699.42+3.72+32102.11+37325.98+4235.21+4368+77025.92</f>
        <v>155760.36000000002</v>
      </c>
      <c r="F39" s="22"/>
      <c r="G39" s="24"/>
      <c r="H39" s="33"/>
      <c r="I39" s="4"/>
      <c r="J39" s="13"/>
    </row>
    <row r="40" spans="1:10" ht="14.1" customHeight="1">
      <c r="A40" s="42">
        <v>75</v>
      </c>
      <c r="B40" s="43" t="s">
        <v>137</v>
      </c>
      <c r="C40" s="41">
        <v>904377.98</v>
      </c>
      <c r="D40" s="20">
        <f>129791.98+237558.1+475406.02+8294.51</f>
        <v>851050.6100000001</v>
      </c>
      <c r="E40" s="22">
        <f>51423.35+3551.73+584613.96+672</f>
        <v>640261.03999999992</v>
      </c>
      <c r="F40" s="22"/>
      <c r="G40" s="24"/>
      <c r="H40" s="33"/>
      <c r="I40" s="4"/>
      <c r="J40" s="13"/>
    </row>
    <row r="41" spans="1:10" ht="14.1" customHeight="1">
      <c r="A41" s="21">
        <v>75.010000000000005</v>
      </c>
      <c r="B41" s="20" t="s">
        <v>138</v>
      </c>
      <c r="C41" s="41">
        <v>888359.52</v>
      </c>
      <c r="D41" s="20">
        <v>837726.64</v>
      </c>
      <c r="E41" s="22">
        <f>51423.35+3551.73+584613.96+672</f>
        <v>640261.03999999992</v>
      </c>
      <c r="F41" s="22"/>
      <c r="G41" s="24"/>
      <c r="H41" s="33"/>
      <c r="I41" s="4"/>
      <c r="J41" s="13"/>
    </row>
    <row r="42" spans="1:10" ht="14.1" customHeight="1">
      <c r="A42" s="21">
        <v>75.040000000000006</v>
      </c>
      <c r="B42" s="20" t="s">
        <v>154</v>
      </c>
      <c r="C42" s="41">
        <v>1100.46</v>
      </c>
      <c r="D42" s="20">
        <v>4497.3599999999997</v>
      </c>
      <c r="E42" s="22">
        <v>0</v>
      </c>
      <c r="F42" s="22"/>
      <c r="G42" s="24"/>
      <c r="H42" s="33"/>
      <c r="I42" s="4"/>
      <c r="J42" s="13"/>
    </row>
    <row r="43" spans="1:10" ht="14.1" customHeight="1">
      <c r="A43" s="21">
        <v>75.05</v>
      </c>
      <c r="B43" s="20" t="s">
        <v>139</v>
      </c>
      <c r="C43" s="45">
        <v>14918</v>
      </c>
      <c r="D43" s="20">
        <v>8826.61</v>
      </c>
      <c r="E43" s="22">
        <v>0</v>
      </c>
      <c r="F43" s="22"/>
      <c r="G43" s="24"/>
      <c r="H43" s="33"/>
      <c r="I43" s="4"/>
      <c r="J43" s="13"/>
    </row>
    <row r="44" spans="1:10" ht="14.1" customHeight="1">
      <c r="A44" s="42">
        <v>77</v>
      </c>
      <c r="B44" s="43" t="s">
        <v>140</v>
      </c>
      <c r="C44" s="41">
        <v>784.31</v>
      </c>
      <c r="D44" s="20">
        <v>42.63</v>
      </c>
      <c r="E44" s="22">
        <v>751.68</v>
      </c>
      <c r="F44" s="22"/>
      <c r="G44" s="24"/>
      <c r="H44" s="33"/>
      <c r="I44" s="4"/>
      <c r="J44" s="13"/>
    </row>
    <row r="45" spans="1:10" ht="14.1" customHeight="1">
      <c r="A45" s="42">
        <v>78</v>
      </c>
      <c r="B45" s="43" t="s">
        <v>155</v>
      </c>
      <c r="C45" s="41">
        <v>16486.66</v>
      </c>
      <c r="D45" s="22">
        <v>5000</v>
      </c>
      <c r="E45" s="22">
        <v>0</v>
      </c>
      <c r="F45" s="22"/>
      <c r="G45" s="24"/>
      <c r="H45" s="33"/>
      <c r="I45" s="4"/>
      <c r="J45" s="13"/>
    </row>
    <row r="46" spans="1:10" ht="14.1" customHeight="1" thickBot="1">
      <c r="A46" s="42">
        <v>84</v>
      </c>
      <c r="B46" s="43" t="s">
        <v>141</v>
      </c>
      <c r="C46" s="56">
        <v>14025.72</v>
      </c>
      <c r="D46" s="57">
        <v>0</v>
      </c>
      <c r="E46" s="22">
        <v>26260.44</v>
      </c>
      <c r="F46" s="22"/>
      <c r="G46" s="24"/>
      <c r="H46" s="33"/>
      <c r="I46" s="4"/>
      <c r="J46" s="13"/>
    </row>
    <row r="47" spans="1:10" ht="14.1" customHeight="1" thickBot="1">
      <c r="A47" s="89" t="s">
        <v>142</v>
      </c>
      <c r="B47" s="90"/>
      <c r="C47" s="63">
        <f>C28-C30</f>
        <v>-162553.59000000032</v>
      </c>
      <c r="D47" s="64">
        <f>D28-D30</f>
        <v>248813.86000000034</v>
      </c>
      <c r="E47" s="64">
        <f>E28-E30</f>
        <v>1726194.7500000002</v>
      </c>
      <c r="F47" s="22"/>
      <c r="G47" s="24"/>
      <c r="H47" s="33"/>
      <c r="I47" s="4"/>
      <c r="J47" s="13"/>
    </row>
    <row r="48" spans="1:10" ht="14.1" customHeight="1">
      <c r="A48" s="46"/>
      <c r="B48" s="74"/>
      <c r="C48" s="75"/>
      <c r="D48" s="76"/>
      <c r="E48" s="77"/>
      <c r="F48" s="22"/>
      <c r="G48" s="24"/>
      <c r="H48" s="33"/>
      <c r="I48" s="4"/>
      <c r="J48" s="13"/>
    </row>
    <row r="49" spans="1:10" ht="14.1" customHeight="1">
      <c r="A49" s="89" t="s">
        <v>143</v>
      </c>
      <c r="B49" s="91"/>
      <c r="C49" s="72">
        <f>C27-C47</f>
        <v>219556.90000000061</v>
      </c>
      <c r="D49" s="72">
        <f>D27-D47</f>
        <v>-19370.470000000438</v>
      </c>
      <c r="E49" s="72">
        <f>E27-E47</f>
        <v>-1835800.8900000001</v>
      </c>
      <c r="F49" s="22"/>
      <c r="G49" s="24"/>
      <c r="H49" s="33"/>
      <c r="I49" s="4"/>
      <c r="J49" s="13"/>
    </row>
    <row r="50" spans="1:10" ht="14.1" customHeight="1">
      <c r="A50" s="82" t="s">
        <v>146</v>
      </c>
      <c r="B50" s="83"/>
      <c r="C50" s="52">
        <f>SUM(C51:C52)</f>
        <v>761419.91</v>
      </c>
      <c r="D50" s="52">
        <f>SUM(D51:D52)</f>
        <v>177335.4</v>
      </c>
      <c r="E50" s="61">
        <f>SUM(E51:E52)</f>
        <v>163691.20000000001</v>
      </c>
      <c r="F50" s="22"/>
      <c r="G50" s="23"/>
      <c r="H50" s="33"/>
      <c r="I50" s="4"/>
      <c r="J50" s="13"/>
    </row>
    <row r="51" spans="1:10" ht="14.1" customHeight="1">
      <c r="A51" s="42">
        <v>36</v>
      </c>
      <c r="B51" s="48" t="s">
        <v>144</v>
      </c>
      <c r="C51" s="45">
        <v>99037.8</v>
      </c>
      <c r="D51" s="20">
        <v>0</v>
      </c>
      <c r="E51" s="22">
        <v>86230.94</v>
      </c>
      <c r="F51" s="22"/>
      <c r="G51" s="23"/>
      <c r="H51" s="33"/>
      <c r="I51" s="4"/>
      <c r="J51" s="13"/>
    </row>
    <row r="52" spans="1:10" ht="14.1" customHeight="1">
      <c r="A52" s="42">
        <v>38</v>
      </c>
      <c r="B52" s="48" t="s">
        <v>145</v>
      </c>
      <c r="C52" s="41">
        <v>662382.11</v>
      </c>
      <c r="D52" s="20">
        <v>177335.4</v>
      </c>
      <c r="E52" s="22">
        <v>77460.259999999995</v>
      </c>
      <c r="F52" s="22"/>
      <c r="G52" s="23"/>
      <c r="H52" s="33"/>
      <c r="I52" s="4"/>
      <c r="J52" s="13"/>
    </row>
    <row r="53" spans="1:10" ht="14.1" customHeight="1">
      <c r="A53" s="82" t="s">
        <v>147</v>
      </c>
      <c r="B53" s="83"/>
      <c r="C53" s="52">
        <v>432689.63</v>
      </c>
      <c r="D53" s="43">
        <v>289918.57</v>
      </c>
      <c r="E53" s="22"/>
      <c r="F53" s="22"/>
      <c r="G53" s="23"/>
      <c r="H53" s="33"/>
      <c r="I53" s="4"/>
      <c r="J53" s="13"/>
    </row>
    <row r="54" spans="1:10" ht="14.1" customHeight="1">
      <c r="A54" s="47">
        <v>87</v>
      </c>
      <c r="B54" s="42" t="s">
        <v>148</v>
      </c>
      <c r="C54" s="41"/>
      <c r="D54" s="20"/>
      <c r="E54" s="22">
        <v>0</v>
      </c>
      <c r="F54" s="22"/>
      <c r="G54" s="23"/>
      <c r="H54" s="33"/>
      <c r="I54" s="4"/>
      <c r="J54" s="13"/>
    </row>
    <row r="55" spans="1:10" ht="14.1" customHeight="1">
      <c r="A55" s="47">
        <v>96</v>
      </c>
      <c r="B55" s="42" t="s">
        <v>149</v>
      </c>
      <c r="C55" s="41">
        <v>416912.19</v>
      </c>
      <c r="D55" s="20">
        <v>289918.57</v>
      </c>
      <c r="E55" s="22">
        <v>296821.21000000002</v>
      </c>
      <c r="F55" s="22"/>
      <c r="G55" s="23"/>
      <c r="H55" s="33"/>
      <c r="I55" s="4"/>
      <c r="J55" s="13"/>
    </row>
    <row r="56" spans="1:10" ht="14.1" customHeight="1">
      <c r="A56" s="42">
        <v>97</v>
      </c>
      <c r="B56" s="48" t="s">
        <v>150</v>
      </c>
      <c r="C56" s="41">
        <v>15777.44</v>
      </c>
      <c r="D56" s="20">
        <v>0</v>
      </c>
      <c r="E56" s="22"/>
      <c r="F56" s="22"/>
      <c r="G56" s="23"/>
      <c r="H56" s="33"/>
      <c r="I56" s="4"/>
      <c r="J56" s="13"/>
    </row>
    <row r="57" spans="1:10" ht="14.1" customHeight="1">
      <c r="A57" s="42">
        <v>99</v>
      </c>
      <c r="B57" s="43" t="s">
        <v>151</v>
      </c>
      <c r="C57" s="41"/>
      <c r="D57" s="20"/>
      <c r="E57" s="22"/>
      <c r="F57" s="22"/>
      <c r="G57" s="24"/>
      <c r="H57" s="33"/>
      <c r="I57" s="4"/>
      <c r="J57" s="13"/>
    </row>
    <row r="58" spans="1:10" ht="14.1" customHeight="1">
      <c r="A58" s="89" t="s">
        <v>152</v>
      </c>
      <c r="B58" s="91"/>
      <c r="C58" s="52">
        <f>C50-C53</f>
        <v>328730.28000000003</v>
      </c>
      <c r="D58" s="52">
        <f>D50-D53</f>
        <v>-112583.17000000001</v>
      </c>
      <c r="E58" s="52">
        <f>E50-E53</f>
        <v>163691.20000000001</v>
      </c>
      <c r="F58" s="22"/>
      <c r="G58" s="24"/>
      <c r="H58" s="33"/>
      <c r="I58" s="4"/>
      <c r="J58" s="13"/>
    </row>
    <row r="59" spans="1:10" ht="15.75">
      <c r="A59" s="68"/>
      <c r="B59" s="68"/>
      <c r="C59" s="69"/>
      <c r="D59" s="69"/>
      <c r="E59" s="69"/>
      <c r="F59" s="70"/>
      <c r="G59" s="14"/>
      <c r="H59" s="71"/>
      <c r="I59" s="3"/>
      <c r="J59" s="12"/>
    </row>
    <row r="60" spans="1:10" ht="15.75">
      <c r="A60" s="68"/>
      <c r="B60" s="68"/>
      <c r="C60" s="69"/>
      <c r="D60" s="69"/>
      <c r="E60" s="69"/>
      <c r="F60" s="70"/>
      <c r="G60" s="14"/>
      <c r="H60" s="71"/>
      <c r="I60" s="3"/>
      <c r="J60" s="12"/>
    </row>
    <row r="61" spans="1:10" ht="15.75">
      <c r="A61" s="68"/>
      <c r="B61" s="68"/>
      <c r="C61" s="69"/>
      <c r="D61" s="69"/>
      <c r="E61" s="69"/>
      <c r="F61" s="70"/>
      <c r="G61" s="14"/>
      <c r="H61" s="71"/>
      <c r="I61" s="3"/>
      <c r="J61" s="12"/>
    </row>
    <row r="62" spans="1:10" ht="15.75">
      <c r="A62" s="68"/>
      <c r="B62" s="68"/>
      <c r="C62" s="69"/>
      <c r="D62" s="69"/>
      <c r="E62" s="69"/>
      <c r="F62" s="70"/>
      <c r="G62" s="14"/>
      <c r="H62" s="71"/>
      <c r="I62" s="3"/>
      <c r="J62" s="12"/>
    </row>
    <row r="63" spans="1:10" ht="15.75">
      <c r="A63" s="68"/>
      <c r="B63" s="68"/>
      <c r="C63" s="69"/>
      <c r="D63" s="69"/>
      <c r="E63" s="69"/>
      <c r="F63" s="70"/>
      <c r="G63" s="14"/>
      <c r="H63" s="71"/>
      <c r="I63" s="3"/>
      <c r="J63" s="12"/>
    </row>
    <row r="64" spans="1:10" ht="15.75">
      <c r="A64" s="81"/>
      <c r="B64" s="81"/>
      <c r="C64" s="69"/>
      <c r="E64" s="69"/>
      <c r="F64" s="73"/>
      <c r="G64" s="14"/>
      <c r="H64" s="71"/>
      <c r="I64" s="3"/>
      <c r="J64" s="12"/>
    </row>
    <row r="65" spans="2:6">
      <c r="B65" t="s">
        <v>159</v>
      </c>
      <c r="F65" t="s">
        <v>49</v>
      </c>
    </row>
    <row r="66" spans="2:6">
      <c r="B66" t="s">
        <v>162</v>
      </c>
      <c r="F66" t="s">
        <v>161</v>
      </c>
    </row>
    <row r="69" spans="2:6">
      <c r="B69" t="s">
        <v>160</v>
      </c>
    </row>
  </sheetData>
  <mergeCells count="18">
    <mergeCell ref="A1:J1"/>
    <mergeCell ref="A2:J2"/>
    <mergeCell ref="J4:J5"/>
    <mergeCell ref="A6:B6"/>
    <mergeCell ref="A17:B17"/>
    <mergeCell ref="A64:B64"/>
    <mergeCell ref="A30:B30"/>
    <mergeCell ref="A3:G3"/>
    <mergeCell ref="A4:A5"/>
    <mergeCell ref="C4:E4"/>
    <mergeCell ref="F4:I4"/>
    <mergeCell ref="A27:B27"/>
    <mergeCell ref="A28:B28"/>
    <mergeCell ref="A47:B47"/>
    <mergeCell ref="A49:B49"/>
    <mergeCell ref="A50:B50"/>
    <mergeCell ref="A53:B53"/>
    <mergeCell ref="A58:B58"/>
  </mergeCells>
  <pageMargins left="0.70866141732283472" right="0.70866141732283472" top="0.35433070866141736" bottom="0.74803149606299213" header="0.31496062992125984" footer="0.31496062992125984"/>
  <pageSetup paperSize="9" scale="8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 MINISTERIO1</vt:lpstr>
      <vt:lpstr>INFORMACION MINISTERIO2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2015-12-18T16:36:48Z</dcterms:modified>
</cp:coreProperties>
</file>