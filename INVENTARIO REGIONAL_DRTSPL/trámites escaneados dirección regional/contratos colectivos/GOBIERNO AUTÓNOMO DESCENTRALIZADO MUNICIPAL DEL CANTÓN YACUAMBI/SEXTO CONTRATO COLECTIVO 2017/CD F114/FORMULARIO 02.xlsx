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esktop\Nueva carpeta\"/>
    </mc:Choice>
  </mc:AlternateContent>
  <bookViews>
    <workbookView xWindow="240" yWindow="135" windowWidth="20115" windowHeight="7935" activeTab="1"/>
  </bookViews>
  <sheets>
    <sheet name="Hoja1" sheetId="1" r:id="rId1"/>
    <sheet name="Hoja1 (2)" sheetId="4" r:id="rId2"/>
  </sheets>
  <calcPr calcId="162913"/>
</workbook>
</file>

<file path=xl/calcChain.xml><?xml version="1.0" encoding="utf-8"?>
<calcChain xmlns="http://schemas.openxmlformats.org/spreadsheetml/2006/main">
  <c r="G22" i="4" l="1"/>
  <c r="F22" i="4"/>
  <c r="F49" i="1" l="1"/>
  <c r="G9" i="1"/>
  <c r="G49" i="1" s="1"/>
</calcChain>
</file>

<file path=xl/sharedStrings.xml><?xml version="1.0" encoding="utf-8"?>
<sst xmlns="http://schemas.openxmlformats.org/spreadsheetml/2006/main" count="106" uniqueCount="75">
  <si>
    <t>MINISTERIO DE FINANZAS</t>
  </si>
  <si>
    <t>GOBIERNO AUTONOIMO DESCENTARLIZADO MUNICIPAL DEL CANTON YACUAMBI.</t>
  </si>
  <si>
    <t>N° ACTA TRANSACCIONAL …………………………………………..</t>
  </si>
  <si>
    <t>CLASIFICADOR PRESUPUESTARIO</t>
  </si>
  <si>
    <t>GASTO DEL PERSONAL</t>
  </si>
  <si>
    <t>COSTO REAL DEL CONTRATO COLECTIVO VIGENTE USD.</t>
  </si>
  <si>
    <t>COSTO ESTIMADO DEL CONTRATO COLECTIVO PROPUESTO USD.</t>
  </si>
  <si>
    <t xml:space="preserve">OBSERVACIONES </t>
  </si>
  <si>
    <t>GASTO DE PERSONAL</t>
  </si>
  <si>
    <t>REMUNERACIONES BASICAS</t>
  </si>
  <si>
    <t>SALARIOS UNIFICADOS</t>
  </si>
  <si>
    <t>REMUNERACIONES COMPLEMENTARIAS</t>
  </si>
  <si>
    <t xml:space="preserve">DECIMO TERCERO </t>
  </si>
  <si>
    <t xml:space="preserve">DECIMO CUARTO </t>
  </si>
  <si>
    <t>REMUNERACIONES COMPENSATORIAS</t>
  </si>
  <si>
    <t>COMPENSACION POR TRANSPORTE</t>
  </si>
  <si>
    <t>ALIMENTACION</t>
  </si>
  <si>
    <t>SUBSIDIOS</t>
  </si>
  <si>
    <t>POR CARGAS FAMILIARES</t>
  </si>
  <si>
    <t>SUBSIDIO DE ANTIGÜEDAD</t>
  </si>
  <si>
    <t>REMUNERACIONES TEMPORALES</t>
  </si>
  <si>
    <t xml:space="preserve">HORAS EXTRAORDINARIAS Y SUPLEMENTARIAS  </t>
  </si>
  <si>
    <t>APORTES A LA SEGURIDAD SOCIAL</t>
  </si>
  <si>
    <t>APORTE PATRONAL</t>
  </si>
  <si>
    <t>FONDOS DE RESERVA</t>
  </si>
  <si>
    <t>FONDO DE JUBILACION PATRONAL</t>
  </si>
  <si>
    <t>INDEMNIZACIONES</t>
  </si>
  <si>
    <t>COMPENSACION POR DESAHUCIO</t>
  </si>
  <si>
    <t>POR JUBILACION</t>
  </si>
  <si>
    <t>51.01.06</t>
  </si>
  <si>
    <t>71.01.06</t>
  </si>
  <si>
    <t>51.02.03</t>
  </si>
  <si>
    <t>51.02.04</t>
  </si>
  <si>
    <t>51.03.04</t>
  </si>
  <si>
    <t>51.03.06</t>
  </si>
  <si>
    <t>51.04.01</t>
  </si>
  <si>
    <t>51.04.08</t>
  </si>
  <si>
    <t>51.05.09</t>
  </si>
  <si>
    <t>51.06.01</t>
  </si>
  <si>
    <t>51.06.02</t>
  </si>
  <si>
    <t>51.06.03</t>
  </si>
  <si>
    <t>51.07.04</t>
  </si>
  <si>
    <t>51.07.05</t>
  </si>
  <si>
    <t>71.02.03</t>
  </si>
  <si>
    <t>71.02.04</t>
  </si>
  <si>
    <t>71.03.04</t>
  </si>
  <si>
    <t>71.03.06</t>
  </si>
  <si>
    <t>71.04.01</t>
  </si>
  <si>
    <t>71.04.08</t>
  </si>
  <si>
    <t>71.05.09</t>
  </si>
  <si>
    <t>71.06.01</t>
  </si>
  <si>
    <t>71.06.02</t>
  </si>
  <si>
    <t>71.06.03</t>
  </si>
  <si>
    <t>71.07.04</t>
  </si>
  <si>
    <t>71.07.05</t>
  </si>
  <si>
    <t>TOTAL ANUAL.                                                USD.</t>
  </si>
  <si>
    <t xml:space="preserve">N° PROYECTO DE CONTARTO COLECTIVO: SEXTO </t>
  </si>
  <si>
    <t>INGRESOS CORRIENTES Y PERMANENTES</t>
  </si>
  <si>
    <t>POR IMPUESTOS</t>
  </si>
  <si>
    <t>SOBRE LA RENTA, UTILIDAD Y GANANCIAS DE CAPÍTAL</t>
  </si>
  <si>
    <t>SOBRE LA PROPIEDAD</t>
  </si>
  <si>
    <t>AL CONSUMO DE BIENES Y SERVICIOS</t>
  </si>
  <si>
    <t>IMPUESTOS DIVERSOS</t>
  </si>
  <si>
    <t>TRANSFERENCIAS Y DONACIONES CORRIENTES</t>
  </si>
  <si>
    <t>APORTE Y PARTICIPACION CORRIENTES COOTAD 30%</t>
  </si>
  <si>
    <t>TRANSFERENCIAS Y DONACIONES CAPITAL E INVERSION</t>
  </si>
  <si>
    <t>APORTE Y PARTICIPACION CORRIENTES COOTAD 70%</t>
  </si>
  <si>
    <t>TOTAL</t>
  </si>
  <si>
    <t>INCREMENTO PORCENTUAL. %</t>
  </si>
  <si>
    <r>
      <rPr>
        <b/>
        <sz val="12"/>
        <color theme="1"/>
        <rFont val="Calibri"/>
        <family val="2"/>
        <scheme val="minor"/>
      </rPr>
      <t>FORMULARIO 01:</t>
    </r>
    <r>
      <rPr>
        <sz val="12"/>
        <color theme="1"/>
        <rFont val="Calibri"/>
        <family val="2"/>
        <scheme val="minor"/>
      </rPr>
      <t xml:space="preserve"> FUENTES DE FINANCIAMIENTODEL PROYECTO DE CONTARTO COLECTIVO.</t>
    </r>
  </si>
  <si>
    <t>GOBIERNO AUTONOMO DESCENTARLIZADO MUNICIPAL DEL CANTON YACUAMBI.</t>
  </si>
  <si>
    <r>
      <rPr>
        <b/>
        <sz val="11"/>
        <color theme="1"/>
        <rFont val="Calibri"/>
        <family val="2"/>
        <scheme val="minor"/>
      </rPr>
      <t>FORMULARIO 2:</t>
    </r>
    <r>
      <rPr>
        <sz val="11"/>
        <color theme="1"/>
        <rFont val="Calibri"/>
        <family val="2"/>
        <scheme val="minor"/>
      </rPr>
      <t xml:space="preserve"> COSTOS DEL PROYECTO DE CONTRATO COLECTIVO.</t>
    </r>
  </si>
  <si>
    <t>FIRMA DIRECTORA FINANCIERA DEL GAD</t>
  </si>
  <si>
    <t>Nombre: Lic. Rosa Anita Esparza</t>
  </si>
  <si>
    <t>Yacuambi, 11 de Diciembre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</si>
</sst>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2" fontId="0" fillId="0" borderId="1" xfId="0" applyNumberFormat="1" applyBorder="1"/>
    <xf numFmtId="2" fontId="0" fillId="0" borderId="0" xfId="0" applyNumberFormat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0" xfId="0" applyFont="1" applyBorder="1"/>
    <xf numFmtId="2" fontId="1" fillId="0" borderId="0" xfId="0" applyNumberFormat="1" applyFont="1" applyBorder="1"/>
    <xf numFmtId="0" fontId="3" fillId="0" borderId="4" xfId="0" applyFont="1" applyBorder="1"/>
    <xf numFmtId="0" fontId="2" fillId="0" borderId="5" xfId="0" applyFont="1" applyBorder="1"/>
    <xf numFmtId="2" fontId="2" fillId="0" borderId="5" xfId="0" applyNumberFormat="1" applyFont="1" applyBorder="1"/>
    <xf numFmtId="0" fontId="3" fillId="0" borderId="6" xfId="0" applyFont="1" applyBorder="1"/>
    <xf numFmtId="0" fontId="3" fillId="0" borderId="0" xfId="0" applyFont="1" applyBorder="1"/>
    <xf numFmtId="0" fontId="2" fillId="0" borderId="0" xfId="0" applyFont="1" applyBorder="1"/>
    <xf numFmtId="2" fontId="2" fillId="0" borderId="0" xfId="0" applyNumberFormat="1" applyFont="1" applyBorder="1"/>
    <xf numFmtId="0" fontId="0" fillId="0" borderId="9" xfId="0" applyFont="1" applyBorder="1" applyAlignment="1">
      <alignment horizontal="center" vertical="center"/>
    </xf>
    <xf numFmtId="0" fontId="0" fillId="0" borderId="1" xfId="0" applyFont="1" applyBorder="1"/>
    <xf numFmtId="0" fontId="0" fillId="0" borderId="24" xfId="0" applyBorder="1"/>
    <xf numFmtId="0" fontId="0" fillId="0" borderId="25" xfId="0" applyBorder="1"/>
    <xf numFmtId="2" fontId="0" fillId="0" borderId="25" xfId="0" applyNumberFormat="1" applyBorder="1"/>
    <xf numFmtId="0" fontId="0" fillId="0" borderId="26" xfId="0" applyBorder="1"/>
    <xf numFmtId="0" fontId="0" fillId="0" borderId="4" xfId="0" applyFont="1" applyBorder="1" applyAlignment="1">
      <alignment horizontal="center" vertical="center"/>
    </xf>
    <xf numFmtId="0" fontId="0" fillId="0" borderId="5" xfId="0" applyFont="1" applyBorder="1"/>
    <xf numFmtId="2" fontId="0" fillId="0" borderId="5" xfId="0" applyNumberFormat="1" applyFont="1" applyBorder="1"/>
    <xf numFmtId="0" fontId="0" fillId="0" borderId="6" xfId="0" applyFont="1" applyBorder="1"/>
    <xf numFmtId="0" fontId="3" fillId="0" borderId="17" xfId="0" applyFont="1" applyBorder="1"/>
    <xf numFmtId="0" fontId="3" fillId="0" borderId="18" xfId="0" applyFont="1" applyBorder="1"/>
    <xf numFmtId="0" fontId="0" fillId="0" borderId="27" xfId="0" applyBorder="1" applyAlignment="1">
      <alignment horizontal="center" vertical="center"/>
    </xf>
    <xf numFmtId="0" fontId="0" fillId="0" borderId="28" xfId="0" applyBorder="1"/>
    <xf numFmtId="2" fontId="0" fillId="0" borderId="28" xfId="0" applyNumberFormat="1" applyBorder="1"/>
    <xf numFmtId="0" fontId="0" fillId="0" borderId="29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H60"/>
  <sheetViews>
    <sheetView topLeftCell="A31" zoomScale="90" zoomScaleNormal="90" workbookViewId="0">
      <selection activeCell="I53" sqref="I53"/>
    </sheetView>
  </sheetViews>
  <sheetFormatPr baseColWidth="10" defaultRowHeight="15" x14ac:dyDescent="0.25"/>
  <cols>
    <col min="4" max="4" width="17" customWidth="1"/>
    <col min="5" max="5" width="42.7109375" customWidth="1"/>
    <col min="6" max="6" width="16.140625" customWidth="1"/>
    <col min="7" max="7" width="18.140625" customWidth="1"/>
    <col min="8" max="8" width="16.7109375" customWidth="1"/>
  </cols>
  <sheetData>
    <row r="1" spans="4:8" ht="15.75" x14ac:dyDescent="0.25">
      <c r="D1" s="48" t="s">
        <v>0</v>
      </c>
      <c r="E1" s="49"/>
      <c r="F1" s="49"/>
      <c r="G1" s="49"/>
      <c r="H1" s="50"/>
    </row>
    <row r="2" spans="4:8" x14ac:dyDescent="0.25">
      <c r="D2" s="51" t="s">
        <v>71</v>
      </c>
      <c r="E2" s="52"/>
      <c r="F2" s="52"/>
      <c r="G2" s="52"/>
      <c r="H2" s="53"/>
    </row>
    <row r="3" spans="4:8" s="2" customFormat="1" x14ac:dyDescent="0.25">
      <c r="D3" s="16" t="s">
        <v>70</v>
      </c>
      <c r="H3" s="17"/>
    </row>
    <row r="4" spans="4:8" s="2" customFormat="1" x14ac:dyDescent="0.25">
      <c r="D4" s="16" t="s">
        <v>56</v>
      </c>
      <c r="H4" s="17"/>
    </row>
    <row r="5" spans="4:8" s="2" customFormat="1" x14ac:dyDescent="0.25">
      <c r="D5" s="16" t="s">
        <v>2</v>
      </c>
      <c r="H5" s="17"/>
    </row>
    <row r="6" spans="4:8" ht="64.5" customHeight="1" x14ac:dyDescent="0.25">
      <c r="D6" s="12" t="s">
        <v>3</v>
      </c>
      <c r="E6" s="13" t="s">
        <v>4</v>
      </c>
      <c r="F6" s="14" t="s">
        <v>5</v>
      </c>
      <c r="G6" s="14" t="s">
        <v>6</v>
      </c>
      <c r="H6" s="15" t="s">
        <v>7</v>
      </c>
    </row>
    <row r="7" spans="4:8" x14ac:dyDescent="0.25">
      <c r="D7" s="54" t="s">
        <v>8</v>
      </c>
      <c r="E7" s="55"/>
      <c r="F7" s="55"/>
      <c r="G7" s="55"/>
      <c r="H7" s="56"/>
    </row>
    <row r="8" spans="4:8" x14ac:dyDescent="0.25">
      <c r="D8" s="6">
        <v>51.01</v>
      </c>
      <c r="E8" s="3" t="s">
        <v>9</v>
      </c>
      <c r="F8" s="1"/>
      <c r="G8" s="1"/>
      <c r="H8" s="7"/>
    </row>
    <row r="9" spans="4:8" x14ac:dyDescent="0.25">
      <c r="D9" s="8" t="s">
        <v>29</v>
      </c>
      <c r="E9" s="1" t="s">
        <v>10</v>
      </c>
      <c r="F9" s="4">
        <v>25908</v>
      </c>
      <c r="G9" s="4">
        <f>F9+1440</f>
        <v>27348</v>
      </c>
      <c r="H9" s="7"/>
    </row>
    <row r="10" spans="4:8" x14ac:dyDescent="0.25">
      <c r="D10" s="6">
        <v>51.02</v>
      </c>
      <c r="E10" s="3" t="s">
        <v>11</v>
      </c>
      <c r="F10" s="4"/>
      <c r="G10" s="4"/>
      <c r="H10" s="7"/>
    </row>
    <row r="11" spans="4:8" x14ac:dyDescent="0.25">
      <c r="D11" s="8" t="s">
        <v>31</v>
      </c>
      <c r="E11" s="1" t="s">
        <v>12</v>
      </c>
      <c r="F11" s="4">
        <v>2159</v>
      </c>
      <c r="G11" s="4">
        <v>2279</v>
      </c>
      <c r="H11" s="7"/>
    </row>
    <row r="12" spans="4:8" x14ac:dyDescent="0.25">
      <c r="D12" s="8" t="s">
        <v>32</v>
      </c>
      <c r="E12" s="1" t="s">
        <v>13</v>
      </c>
      <c r="F12" s="4">
        <v>1416</v>
      </c>
      <c r="G12" s="4">
        <v>1416</v>
      </c>
      <c r="H12" s="7"/>
    </row>
    <row r="13" spans="4:8" x14ac:dyDescent="0.25">
      <c r="D13" s="6">
        <v>51.03</v>
      </c>
      <c r="E13" s="3" t="s">
        <v>14</v>
      </c>
      <c r="F13" s="4"/>
      <c r="G13" s="4"/>
      <c r="H13" s="7"/>
    </row>
    <row r="14" spans="4:8" x14ac:dyDescent="0.25">
      <c r="D14" s="8" t="s">
        <v>33</v>
      </c>
      <c r="E14" s="1" t="s">
        <v>15</v>
      </c>
      <c r="F14" s="4">
        <v>0</v>
      </c>
      <c r="G14" s="4">
        <v>0</v>
      </c>
      <c r="H14" s="7"/>
    </row>
    <row r="15" spans="4:8" x14ac:dyDescent="0.25">
      <c r="D15" s="8" t="s">
        <v>34</v>
      </c>
      <c r="E15" s="1" t="s">
        <v>16</v>
      </c>
      <c r="F15" s="4">
        <v>0</v>
      </c>
      <c r="G15" s="4">
        <v>0</v>
      </c>
      <c r="H15" s="7"/>
    </row>
    <row r="16" spans="4:8" x14ac:dyDescent="0.25">
      <c r="D16" s="6">
        <v>51.04</v>
      </c>
      <c r="E16" s="3" t="s">
        <v>17</v>
      </c>
      <c r="F16" s="4"/>
      <c r="G16" s="4"/>
      <c r="H16" s="7"/>
    </row>
    <row r="17" spans="4:8" x14ac:dyDescent="0.25">
      <c r="D17" s="8" t="s">
        <v>35</v>
      </c>
      <c r="E17" s="1" t="s">
        <v>18</v>
      </c>
      <c r="F17" s="4">
        <v>127.44</v>
      </c>
      <c r="G17" s="4">
        <v>127.44</v>
      </c>
      <c r="H17" s="7"/>
    </row>
    <row r="18" spans="4:8" x14ac:dyDescent="0.25">
      <c r="D18" s="8" t="s">
        <v>36</v>
      </c>
      <c r="E18" s="1" t="s">
        <v>19</v>
      </c>
      <c r="F18" s="4">
        <v>0</v>
      </c>
      <c r="G18" s="4">
        <v>0</v>
      </c>
      <c r="H18" s="7"/>
    </row>
    <row r="19" spans="4:8" x14ac:dyDescent="0.25">
      <c r="D19" s="6">
        <v>51.05</v>
      </c>
      <c r="E19" s="3" t="s">
        <v>20</v>
      </c>
      <c r="F19" s="4"/>
      <c r="G19" s="4"/>
      <c r="H19" s="7"/>
    </row>
    <row r="20" spans="4:8" x14ac:dyDescent="0.25">
      <c r="D20" s="8" t="s">
        <v>37</v>
      </c>
      <c r="E20" s="1" t="s">
        <v>21</v>
      </c>
      <c r="F20" s="4">
        <v>0</v>
      </c>
      <c r="G20" s="4">
        <v>0</v>
      </c>
      <c r="H20" s="7"/>
    </row>
    <row r="21" spans="4:8" x14ac:dyDescent="0.25">
      <c r="D21" s="6">
        <v>51.06</v>
      </c>
      <c r="E21" s="3" t="s">
        <v>22</v>
      </c>
      <c r="F21" s="4"/>
      <c r="G21" s="4"/>
      <c r="H21" s="7"/>
    </row>
    <row r="22" spans="4:8" x14ac:dyDescent="0.25">
      <c r="D22" s="8" t="s">
        <v>38</v>
      </c>
      <c r="E22" s="1" t="s">
        <v>23</v>
      </c>
      <c r="F22" s="4">
        <v>3147.96</v>
      </c>
      <c r="G22" s="4">
        <v>3322.8</v>
      </c>
      <c r="H22" s="7"/>
    </row>
    <row r="23" spans="4:8" x14ac:dyDescent="0.25">
      <c r="D23" s="8" t="s">
        <v>39</v>
      </c>
      <c r="E23" s="1" t="s">
        <v>24</v>
      </c>
      <c r="F23" s="4">
        <v>2158.08</v>
      </c>
      <c r="G23" s="4">
        <v>2278.08</v>
      </c>
      <c r="H23" s="7"/>
    </row>
    <row r="24" spans="4:8" x14ac:dyDescent="0.25">
      <c r="D24" s="8" t="s">
        <v>40</v>
      </c>
      <c r="E24" s="1" t="s">
        <v>25</v>
      </c>
      <c r="F24" s="4">
        <v>0</v>
      </c>
      <c r="G24" s="4">
        <v>0</v>
      </c>
      <c r="H24" s="7"/>
    </row>
    <row r="25" spans="4:8" x14ac:dyDescent="0.25">
      <c r="D25" s="9">
        <v>51.07</v>
      </c>
      <c r="E25" s="3" t="s">
        <v>26</v>
      </c>
      <c r="F25" s="4"/>
      <c r="G25" s="4"/>
      <c r="H25" s="7"/>
    </row>
    <row r="26" spans="4:8" x14ac:dyDescent="0.25">
      <c r="D26" s="10" t="s">
        <v>41</v>
      </c>
      <c r="E26" s="1" t="s">
        <v>27</v>
      </c>
      <c r="F26" s="4">
        <v>0</v>
      </c>
      <c r="G26" s="4">
        <v>0</v>
      </c>
      <c r="H26" s="7"/>
    </row>
    <row r="27" spans="4:8" x14ac:dyDescent="0.25">
      <c r="D27" s="10" t="s">
        <v>42</v>
      </c>
      <c r="E27" s="1" t="s">
        <v>28</v>
      </c>
      <c r="F27" s="4">
        <v>0</v>
      </c>
      <c r="G27" s="4">
        <v>0</v>
      </c>
      <c r="H27" s="7"/>
    </row>
    <row r="28" spans="4:8" x14ac:dyDescent="0.25">
      <c r="D28" s="6">
        <v>71.010000000000005</v>
      </c>
      <c r="E28" s="3" t="s">
        <v>9</v>
      </c>
      <c r="F28" s="4"/>
      <c r="G28" s="4"/>
      <c r="H28" s="7"/>
    </row>
    <row r="29" spans="4:8" x14ac:dyDescent="0.25">
      <c r="D29" s="8" t="s">
        <v>30</v>
      </c>
      <c r="E29" s="1" t="s">
        <v>10</v>
      </c>
      <c r="F29" s="4">
        <v>386231.4</v>
      </c>
      <c r="G29" s="4">
        <v>397031.4</v>
      </c>
      <c r="H29" s="7"/>
    </row>
    <row r="30" spans="4:8" x14ac:dyDescent="0.25">
      <c r="D30" s="6">
        <v>71.02</v>
      </c>
      <c r="E30" s="3" t="s">
        <v>11</v>
      </c>
      <c r="F30" s="4"/>
      <c r="G30" s="4"/>
      <c r="H30" s="7"/>
    </row>
    <row r="31" spans="4:8" x14ac:dyDescent="0.25">
      <c r="D31" s="8" t="s">
        <v>43</v>
      </c>
      <c r="E31" s="1" t="s">
        <v>12</v>
      </c>
      <c r="F31" s="4">
        <v>32185.95</v>
      </c>
      <c r="G31" s="4">
        <v>42985.95</v>
      </c>
      <c r="H31" s="7"/>
    </row>
    <row r="32" spans="4:8" x14ac:dyDescent="0.25">
      <c r="D32" s="8" t="s">
        <v>44</v>
      </c>
      <c r="E32" s="1" t="s">
        <v>13</v>
      </c>
      <c r="F32" s="4">
        <v>17700</v>
      </c>
      <c r="G32" s="4">
        <v>17700</v>
      </c>
      <c r="H32" s="7"/>
    </row>
    <row r="33" spans="4:8" x14ac:dyDescent="0.25">
      <c r="D33" s="6">
        <v>71.03</v>
      </c>
      <c r="E33" s="3" t="s">
        <v>14</v>
      </c>
      <c r="F33" s="4"/>
      <c r="G33" s="4"/>
      <c r="H33" s="7"/>
    </row>
    <row r="34" spans="4:8" x14ac:dyDescent="0.25">
      <c r="D34" s="8" t="s">
        <v>45</v>
      </c>
      <c r="E34" s="1" t="s">
        <v>15</v>
      </c>
      <c r="F34" s="4">
        <v>0</v>
      </c>
      <c r="G34" s="4">
        <v>0</v>
      </c>
      <c r="H34" s="7"/>
    </row>
    <row r="35" spans="4:8" x14ac:dyDescent="0.25">
      <c r="D35" s="8" t="s">
        <v>46</v>
      </c>
      <c r="E35" s="1" t="s">
        <v>16</v>
      </c>
      <c r="F35" s="4">
        <v>12286</v>
      </c>
      <c r="G35" s="4">
        <v>12286</v>
      </c>
      <c r="H35" s="7"/>
    </row>
    <row r="36" spans="4:8" x14ac:dyDescent="0.25">
      <c r="D36" s="6">
        <v>71.040000000000006</v>
      </c>
      <c r="E36" s="3" t="s">
        <v>17</v>
      </c>
      <c r="F36" s="4"/>
      <c r="G36" s="4"/>
      <c r="H36" s="7"/>
    </row>
    <row r="37" spans="4:8" x14ac:dyDescent="0.25">
      <c r="D37" s="8" t="s">
        <v>47</v>
      </c>
      <c r="E37" s="1" t="s">
        <v>18</v>
      </c>
      <c r="F37" s="4">
        <v>2761.2</v>
      </c>
      <c r="G37" s="4">
        <v>2761.2</v>
      </c>
      <c r="H37" s="7"/>
    </row>
    <row r="38" spans="4:8" x14ac:dyDescent="0.25">
      <c r="D38" s="8" t="s">
        <v>48</v>
      </c>
      <c r="E38" s="1" t="s">
        <v>19</v>
      </c>
      <c r="F38" s="4">
        <v>3377.28</v>
      </c>
      <c r="G38" s="4">
        <v>3377.28</v>
      </c>
      <c r="H38" s="7"/>
    </row>
    <row r="39" spans="4:8" x14ac:dyDescent="0.25">
      <c r="D39" s="6">
        <v>71.05</v>
      </c>
      <c r="E39" s="3" t="s">
        <v>20</v>
      </c>
      <c r="F39" s="4"/>
      <c r="G39" s="4"/>
      <c r="H39" s="7"/>
    </row>
    <row r="40" spans="4:8" x14ac:dyDescent="0.25">
      <c r="D40" s="8" t="s">
        <v>49</v>
      </c>
      <c r="E40" s="1" t="s">
        <v>21</v>
      </c>
      <c r="F40" s="4"/>
      <c r="G40" s="4">
        <v>0</v>
      </c>
      <c r="H40" s="7"/>
    </row>
    <row r="41" spans="4:8" x14ac:dyDescent="0.25">
      <c r="D41" s="6">
        <v>71.06</v>
      </c>
      <c r="E41" s="3" t="s">
        <v>22</v>
      </c>
      <c r="F41" s="4"/>
      <c r="G41" s="4"/>
      <c r="H41" s="7"/>
    </row>
    <row r="42" spans="4:8" x14ac:dyDescent="0.25">
      <c r="D42" s="8" t="s">
        <v>50</v>
      </c>
      <c r="E42" s="1" t="s">
        <v>23</v>
      </c>
      <c r="F42" s="4">
        <v>46928.160000000003</v>
      </c>
      <c r="G42" s="4">
        <v>48239.32</v>
      </c>
      <c r="H42" s="7"/>
    </row>
    <row r="43" spans="4:8" x14ac:dyDescent="0.25">
      <c r="D43" s="8" t="s">
        <v>51</v>
      </c>
      <c r="E43" s="1" t="s">
        <v>24</v>
      </c>
      <c r="F43" s="4">
        <v>32173.08</v>
      </c>
      <c r="G43" s="4">
        <v>33072.720000000001</v>
      </c>
      <c r="H43" s="7"/>
    </row>
    <row r="44" spans="4:8" x14ac:dyDescent="0.25">
      <c r="D44" s="8" t="s">
        <v>52</v>
      </c>
      <c r="E44" s="1" t="s">
        <v>25</v>
      </c>
      <c r="F44" s="4">
        <v>0</v>
      </c>
      <c r="G44" s="4">
        <v>0</v>
      </c>
      <c r="H44" s="7"/>
    </row>
    <row r="45" spans="4:8" x14ac:dyDescent="0.25">
      <c r="D45" s="6">
        <v>71.069999999999993</v>
      </c>
      <c r="E45" s="3" t="s">
        <v>26</v>
      </c>
      <c r="F45" s="4"/>
      <c r="G45" s="4"/>
      <c r="H45" s="7"/>
    </row>
    <row r="46" spans="4:8" x14ac:dyDescent="0.25">
      <c r="D46" s="8" t="s">
        <v>53</v>
      </c>
      <c r="E46" s="1" t="s">
        <v>27</v>
      </c>
      <c r="F46" s="4">
        <v>0</v>
      </c>
      <c r="G46" s="4">
        <v>0</v>
      </c>
      <c r="H46" s="7"/>
    </row>
    <row r="47" spans="4:8" x14ac:dyDescent="0.25">
      <c r="D47" s="8" t="s">
        <v>54</v>
      </c>
      <c r="E47" s="1" t="s">
        <v>28</v>
      </c>
      <c r="F47" s="4">
        <v>0</v>
      </c>
      <c r="G47" s="4">
        <v>0</v>
      </c>
      <c r="H47" s="7"/>
    </row>
    <row r="48" spans="4:8" ht="15.75" thickBot="1" x14ac:dyDescent="0.3">
      <c r="D48" s="20"/>
      <c r="E48" s="21"/>
      <c r="F48" s="21"/>
      <c r="G48" s="21"/>
      <c r="H48" s="22"/>
    </row>
    <row r="49" spans="4:8" ht="16.5" thickBot="1" x14ac:dyDescent="0.3">
      <c r="D49" s="25"/>
      <c r="E49" s="26" t="s">
        <v>55</v>
      </c>
      <c r="F49" s="27">
        <f>SUM(F9:F48)</f>
        <v>568559.55000000005</v>
      </c>
      <c r="G49" s="27">
        <f>SUM(G9:G48)</f>
        <v>594225.19000000006</v>
      </c>
      <c r="H49" s="28"/>
    </row>
    <row r="50" spans="4:8" ht="15.75" x14ac:dyDescent="0.25">
      <c r="D50" s="29"/>
      <c r="E50" s="30"/>
      <c r="F50" s="31"/>
      <c r="G50" s="31"/>
      <c r="H50" s="29"/>
    </row>
    <row r="51" spans="4:8" ht="15.75" x14ac:dyDescent="0.25">
      <c r="D51" s="29"/>
      <c r="E51" s="30"/>
      <c r="F51" s="31"/>
      <c r="G51" s="31"/>
      <c r="H51" s="29"/>
    </row>
    <row r="52" spans="4:8" ht="15.75" x14ac:dyDescent="0.25">
      <c r="D52" s="29"/>
      <c r="E52" s="30"/>
      <c r="F52" s="31"/>
      <c r="G52" s="31"/>
      <c r="H52" s="29"/>
    </row>
    <row r="53" spans="4:8" x14ac:dyDescent="0.25">
      <c r="D53" s="2"/>
      <c r="E53" s="23"/>
      <c r="F53" s="24"/>
      <c r="G53" s="24"/>
      <c r="H53" s="2"/>
    </row>
    <row r="54" spans="4:8" x14ac:dyDescent="0.25">
      <c r="D54" s="2"/>
      <c r="E54" s="23"/>
      <c r="F54" s="24"/>
      <c r="G54" s="24"/>
      <c r="H54" s="2"/>
    </row>
    <row r="55" spans="4:8" ht="15.75" x14ac:dyDescent="0.25">
      <c r="D55" s="57" t="s">
        <v>72</v>
      </c>
      <c r="E55" s="57"/>
    </row>
    <row r="56" spans="4:8" x14ac:dyDescent="0.25">
      <c r="D56" t="s">
        <v>73</v>
      </c>
    </row>
    <row r="57" spans="4:8" x14ac:dyDescent="0.25">
      <c r="D57" t="s">
        <v>74</v>
      </c>
    </row>
    <row r="60" spans="4:8" x14ac:dyDescent="0.25">
      <c r="G60" s="5"/>
    </row>
  </sheetData>
  <mergeCells count="4">
    <mergeCell ref="D1:H1"/>
    <mergeCell ref="D2:H2"/>
    <mergeCell ref="D7:H7"/>
    <mergeCell ref="D55:E55"/>
  </mergeCells>
  <pageMargins left="0.70866141732283472" right="0.70866141732283472" top="0.35433070866141736" bottom="0.15748031496062992" header="0.31496062992125984" footer="0.31496062992125984"/>
  <pageSetup scale="62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H34"/>
  <sheetViews>
    <sheetView tabSelected="1" topLeftCell="A9" zoomScale="90" zoomScaleNormal="90" workbookViewId="0">
      <selection activeCell="D31" sqref="D31:E33"/>
    </sheetView>
  </sheetViews>
  <sheetFormatPr baseColWidth="10" defaultRowHeight="15" x14ac:dyDescent="0.25"/>
  <cols>
    <col min="4" max="4" width="17" customWidth="1"/>
    <col min="5" max="5" width="49.7109375" customWidth="1"/>
    <col min="6" max="6" width="16.140625" customWidth="1"/>
    <col min="7" max="7" width="18.140625" customWidth="1"/>
    <col min="8" max="8" width="16.7109375" customWidth="1"/>
  </cols>
  <sheetData>
    <row r="1" spans="4:8" ht="15.75" x14ac:dyDescent="0.25">
      <c r="D1" s="48" t="s">
        <v>0</v>
      </c>
      <c r="E1" s="49"/>
      <c r="F1" s="49"/>
      <c r="G1" s="49"/>
      <c r="H1" s="50"/>
    </row>
    <row r="2" spans="4:8" ht="15.75" x14ac:dyDescent="0.25">
      <c r="D2" s="58" t="s">
        <v>69</v>
      </c>
      <c r="E2" s="59"/>
      <c r="F2" s="59"/>
      <c r="G2" s="59"/>
      <c r="H2" s="60"/>
    </row>
    <row r="3" spans="4:8" s="2" customFormat="1" ht="15.75" x14ac:dyDescent="0.25">
      <c r="D3" s="42" t="s">
        <v>1</v>
      </c>
      <c r="E3" s="29"/>
      <c r="F3" s="29"/>
      <c r="G3" s="29"/>
      <c r="H3" s="43"/>
    </row>
    <row r="4" spans="4:8" s="2" customFormat="1" ht="15.75" x14ac:dyDescent="0.25">
      <c r="D4" s="42" t="s">
        <v>56</v>
      </c>
      <c r="E4" s="29"/>
      <c r="F4" s="29"/>
      <c r="G4" s="29"/>
      <c r="H4" s="43"/>
    </row>
    <row r="5" spans="4:8" s="2" customFormat="1" ht="15.75" x14ac:dyDescent="0.25">
      <c r="D5" s="42" t="s">
        <v>2</v>
      </c>
      <c r="E5" s="29"/>
      <c r="F5" s="29"/>
      <c r="G5" s="29"/>
      <c r="H5" s="43"/>
    </row>
    <row r="6" spans="4:8" s="2" customFormat="1" ht="15.75" x14ac:dyDescent="0.25">
      <c r="D6" s="42"/>
      <c r="E6" s="29"/>
      <c r="F6" s="29"/>
      <c r="G6" s="29"/>
      <c r="H6" s="43"/>
    </row>
    <row r="7" spans="4:8" s="2" customFormat="1" x14ac:dyDescent="0.25">
      <c r="D7" s="18"/>
      <c r="E7" s="11"/>
      <c r="F7" s="11"/>
      <c r="G7" s="11"/>
      <c r="H7" s="19"/>
    </row>
    <row r="8" spans="4:8" ht="64.5" customHeight="1" x14ac:dyDescent="0.25">
      <c r="D8" s="12" t="s">
        <v>3</v>
      </c>
      <c r="E8" s="13" t="s">
        <v>4</v>
      </c>
      <c r="F8" s="14" t="s">
        <v>5</v>
      </c>
      <c r="G8" s="14" t="s">
        <v>6</v>
      </c>
      <c r="H8" s="15" t="s">
        <v>7</v>
      </c>
    </row>
    <row r="9" spans="4:8" x14ac:dyDescent="0.25">
      <c r="D9" s="54" t="s">
        <v>57</v>
      </c>
      <c r="E9" s="55"/>
      <c r="F9" s="55"/>
      <c r="G9" s="55"/>
      <c r="H9" s="56"/>
    </row>
    <row r="10" spans="4:8" x14ac:dyDescent="0.25">
      <c r="D10" s="6">
        <v>11</v>
      </c>
      <c r="E10" s="3" t="s">
        <v>58</v>
      </c>
      <c r="F10" s="1"/>
      <c r="G10" s="1"/>
      <c r="H10" s="7"/>
    </row>
    <row r="11" spans="4:8" x14ac:dyDescent="0.25">
      <c r="D11" s="8">
        <v>11.01</v>
      </c>
      <c r="E11" s="1" t="s">
        <v>59</v>
      </c>
      <c r="F11" s="4">
        <v>0</v>
      </c>
      <c r="G11" s="4"/>
      <c r="H11" s="7"/>
    </row>
    <row r="12" spans="4:8" x14ac:dyDescent="0.25">
      <c r="D12" s="8">
        <v>11.02</v>
      </c>
      <c r="E12" s="1" t="s">
        <v>60</v>
      </c>
      <c r="F12" s="4">
        <v>0</v>
      </c>
      <c r="G12" s="4"/>
      <c r="H12" s="7"/>
    </row>
    <row r="13" spans="4:8" x14ac:dyDescent="0.25">
      <c r="D13" s="32">
        <v>11.03</v>
      </c>
      <c r="E13" s="33" t="s">
        <v>61</v>
      </c>
      <c r="F13" s="4">
        <v>0</v>
      </c>
      <c r="G13" s="4"/>
      <c r="H13" s="7"/>
    </row>
    <row r="14" spans="4:8" x14ac:dyDescent="0.25">
      <c r="D14" s="8">
        <v>11.07</v>
      </c>
      <c r="E14" s="1" t="s">
        <v>62</v>
      </c>
      <c r="F14" s="4">
        <v>0</v>
      </c>
      <c r="G14" s="4"/>
      <c r="H14" s="7"/>
    </row>
    <row r="15" spans="4:8" x14ac:dyDescent="0.25">
      <c r="D15" s="8"/>
      <c r="E15" s="1"/>
      <c r="F15" s="4"/>
      <c r="G15" s="4"/>
      <c r="H15" s="7"/>
    </row>
    <row r="16" spans="4:8" x14ac:dyDescent="0.25">
      <c r="D16" s="8">
        <v>18</v>
      </c>
      <c r="E16" s="1" t="s">
        <v>63</v>
      </c>
      <c r="F16" s="4"/>
      <c r="G16" s="4"/>
      <c r="H16" s="7"/>
    </row>
    <row r="17" spans="4:8" x14ac:dyDescent="0.25">
      <c r="D17" s="32">
        <v>18.059999999999999</v>
      </c>
      <c r="E17" s="33" t="s">
        <v>64</v>
      </c>
      <c r="F17" s="4">
        <v>16000</v>
      </c>
      <c r="G17" s="4">
        <v>16000</v>
      </c>
      <c r="H17" s="7"/>
    </row>
    <row r="18" spans="4:8" x14ac:dyDescent="0.25">
      <c r="D18" s="8"/>
      <c r="E18" s="1"/>
      <c r="F18" s="4"/>
      <c r="G18" s="4"/>
      <c r="H18" s="7"/>
    </row>
    <row r="19" spans="4:8" x14ac:dyDescent="0.25">
      <c r="D19" s="8">
        <v>28</v>
      </c>
      <c r="E19" s="1" t="s">
        <v>65</v>
      </c>
      <c r="F19" s="4"/>
      <c r="G19" s="4"/>
      <c r="H19" s="7"/>
    </row>
    <row r="20" spans="4:8" x14ac:dyDescent="0.25">
      <c r="D20" s="8">
        <v>28.06</v>
      </c>
      <c r="E20" s="33" t="s">
        <v>66</v>
      </c>
      <c r="F20" s="4">
        <v>0</v>
      </c>
      <c r="G20" s="4"/>
      <c r="H20" s="7"/>
    </row>
    <row r="21" spans="4:8" ht="15.75" thickBot="1" x14ac:dyDescent="0.3">
      <c r="D21" s="34"/>
      <c r="E21" s="35"/>
      <c r="F21" s="36"/>
      <c r="G21" s="36"/>
      <c r="H21" s="37"/>
    </row>
    <row r="22" spans="4:8" ht="15.75" thickBot="1" x14ac:dyDescent="0.3">
      <c r="D22" s="38"/>
      <c r="E22" s="39" t="s">
        <v>67</v>
      </c>
      <c r="F22" s="40">
        <f>SUM(F10:F21)</f>
        <v>16000</v>
      </c>
      <c r="G22" s="40">
        <f>SUM(G10:G21)</f>
        <v>16000</v>
      </c>
      <c r="H22" s="41"/>
    </row>
    <row r="23" spans="4:8" ht="15.75" thickBot="1" x14ac:dyDescent="0.3">
      <c r="D23" s="44"/>
      <c r="E23" s="45" t="s">
        <v>68</v>
      </c>
      <c r="F23" s="46"/>
      <c r="G23" s="46"/>
      <c r="H23" s="47"/>
    </row>
    <row r="24" spans="4:8" ht="15.75" x14ac:dyDescent="0.25">
      <c r="D24" s="29"/>
      <c r="E24" s="30"/>
      <c r="F24" s="31"/>
      <c r="G24" s="31"/>
      <c r="H24" s="29"/>
    </row>
    <row r="25" spans="4:8" ht="15.75" x14ac:dyDescent="0.25">
      <c r="D25" s="29"/>
      <c r="E25" s="30"/>
      <c r="F25" s="31"/>
      <c r="G25" s="31"/>
      <c r="H25" s="29"/>
    </row>
    <row r="26" spans="4:8" ht="15.75" x14ac:dyDescent="0.25">
      <c r="D26" s="29"/>
      <c r="E26" s="30"/>
      <c r="F26" s="31"/>
      <c r="G26" s="31"/>
      <c r="H26" s="29"/>
    </row>
    <row r="27" spans="4:8" x14ac:dyDescent="0.25">
      <c r="D27" s="2"/>
      <c r="E27" s="23"/>
      <c r="F27" s="24"/>
      <c r="G27" s="24"/>
      <c r="H27" s="2"/>
    </row>
    <row r="28" spans="4:8" x14ac:dyDescent="0.25">
      <c r="D28" s="2"/>
      <c r="E28" s="23"/>
      <c r="F28" s="24"/>
      <c r="G28" s="24"/>
      <c r="H28" s="2"/>
    </row>
    <row r="30" spans="4:8" ht="15.75" x14ac:dyDescent="0.25">
      <c r="D30" s="61"/>
      <c r="E30" s="61"/>
    </row>
    <row r="31" spans="4:8" ht="15.75" x14ac:dyDescent="0.25">
      <c r="D31" s="57" t="s">
        <v>72</v>
      </c>
      <c r="E31" s="57"/>
    </row>
    <row r="32" spans="4:8" ht="22.5" customHeight="1" x14ac:dyDescent="0.25">
      <c r="D32" t="s">
        <v>73</v>
      </c>
    </row>
    <row r="33" spans="4:7" ht="18" customHeight="1" x14ac:dyDescent="0.25">
      <c r="D33" t="s">
        <v>74</v>
      </c>
    </row>
    <row r="34" spans="4:7" x14ac:dyDescent="0.25">
      <c r="G34" s="5"/>
    </row>
  </sheetData>
  <mergeCells count="5">
    <mergeCell ref="D1:H1"/>
    <mergeCell ref="D2:H2"/>
    <mergeCell ref="D9:H9"/>
    <mergeCell ref="D30:E30"/>
    <mergeCell ref="D31:E31"/>
  </mergeCells>
  <pageMargins left="0.7" right="0.7" top="0.75" bottom="0.75" header="0.3" footer="0.3"/>
  <pageSetup scale="5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</dc:creator>
  <cp:lastModifiedBy>JORGE</cp:lastModifiedBy>
  <cp:lastPrinted>2015-12-11T19:44:42Z</cp:lastPrinted>
  <dcterms:created xsi:type="dcterms:W3CDTF">2015-12-10T19:33:44Z</dcterms:created>
  <dcterms:modified xsi:type="dcterms:W3CDTF">2015-12-18T13:48:45Z</dcterms:modified>
</cp:coreProperties>
</file>