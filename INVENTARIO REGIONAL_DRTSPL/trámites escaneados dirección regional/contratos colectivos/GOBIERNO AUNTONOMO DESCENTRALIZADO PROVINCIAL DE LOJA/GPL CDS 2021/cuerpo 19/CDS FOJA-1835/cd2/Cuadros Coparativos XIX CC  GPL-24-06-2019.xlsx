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8800" windowHeight="13020" activeTab="3"/>
  </bookViews>
  <sheets>
    <sheet name="FORMULARIO 1" sheetId="1" r:id="rId1"/>
    <sheet name="FORMULARIO 2" sheetId="2" r:id="rId2"/>
    <sheet name="FORMULARIO 3 " sheetId="5" r:id="rId3"/>
    <sheet name="FORMULARIO 4" sheetId="4" r:id="rId4"/>
  </sheets>
  <definedNames>
    <definedName name="_xlnm._FilterDatabase" localSheetId="2" hidden="1">'FORMULARIO 3 '!$A$8:$M$258</definedName>
    <definedName name="_xlnm.Print_Titles" localSheetId="2">'FORMULARIO 3 '!$8:$8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8" i="5" l="1"/>
  <c r="K257" i="5"/>
  <c r="K258" i="5" s="1"/>
  <c r="J257" i="5"/>
  <c r="J258" i="5" s="1"/>
  <c r="I257" i="5"/>
  <c r="I258" i="5" s="1"/>
  <c r="H257" i="5"/>
  <c r="G257" i="5"/>
  <c r="G258" i="5" s="1"/>
  <c r="F257" i="5"/>
  <c r="F258" i="5" s="1"/>
  <c r="C10" i="5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H12" i="1" l="1"/>
  <c r="G12" i="1"/>
  <c r="F12" i="1"/>
  <c r="E12" i="1"/>
  <c r="D12" i="1"/>
  <c r="C12" i="1"/>
  <c r="H11" i="1"/>
  <c r="G11" i="1"/>
  <c r="F11" i="1"/>
  <c r="E11" i="1"/>
  <c r="D11" i="1"/>
  <c r="C11" i="1"/>
  <c r="C31" i="2"/>
  <c r="H22" i="2"/>
  <c r="G22" i="2"/>
  <c r="F22" i="2"/>
  <c r="E22" i="2"/>
  <c r="D22" i="2"/>
  <c r="C22" i="2"/>
  <c r="H21" i="2"/>
  <c r="G21" i="2"/>
  <c r="F21" i="2"/>
  <c r="E21" i="2"/>
  <c r="D21" i="2"/>
  <c r="C21" i="2"/>
  <c r="H31" i="2" l="1"/>
  <c r="H13" i="2" s="1"/>
  <c r="G31" i="2"/>
  <c r="G13" i="2" s="1"/>
  <c r="F31" i="2"/>
  <c r="F13" i="2" s="1"/>
  <c r="E31" i="2"/>
  <c r="E13" i="2" s="1"/>
  <c r="D31" i="2"/>
  <c r="D13" i="2" s="1"/>
  <c r="C13" i="2"/>
  <c r="I63" i="4"/>
  <c r="I60" i="4"/>
  <c r="I59" i="4"/>
  <c r="I58" i="4"/>
  <c r="I57" i="4"/>
  <c r="I56" i="4"/>
  <c r="I55" i="4"/>
  <c r="I54" i="4"/>
  <c r="I53" i="4"/>
  <c r="I40" i="4"/>
  <c r="I39" i="4"/>
  <c r="I38" i="4"/>
  <c r="I35" i="4"/>
  <c r="I33" i="4" s="1"/>
  <c r="H60" i="4"/>
  <c r="H59" i="4"/>
  <c r="H58" i="4"/>
  <c r="H57" i="4"/>
  <c r="H56" i="4"/>
  <c r="H55" i="4"/>
  <c r="H54" i="4"/>
  <c r="H40" i="4"/>
  <c r="H39" i="4"/>
  <c r="H38" i="4"/>
  <c r="H35" i="4"/>
  <c r="C12" i="2" l="1"/>
  <c r="C28" i="2" s="1"/>
  <c r="E12" i="2"/>
  <c r="E28" i="2" s="1"/>
  <c r="G12" i="2"/>
  <c r="G28" i="2" s="1"/>
  <c r="D12" i="2"/>
  <c r="D28" i="2" s="1"/>
  <c r="F12" i="2"/>
  <c r="F28" i="2" s="1"/>
  <c r="H12" i="2"/>
  <c r="H28" i="2" s="1"/>
  <c r="I27" i="4"/>
  <c r="G60" i="4" l="1"/>
  <c r="G59" i="4"/>
  <c r="G58" i="4"/>
  <c r="G57" i="4"/>
  <c r="G56" i="4"/>
  <c r="G55" i="4"/>
  <c r="G54" i="4"/>
  <c r="G40" i="4"/>
  <c r="G39" i="4"/>
  <c r="G38" i="4"/>
  <c r="G35" i="4"/>
  <c r="F60" i="4"/>
  <c r="F59" i="4"/>
  <c r="F58" i="4"/>
  <c r="F57" i="4"/>
  <c r="F56" i="4"/>
  <c r="F55" i="4"/>
  <c r="F54" i="4"/>
  <c r="F40" i="4"/>
  <c r="F39" i="4"/>
  <c r="F38" i="4"/>
  <c r="F35" i="4"/>
  <c r="E60" i="4"/>
  <c r="E59" i="4"/>
  <c r="E58" i="4"/>
  <c r="E57" i="4"/>
  <c r="E56" i="4"/>
  <c r="E55" i="4"/>
  <c r="E54" i="4"/>
  <c r="E40" i="4"/>
  <c r="E39" i="4"/>
  <c r="E38" i="4"/>
  <c r="E35" i="4"/>
  <c r="D59" i="4"/>
  <c r="D58" i="4"/>
  <c r="D57" i="4"/>
  <c r="D56" i="4"/>
  <c r="D55" i="4"/>
  <c r="D54" i="4"/>
  <c r="D39" i="4"/>
  <c r="D38" i="4"/>
  <c r="D35" i="4"/>
  <c r="C60" i="4"/>
  <c r="C59" i="4"/>
  <c r="C58" i="4"/>
  <c r="C57" i="4"/>
  <c r="C56" i="4"/>
  <c r="C55" i="4"/>
  <c r="C54" i="4"/>
  <c r="C40" i="4"/>
  <c r="C39" i="4"/>
  <c r="C38" i="4"/>
  <c r="C35" i="4"/>
  <c r="I20" i="4" l="1"/>
  <c r="H20" i="4"/>
  <c r="G20" i="4"/>
  <c r="F20" i="4"/>
  <c r="E20" i="4"/>
  <c r="D20" i="4"/>
  <c r="I10" i="4"/>
  <c r="H10" i="4"/>
  <c r="G10" i="4"/>
  <c r="F10" i="4"/>
  <c r="E10" i="4"/>
  <c r="D10" i="4"/>
  <c r="F78" i="4"/>
  <c r="E78" i="4"/>
  <c r="D78" i="4"/>
  <c r="I69" i="4"/>
  <c r="H69" i="4"/>
  <c r="G69" i="4"/>
  <c r="G78" i="4" s="1"/>
  <c r="F69" i="4"/>
  <c r="E69" i="4"/>
  <c r="D69" i="4"/>
  <c r="C69" i="4"/>
  <c r="I73" i="4"/>
  <c r="H73" i="4"/>
  <c r="H78" i="4" s="1"/>
  <c r="G73" i="4"/>
  <c r="F73" i="4"/>
  <c r="E73" i="4"/>
  <c r="D73" i="4"/>
  <c r="C73" i="4"/>
  <c r="H53" i="4"/>
  <c r="G53" i="4"/>
  <c r="F53" i="4"/>
  <c r="E53" i="4"/>
  <c r="D53" i="4"/>
  <c r="I52" i="4"/>
  <c r="H52" i="4"/>
  <c r="G52" i="4"/>
  <c r="F52" i="4"/>
  <c r="F67" i="4" s="1"/>
  <c r="E52" i="4"/>
  <c r="E67" i="4" s="1"/>
  <c r="D52" i="4"/>
  <c r="D67" i="4" s="1"/>
  <c r="I48" i="4"/>
  <c r="I67" i="4" s="1"/>
  <c r="H48" i="4"/>
  <c r="H67" i="4" s="1"/>
  <c r="G48" i="4"/>
  <c r="G67" i="4" s="1"/>
  <c r="F48" i="4"/>
  <c r="E48" i="4"/>
  <c r="D48" i="4"/>
  <c r="H33" i="4"/>
  <c r="G33" i="4"/>
  <c r="F33" i="4"/>
  <c r="E33" i="4"/>
  <c r="D33" i="4"/>
  <c r="I32" i="4"/>
  <c r="H32" i="4"/>
  <c r="G32" i="4"/>
  <c r="F32" i="4"/>
  <c r="E32" i="4"/>
  <c r="D32" i="4"/>
  <c r="I30" i="4"/>
  <c r="H30" i="4"/>
  <c r="G30" i="4"/>
  <c r="F30" i="4"/>
  <c r="E30" i="4"/>
  <c r="D30" i="4"/>
  <c r="H27" i="4"/>
  <c r="H9" i="4" s="1"/>
  <c r="G27" i="4"/>
  <c r="F27" i="4"/>
  <c r="E27" i="4"/>
  <c r="D27" i="4"/>
  <c r="I23" i="4"/>
  <c r="H23" i="4"/>
  <c r="G23" i="4"/>
  <c r="F23" i="4"/>
  <c r="E23" i="4"/>
  <c r="D23" i="4"/>
  <c r="I15" i="4"/>
  <c r="H15" i="4"/>
  <c r="G15" i="4"/>
  <c r="F15" i="4"/>
  <c r="E15" i="4"/>
  <c r="D15" i="4"/>
  <c r="G9" i="4"/>
  <c r="G47" i="4" s="1"/>
  <c r="F9" i="4"/>
  <c r="F47" i="4" s="1"/>
  <c r="E9" i="4"/>
  <c r="E47" i="4" s="1"/>
  <c r="D9" i="4"/>
  <c r="D47" i="4" s="1"/>
  <c r="C78" i="4"/>
  <c r="C48" i="4"/>
  <c r="C53" i="4"/>
  <c r="C52" i="4" s="1"/>
  <c r="C67" i="4" s="1"/>
  <c r="C33" i="4"/>
  <c r="C32" i="4" s="1"/>
  <c r="C9" i="4"/>
  <c r="C30" i="4"/>
  <c r="C27" i="4"/>
  <c r="C23" i="4"/>
  <c r="C20" i="4"/>
  <c r="C15" i="4"/>
  <c r="C10" i="4"/>
  <c r="H47" i="4" l="1"/>
  <c r="H68" i="4" s="1"/>
  <c r="I78" i="4"/>
  <c r="I9" i="4"/>
  <c r="I47" i="4" s="1"/>
  <c r="I68" i="4" s="1"/>
  <c r="C47" i="4"/>
  <c r="C79" i="4" s="1"/>
  <c r="D79" i="4"/>
  <c r="D68" i="4"/>
  <c r="F79" i="4"/>
  <c r="F68" i="4"/>
  <c r="H79" i="4"/>
  <c r="E79" i="4"/>
  <c r="E68" i="4"/>
  <c r="G79" i="4"/>
  <c r="G68" i="4"/>
  <c r="C68" i="4"/>
  <c r="I79" i="4" l="1"/>
</calcChain>
</file>

<file path=xl/comments1.xml><?xml version="1.0" encoding="utf-8"?>
<comments xmlns="http://schemas.openxmlformats.org/spreadsheetml/2006/main">
  <authors>
    <author>User</author>
  </authors>
  <commentList>
    <comment ref="B4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DESVINCULA EL 31 DE JULIO DE 2018</t>
        </r>
      </text>
    </comment>
    <comment ref="B6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DESVINCULO EL 03 DE OCTUBRE DE 2017</t>
        </r>
      </text>
    </comment>
    <comment ref="B68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DESVINCULO EL 20 DE JULIO DE 2018</t>
        </r>
      </text>
    </comment>
    <comment ref="B7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DESVINCULO EL 31 DE JULIO DE 2018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DESVINCULO EL 31 DE AGOSTO DE 2016</t>
        </r>
      </text>
    </comment>
    <comment ref="B12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DESVINCULO EL 28 DE FEBRERO DE 2014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FALLECIO EN JULIO DE 2017</t>
        </r>
      </text>
    </comment>
    <comment ref="B16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DESVINCULO EL 31 DE JULIO DE 2018</t>
        </r>
      </text>
    </comment>
    <comment ref="B182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DESVINCULO EN DICIEMBRE DE 2015</t>
        </r>
      </text>
    </comment>
    <comment ref="B20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DESVINCULO EL 06 DE JULIO DE 2018</t>
        </r>
      </text>
    </comment>
    <comment ref="B209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DESVINCULO EL 29 DE FEBRERO DE 2016</t>
        </r>
      </text>
    </comment>
    <comment ref="B219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DESVINCULO EL 31 DE MARZO DE 2018</t>
        </r>
      </text>
    </comment>
    <comment ref="B24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FALLECIO EN DICIEMBRE DE 2014</t>
        </r>
      </text>
    </comment>
  </commentList>
</comments>
</file>

<file path=xl/sharedStrings.xml><?xml version="1.0" encoding="utf-8"?>
<sst xmlns="http://schemas.openxmlformats.org/spreadsheetml/2006/main" count="942" uniqueCount="483">
  <si>
    <t>FORMULARIO 1: "FUENTES DE FINANCIAMIENTO DEL PROYECTO DE CONTRATO COLECTIVO"</t>
  </si>
  <si>
    <t>DETALLE DE INGRESOS</t>
  </si>
  <si>
    <t>GOBIERNO AUTÓNOMO DESCENTRALIZADO:  Provincial de Loja</t>
  </si>
  <si>
    <t>FUENTES DE FINANCIAMIENTO</t>
  </si>
  <si>
    <t>OBSERVACIONES</t>
  </si>
  <si>
    <t>INGRESOS DE INVERSION Y CAPITAL</t>
  </si>
  <si>
    <t xml:space="preserve">TRANSFERENCIAS Y DONACIONES INVERSION </t>
  </si>
  <si>
    <t>Aportes y Participaciones de Capital e Inversión del Régimen Seccional Autónomo</t>
  </si>
  <si>
    <t xml:space="preserve">TOTAL </t>
  </si>
  <si>
    <t>INCREMENTO PORCENTUAL</t>
  </si>
  <si>
    <t>DIRECTOR FINANCIERO GAD PROVINCIAL LOJA</t>
  </si>
  <si>
    <t>FINANCIAMIENTO CONTRATO COLECTIVO VIGENTE 2014</t>
  </si>
  <si>
    <t>FINANCIAMIENTO CONTRATO COLECTIVO PROPUESTO 2015</t>
  </si>
  <si>
    <t>Nº PROYECTO CONTRATO COLECTIVO: Décimo Noveno</t>
  </si>
  <si>
    <t>FINANCIAMIENTO CONTRATO COLECTIVO PROPUESTO 2016</t>
  </si>
  <si>
    <t>FORMULARIO 2: "COSTOS DEL PROYECTO DE CONTRATO COLECTIVO"</t>
  </si>
  <si>
    <t>GOBIERNO AUTÓNOMO DESCENTRALIZADO: Provincial de Loja</t>
  </si>
  <si>
    <t>Nº PROYECTO CONTRATO COLECTIVO:  Proyecto décimo noveno</t>
  </si>
  <si>
    <t>CLASIFICADOR PRESUPUESTARIO</t>
  </si>
  <si>
    <t>GASTO DEL PERSONAL</t>
  </si>
  <si>
    <t>GASTO PERSONAL</t>
  </si>
  <si>
    <t>REMUNERACIONES BASICAS</t>
  </si>
  <si>
    <t>SALARIOS UNIFICADOS</t>
  </si>
  <si>
    <t xml:space="preserve">REMUNERACIONES COMPLEMENTARIAS </t>
  </si>
  <si>
    <t>DECIMOTERCER SUELDO</t>
  </si>
  <si>
    <t>DECIMOCUARTO SUELDO</t>
  </si>
  <si>
    <t>REMUNERACIONES COMPENSATORIAS</t>
  </si>
  <si>
    <t>COMPENSACION POR TRANSPORTE</t>
  </si>
  <si>
    <t>SUBSIDIOS</t>
  </si>
  <si>
    <t>POR CARGAS FAMILIARES</t>
  </si>
  <si>
    <t>POR ANTIGÜEDAD</t>
  </si>
  <si>
    <t>APORTES A LA SEGURIDAD SOCIAL</t>
  </si>
  <si>
    <t>710601</t>
  </si>
  <si>
    <t xml:space="preserve">APORTE PATRONAL </t>
  </si>
  <si>
    <t>710602</t>
  </si>
  <si>
    <t xml:space="preserve">FONDO DE RESERVA </t>
  </si>
  <si>
    <t>710603</t>
  </si>
  <si>
    <t>FONDO DE JUBILACION PATRONAL</t>
  </si>
  <si>
    <t>VESTUARIO, LENCERIA Y PRENDAS DE PROTECCION</t>
  </si>
  <si>
    <t>COSTO CONTRATO COLECTIVO VIGENTE 2014</t>
  </si>
  <si>
    <t>COSTO CONTRATO COLECTIVO PROPUESTO 2015</t>
  </si>
  <si>
    <t>COSTO CONTRATO COLECTIVO PROPUESTO 2016</t>
  </si>
  <si>
    <t>DISTRIBUTIVO DE SALARIO UNIFICADO DESAGREGADO POR TRABAJADOR</t>
  </si>
  <si>
    <t>GOBIERNO AUTÓNOMO DESCENTRALIZADO DE LA PROVINCIA DE LOJA</t>
  </si>
  <si>
    <t>Nº PROYECTO CONTRATO COLECTIVO DÉCIMO NOVENO</t>
  </si>
  <si>
    <t>CEDULA</t>
  </si>
  <si>
    <t>APELLIDOS Y NOMBRES</t>
  </si>
  <si>
    <t>No. TRABAJ</t>
  </si>
  <si>
    <t>GRADO DEL CARGO O PUESTO</t>
  </si>
  <si>
    <t>DENOMINACIÓN DEL PUESTO O CARGO DE OCUPACIÓN</t>
  </si>
  <si>
    <t>REMUNERACION UNIFICADA CONTRATO COLECTIVO VIGENTE 2014</t>
  </si>
  <si>
    <t>FECHA DE INGRESO</t>
  </si>
  <si>
    <t>PROYECTO DE INVERSION</t>
  </si>
  <si>
    <t>ABAD RAMIREZ FABRICIO MARCELO</t>
  </si>
  <si>
    <t>AUXILIAR DE SERVICIOS</t>
  </si>
  <si>
    <t>AGUILAR ORDOÑEZ DARWIN JAVIER</t>
  </si>
  <si>
    <t>Obras de Administración Directa</t>
  </si>
  <si>
    <t>AGUINSACA LOARTE MIGUEL NUMAN</t>
  </si>
  <si>
    <t>ALULIMA BUELE JOSE RODRIGO</t>
  </si>
  <si>
    <t>ALBAÑIL</t>
  </si>
  <si>
    <t>Vialidad y Obras Civiles</t>
  </si>
  <si>
    <t>ALVARADO MEDINA EULOGIO AMADO</t>
  </si>
  <si>
    <t>ALVEAR CALDERON CARLOS VINICIO</t>
  </si>
  <si>
    <t>ALVEAR OCHOA ANGEL PATRICIO</t>
  </si>
  <si>
    <t>AYUDANTE DE ALBAÑIL</t>
  </si>
  <si>
    <t>ALVERCA ABAD FRANCLIN ERNAN</t>
  </si>
  <si>
    <t>CHOFER DE VEHÍCULOS LIVIANOS</t>
  </si>
  <si>
    <t>AMBULUDI PUGLLA CARLOS AURELIO</t>
  </si>
  <si>
    <t>CHOFER DE VEHÍCULOS PESADOS</t>
  </si>
  <si>
    <t>ANDRADE CHALAN YURI DANIEL</t>
  </si>
  <si>
    <t>AYUDANTE DE CULTIVOS</t>
  </si>
  <si>
    <t>Riego y Gestión Ambiental</t>
  </si>
  <si>
    <t>AREVALO CARRILLO MANUEL DE JESUS</t>
  </si>
  <si>
    <t>AYUDANTE DE CARPINTERÍA</t>
  </si>
  <si>
    <t>AREVALO FRANCO CARLOS ANTONIO</t>
  </si>
  <si>
    <t>CONSERJE CON RESIDENCIA</t>
  </si>
  <si>
    <t>ARMIJOS AMBULUDI JOSE ANTONIO</t>
  </si>
  <si>
    <t>0703002816</t>
  </si>
  <si>
    <t>ARMIJOS CHAMORRO CECILIA ANGELICA</t>
  </si>
  <si>
    <t>CONSERJE</t>
  </si>
  <si>
    <t>ARMIJOS CORDOVA FRANCO VINICIO</t>
  </si>
  <si>
    <t>ASTUDILLO ESPARZA LUISA ENRIQUETA</t>
  </si>
  <si>
    <t>CONSERJE EXTERNO</t>
  </si>
  <si>
    <t>ATARIHUANA NOLIVOS INRY HECTOR</t>
  </si>
  <si>
    <t>GUARDIÁN</t>
  </si>
  <si>
    <t>AUQUILLA GALAN JUAN BOLIVAR</t>
  </si>
  <si>
    <t>BANEGAS BANEGAS BRAULIO BENJAMIN</t>
  </si>
  <si>
    <t>Desarrollo Productivo</t>
  </si>
  <si>
    <t>BARRIGAS JARAMILLO MARCO ANTONIO</t>
  </si>
  <si>
    <t>BAZURTO CHAVEZ NARSISO RUBEN</t>
  </si>
  <si>
    <t>0703689463</t>
  </si>
  <si>
    <t>BENAVIDES ROJAS LUCIO ARTEMIO</t>
  </si>
  <si>
    <t>BURI LOARTE VICTOR EMILIO</t>
  </si>
  <si>
    <t>BUSTOS SAMANIEGO ALEX ENRIQUE</t>
  </si>
  <si>
    <t>CABRERA CABRERA SANTOS BENJAMIN</t>
  </si>
  <si>
    <t>CABRERA GRANDA CESAR HUMBERTO</t>
  </si>
  <si>
    <t>CABRERA PARDO ROBERT FRANCISCO</t>
  </si>
  <si>
    <t>CAJAMARCA AMBULUDI JAIME ANTONIO</t>
  </si>
  <si>
    <t>CALLE CARRION RONNAL FRANCISCO</t>
  </si>
  <si>
    <t>CALVAS JORGE ENRIQUE</t>
  </si>
  <si>
    <t>PINTOR</t>
  </si>
  <si>
    <t>CAMACHO CASTILLO LILIANA ELIZABETH</t>
  </si>
  <si>
    <t>CAMPOVERDE ANDRADE LEONCIO DAVID</t>
  </si>
  <si>
    <t>CANO ABAD MANUEL AGUSTIN</t>
  </si>
  <si>
    <t>CARPIO JARAMILLO MANUEL ALEJANDRO</t>
  </si>
  <si>
    <t>CARRION VALLEJO MAXIMILIANO</t>
  </si>
  <si>
    <t>SUPERVISOR DE OBRAS PÚBLICAS</t>
  </si>
  <si>
    <t>CARTUCHE ORTEGA GONZALO ENRIQUE</t>
  </si>
  <si>
    <t>CARTUCHE PASACA LUIS ALBERTO</t>
  </si>
  <si>
    <t>SOLDADOR</t>
  </si>
  <si>
    <t>CASTILLO AREVALO BOLIVAR ENRIQUE</t>
  </si>
  <si>
    <t>CASTILLO CORDOVA ARIOSTO JAVIER</t>
  </si>
  <si>
    <t>CASTILLO FRANCISCO NICANOR</t>
  </si>
  <si>
    <t>CASTILLO GONZALO MARINO</t>
  </si>
  <si>
    <t>CASTILLO HERRERA FELICITO GUZMAN</t>
  </si>
  <si>
    <t>CASTRO GUTIERREZ LEONARDO ARTURO</t>
  </si>
  <si>
    <t>OPERADOR DE DISTRIBUCIÓN DE AGUA</t>
  </si>
  <si>
    <t>0701952103</t>
  </si>
  <si>
    <t>CASTRO NEIRA HERNAN BOLIVAR</t>
  </si>
  <si>
    <t>CASTRO QUIZHPE BYRON FIDEL</t>
  </si>
  <si>
    <t>SUPERVISOR PROCESOS PRODUCTIVOS, OPERATIVOS Y/O ESPECIALIZACIÓN INDUSTRIAL</t>
  </si>
  <si>
    <t>CASTRO RIVERA JULIO MARCELO</t>
  </si>
  <si>
    <t>CELI BELTRAN MARCO JAVIER</t>
  </si>
  <si>
    <t>CEVALLOS LUNA MARIA ALEXANDRA</t>
  </si>
  <si>
    <t>CHALAN LOZANO JOSE FRANCISCO</t>
  </si>
  <si>
    <t>CHAMBA BENITEZ GILBERTO</t>
  </si>
  <si>
    <t>SUPERVISOR DE AUXILIARES DE SERVICIOS</t>
  </si>
  <si>
    <t>CHAMBA BENITEZ TEODORO</t>
  </si>
  <si>
    <t>CHAMBA RODRIGUEZ ANGEL DELFIN</t>
  </si>
  <si>
    <t>HERRERO</t>
  </si>
  <si>
    <t>CHIMBO ALULIMA JAIME RODRIGO</t>
  </si>
  <si>
    <t>CHOEZ BELTRAN MANUEL ENRIQUE</t>
  </si>
  <si>
    <t>ELECTRICISTA</t>
  </si>
  <si>
    <t>CISNEROS PAREDES JUAN PABLO</t>
  </si>
  <si>
    <t>CORDOVA MALDONADO FRANGEL ALMILCAR</t>
  </si>
  <si>
    <t>CORDOVA TORRES MIRIAN ELIZABETH</t>
  </si>
  <si>
    <t>CORNEJO OCHOA SEGUNDO JOSE</t>
  </si>
  <si>
    <t>CORONEL CARDENAS LUIS BERNARDO</t>
  </si>
  <si>
    <t>CORREA GUAMAN MARIA DEL CISNE</t>
  </si>
  <si>
    <t>CUENCA NALVAY YOLANDA</t>
  </si>
  <si>
    <t>CUENCA PUCHA ENRIQUE</t>
  </si>
  <si>
    <t>GASFITERO O PLOMERO</t>
  </si>
  <si>
    <t>CUEVA ELIZALDE OSWALDO MERINO</t>
  </si>
  <si>
    <t>CUEVA JARAMILLO WILLAN RICARDO</t>
  </si>
  <si>
    <t>CUMBICUS ROJAS ROSA NOEMI</t>
  </si>
  <si>
    <t>CURIPOMA RUILOVA MIGUEL ANTONIO</t>
  </si>
  <si>
    <t>DELGADO VERA JORGE IVAN</t>
  </si>
  <si>
    <t>ENRIQUEZ MANUEL JUVENTINO</t>
  </si>
  <si>
    <t>ERAS DIAZ ALVARO HERNAN</t>
  </si>
  <si>
    <t>ERAS DIAZ BYRON AMANDO</t>
  </si>
  <si>
    <t>ERAS SANTIN RUTH DEL CISNE</t>
  </si>
  <si>
    <t>TÉCNICO SERVICIOS CORPORATIVOS</t>
  </si>
  <si>
    <t>ERREYES SARMIENTO JOSE PATRICIO</t>
  </si>
  <si>
    <t>ESPINOZA FLORES LUZ AMERICA</t>
  </si>
  <si>
    <t>ESPINOZA LANCHI HENRY ALCIVAR</t>
  </si>
  <si>
    <t>CHOFER</t>
  </si>
  <si>
    <t>ESTRELLA CAMPOVERDE MANUEL AUGUSTO</t>
  </si>
  <si>
    <t>ESTRELLA SILVA GERMANIA JANNETH</t>
  </si>
  <si>
    <t xml:space="preserve">COCINERO </t>
  </si>
  <si>
    <t>FERNANDEZ ESPINOZA EDINSON JAVIER</t>
  </si>
  <si>
    <t>FIERRO JARAMILLO JOFFRE ULISES</t>
  </si>
  <si>
    <t>FLORES ORELLANA FRANCISCO JAVIER</t>
  </si>
  <si>
    <t>GALAN SOTO ZOILA LUZ</t>
  </si>
  <si>
    <t>GAONA ROA KATTY LAURA</t>
  </si>
  <si>
    <t>GARRIDO SOTO NELLY ELIZABETH</t>
  </si>
  <si>
    <t>GARROCHAMBA SINCHIRE SALOMON</t>
  </si>
  <si>
    <t>AYUDANTE DE CUADRILLA</t>
  </si>
  <si>
    <t>GOMEZ GUAMAN LIZARDO</t>
  </si>
  <si>
    <t>GONZAGA CORREA BENITO RAMIRO</t>
  </si>
  <si>
    <t>GONZALEZ JARAMILLO EDGAR ROLANDO</t>
  </si>
  <si>
    <t>GONZALEZ PINEDA MARIA ESPERANZA</t>
  </si>
  <si>
    <t>GONZALEZ SANCHEZ ROY WILFRIDO</t>
  </si>
  <si>
    <t>GONZALEZ UCHUARI JORGE GONZALO</t>
  </si>
  <si>
    <t>GORDILLO LEON PABLO GONZALO</t>
  </si>
  <si>
    <t>GRANDA IÑIGUEZ ALVARO DEMETRIO</t>
  </si>
  <si>
    <t>GRANDA MIGUEL NORBERTO</t>
  </si>
  <si>
    <t>GRANDA PULLAGUARI JOSE MANUEL</t>
  </si>
  <si>
    <t>GUALAN GUACHON MARIA DOLORES</t>
  </si>
  <si>
    <t>AUXILIAR DE SERVICIOS DE SALUD</t>
  </si>
  <si>
    <t>GUAMAN ALDAZ ROMULO ITALO</t>
  </si>
  <si>
    <t>GUARNIZO AGUIRRE MARIA SULEMA</t>
  </si>
  <si>
    <t>GUERRERO LEON AMADA VERONICA</t>
  </si>
  <si>
    <t>HERRERA CARRION RUTBELH JAVIER</t>
  </si>
  <si>
    <t>0701159220</t>
  </si>
  <si>
    <t>HERRERA PAREDEZ LUIS GILDER</t>
  </si>
  <si>
    <t>HURTADO ARMIJOS VICENTE ARIELITO</t>
  </si>
  <si>
    <t>AYUDANTE DE EQUIPO Y/O MAQUINARIA PESADA</t>
  </si>
  <si>
    <t>HURTADO HURTADO ARCANGEL MANUEL</t>
  </si>
  <si>
    <t>IDROVO JORGE VICENTE</t>
  </si>
  <si>
    <t>IÑIGUEZ CHALAN ELGUER ROLANDO</t>
  </si>
  <si>
    <t>IÑIGUEZ CHALAN MANUEL GUILLERMO</t>
  </si>
  <si>
    <t>CARPINTERO</t>
  </si>
  <si>
    <t>IÑIGUEZ ROJAS JOSE DARIO</t>
  </si>
  <si>
    <t>JARAMILLO BUSTAMANTE FABRICIO JULIS</t>
  </si>
  <si>
    <t>JARAMILLO CRIOLLO MARIO ALBERTO</t>
  </si>
  <si>
    <t>JARAMILLO JIMENEZ LUIS ALFREDO</t>
  </si>
  <si>
    <t>JIMENEZ JIMENEZ JOSE VICENTE</t>
  </si>
  <si>
    <t>LALANGUI RAMOS JULIO ALBERTO</t>
  </si>
  <si>
    <t>LANCHE TANDAZO WILSON PEDRO</t>
  </si>
  <si>
    <t>LAPO CHAUNAY NELSON ALBERTO</t>
  </si>
  <si>
    <t>LEON GUERRON NORMAN EFREN</t>
  </si>
  <si>
    <t>LIMA MIRANDA SEGUNDO CARLOS VICTORIANO</t>
  </si>
  <si>
    <t>LLIVISACA CUENCA JOSE IVAN</t>
  </si>
  <si>
    <t>LOJA CALDERON VICTOR EDUARDO</t>
  </si>
  <si>
    <t>LUZON SALAZAR CLAUDIO</t>
  </si>
  <si>
    <t>LUZURIAGA HERRERA RODRIGO MARCO</t>
  </si>
  <si>
    <t>LUZURIAGA UCHUARI FRANCISCO XAVIER</t>
  </si>
  <si>
    <t>MACAS ABARCA GONZALO HUMBERTO</t>
  </si>
  <si>
    <t>MACAS CARRION GEOVANNI MANUEL</t>
  </si>
  <si>
    <t>MACAS CARRION JUAN VICENTE</t>
  </si>
  <si>
    <t>MACHUCA LOPEZ NORALMA YAZMINIA</t>
  </si>
  <si>
    <t>MALDONADO MONTAÑO ERMEL RENE</t>
  </si>
  <si>
    <t>MALDONADO ROJAS MAX JIMMY</t>
  </si>
  <si>
    <t>MALDONADO TORRES JESUS MARIA</t>
  </si>
  <si>
    <t>MARIN GODOY ELICER MARDOQUEO</t>
  </si>
  <si>
    <t>MARIN JUAN PAUL</t>
  </si>
  <si>
    <t>MATAILO YAGUANA LUIS AMADO</t>
  </si>
  <si>
    <t>OPERADOR DE ESTACIÓN DE BOMBEO</t>
  </si>
  <si>
    <t>MAZA DELGADO ALBERTO RENE</t>
  </si>
  <si>
    <t>MENDIETA DELGADO NORBERTO FERNANDO</t>
  </si>
  <si>
    <t>MERINO CORDERO LIDER ANTONIO</t>
  </si>
  <si>
    <t>MONTOYA PUCHAICELA ORLANDO RODRIGO</t>
  </si>
  <si>
    <t>MORA PATIÑO ANGEL BERNARDINO</t>
  </si>
  <si>
    <t>MORENO CHAMBA SEGUNDO ISAURO</t>
  </si>
  <si>
    <t>MOROCHO CABRERA ROSA AMADA</t>
  </si>
  <si>
    <t>MOROCHO VARGAS JUAN MANUEL</t>
  </si>
  <si>
    <t>TELEFONISTA</t>
  </si>
  <si>
    <t>MOSQUERA COBOS NELSON LEONARDO</t>
  </si>
  <si>
    <t>0702959552</t>
  </si>
  <si>
    <t>MOTOCHE ALVAREZ SANTOS RAMIRO</t>
  </si>
  <si>
    <t>MOTOCHE XIMENA AMPARITO</t>
  </si>
  <si>
    <t>MUÑOZ TORRES MARCO VINICIO</t>
  </si>
  <si>
    <t>OCAMPO SOTO GREGORIO DANIEL</t>
  </si>
  <si>
    <t>OCHOA ROMERO FAUSTO AMADOR</t>
  </si>
  <si>
    <t>OCHOA SANCHEZ LUIS ALONSO</t>
  </si>
  <si>
    <t>OCHOA SOLORZANO JAIME ALEX</t>
  </si>
  <si>
    <t>OJEDA SANMARTIN PABLO ANTONIO</t>
  </si>
  <si>
    <t>ORDOÑEZ ESPINOSA OSWALDO FRANCISCO</t>
  </si>
  <si>
    <t>ORDOÑEZ PINEDA CLEVER RODRIGO</t>
  </si>
  <si>
    <t>ORELLANA VIÑAMAGUA MARTHA LOURDES</t>
  </si>
  <si>
    <t>ORTEGA CAPA SEGUNDO VICENTE</t>
  </si>
  <si>
    <t>ORTEGA CARRION RODRIGO</t>
  </si>
  <si>
    <t>ORTIZ ACHUPALLAS MARIA DOLORES</t>
  </si>
  <si>
    <t>ORTIZ NAMICELA GUILLERMO FLORESMILO</t>
  </si>
  <si>
    <t>0703137703</t>
  </si>
  <si>
    <t>OVIEDO VERA JOSE TARQUINO</t>
  </si>
  <si>
    <t>PACCHA BURI GERMAN</t>
  </si>
  <si>
    <t>PACHECO JARA ALONZO BLADIMIR</t>
  </si>
  <si>
    <t>PACHECO PACHECO LUIS ALFONSO</t>
  </si>
  <si>
    <t>PALADINES BERTHA MARIA</t>
  </si>
  <si>
    <t>PATIÑO ORTEGA AUGUSTO FABIAN</t>
  </si>
  <si>
    <t>PAUTA LAVANDA CARLOS LEONEL</t>
  </si>
  <si>
    <t>PAZ RAMON FRANCO RODRIGO</t>
  </si>
  <si>
    <t>PICOITA JOSE MIGUEL</t>
  </si>
  <si>
    <t>PINTADO GUARNIZO WILMER OCTAVIO</t>
  </si>
  <si>
    <t>PINZON RODRIGO VINICIO</t>
  </si>
  <si>
    <t>POGO AGILA SEGUNDO FELIX</t>
  </si>
  <si>
    <t>POGO ERAS ISABEL MARIA</t>
  </si>
  <si>
    <t>POGO ROMAN RUSBEL RAFAEL</t>
  </si>
  <si>
    <t>POMA CISNEROS CESAR AUGUSTO</t>
  </si>
  <si>
    <t>PONTON QUEVEDO HECTOR GUILLERMO</t>
  </si>
  <si>
    <t>PUCHA MEDINA TANIA PATRICIA</t>
  </si>
  <si>
    <t>QUEVEDO JIMENEZ JANETH DEL CISNE</t>
  </si>
  <si>
    <t>QUEZADA AYAVACA CESAR AUGUSTO</t>
  </si>
  <si>
    <t>QUEZADA PONCE ANGEL MARCO</t>
  </si>
  <si>
    <t>QUEZADA QUEZADA ANGEL MOISES</t>
  </si>
  <si>
    <t>QUINCHE PUGA KLEVER OSWALDO</t>
  </si>
  <si>
    <t>RAMON ARBOLEDA FRANKLIN OSWALDO</t>
  </si>
  <si>
    <t>RAMOS CAMPOVERDE MARIA ESTHER</t>
  </si>
  <si>
    <t>REINOSO TOLEDO AMABLE</t>
  </si>
  <si>
    <t>REYES SANCHEZ LUIS AUGUSTO</t>
  </si>
  <si>
    <t>RIOS ORDOÑEZ ROQUE EDILBERTO</t>
  </si>
  <si>
    <t>RIVAS POGO NEY EFREN</t>
  </si>
  <si>
    <t>ROBLES QUEZADA JUNIOR ALEXANDER</t>
  </si>
  <si>
    <t>0705124352</t>
  </si>
  <si>
    <t>ROGEL NARANJO DARWIN ANIVAL</t>
  </si>
  <si>
    <t>ROJAS FLORES LUIS ALBERTO</t>
  </si>
  <si>
    <t>ROJAS ORDOÑEZ WILMAN TEODORO</t>
  </si>
  <si>
    <t>ROJAS VACA LUCIA PEREGRINA</t>
  </si>
  <si>
    <t>SALAZAR ABRIGO JORGE EDUARDO</t>
  </si>
  <si>
    <t>SALAZAR CHAMBA SUSANA ELIZABETH</t>
  </si>
  <si>
    <t>0703026591</t>
  </si>
  <si>
    <t>SALAZAR SALAZAR VICTOR MANUEL</t>
  </si>
  <si>
    <t>SAMANIEGO ERREYES ANGEL BOLIVAR</t>
  </si>
  <si>
    <t>SAMANIEGO ERREYES LUIS FRANCO</t>
  </si>
  <si>
    <t>SAMANIEGO LEON ARJENIS JAVIER</t>
  </si>
  <si>
    <t>SANCHEZ OVIEDO FRANKLIN MARCELO</t>
  </si>
  <si>
    <t>0702110453</t>
  </si>
  <si>
    <t>SAQUINAULA RODRIGO PATRICIO</t>
  </si>
  <si>
    <t>SARANGO VALDIVIESO JULIO CESAR</t>
  </si>
  <si>
    <t>SILVA BRAVO BLANCO MARINO</t>
  </si>
  <si>
    <t>SILVA VEINTIMILLA RENE GUSTAVO</t>
  </si>
  <si>
    <t>SIVISAPA YAURE LUIS GONZALO</t>
  </si>
  <si>
    <t>0704163575</t>
  </si>
  <si>
    <t>SOLANO ALVAREZ CARLOS MANUEL</t>
  </si>
  <si>
    <t>SOTO CASTILLO LAURO HERNAN</t>
  </si>
  <si>
    <t>SOTOMAYOR FAUSTO PATRICIO</t>
  </si>
  <si>
    <t xml:space="preserve">AUXILIAR DE SERVICIOS </t>
  </si>
  <si>
    <t>SOTOMAYOR PAZ GALO VINICIO</t>
  </si>
  <si>
    <t>SUAREZ ROMERO RODRIGO ROLANDO</t>
  </si>
  <si>
    <t>SUQUILANDA GUALAN FRANCISCO</t>
  </si>
  <si>
    <t>TAMAY CUENCA LUIS ELIZANDRO</t>
  </si>
  <si>
    <t>TENEPAGUAY RIVERA JORGE EDUARDO</t>
  </si>
  <si>
    <t>0101772986</t>
  </si>
  <si>
    <t>TEPAN QUITO LUIS ALBERTO</t>
  </si>
  <si>
    <t>TIGRE ESCALERAS LUIS ANTONIO</t>
  </si>
  <si>
    <t>0702235318</t>
  </si>
  <si>
    <t>TORRES AGUIRRE GILBERT IVAN</t>
  </si>
  <si>
    <t>TORRES QUEZADA MARCELO LEODAN</t>
  </si>
  <si>
    <t>TORRES ROSALES MOISES</t>
  </si>
  <si>
    <t>TRUJILLO CABRERA RAFAEL FELIPE</t>
  </si>
  <si>
    <t>UCHUARI CUMBICUS PABLO RAFAEL</t>
  </si>
  <si>
    <t>UCHUARI GRANDA EDGAR LEONARDO</t>
  </si>
  <si>
    <t>VACA MERCHAN KLEBER JACINTO</t>
  </si>
  <si>
    <t>VALAREZO GALAN HOMER VICENTE</t>
  </si>
  <si>
    <t>VALAREZO TENESACA MANUEL ANTONIO</t>
  </si>
  <si>
    <t>VALAREZO TENESACA MARIO HUGO</t>
  </si>
  <si>
    <t>VASQUEZ ERRAEZ DIEGO BENIGNO</t>
  </si>
  <si>
    <t>VASQUEZ TRUJILLO MAXIMO ENRIQUE</t>
  </si>
  <si>
    <t>VILLACIS GRANDA FERNANDO ENRIQUE</t>
  </si>
  <si>
    <t>VILLAVICENCIO VALENCIA ARMANDO ERMENEGILDO</t>
  </si>
  <si>
    <t>VILLAVICENCIO VALENCIA MIGUEL ANGEL</t>
  </si>
  <si>
    <t>VIÑAMAGUA MOROCHO FELIX</t>
  </si>
  <si>
    <t>VIÑAN DIAZ WILSON EDUARDO</t>
  </si>
  <si>
    <t>VIVANCO RAMON RODRIGO RAFAEL</t>
  </si>
  <si>
    <t>YAGUANA ORTIZ HERNAN LENIN</t>
  </si>
  <si>
    <t>YUNGA CHAMBA JOSE JAIME</t>
  </si>
  <si>
    <t>ZARUMA RIERA ULVIO</t>
  </si>
  <si>
    <t>ZUMBA CORREA GRACIELA</t>
  </si>
  <si>
    <t>ZUÑIGA SUAREZ DARWIN PAUL</t>
  </si>
  <si>
    <t>TOTAL RMU</t>
  </si>
  <si>
    <t>TOTAL RAU</t>
  </si>
  <si>
    <t>DIRECTORA DE TALENTO HUMANO GAD PROVINCIAL LOJA</t>
  </si>
  <si>
    <t>Econ. Maritza Arias Morales</t>
  </si>
  <si>
    <t>ALIMENTACION</t>
  </si>
  <si>
    <t>_____________________________________________________________</t>
  </si>
  <si>
    <t>_____________________________________________________________________</t>
  </si>
  <si>
    <t>______________________________________________________</t>
  </si>
  <si>
    <t>____________________________________________________</t>
  </si>
  <si>
    <t>MINISTERIO DE ECONOMIA Y FINANZAS</t>
  </si>
  <si>
    <r>
      <t>FORMULARIO 3:</t>
    </r>
    <r>
      <rPr>
        <sz val="12"/>
        <color indexed="8"/>
        <rFont val="Calibri"/>
        <family val="2"/>
        <scheme val="minor"/>
      </rPr>
      <t xml:space="preserve"> </t>
    </r>
    <r>
      <rPr>
        <b/>
        <sz val="12"/>
        <color indexed="8"/>
        <rFont val="Calibri"/>
        <family val="2"/>
        <scheme val="minor"/>
      </rPr>
      <t xml:space="preserve">"COMPARATIVO ENTRE REMUNERACIÓN UNIFICADA Y PROPUESTA" </t>
    </r>
  </si>
  <si>
    <t>FORMULARIO 4</t>
  </si>
  <si>
    <t>FLUJO PRESUPUESTARIO DE INGRESOS Y GASTOS</t>
  </si>
  <si>
    <t>DETALLE DE GRUPOS Y SUBGRUPOS</t>
  </si>
  <si>
    <t>FLUJO HISTÓRICO</t>
  </si>
  <si>
    <t>FLUJO PROYECTADO</t>
  </si>
  <si>
    <t>Grupo y Subgrupo</t>
  </si>
  <si>
    <t xml:space="preserve">Descripción </t>
  </si>
  <si>
    <t>TOTAL INGRESOS CORRIENTES (1)</t>
  </si>
  <si>
    <t>Impuestos</t>
  </si>
  <si>
    <t>Sobre la Renta, Utilidades y Ganancias de Capital</t>
  </si>
  <si>
    <t>Sobre la propiedad</t>
  </si>
  <si>
    <t>Al consumo de Bienes y Servicios</t>
  </si>
  <si>
    <t>Impuestos Diversos</t>
  </si>
  <si>
    <t xml:space="preserve">Tasas y contribuciones </t>
  </si>
  <si>
    <t>Tasas generales</t>
  </si>
  <si>
    <t>Tasas portuarias y aeroportuarias</t>
  </si>
  <si>
    <t>Tasas diversas</t>
  </si>
  <si>
    <t>Contribuciones</t>
  </si>
  <si>
    <t>Venta de Bienes y Servicios</t>
  </si>
  <si>
    <t>Venta de Productos  y Materiales</t>
  </si>
  <si>
    <t>Ventas no industriales</t>
  </si>
  <si>
    <t>Rentas de Invesiones y Multas</t>
  </si>
  <si>
    <t>Renta de inversiones</t>
  </si>
  <si>
    <t>Renta por arrendamiento de Bienes</t>
  </si>
  <si>
    <t>Multas</t>
  </si>
  <si>
    <t>Transferencias y Donaciones Corrientes</t>
  </si>
  <si>
    <t>Transferencias Corrientes del Sector Publico</t>
  </si>
  <si>
    <t>Aportes y participaciones Corrientes del régimen Seccional Autónomo</t>
  </si>
  <si>
    <t>Otros ingresos</t>
  </si>
  <si>
    <t>Otros no Operacionales</t>
  </si>
  <si>
    <t>TOTAL GASTOS CORRIENTES (2)</t>
  </si>
  <si>
    <t>Gastos en personal</t>
  </si>
  <si>
    <t>Remuneraciones Básicas</t>
  </si>
  <si>
    <t>Remuneraciones Complementarias</t>
  </si>
  <si>
    <t>Remuneraciones Compensatorias</t>
  </si>
  <si>
    <t>Subsidios</t>
  </si>
  <si>
    <t>Remuneraciones Temporales</t>
  </si>
  <si>
    <t>Aportes Patronales a la Seguridad Social</t>
  </si>
  <si>
    <t>Indemnizaciones</t>
  </si>
  <si>
    <t>Asignaciones a distribuir</t>
  </si>
  <si>
    <t>Bienes y servicios de consumo</t>
  </si>
  <si>
    <t>Gastos Financieros</t>
  </si>
  <si>
    <t>Otros gastos corrientes</t>
  </si>
  <si>
    <t>Transferencias y donaciones corrientes</t>
  </si>
  <si>
    <t>Previsiones para reasignaciones</t>
  </si>
  <si>
    <t>SUPERAVIT/DEFICIT CORRIENTE (1) - (2) = (3)</t>
  </si>
  <si>
    <t>INGRESOS DE CAPITAL E INVERSIÓN (4)</t>
  </si>
  <si>
    <t>Venta de Activos no Financieros</t>
  </si>
  <si>
    <t>Recuperación de inversiones</t>
  </si>
  <si>
    <t>Transferencias y Donaciones de Capital e Inversión</t>
  </si>
  <si>
    <t>GASTOS DE CAPITAL E INVERSIÓN (5)</t>
  </si>
  <si>
    <t>Gastos en personal para Inversión</t>
  </si>
  <si>
    <t>Bienes y servicios para inversión</t>
  </si>
  <si>
    <t>Obras públicas</t>
  </si>
  <si>
    <t>Otros Gastos de Inversión</t>
  </si>
  <si>
    <t>Transferencias y donaciones para inversión</t>
  </si>
  <si>
    <t>Bienes de larga duración</t>
  </si>
  <si>
    <t>SUPERAVIT/DEFICIT DE CAPITAL E INVERSIÓN (4) - (5) = (6)</t>
  </si>
  <si>
    <t>SUPERAVIT/DEFICIT FISCAL  (3) + (6)</t>
  </si>
  <si>
    <t>FUENTES FINANCIERAS (7)</t>
  </si>
  <si>
    <t>Financiamiento Público</t>
  </si>
  <si>
    <t>Saldos disponibles</t>
  </si>
  <si>
    <t>Cuenta Pendientes por Cobrar</t>
  </si>
  <si>
    <t>USOS FINANCIEROS (8)</t>
  </si>
  <si>
    <t>Inversiones financieras</t>
  </si>
  <si>
    <t>Amortización de la deuda</t>
  </si>
  <si>
    <t>Pasivo Circulante</t>
  </si>
  <si>
    <t>Otros Pasivos</t>
  </si>
  <si>
    <t>SUPERAVIT/DEFICIT DE FINANCIAMIENTO (7) - (8)</t>
  </si>
  <si>
    <t>SUPERAVIT/DEFICIT PRESUPUESTARIO</t>
  </si>
  <si>
    <t>LIMITES DE ENDEUDAMIENTO</t>
  </si>
  <si>
    <t>DEUDA PUBLICA</t>
  </si>
  <si>
    <t>SERVICIO DE DEUDA</t>
  </si>
  <si>
    <t>PREFECTO DE LOJA</t>
  </si>
  <si>
    <t>Ing. Rafael Dávila Egüez</t>
  </si>
  <si>
    <t>________________________________________</t>
  </si>
  <si>
    <t>_____________________________________________</t>
  </si>
  <si>
    <r>
      <rPr>
        <b/>
        <sz val="10"/>
        <color theme="1"/>
        <rFont val="Calibri"/>
        <family val="2"/>
        <scheme val="minor"/>
      </rPr>
      <t>Nota:</t>
    </r>
    <r>
      <rPr>
        <sz val="10"/>
        <color theme="1"/>
        <rFont val="Calibri"/>
        <family val="2"/>
        <scheme val="minor"/>
      </rPr>
      <t xml:space="preserve"> Las proyecciones del flujos se realizaron tomando el indicide inflacion del 2,50%</t>
    </r>
  </si>
  <si>
    <t>REMUNERACION UNIFICADA CONTRATO COLECTIVO PROPUESTO 2019</t>
  </si>
  <si>
    <t>Ing. Eduardo Aguirre Valdiviezo</t>
  </si>
  <si>
    <t>Loja, 24 de junio de 2019</t>
  </si>
  <si>
    <t>COSTO CONTRATO COLECTIVO PROPUESTO 2017</t>
  </si>
  <si>
    <t>COSTO CONTRATO COLECTIVO PROPUESTO 2018</t>
  </si>
  <si>
    <t>COSTO CONTRATO COLECTIVO PROPUESTO 2019</t>
  </si>
  <si>
    <t>FINANCIAMIENTO CONTRATO COLECTIVO PROPUESTO 2017</t>
  </si>
  <si>
    <t>FINANCIAMIENTO CONTRATO COLECTIVO PROPUESTO 2018</t>
  </si>
  <si>
    <t>FINANCIAMIENTO CONTRATO COLECTIVO PROPUESTO 2019</t>
  </si>
  <si>
    <t>BENEFICIOS POR JUBILACION</t>
  </si>
  <si>
    <t>IDEMNIZACIONES</t>
  </si>
  <si>
    <t>BIENES DE USO Y CONSUMO DE INVERSION</t>
  </si>
  <si>
    <t>REMUNERACION UNIFICADA CONTRATO COLECTIVO VIGENTE 2015</t>
  </si>
  <si>
    <t>REMUNERACION UNIFICADA CONTRATO COLECTIVO VIGENTE 2016</t>
  </si>
  <si>
    <t>REMUNERACION UNIFICADA CONTRATO COLECTIVO VIGENTE 2017</t>
  </si>
  <si>
    <t>REMUNERACION UNIFICADA CONTRATO COLECTIVO VIGENTE 2018</t>
  </si>
  <si>
    <t>Atención Social Matilde Hidalgo</t>
  </si>
  <si>
    <t>SUPERVISOR DE VIVEROS Y ÁREAS REFORESTADAS</t>
  </si>
  <si>
    <t>AMBULUDI CALERO ROOSEVELTH GEOVANNY</t>
  </si>
  <si>
    <t>Obras de Administración Directa (CAMBIO DE REGIMEN LABORAL - RESOLUCION N° RP-RDE-22-2016)</t>
  </si>
  <si>
    <t>Desarrollo Productivo  (TRASPASO DESDE DEPROSUR EP EL 01 DE ENERO DE 2017)</t>
  </si>
  <si>
    <t>Riego y Gestión Ambiental (TRASPASO DESDE RIDRENSUR EP EL 01 DE ENERO DE 2017)</t>
  </si>
  <si>
    <t>AYUDANTE DE MECÁNICA DE EQUIPO Y/O MAQUINARIA</t>
  </si>
  <si>
    <t>CAMBISACA BAILON LUIS AFRANIO</t>
  </si>
  <si>
    <t>Vialidad y Obras Civiles - SE DESVINCULO EL 31 DE JULIO DE 2018</t>
  </si>
  <si>
    <t>Obras de Administración Directa (TRASPASO DESDE VIALSUR EP EL 01 DE ENERO DE 2016)</t>
  </si>
  <si>
    <t>01101838561</t>
  </si>
  <si>
    <t>CARCHI BERMEO CARMITA DE JESUS</t>
  </si>
  <si>
    <t>COSTURERA</t>
  </si>
  <si>
    <t>Atención Social Matilde Hidalgo - (TRASPASO DESDE CASMH EL 10 DE JUNIO DE 2019)</t>
  </si>
  <si>
    <t>CHICAIZA GUAMO EDGAR AUGUSTO</t>
  </si>
  <si>
    <t>Obras de Administración Directa - SE DESVINCULO EL 03 DE OCTUBRE DE 2017</t>
  </si>
  <si>
    <t>COLLAGUAZO SARANGO CESAR AUGUSTO</t>
  </si>
  <si>
    <t>Obras de Administración Directa - SE DESVINCULO EL 20 DE JULIO DE 2018</t>
  </si>
  <si>
    <t>CORONEL ZARUMA EDMUNDO</t>
  </si>
  <si>
    <t>Obras de Administración Directa  - SE DESVINCULO EL 31 DE JULIO DE 2018</t>
  </si>
  <si>
    <t>Atención Social Matilde Hidalgo  (CAMBIO DE REGIMEN LABORAL - RESOLUCION N° RP-RDE-22-2016)</t>
  </si>
  <si>
    <t>Atención Social Matilde Hidalgo (TRASPASO DESDE VIALSUR EP EL 01  DE SEPTIEMBRE DE 2017)</t>
  </si>
  <si>
    <t>GUERRERO FLORES CARLOS JULIO</t>
  </si>
  <si>
    <t>Obras de Administración Directa - SE DESVINCULO EL 31 DE AGOSTO DE 2016</t>
  </si>
  <si>
    <t>JIMENEZ RAMIREZ FELICISIMO BUENAVENTURA</t>
  </si>
  <si>
    <t>Obras de Administración Directa - SE DESVINCULO EL 28 DE FEBERO DE 2014</t>
  </si>
  <si>
    <t>MOROCHO ORELLANA ROSA AIDA ANGELICA</t>
  </si>
  <si>
    <t>Atención Social Matilde Hidalgo - (CAMBIO DE REGIMEN LABORAL - RESOLUCION N° RP-RDE-22-2016) SE DESVINCULO EN JULIO DE 2017</t>
  </si>
  <si>
    <t>OCHOA BRAVO LUIS ALFREDO</t>
  </si>
  <si>
    <t>Obras de Administración Directa - SE DESVINCULO EL 31 DE JULIO DE 2018</t>
  </si>
  <si>
    <t>TÉCNICO DE MANTENIMIENTO ELÉCTRICO</t>
  </si>
  <si>
    <t>1103995724</t>
  </si>
  <si>
    <t>PEREZ QUIZHPE MARIA MERCEDES</t>
  </si>
  <si>
    <t>PIEDRA ORDOÑEZ GALO AUGUSTO</t>
  </si>
  <si>
    <t>Obras de Administración Directa -  SE DESVINCULO EN DICIEMBRE DE 2015</t>
  </si>
  <si>
    <t>1102088463</t>
  </si>
  <si>
    <t>QUIZHPE GRANDA MARIA CONCEPCION</t>
  </si>
  <si>
    <t>ROBALINO PADILLA JACINTO MAURO</t>
  </si>
  <si>
    <t>Obras de Administración Directa -  SE DESVINCULO EL 06 DE JULIO DE 2018</t>
  </si>
  <si>
    <t>ROMERO GRANDA MANUEL ANGEL VICENTE</t>
  </si>
  <si>
    <t>Obras de Administración Directa -  SE DESVINCULO EL 29 DE FEBRERO DE 2016</t>
  </si>
  <si>
    <t>Riego y Gestión Ambiental  (CAMBIO DE REGIMEN LABORAL - RESOLUCION N° RP-RDE-22-2016)</t>
  </si>
  <si>
    <t>SERRANO GORDILLO CESAR HUMBERTO</t>
  </si>
  <si>
    <t>Obras de Administración Directa -  SE DESVINCULO EL 31 DE MARZO DE 2018</t>
  </si>
  <si>
    <t>Riego y Gestión Ambiental  (TRASPASO DESDE RIDRENSUR EP EL 01 DE ENERO DE 2017)</t>
  </si>
  <si>
    <t>VASQUEZ MENA CONSTANTE MANUEL</t>
  </si>
  <si>
    <t>Obras de Administración Directa -  SE DESVINCULO EN DICIEMBRE DE 2014</t>
  </si>
  <si>
    <t>Loja, julio de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</si>
</sst>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€_-;\-* #,##0.00\ _€_-;_-* &quot;-&quot;??\ _€_-;_-@_-"/>
    <numFmt numFmtId="164" formatCode="_(* #,##0.00_);_(* \(#,##0.00\);_(* &quot;-&quot;??_);_(@_)"/>
    <numFmt numFmtId="165" formatCode="_ * #,##0.00_ ;_ * \-#,##0.00_ ;_ * &quot;-&quot;??_ ;_ @_ 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5" tint="0.39997558519241921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8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 applyFill="0" applyBorder="0" applyAlignment="0" applyProtection="0"/>
  </cellStyleXfs>
  <cellXfs count="161">
    <xf numFmtId="0" fontId="0" fillId="0" borderId="0" xfId="0"/>
    <xf numFmtId="0" fontId="7" fillId="0" borderId="4" xfId="3" applyFont="1" applyBorder="1" applyAlignment="1">
      <alignment horizontal="center" vertical="center"/>
    </xf>
    <xf numFmtId="0" fontId="7" fillId="0" borderId="4" xfId="3" applyFont="1" applyBorder="1" applyAlignment="1">
      <alignment horizontal="left" vertical="center" wrapText="1"/>
    </xf>
    <xf numFmtId="0" fontId="0" fillId="0" borderId="0" xfId="0" applyFont="1" applyAlignment="1">
      <alignment vertic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center" vertical="center"/>
    </xf>
    <xf numFmtId="164" fontId="13" fillId="0" borderId="4" xfId="1" applyFont="1" applyBorder="1" applyAlignment="1">
      <alignment vertical="center"/>
    </xf>
    <xf numFmtId="0" fontId="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2" fontId="12" fillId="0" borderId="4" xfId="0" applyNumberFormat="1" applyFont="1" applyFill="1" applyBorder="1" applyAlignment="1">
      <alignment horizontal="right" vertical="center"/>
    </xf>
    <xf numFmtId="2" fontId="12" fillId="0" borderId="4" xfId="0" applyNumberFormat="1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left" vertical="center"/>
    </xf>
    <xf numFmtId="4" fontId="15" fillId="0" borderId="4" xfId="4" applyNumberFormat="1" applyFont="1" applyFill="1" applyBorder="1" applyAlignment="1">
      <alignment horizontal="right" vertical="center"/>
    </xf>
    <xf numFmtId="4" fontId="15" fillId="0" borderId="4" xfId="4" applyNumberFormat="1" applyFont="1" applyFill="1" applyBorder="1" applyAlignment="1">
      <alignment horizontal="center" vertical="center"/>
    </xf>
    <xf numFmtId="4" fontId="15" fillId="0" borderId="4" xfId="0" applyNumberFormat="1" applyFont="1" applyFill="1" applyBorder="1" applyAlignment="1">
      <alignment horizontal="right" vertical="center"/>
    </xf>
    <xf numFmtId="4" fontId="15" fillId="0" borderId="4" xfId="0" applyNumberFormat="1" applyFont="1" applyFill="1" applyBorder="1" applyAlignment="1">
      <alignment horizontal="center" vertical="center"/>
    </xf>
    <xf numFmtId="49" fontId="15" fillId="0" borderId="4" xfId="0" applyNumberFormat="1" applyFont="1" applyBorder="1" applyAlignment="1">
      <alignment horizontal="center" vertical="center"/>
    </xf>
    <xf numFmtId="4" fontId="15" fillId="0" borderId="4" xfId="0" applyNumberFormat="1" applyFont="1" applyBorder="1" applyAlignment="1">
      <alignment horizontal="center" vertical="center"/>
    </xf>
    <xf numFmtId="164" fontId="16" fillId="3" borderId="4" xfId="0" applyNumberFormat="1" applyFont="1" applyFill="1" applyBorder="1" applyAlignment="1">
      <alignment vertical="center"/>
    </xf>
    <xf numFmtId="0" fontId="16" fillId="3" borderId="4" xfId="0" applyFont="1" applyFill="1" applyBorder="1" applyAlignment="1">
      <alignment vertical="center"/>
    </xf>
    <xf numFmtId="0" fontId="16" fillId="6" borderId="4" xfId="0" applyFont="1" applyFill="1" applyBorder="1" applyAlignment="1">
      <alignment vertical="center"/>
    </xf>
    <xf numFmtId="49" fontId="14" fillId="7" borderId="4" xfId="0" applyNumberFormat="1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 wrapText="1"/>
    </xf>
    <xf numFmtId="4" fontId="12" fillId="6" borderId="4" xfId="4" applyNumberFormat="1" applyFont="1" applyFill="1" applyBorder="1" applyAlignment="1">
      <alignment horizontal="right" vertical="center"/>
    </xf>
    <xf numFmtId="10" fontId="12" fillId="6" borderId="4" xfId="2" applyNumberFormat="1" applyFont="1" applyFill="1" applyBorder="1" applyAlignment="1">
      <alignment horizontal="right" vertical="center"/>
    </xf>
    <xf numFmtId="4" fontId="12" fillId="6" borderId="4" xfId="4" applyNumberFormat="1" applyFont="1" applyFill="1" applyBorder="1" applyAlignment="1">
      <alignment horizontal="center" vertical="center"/>
    </xf>
    <xf numFmtId="4" fontId="12" fillId="3" borderId="4" xfId="4" applyNumberFormat="1" applyFont="1" applyFill="1" applyBorder="1" applyAlignment="1">
      <alignment horizontal="right" vertical="center"/>
    </xf>
    <xf numFmtId="4" fontId="12" fillId="3" borderId="4" xfId="4" applyNumberFormat="1" applyFont="1" applyFill="1" applyBorder="1" applyAlignment="1">
      <alignment horizontal="center" vertical="center"/>
    </xf>
    <xf numFmtId="0" fontId="14" fillId="7" borderId="4" xfId="5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1" fillId="0" borderId="4" xfId="3" applyFont="1" applyBorder="1" applyAlignment="1">
      <alignment horizontal="right" vertical="center"/>
    </xf>
    <xf numFmtId="0" fontId="21" fillId="0" borderId="4" xfId="3" applyFont="1" applyBorder="1" applyAlignment="1">
      <alignment vertical="center"/>
    </xf>
    <xf numFmtId="4" fontId="21" fillId="0" borderId="4" xfId="3" applyNumberFormat="1" applyFont="1" applyBorder="1" applyAlignment="1">
      <alignment vertical="center"/>
    </xf>
    <xf numFmtId="0" fontId="7" fillId="0" borderId="4" xfId="3" applyFont="1" applyBorder="1" applyAlignment="1">
      <alignment horizontal="right" vertical="center"/>
    </xf>
    <xf numFmtId="0" fontId="7" fillId="0" borderId="4" xfId="3" applyFont="1" applyBorder="1" applyAlignment="1">
      <alignment horizontal="left" vertical="center"/>
    </xf>
    <xf numFmtId="4" fontId="7" fillId="0" borderId="4" xfId="3" applyNumberFormat="1" applyFont="1" applyBorder="1" applyAlignment="1">
      <alignment vertical="center"/>
    </xf>
    <xf numFmtId="4" fontId="21" fillId="8" borderId="4" xfId="3" applyNumberFormat="1" applyFont="1" applyFill="1" applyBorder="1" applyAlignment="1">
      <alignment vertical="center"/>
    </xf>
    <xf numFmtId="0" fontId="21" fillId="8" borderId="4" xfId="3" applyFont="1" applyFill="1" applyBorder="1" applyAlignment="1">
      <alignment vertical="center"/>
    </xf>
    <xf numFmtId="0" fontId="21" fillId="0" borderId="4" xfId="3" applyFont="1" applyBorder="1" applyAlignment="1">
      <alignment horizontal="left" vertical="center"/>
    </xf>
    <xf numFmtId="4" fontId="16" fillId="8" borderId="4" xfId="3" applyNumberFormat="1" applyFont="1" applyFill="1" applyBorder="1" applyAlignment="1">
      <alignment vertical="center"/>
    </xf>
    <xf numFmtId="0" fontId="24" fillId="8" borderId="4" xfId="3" applyFont="1" applyFill="1" applyBorder="1" applyAlignment="1">
      <alignment vertical="center"/>
    </xf>
    <xf numFmtId="0" fontId="25" fillId="0" borderId="0" xfId="3" applyFont="1" applyFill="1" applyBorder="1" applyAlignment="1">
      <alignment horizontal="center" vertical="center"/>
    </xf>
    <xf numFmtId="4" fontId="25" fillId="0" borderId="0" xfId="3" applyNumberFormat="1" applyFont="1" applyFill="1" applyBorder="1" applyAlignment="1">
      <alignment vertical="center"/>
    </xf>
    <xf numFmtId="0" fontId="25" fillId="0" borderId="0" xfId="3" applyFont="1" applyFill="1" applyBorder="1" applyAlignment="1">
      <alignment vertical="center"/>
    </xf>
    <xf numFmtId="0" fontId="18" fillId="0" borderId="0" xfId="3" applyFont="1" applyFill="1" applyAlignment="1">
      <alignment vertical="center"/>
    </xf>
    <xf numFmtId="9" fontId="17" fillId="0" borderId="4" xfId="2" applyFont="1" applyFill="1" applyBorder="1" applyAlignment="1">
      <alignment horizontal="center" vertical="center"/>
    </xf>
    <xf numFmtId="10" fontId="17" fillId="0" borderId="4" xfId="3" applyNumberFormat="1" applyFont="1" applyFill="1" applyBorder="1" applyAlignment="1">
      <alignment horizontal="center" vertical="center"/>
    </xf>
    <xf numFmtId="0" fontId="25" fillId="0" borderId="4" xfId="3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3" applyFont="1" applyBorder="1" applyAlignment="1">
      <alignment vertical="center"/>
    </xf>
    <xf numFmtId="4" fontId="17" fillId="0" borderId="0" xfId="3" applyNumberFormat="1" applyFont="1" applyBorder="1" applyAlignment="1">
      <alignment vertical="center"/>
    </xf>
    <xf numFmtId="0" fontId="17" fillId="0" borderId="0" xfId="3" applyFont="1" applyAlignment="1">
      <alignment vertical="center"/>
    </xf>
    <xf numFmtId="0" fontId="17" fillId="0" borderId="0" xfId="3" applyFont="1" applyBorder="1" applyAlignment="1">
      <alignment horizontal="center" vertical="center"/>
    </xf>
    <xf numFmtId="4" fontId="17" fillId="0" borderId="0" xfId="3" applyNumberFormat="1" applyFont="1" applyAlignment="1">
      <alignment vertical="center"/>
    </xf>
    <xf numFmtId="0" fontId="14" fillId="7" borderId="4" xfId="3" applyFont="1" applyFill="1" applyBorder="1" applyAlignment="1">
      <alignment horizontal="center" vertical="center" wrapText="1"/>
    </xf>
    <xf numFmtId="0" fontId="14" fillId="4" borderId="4" xfId="3" applyFont="1" applyFill="1" applyBorder="1" applyAlignment="1">
      <alignment horizontal="center" vertical="center" wrapText="1"/>
    </xf>
    <xf numFmtId="0" fontId="14" fillId="4" borderId="4" xfId="3" applyFont="1" applyFill="1" applyBorder="1" applyAlignment="1">
      <alignment horizontal="center" vertical="center"/>
    </xf>
    <xf numFmtId="0" fontId="14" fillId="4" borderId="4" xfId="3" applyFont="1" applyFill="1" applyBorder="1" applyAlignment="1">
      <alignment vertical="center" wrapText="1"/>
    </xf>
    <xf numFmtId="0" fontId="14" fillId="7" borderId="4" xfId="3" applyFont="1" applyFill="1" applyBorder="1" applyAlignment="1">
      <alignment horizontal="center" vertical="center"/>
    </xf>
    <xf numFmtId="0" fontId="6" fillId="2" borderId="4" xfId="6" applyNumberFormat="1" applyFont="1" applyFill="1" applyBorder="1" applyAlignment="1" applyProtection="1">
      <alignment horizontal="left" vertical="center"/>
    </xf>
    <xf numFmtId="0" fontId="6" fillId="0" borderId="4" xfId="6" applyNumberFormat="1" applyFont="1" applyFill="1" applyBorder="1" applyAlignment="1" applyProtection="1">
      <alignment horizontal="left" vertical="center" wrapText="1"/>
    </xf>
    <xf numFmtId="0" fontId="6" fillId="0" borderId="4" xfId="5" applyFont="1" applyFill="1" applyBorder="1" applyAlignment="1">
      <alignment horizontal="center" vertical="center"/>
    </xf>
    <xf numFmtId="1" fontId="18" fillId="0" borderId="4" xfId="6" applyNumberFormat="1" applyFont="1" applyFill="1" applyBorder="1" applyAlignment="1">
      <alignment horizontal="center" vertical="center"/>
    </xf>
    <xf numFmtId="4" fontId="18" fillId="0" borderId="4" xfId="6" applyNumberFormat="1" applyFont="1" applyFill="1" applyBorder="1" applyAlignment="1">
      <alignment horizontal="left" vertical="center" wrapText="1"/>
    </xf>
    <xf numFmtId="164" fontId="18" fillId="0" borderId="4" xfId="4" applyFont="1" applyFill="1" applyBorder="1" applyAlignment="1">
      <alignment vertical="center"/>
    </xf>
    <xf numFmtId="164" fontId="18" fillId="2" borderId="4" xfId="4" applyFont="1" applyFill="1" applyBorder="1" applyAlignment="1">
      <alignment vertical="center"/>
    </xf>
    <xf numFmtId="14" fontId="6" fillId="0" borderId="4" xfId="5" applyNumberFormat="1" applyFont="1" applyBorder="1" applyAlignment="1">
      <alignment vertical="center"/>
    </xf>
    <xf numFmtId="0" fontId="6" fillId="0" borderId="4" xfId="5" applyFont="1" applyBorder="1" applyAlignment="1">
      <alignment vertical="center"/>
    </xf>
    <xf numFmtId="1" fontId="18" fillId="0" borderId="4" xfId="7" applyNumberFormat="1" applyFont="1" applyFill="1" applyBorder="1" applyAlignment="1" applyProtection="1">
      <alignment horizontal="center" vertical="center"/>
    </xf>
    <xf numFmtId="0" fontId="6" fillId="0" borderId="4" xfId="5" applyFont="1" applyBorder="1" applyAlignment="1">
      <alignment vertical="center" wrapText="1"/>
    </xf>
    <xf numFmtId="164" fontId="18" fillId="0" borderId="4" xfId="4" applyFont="1" applyFill="1" applyBorder="1" applyAlignment="1" applyProtection="1">
      <alignment horizontal="right" vertical="center"/>
    </xf>
    <xf numFmtId="164" fontId="18" fillId="2" borderId="4" xfId="4" applyFont="1" applyFill="1" applyBorder="1" applyAlignment="1" applyProtection="1">
      <alignment horizontal="right" vertical="center"/>
    </xf>
    <xf numFmtId="14" fontId="6" fillId="2" borderId="4" xfId="5" applyNumberFormat="1" applyFont="1" applyFill="1" applyBorder="1" applyAlignment="1">
      <alignment vertical="center"/>
    </xf>
    <xf numFmtId="1" fontId="18" fillId="0" borderId="4" xfId="6" applyNumberFormat="1" applyFont="1" applyFill="1" applyBorder="1" applyAlignment="1">
      <alignment horizontal="center" vertical="center" wrapText="1"/>
    </xf>
    <xf numFmtId="14" fontId="6" fillId="0" borderId="4" xfId="5" applyNumberFormat="1" applyFont="1" applyFill="1" applyBorder="1" applyAlignment="1">
      <alignment vertical="center"/>
    </xf>
    <xf numFmtId="0" fontId="5" fillId="3" borderId="4" xfId="5" applyFont="1" applyFill="1" applyBorder="1" applyAlignment="1">
      <alignment horizontal="center" vertical="center"/>
    </xf>
    <xf numFmtId="0" fontId="5" fillId="3" borderId="4" xfId="5" applyFont="1" applyFill="1" applyBorder="1" applyAlignment="1">
      <alignment horizontal="center" vertical="center" wrapText="1"/>
    </xf>
    <xf numFmtId="4" fontId="5" fillId="3" borderId="4" xfId="5" applyNumberFormat="1" applyFont="1" applyFill="1" applyBorder="1" applyAlignment="1">
      <alignment horizontal="right" vertical="center" wrapText="1"/>
    </xf>
    <xf numFmtId="0" fontId="6" fillId="3" borderId="4" xfId="5" applyFont="1" applyFill="1" applyBorder="1" applyAlignment="1">
      <alignment vertical="center"/>
    </xf>
    <xf numFmtId="0" fontId="5" fillId="6" borderId="4" xfId="5" applyFont="1" applyFill="1" applyBorder="1" applyAlignment="1">
      <alignment horizontal="center" vertical="center"/>
    </xf>
    <xf numFmtId="0" fontId="5" fillId="6" borderId="4" xfId="5" applyFont="1" applyFill="1" applyBorder="1" applyAlignment="1">
      <alignment horizontal="center" vertical="center" wrapText="1"/>
    </xf>
    <xf numFmtId="4" fontId="5" fillId="6" borderId="4" xfId="5" applyNumberFormat="1" applyFont="1" applyFill="1" applyBorder="1" applyAlignment="1">
      <alignment horizontal="right" vertical="center" wrapText="1"/>
    </xf>
    <xf numFmtId="0" fontId="6" fillId="6" borderId="4" xfId="5" applyFont="1" applyFill="1" applyBorder="1" applyAlignment="1">
      <alignment vertical="center"/>
    </xf>
    <xf numFmtId="4" fontId="21" fillId="5" borderId="4" xfId="3" applyNumberFormat="1" applyFont="1" applyFill="1" applyBorder="1" applyAlignment="1">
      <alignment vertical="center"/>
    </xf>
    <xf numFmtId="0" fontId="21" fillId="5" borderId="4" xfId="3" applyFont="1" applyFill="1" applyBorder="1" applyAlignment="1">
      <alignment vertical="center"/>
    </xf>
    <xf numFmtId="0" fontId="7" fillId="0" borderId="0" xfId="0" applyFont="1" applyAlignment="1">
      <alignment vertical="center"/>
    </xf>
    <xf numFmtId="4" fontId="16" fillId="3" borderId="4" xfId="3" applyNumberFormat="1" applyFont="1" applyFill="1" applyBorder="1" applyAlignment="1">
      <alignment vertical="center"/>
    </xf>
    <xf numFmtId="0" fontId="16" fillId="3" borderId="4" xfId="3" applyFont="1" applyFill="1" applyBorder="1" applyAlignment="1">
      <alignment vertical="center"/>
    </xf>
    <xf numFmtId="4" fontId="16" fillId="6" borderId="4" xfId="3" applyNumberFormat="1" applyFont="1" applyFill="1" applyBorder="1" applyAlignment="1">
      <alignment vertical="center"/>
    </xf>
    <xf numFmtId="0" fontId="16" fillId="6" borderId="4" xfId="3" applyFont="1" applyFill="1" applyBorder="1" applyAlignment="1">
      <alignment vertical="center"/>
    </xf>
    <xf numFmtId="4" fontId="26" fillId="0" borderId="0" xfId="3" applyNumberFormat="1" applyFont="1" applyFill="1" applyBorder="1" applyAlignment="1">
      <alignment vertical="center"/>
    </xf>
    <xf numFmtId="0" fontId="16" fillId="8" borderId="4" xfId="3" applyFont="1" applyFill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49" fontId="14" fillId="7" borderId="4" xfId="0" applyNumberFormat="1" applyFont="1" applyFill="1" applyBorder="1" applyAlignment="1">
      <alignment horizontal="center" vertical="center" wrapText="1"/>
    </xf>
    <xf numFmtId="0" fontId="27" fillId="0" borderId="0" xfId="0" applyFont="1" applyBorder="1" applyAlignment="1">
      <alignment horizontal="center" vertical="center"/>
    </xf>
    <xf numFmtId="4" fontId="0" fillId="0" borderId="0" xfId="0" applyNumberFormat="1" applyFont="1" applyAlignment="1">
      <alignment vertical="center"/>
    </xf>
    <xf numFmtId="9" fontId="0" fillId="0" borderId="0" xfId="2" applyFont="1" applyAlignment="1">
      <alignment vertical="center"/>
    </xf>
    <xf numFmtId="164" fontId="0" fillId="0" borderId="0" xfId="1" applyFont="1" applyAlignment="1">
      <alignment vertical="center"/>
    </xf>
    <xf numFmtId="43" fontId="0" fillId="0" borderId="0" xfId="0" applyNumberFormat="1" applyFont="1" applyAlignment="1">
      <alignment vertical="center"/>
    </xf>
    <xf numFmtId="10" fontId="0" fillId="0" borderId="0" xfId="0" applyNumberFormat="1" applyFont="1" applyAlignment="1">
      <alignment vertical="center"/>
    </xf>
    <xf numFmtId="10" fontId="0" fillId="0" borderId="0" xfId="2" applyNumberFormat="1" applyFont="1" applyAlignment="1">
      <alignment vertical="center"/>
    </xf>
    <xf numFmtId="164" fontId="28" fillId="0" borderId="4" xfId="4" applyFont="1" applyFill="1" applyBorder="1" applyAlignment="1">
      <alignment vertical="center"/>
    </xf>
    <xf numFmtId="164" fontId="28" fillId="2" borderId="4" xfId="4" applyFont="1" applyFill="1" applyBorder="1" applyAlignment="1">
      <alignment vertical="center"/>
    </xf>
    <xf numFmtId="164" fontId="18" fillId="0" borderId="4" xfId="4" applyFont="1" applyFill="1" applyBorder="1" applyAlignment="1">
      <alignment horizontal="right" vertical="center"/>
    </xf>
    <xf numFmtId="165" fontId="29" fillId="2" borderId="7" xfId="1" applyNumberFormat="1" applyFont="1" applyFill="1" applyBorder="1" applyAlignment="1"/>
    <xf numFmtId="4" fontId="17" fillId="0" borderId="0" xfId="3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7" fillId="0" borderId="0" xfId="3" applyFont="1" applyAlignment="1">
      <alignment horizontal="left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7" fillId="0" borderId="0" xfId="3" applyFont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14" fillId="7" borderId="4" xfId="0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3" fillId="0" borderId="0" xfId="5" applyFont="1" applyBorder="1" applyAlignment="1">
      <alignment horizontal="left" vertical="center"/>
    </xf>
    <xf numFmtId="0" fontId="10" fillId="0" borderId="0" xfId="5" applyFont="1" applyFill="1" applyBorder="1" applyAlignment="1">
      <alignment horizontal="center" vertical="center"/>
    </xf>
    <xf numFmtId="0" fontId="4" fillId="0" borderId="0" xfId="5" applyFont="1" applyFill="1" applyBorder="1" applyAlignment="1">
      <alignment horizontal="center" vertical="center"/>
    </xf>
    <xf numFmtId="0" fontId="5" fillId="0" borderId="0" xfId="5" applyFont="1" applyFill="1" applyBorder="1" applyAlignment="1">
      <alignment horizontal="left" vertical="center"/>
    </xf>
    <xf numFmtId="0" fontId="4" fillId="0" borderId="0" xfId="5" applyFont="1" applyBorder="1" applyAlignment="1">
      <alignment horizontal="center" vertical="center"/>
    </xf>
    <xf numFmtId="0" fontId="12" fillId="0" borderId="1" xfId="5" applyFont="1" applyBorder="1" applyAlignment="1">
      <alignment horizontal="center" vertical="center"/>
    </xf>
    <xf numFmtId="0" fontId="13" fillId="0" borderId="0" xfId="5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9" fillId="0" borderId="0" xfId="5" applyFont="1" applyBorder="1" applyAlignment="1">
      <alignment horizontal="center" vertical="center"/>
    </xf>
    <xf numFmtId="0" fontId="9" fillId="0" borderId="0" xfId="5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2" fillId="0" borderId="1" xfId="3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0" fontId="7" fillId="0" borderId="0" xfId="3" applyFont="1" applyFill="1" applyBorder="1" applyAlignment="1">
      <alignment horizontal="center" vertical="center"/>
    </xf>
    <xf numFmtId="0" fontId="17" fillId="0" borderId="0" xfId="3" applyFont="1" applyAlignment="1">
      <alignment horizontal="center" vertical="center"/>
    </xf>
    <xf numFmtId="0" fontId="14" fillId="7" borderId="3" xfId="3" applyFont="1" applyFill="1" applyBorder="1" applyAlignment="1">
      <alignment horizontal="center" vertical="center"/>
    </xf>
    <xf numFmtId="0" fontId="14" fillId="7" borderId="5" xfId="3" applyFont="1" applyFill="1" applyBorder="1" applyAlignment="1">
      <alignment horizontal="center" vertical="center"/>
    </xf>
    <xf numFmtId="0" fontId="17" fillId="0" borderId="3" xfId="3" applyFont="1" applyFill="1" applyBorder="1" applyAlignment="1">
      <alignment horizontal="center" vertical="center"/>
    </xf>
    <xf numFmtId="0" fontId="17" fillId="0" borderId="5" xfId="3" applyFont="1" applyFill="1" applyBorder="1" applyAlignment="1">
      <alignment horizontal="center" vertical="center"/>
    </xf>
    <xf numFmtId="0" fontId="1" fillId="0" borderId="0" xfId="3" applyFont="1" applyBorder="1" applyAlignment="1">
      <alignment horizontal="center" vertical="center"/>
    </xf>
    <xf numFmtId="4" fontId="17" fillId="0" borderId="0" xfId="3" applyNumberFormat="1" applyFont="1" applyBorder="1" applyAlignment="1">
      <alignment horizontal="center" vertical="center"/>
    </xf>
    <xf numFmtId="0" fontId="16" fillId="3" borderId="4" xfId="3" applyFont="1" applyFill="1" applyBorder="1" applyAlignment="1">
      <alignment horizontal="center" vertical="center"/>
    </xf>
    <xf numFmtId="0" fontId="21" fillId="5" borderId="4" xfId="3" applyFont="1" applyFill="1" applyBorder="1" applyAlignment="1">
      <alignment horizontal="left" vertical="center"/>
    </xf>
    <xf numFmtId="0" fontId="16" fillId="8" borderId="4" xfId="3" applyFont="1" applyFill="1" applyBorder="1" applyAlignment="1">
      <alignment horizontal="center" vertical="center"/>
    </xf>
    <xf numFmtId="0" fontId="16" fillId="6" borderId="4" xfId="3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left" vertical="center" wrapText="1"/>
    </xf>
    <xf numFmtId="0" fontId="21" fillId="8" borderId="4" xfId="3" applyFont="1" applyFill="1" applyBorder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17" fillId="0" borderId="0" xfId="3" applyFont="1" applyBorder="1" applyAlignment="1">
      <alignment horizontal="left" vertical="center"/>
    </xf>
    <xf numFmtId="0" fontId="14" fillId="7" borderId="4" xfId="3" applyFont="1" applyFill="1" applyBorder="1" applyAlignment="1">
      <alignment horizontal="center" vertical="center" wrapText="1"/>
    </xf>
    <xf numFmtId="0" fontId="14" fillId="7" borderId="3" xfId="3" applyFont="1" applyFill="1" applyBorder="1" applyAlignment="1">
      <alignment horizontal="center" vertical="center" wrapText="1"/>
    </xf>
    <xf numFmtId="0" fontId="14" fillId="7" borderId="6" xfId="3" applyFont="1" applyFill="1" applyBorder="1" applyAlignment="1">
      <alignment horizontal="center" vertical="center" wrapText="1"/>
    </xf>
    <xf numFmtId="0" fontId="14" fillId="7" borderId="5" xfId="3" applyFont="1" applyFill="1" applyBorder="1" applyAlignment="1">
      <alignment horizontal="center" vertical="center" wrapText="1"/>
    </xf>
  </cellXfs>
  <cellStyles count="8">
    <cellStyle name="Millares" xfId="1" builtinId="3"/>
    <cellStyle name="Millares 2" xfId="4"/>
    <cellStyle name="Millares_DISTRIB.SUELDOS Y SALARIOS P' Presup. 2007-ENERO-07" xfId="7"/>
    <cellStyle name="Normal" xfId="0" builtinId="0"/>
    <cellStyle name="Normal 2" xfId="3"/>
    <cellStyle name="Normal 2 2" xfId="5"/>
    <cellStyle name="Normal_DISTRIB.SUELDOS Y SALARIOS P' Presup. 2007-ENERO-07" xfId="6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2"/>
  <sheetViews>
    <sheetView workbookViewId="0">
      <selection activeCell="A21" sqref="A21:I21"/>
    </sheetView>
  </sheetViews>
  <sheetFormatPr baseColWidth="10" defaultRowHeight="15" x14ac:dyDescent="0.25"/>
  <cols>
    <col min="1" max="1" width="4.42578125" style="3" bestFit="1" customWidth="1"/>
    <col min="2" max="2" width="37" style="3" bestFit="1" customWidth="1"/>
    <col min="3" max="8" width="16.5703125" style="3" customWidth="1"/>
    <col min="9" max="9" width="15.140625" style="3" customWidth="1"/>
    <col min="10" max="16384" width="11.42578125" style="3"/>
  </cols>
  <sheetData>
    <row r="1" spans="1:9" ht="21" x14ac:dyDescent="0.25">
      <c r="A1" s="118" t="s">
        <v>339</v>
      </c>
      <c r="B1" s="118"/>
      <c r="C1" s="118"/>
      <c r="D1" s="118"/>
      <c r="E1" s="118"/>
      <c r="F1" s="118"/>
      <c r="G1" s="118"/>
      <c r="H1" s="118"/>
      <c r="I1" s="118"/>
    </row>
    <row r="2" spans="1:9" ht="15.75" x14ac:dyDescent="0.25">
      <c r="A2" s="119" t="s">
        <v>0</v>
      </c>
      <c r="B2" s="119"/>
      <c r="C2" s="119"/>
      <c r="D2" s="119"/>
      <c r="E2" s="119"/>
      <c r="F2" s="119"/>
      <c r="G2" s="119"/>
      <c r="H2" s="119"/>
      <c r="I2" s="119"/>
    </row>
    <row r="3" spans="1:9" ht="15.75" x14ac:dyDescent="0.25">
      <c r="A3" s="119" t="s">
        <v>1</v>
      </c>
      <c r="B3" s="119"/>
      <c r="C3" s="119"/>
      <c r="D3" s="119"/>
      <c r="E3" s="119"/>
      <c r="F3" s="119"/>
      <c r="G3" s="119"/>
      <c r="H3" s="119"/>
      <c r="I3" s="119"/>
    </row>
    <row r="4" spans="1:9" ht="15.75" x14ac:dyDescent="0.25">
      <c r="A4" s="119"/>
      <c r="B4" s="119"/>
      <c r="C4" s="119"/>
      <c r="D4" s="119"/>
      <c r="E4" s="119"/>
      <c r="F4" s="119"/>
      <c r="G4" s="119"/>
      <c r="H4" s="119"/>
      <c r="I4" s="119"/>
    </row>
    <row r="5" spans="1:9" x14ac:dyDescent="0.25">
      <c r="A5" s="117" t="s">
        <v>2</v>
      </c>
      <c r="B5" s="117"/>
      <c r="C5" s="117"/>
      <c r="D5" s="117"/>
      <c r="E5" s="117"/>
      <c r="F5" s="117"/>
      <c r="G5" s="117"/>
      <c r="H5" s="117"/>
      <c r="I5" s="117"/>
    </row>
    <row r="6" spans="1:9" x14ac:dyDescent="0.25">
      <c r="A6" s="117" t="s">
        <v>13</v>
      </c>
      <c r="B6" s="117"/>
      <c r="C6" s="117"/>
      <c r="D6" s="117"/>
      <c r="E6" s="117"/>
      <c r="F6" s="117"/>
      <c r="G6" s="117"/>
      <c r="H6" s="117"/>
      <c r="I6" s="117"/>
    </row>
    <row r="7" spans="1:9" ht="16.5" thickBot="1" x14ac:dyDescent="0.3">
      <c r="A7" s="120"/>
      <c r="B7" s="120"/>
      <c r="C7" s="120"/>
      <c r="D7" s="120"/>
      <c r="E7" s="120"/>
      <c r="F7" s="120"/>
      <c r="G7" s="120"/>
      <c r="H7" s="120"/>
      <c r="I7" s="120"/>
    </row>
    <row r="8" spans="1:9" ht="51.75" thickBot="1" x14ac:dyDescent="0.3">
      <c r="A8" s="122" t="s">
        <v>3</v>
      </c>
      <c r="B8" s="122"/>
      <c r="C8" s="24" t="s">
        <v>11</v>
      </c>
      <c r="D8" s="24" t="s">
        <v>12</v>
      </c>
      <c r="E8" s="24" t="s">
        <v>14</v>
      </c>
      <c r="F8" s="96" t="s">
        <v>425</v>
      </c>
      <c r="G8" s="96" t="s">
        <v>426</v>
      </c>
      <c r="H8" s="96" t="s">
        <v>427</v>
      </c>
      <c r="I8" s="24" t="s">
        <v>4</v>
      </c>
    </row>
    <row r="9" spans="1:9" ht="15.75" thickBot="1" x14ac:dyDescent="0.3">
      <c r="A9" s="123" t="s">
        <v>5</v>
      </c>
      <c r="B9" s="123"/>
      <c r="C9" s="123"/>
      <c r="D9" s="123"/>
      <c r="E9" s="123"/>
      <c r="F9" s="123"/>
      <c r="G9" s="123"/>
      <c r="H9" s="123"/>
      <c r="I9" s="123"/>
    </row>
    <row r="10" spans="1:9" ht="15.75" thickBot="1" x14ac:dyDescent="0.3">
      <c r="A10" s="4">
        <v>28</v>
      </c>
      <c r="B10" s="5" t="s">
        <v>6</v>
      </c>
      <c r="C10" s="6"/>
      <c r="D10" s="6"/>
      <c r="E10" s="7"/>
      <c r="F10" s="7"/>
      <c r="G10" s="7"/>
      <c r="H10" s="7"/>
      <c r="I10" s="7"/>
    </row>
    <row r="11" spans="1:9" ht="23.25" thickBot="1" x14ac:dyDescent="0.3">
      <c r="A11" s="1">
        <v>2806</v>
      </c>
      <c r="B11" s="2" t="s">
        <v>7</v>
      </c>
      <c r="C11" s="8">
        <f>+'FORMULARIO 2'!C28</f>
        <v>2650827.1133333337</v>
      </c>
      <c r="D11" s="8">
        <f>+'FORMULARIO 2'!D28</f>
        <v>2742688.9673239435</v>
      </c>
      <c r="E11" s="8">
        <f>+'FORMULARIO 2'!E28</f>
        <v>2740745.7342105256</v>
      </c>
      <c r="F11" s="8">
        <f>+'FORMULARIO 2'!F28</f>
        <v>2930353.3819999998</v>
      </c>
      <c r="G11" s="8">
        <f>+'FORMULARIO 2'!G28</f>
        <v>2895724.2048739498</v>
      </c>
      <c r="H11" s="8">
        <f>+'FORMULARIO 2'!H28</f>
        <v>3086266.0140851066</v>
      </c>
      <c r="I11" s="7"/>
    </row>
    <row r="12" spans="1:9" s="9" customFormat="1" ht="15.75" thickBot="1" x14ac:dyDescent="0.3">
      <c r="A12" s="111" t="s">
        <v>8</v>
      </c>
      <c r="B12" s="112"/>
      <c r="C12" s="21">
        <f>+C11</f>
        <v>2650827.1133333337</v>
      </c>
      <c r="D12" s="21">
        <f t="shared" ref="D12:H12" si="0">+D11</f>
        <v>2742688.9673239435</v>
      </c>
      <c r="E12" s="21">
        <f t="shared" si="0"/>
        <v>2740745.7342105256</v>
      </c>
      <c r="F12" s="21">
        <f t="shared" si="0"/>
        <v>2930353.3819999998</v>
      </c>
      <c r="G12" s="21">
        <f t="shared" si="0"/>
        <v>2895724.2048739498</v>
      </c>
      <c r="H12" s="21">
        <f t="shared" si="0"/>
        <v>3086266.0140851066</v>
      </c>
      <c r="I12" s="22"/>
    </row>
    <row r="13" spans="1:9" s="9" customFormat="1" ht="15.75" thickBot="1" x14ac:dyDescent="0.3">
      <c r="A13" s="113" t="s">
        <v>9</v>
      </c>
      <c r="B13" s="114"/>
      <c r="C13" s="23"/>
      <c r="D13" s="27">
        <v>3.4700000000000002E-2</v>
      </c>
      <c r="E13" s="27">
        <v>3.39E-2</v>
      </c>
      <c r="F13" s="27">
        <v>0.10539999999999999</v>
      </c>
      <c r="G13" s="27">
        <v>9.2399999999999996E-2</v>
      </c>
      <c r="H13" s="27">
        <v>0.1643</v>
      </c>
      <c r="I13" s="23"/>
    </row>
    <row r="14" spans="1:9" x14ac:dyDescent="0.25">
      <c r="A14" s="121"/>
      <c r="B14" s="121"/>
      <c r="C14" s="121"/>
      <c r="D14" s="121"/>
      <c r="E14" s="121"/>
      <c r="F14" s="121"/>
      <c r="G14" s="121"/>
      <c r="H14" s="121"/>
      <c r="I14" s="121"/>
    </row>
    <row r="15" spans="1:9" x14ac:dyDescent="0.25">
      <c r="A15" s="115"/>
      <c r="B15" s="115"/>
      <c r="C15" s="115"/>
      <c r="D15" s="115"/>
      <c r="E15" s="115"/>
      <c r="F15" s="115"/>
      <c r="G15" s="115"/>
      <c r="H15" s="115"/>
      <c r="I15" s="115"/>
    </row>
    <row r="16" spans="1:9" x14ac:dyDescent="0.25">
      <c r="A16" s="115"/>
      <c r="B16" s="115"/>
      <c r="C16" s="115"/>
      <c r="D16" s="115"/>
      <c r="E16" s="115"/>
      <c r="F16" s="115"/>
      <c r="G16" s="115"/>
      <c r="H16" s="115"/>
      <c r="I16" s="115"/>
    </row>
    <row r="17" spans="1:9" x14ac:dyDescent="0.25">
      <c r="A17" s="115"/>
      <c r="B17" s="115"/>
      <c r="C17" s="115"/>
      <c r="D17" s="115"/>
      <c r="E17" s="115"/>
      <c r="F17" s="115"/>
      <c r="G17" s="115"/>
      <c r="H17" s="115"/>
      <c r="I17" s="115"/>
    </row>
    <row r="18" spans="1:9" s="10" customFormat="1" ht="12.75" x14ac:dyDescent="0.25">
      <c r="A18" s="115" t="s">
        <v>338</v>
      </c>
      <c r="B18" s="115"/>
      <c r="C18" s="115"/>
      <c r="D18" s="115"/>
      <c r="E18" s="115"/>
      <c r="F18" s="115"/>
      <c r="G18" s="115"/>
      <c r="H18" s="115"/>
      <c r="I18" s="115"/>
    </row>
    <row r="19" spans="1:9" s="10" customFormat="1" ht="12.75" x14ac:dyDescent="0.25">
      <c r="A19" s="116" t="s">
        <v>10</v>
      </c>
      <c r="B19" s="116"/>
      <c r="C19" s="116"/>
      <c r="D19" s="116"/>
      <c r="E19" s="116"/>
      <c r="F19" s="116"/>
      <c r="G19" s="116"/>
      <c r="H19" s="116"/>
      <c r="I19" s="116"/>
    </row>
    <row r="20" spans="1:9" s="10" customFormat="1" ht="12.75" x14ac:dyDescent="0.25">
      <c r="A20" s="108" t="s">
        <v>420</v>
      </c>
      <c r="B20" s="108"/>
      <c r="C20" s="108"/>
      <c r="D20" s="108"/>
      <c r="E20" s="108"/>
      <c r="F20" s="108"/>
      <c r="G20" s="108"/>
      <c r="H20" s="108"/>
      <c r="I20" s="108"/>
    </row>
    <row r="21" spans="1:9" s="10" customFormat="1" ht="12.75" x14ac:dyDescent="0.25">
      <c r="A21" s="109"/>
      <c r="B21" s="109"/>
      <c r="C21" s="109"/>
      <c r="D21" s="109"/>
      <c r="E21" s="109"/>
      <c r="F21" s="109"/>
      <c r="G21" s="109"/>
      <c r="H21" s="109"/>
      <c r="I21" s="109"/>
    </row>
    <row r="22" spans="1:9" s="10" customFormat="1" ht="12.75" x14ac:dyDescent="0.25">
      <c r="A22" s="110" t="s">
        <v>421</v>
      </c>
      <c r="B22" s="110"/>
      <c r="C22" s="110"/>
      <c r="D22" s="110"/>
      <c r="E22" s="110"/>
      <c r="F22" s="110"/>
      <c r="G22" s="110"/>
      <c r="H22" s="110"/>
      <c r="I22" s="110"/>
    </row>
  </sheetData>
  <mergeCells count="20">
    <mergeCell ref="A7:I7"/>
    <mergeCell ref="A14:I14"/>
    <mergeCell ref="A15:I15"/>
    <mergeCell ref="A8:B8"/>
    <mergeCell ref="A9:I9"/>
    <mergeCell ref="A5:I5"/>
    <mergeCell ref="A6:I6"/>
    <mergeCell ref="A1:I1"/>
    <mergeCell ref="A2:I2"/>
    <mergeCell ref="A3:I3"/>
    <mergeCell ref="A4:I4"/>
    <mergeCell ref="A20:I20"/>
    <mergeCell ref="A21:I21"/>
    <mergeCell ref="A22:I22"/>
    <mergeCell ref="A12:B12"/>
    <mergeCell ref="A13:B13"/>
    <mergeCell ref="A16:I16"/>
    <mergeCell ref="A17:I17"/>
    <mergeCell ref="A18:I18"/>
    <mergeCell ref="A19:I19"/>
  </mergeCells>
  <pageMargins left="0.7" right="0.7" top="0.75" bottom="0.75" header="0.3" footer="0.3"/>
  <pageSetup paperSize="9" scale="8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2"/>
  <sheetViews>
    <sheetView zoomScale="90" zoomScaleNormal="90" workbookViewId="0">
      <selection activeCell="E40" sqref="E40"/>
    </sheetView>
  </sheetViews>
  <sheetFormatPr baseColWidth="10" defaultRowHeight="15" x14ac:dyDescent="0.25"/>
  <cols>
    <col min="1" max="1" width="18.42578125" style="3" bestFit="1" customWidth="1"/>
    <col min="2" max="2" width="39.85546875" style="3" bestFit="1" customWidth="1"/>
    <col min="3" max="5" width="19.140625" style="3" bestFit="1" customWidth="1"/>
    <col min="6" max="8" width="19.140625" style="3" customWidth="1"/>
    <col min="9" max="9" width="17.42578125" style="3" bestFit="1" customWidth="1"/>
    <col min="10" max="11" width="11.42578125" style="3"/>
    <col min="12" max="12" width="15.42578125" style="3" bestFit="1" customWidth="1"/>
    <col min="13" max="16384" width="11.42578125" style="3"/>
  </cols>
  <sheetData>
    <row r="1" spans="1:9" ht="21" x14ac:dyDescent="0.25">
      <c r="A1" s="118" t="s">
        <v>339</v>
      </c>
      <c r="B1" s="118"/>
      <c r="C1" s="118"/>
      <c r="D1" s="118"/>
      <c r="E1" s="118"/>
      <c r="F1" s="118"/>
      <c r="G1" s="118"/>
      <c r="H1" s="118"/>
      <c r="I1" s="118"/>
    </row>
    <row r="2" spans="1:9" ht="15.75" x14ac:dyDescent="0.25">
      <c r="A2" s="119" t="s">
        <v>15</v>
      </c>
      <c r="B2" s="119"/>
      <c r="C2" s="119"/>
      <c r="D2" s="119"/>
      <c r="E2" s="119"/>
      <c r="F2" s="119"/>
      <c r="G2" s="119"/>
      <c r="H2" s="119"/>
      <c r="I2" s="119"/>
    </row>
    <row r="3" spans="1:9" ht="15.75" x14ac:dyDescent="0.25">
      <c r="A3" s="119"/>
      <c r="B3" s="119"/>
      <c r="C3" s="119"/>
      <c r="D3" s="119"/>
      <c r="E3" s="119"/>
      <c r="F3" s="119"/>
      <c r="G3" s="119"/>
      <c r="H3" s="119"/>
      <c r="I3" s="119"/>
    </row>
    <row r="4" spans="1:9" x14ac:dyDescent="0.25">
      <c r="A4" s="117" t="s">
        <v>16</v>
      </c>
      <c r="B4" s="117"/>
      <c r="C4" s="117"/>
      <c r="D4" s="117"/>
      <c r="E4" s="117"/>
      <c r="F4" s="117"/>
      <c r="G4" s="117"/>
      <c r="H4" s="117"/>
      <c r="I4" s="117"/>
    </row>
    <row r="5" spans="1:9" x14ac:dyDescent="0.25">
      <c r="A5" s="117" t="s">
        <v>17</v>
      </c>
      <c r="B5" s="117"/>
      <c r="C5" s="117"/>
      <c r="D5" s="117"/>
      <c r="E5" s="117"/>
      <c r="F5" s="117"/>
      <c r="G5" s="117"/>
      <c r="H5" s="117"/>
      <c r="I5" s="117"/>
    </row>
    <row r="6" spans="1:9" ht="16.5" thickBot="1" x14ac:dyDescent="0.3">
      <c r="A6" s="120"/>
      <c r="B6" s="120"/>
      <c r="C6" s="120"/>
      <c r="D6" s="120"/>
      <c r="E6" s="120"/>
      <c r="F6" s="120"/>
      <c r="G6" s="120"/>
      <c r="H6" s="120"/>
      <c r="I6" s="120"/>
    </row>
    <row r="7" spans="1:9" ht="39" thickBot="1" x14ac:dyDescent="0.3">
      <c r="A7" s="24" t="s">
        <v>18</v>
      </c>
      <c r="B7" s="24" t="s">
        <v>19</v>
      </c>
      <c r="C7" s="25" t="s">
        <v>39</v>
      </c>
      <c r="D7" s="25" t="s">
        <v>40</v>
      </c>
      <c r="E7" s="25" t="s">
        <v>41</v>
      </c>
      <c r="F7" s="25" t="s">
        <v>422</v>
      </c>
      <c r="G7" s="25" t="s">
        <v>423</v>
      </c>
      <c r="H7" s="25" t="s">
        <v>424</v>
      </c>
      <c r="I7" s="25" t="s">
        <v>4</v>
      </c>
    </row>
    <row r="8" spans="1:9" ht="15.75" thickBot="1" x14ac:dyDescent="0.3">
      <c r="A8" s="123" t="s">
        <v>20</v>
      </c>
      <c r="B8" s="123"/>
      <c r="C8" s="123"/>
      <c r="D8" s="123"/>
      <c r="E8" s="123"/>
      <c r="F8" s="123"/>
      <c r="G8" s="123"/>
      <c r="H8" s="123"/>
      <c r="I8" s="123"/>
    </row>
    <row r="9" spans="1:9" ht="15.75" thickBot="1" x14ac:dyDescent="0.3">
      <c r="A9" s="4">
        <v>7101</v>
      </c>
      <c r="B9" s="5" t="s">
        <v>21</v>
      </c>
      <c r="C9" s="11"/>
      <c r="D9" s="11"/>
      <c r="E9" s="11"/>
      <c r="F9" s="11"/>
      <c r="G9" s="11"/>
      <c r="H9" s="11"/>
      <c r="I9" s="12"/>
    </row>
    <row r="10" spans="1:9" ht="15.75" thickBot="1" x14ac:dyDescent="0.3">
      <c r="A10" s="13">
        <v>710106</v>
      </c>
      <c r="B10" s="14" t="s">
        <v>22</v>
      </c>
      <c r="C10" s="15">
        <v>1580916.12</v>
      </c>
      <c r="D10" s="15">
        <v>1567033.32</v>
      </c>
      <c r="E10" s="15">
        <v>1673589.24</v>
      </c>
      <c r="F10" s="15">
        <v>1766386.44</v>
      </c>
      <c r="G10" s="15">
        <v>1752619.8</v>
      </c>
      <c r="H10" s="15">
        <v>1718996.88</v>
      </c>
      <c r="I10" s="16"/>
    </row>
    <row r="11" spans="1:9" ht="15.75" thickBot="1" x14ac:dyDescent="0.3">
      <c r="A11" s="4">
        <v>7102</v>
      </c>
      <c r="B11" s="5" t="s">
        <v>23</v>
      </c>
      <c r="C11" s="17"/>
      <c r="D11" s="17"/>
      <c r="E11" s="17"/>
      <c r="F11" s="17"/>
      <c r="G11" s="17"/>
      <c r="H11" s="17"/>
      <c r="I11" s="18"/>
    </row>
    <row r="12" spans="1:9" ht="15.75" thickBot="1" x14ac:dyDescent="0.3">
      <c r="A12" s="13">
        <v>710203</v>
      </c>
      <c r="B12" s="14" t="s">
        <v>24</v>
      </c>
      <c r="C12" s="15">
        <f>+(C10/C31)*12</f>
        <v>87828.67333333334</v>
      </c>
      <c r="D12" s="15">
        <f t="shared" ref="D12:H12" si="0">+(D10/D31)*12</f>
        <v>88283.567323943658</v>
      </c>
      <c r="E12" s="15">
        <f t="shared" si="0"/>
        <v>88083.644210526312</v>
      </c>
      <c r="F12" s="15">
        <f t="shared" si="0"/>
        <v>88319.321999999986</v>
      </c>
      <c r="G12" s="15">
        <f t="shared" si="0"/>
        <v>88367.384873949588</v>
      </c>
      <c r="H12" s="15">
        <f t="shared" si="0"/>
        <v>87778.56408510638</v>
      </c>
      <c r="I12" s="16"/>
    </row>
    <row r="13" spans="1:9" ht="15.75" thickBot="1" x14ac:dyDescent="0.3">
      <c r="A13" s="13">
        <v>710204</v>
      </c>
      <c r="B13" s="14" t="s">
        <v>25</v>
      </c>
      <c r="C13" s="15">
        <f>340*C31</f>
        <v>73440</v>
      </c>
      <c r="D13" s="15">
        <f>354*D31</f>
        <v>75402</v>
      </c>
      <c r="E13" s="15">
        <f>366*E31</f>
        <v>83448</v>
      </c>
      <c r="F13" s="15">
        <f>375*F31</f>
        <v>90000</v>
      </c>
      <c r="G13" s="15">
        <f>386*G31</f>
        <v>91868</v>
      </c>
      <c r="H13" s="15">
        <f>394*H31</f>
        <v>92590</v>
      </c>
      <c r="I13" s="16"/>
    </row>
    <row r="14" spans="1:9" ht="15.75" thickBot="1" x14ac:dyDescent="0.3">
      <c r="A14" s="4">
        <v>7103</v>
      </c>
      <c r="B14" s="5" t="s">
        <v>26</v>
      </c>
      <c r="C14" s="15"/>
      <c r="D14" s="15"/>
      <c r="E14" s="15"/>
      <c r="F14" s="15"/>
      <c r="G14" s="15"/>
      <c r="H14" s="15"/>
      <c r="I14" s="16"/>
    </row>
    <row r="15" spans="1:9" ht="15.75" thickBot="1" x14ac:dyDescent="0.3">
      <c r="A15" s="13">
        <v>710304</v>
      </c>
      <c r="B15" s="14" t="s">
        <v>27</v>
      </c>
      <c r="C15" s="15">
        <v>24792</v>
      </c>
      <c r="D15" s="15">
        <v>24665</v>
      </c>
      <c r="E15" s="15">
        <v>25362.5</v>
      </c>
      <c r="F15" s="15">
        <v>26445.5</v>
      </c>
      <c r="G15" s="15">
        <v>26470.5</v>
      </c>
      <c r="H15" s="15">
        <v>30855</v>
      </c>
      <c r="I15" s="16"/>
    </row>
    <row r="16" spans="1:9" ht="15.75" thickBot="1" x14ac:dyDescent="0.3">
      <c r="A16" s="13">
        <v>710307</v>
      </c>
      <c r="B16" s="14" t="s">
        <v>334</v>
      </c>
      <c r="C16" s="15">
        <v>198336</v>
      </c>
      <c r="D16" s="15">
        <v>197320</v>
      </c>
      <c r="E16" s="15">
        <v>202900</v>
      </c>
      <c r="F16" s="15">
        <v>211564</v>
      </c>
      <c r="G16" s="15">
        <v>213924</v>
      </c>
      <c r="H16" s="15">
        <v>246840</v>
      </c>
      <c r="I16" s="16"/>
    </row>
    <row r="17" spans="1:9" ht="15.75" thickBot="1" x14ac:dyDescent="0.3">
      <c r="A17" s="4">
        <v>7104</v>
      </c>
      <c r="B17" s="5" t="s">
        <v>28</v>
      </c>
      <c r="C17" s="15"/>
      <c r="D17" s="15"/>
      <c r="E17" s="15"/>
      <c r="F17" s="15"/>
      <c r="G17" s="15"/>
      <c r="H17" s="15"/>
      <c r="I17" s="16"/>
    </row>
    <row r="18" spans="1:9" ht="15.75" thickBot="1" x14ac:dyDescent="0.3">
      <c r="A18" s="13">
        <v>710401</v>
      </c>
      <c r="B18" s="14" t="s">
        <v>29</v>
      </c>
      <c r="C18" s="15">
        <v>9274.75</v>
      </c>
      <c r="D18" s="15">
        <v>9258.49</v>
      </c>
      <c r="E18" s="15">
        <v>10811.64</v>
      </c>
      <c r="F18" s="15">
        <v>11186.43</v>
      </c>
      <c r="G18" s="15">
        <v>11282.78</v>
      </c>
      <c r="H18" s="15">
        <v>11173.84</v>
      </c>
      <c r="I18" s="16"/>
    </row>
    <row r="19" spans="1:9" ht="15.75" thickBot="1" x14ac:dyDescent="0.3">
      <c r="A19" s="13">
        <v>710401</v>
      </c>
      <c r="B19" s="14" t="s">
        <v>30</v>
      </c>
      <c r="C19" s="15">
        <v>14670.37</v>
      </c>
      <c r="D19" s="15">
        <v>18348.32</v>
      </c>
      <c r="E19" s="15">
        <v>22366.63</v>
      </c>
      <c r="F19" s="15">
        <v>27864.59</v>
      </c>
      <c r="G19" s="15">
        <v>31746.47</v>
      </c>
      <c r="H19" s="15">
        <v>38498.22</v>
      </c>
      <c r="I19" s="16"/>
    </row>
    <row r="20" spans="1:9" ht="15.75" thickBot="1" x14ac:dyDescent="0.3">
      <c r="A20" s="4">
        <v>7106</v>
      </c>
      <c r="B20" s="5" t="s">
        <v>31</v>
      </c>
      <c r="C20" s="17"/>
      <c r="D20" s="17"/>
      <c r="E20" s="17"/>
      <c r="F20" s="17"/>
      <c r="G20" s="17"/>
      <c r="H20" s="17"/>
      <c r="I20" s="18"/>
    </row>
    <row r="21" spans="1:9" ht="15.75" thickBot="1" x14ac:dyDescent="0.3">
      <c r="A21" s="19" t="s">
        <v>32</v>
      </c>
      <c r="B21" s="14" t="s">
        <v>33</v>
      </c>
      <c r="C21" s="15">
        <f>ROUND(C10*12.15%,2)</f>
        <v>192081.31</v>
      </c>
      <c r="D21" s="15">
        <f t="shared" ref="D21:H21" si="1">ROUND(D10*12.15%,2)</f>
        <v>190394.55</v>
      </c>
      <c r="E21" s="15">
        <f t="shared" si="1"/>
        <v>203341.09</v>
      </c>
      <c r="F21" s="15">
        <f t="shared" si="1"/>
        <v>214615.95</v>
      </c>
      <c r="G21" s="15">
        <f t="shared" si="1"/>
        <v>212943.31</v>
      </c>
      <c r="H21" s="15">
        <f t="shared" si="1"/>
        <v>208858.12</v>
      </c>
      <c r="I21" s="16"/>
    </row>
    <row r="22" spans="1:9" ht="15.75" thickBot="1" x14ac:dyDescent="0.3">
      <c r="A22" s="19" t="s">
        <v>34</v>
      </c>
      <c r="B22" s="14" t="s">
        <v>35</v>
      </c>
      <c r="C22" s="15">
        <f>ROUND(C10*8.33%,2)</f>
        <v>131690.31</v>
      </c>
      <c r="D22" s="15">
        <f t="shared" ref="D22:H22" si="2">ROUND(D10*8.33%,2)</f>
        <v>130533.88</v>
      </c>
      <c r="E22" s="15">
        <f t="shared" si="2"/>
        <v>139409.98000000001</v>
      </c>
      <c r="F22" s="15">
        <f t="shared" si="2"/>
        <v>147139.99</v>
      </c>
      <c r="G22" s="15">
        <f t="shared" si="2"/>
        <v>145993.23000000001</v>
      </c>
      <c r="H22" s="15">
        <f t="shared" si="2"/>
        <v>143192.44</v>
      </c>
      <c r="I22" s="16"/>
    </row>
    <row r="23" spans="1:9" ht="15.75" thickBot="1" x14ac:dyDescent="0.3">
      <c r="A23" s="19" t="s">
        <v>36</v>
      </c>
      <c r="B23" s="14" t="s">
        <v>37</v>
      </c>
      <c r="C23" s="15">
        <v>247746.67</v>
      </c>
      <c r="D23" s="15">
        <v>283639.82</v>
      </c>
      <c r="E23" s="15">
        <v>281538.82</v>
      </c>
      <c r="F23" s="15">
        <v>271965.82</v>
      </c>
      <c r="G23" s="15">
        <v>265160.17</v>
      </c>
      <c r="H23" s="15">
        <v>254961.71</v>
      </c>
      <c r="I23" s="16"/>
    </row>
    <row r="24" spans="1:9" ht="15.75" thickBot="1" x14ac:dyDescent="0.3">
      <c r="A24" s="4">
        <v>7307</v>
      </c>
      <c r="B24" s="5" t="s">
        <v>429</v>
      </c>
      <c r="C24" s="17"/>
      <c r="D24" s="17"/>
      <c r="E24" s="17"/>
      <c r="F24" s="17"/>
      <c r="G24" s="17"/>
      <c r="H24" s="17"/>
      <c r="I24" s="18"/>
    </row>
    <row r="25" spans="1:9" ht="15.75" thickBot="1" x14ac:dyDescent="0.3">
      <c r="A25" s="19">
        <v>710706</v>
      </c>
      <c r="B25" s="14" t="s">
        <v>428</v>
      </c>
      <c r="C25" s="17"/>
      <c r="D25" s="17"/>
      <c r="E25" s="17"/>
      <c r="F25" s="17"/>
      <c r="G25" s="17">
        <v>55348.56</v>
      </c>
      <c r="H25" s="17">
        <v>162521.24</v>
      </c>
      <c r="I25" s="18"/>
    </row>
    <row r="26" spans="1:9" ht="15.75" thickBot="1" x14ac:dyDescent="0.3">
      <c r="A26" s="4">
        <v>7308</v>
      </c>
      <c r="B26" s="5" t="s">
        <v>430</v>
      </c>
      <c r="C26" s="17"/>
      <c r="D26" s="17"/>
      <c r="E26" s="17"/>
      <c r="F26" s="17"/>
      <c r="G26" s="17"/>
      <c r="H26" s="17"/>
      <c r="I26" s="18"/>
    </row>
    <row r="27" spans="1:9" ht="15.75" thickBot="1" x14ac:dyDescent="0.3">
      <c r="A27" s="13">
        <v>730802</v>
      </c>
      <c r="B27" s="14" t="s">
        <v>38</v>
      </c>
      <c r="C27" s="17">
        <v>90050.91</v>
      </c>
      <c r="D27" s="17">
        <v>157810.01999999999</v>
      </c>
      <c r="E27" s="17">
        <v>9894.19</v>
      </c>
      <c r="F27" s="17">
        <v>74865.34</v>
      </c>
      <c r="G27" s="17">
        <v>0</v>
      </c>
      <c r="H27" s="17">
        <v>90000</v>
      </c>
      <c r="I27" s="20"/>
    </row>
    <row r="28" spans="1:9" s="9" customFormat="1" ht="15.75" thickBot="1" x14ac:dyDescent="0.3">
      <c r="A28" s="111" t="s">
        <v>8</v>
      </c>
      <c r="B28" s="112"/>
      <c r="C28" s="29">
        <f>SUM(C10:C27)</f>
        <v>2650827.1133333337</v>
      </c>
      <c r="D28" s="29">
        <f t="shared" ref="D28:H28" si="3">SUM(D10:D27)</f>
        <v>2742688.9673239435</v>
      </c>
      <c r="E28" s="29">
        <f t="shared" si="3"/>
        <v>2740745.7342105256</v>
      </c>
      <c r="F28" s="29">
        <f t="shared" si="3"/>
        <v>2930353.3819999998</v>
      </c>
      <c r="G28" s="29">
        <f t="shared" si="3"/>
        <v>2895724.2048739498</v>
      </c>
      <c r="H28" s="29">
        <f t="shared" si="3"/>
        <v>3086266.0140851066</v>
      </c>
      <c r="I28" s="30"/>
    </row>
    <row r="29" spans="1:9" s="9" customFormat="1" ht="15.75" thickBot="1" x14ac:dyDescent="0.3">
      <c r="A29" s="125" t="s">
        <v>9</v>
      </c>
      <c r="B29" s="126"/>
      <c r="C29" s="26"/>
      <c r="D29" s="27">
        <v>3.4700000000000002E-2</v>
      </c>
      <c r="E29" s="27">
        <v>3.39E-2</v>
      </c>
      <c r="F29" s="27">
        <v>0.10539999999999999</v>
      </c>
      <c r="G29" s="27">
        <v>9.2399999999999996E-2</v>
      </c>
      <c r="H29" s="27">
        <v>0.1643</v>
      </c>
      <c r="I29" s="28"/>
    </row>
    <row r="30" spans="1:9" x14ac:dyDescent="0.25">
      <c r="A30" s="121"/>
      <c r="B30" s="121"/>
      <c r="C30" s="121"/>
      <c r="D30" s="121"/>
      <c r="E30" s="121"/>
      <c r="F30" s="121"/>
      <c r="G30" s="121"/>
      <c r="H30" s="121"/>
      <c r="I30" s="121"/>
    </row>
    <row r="31" spans="1:9" x14ac:dyDescent="0.25">
      <c r="A31" s="95"/>
      <c r="B31" s="95"/>
      <c r="C31" s="97">
        <f>248-32</f>
        <v>216</v>
      </c>
      <c r="D31" s="97">
        <f>248-35</f>
        <v>213</v>
      </c>
      <c r="E31" s="97">
        <f>248-20</f>
        <v>228</v>
      </c>
      <c r="F31" s="97">
        <f>248-8</f>
        <v>240</v>
      </c>
      <c r="G31" s="97">
        <f>248-10</f>
        <v>238</v>
      </c>
      <c r="H31" s="97">
        <f>248-13</f>
        <v>235</v>
      </c>
      <c r="I31" s="95"/>
    </row>
    <row r="32" spans="1:9" x14ac:dyDescent="0.25">
      <c r="A32" s="115"/>
      <c r="B32" s="115"/>
      <c r="C32" s="115"/>
      <c r="D32" s="115"/>
      <c r="E32" s="115"/>
      <c r="F32" s="115"/>
      <c r="G32" s="115"/>
      <c r="H32" s="115"/>
      <c r="I32" s="115"/>
    </row>
    <row r="33" spans="1:12" x14ac:dyDescent="0.25">
      <c r="A33" s="115"/>
      <c r="B33" s="115"/>
      <c r="C33" s="115"/>
      <c r="D33" s="115"/>
      <c r="E33" s="115"/>
      <c r="F33" s="115"/>
      <c r="G33" s="115"/>
      <c r="H33" s="115"/>
      <c r="I33" s="115"/>
    </row>
    <row r="34" spans="1:12" x14ac:dyDescent="0.25">
      <c r="A34" s="115"/>
      <c r="B34" s="115"/>
      <c r="C34" s="115"/>
      <c r="D34" s="115"/>
      <c r="E34" s="115"/>
      <c r="F34" s="115"/>
      <c r="G34" s="115"/>
      <c r="H34" s="115"/>
      <c r="I34" s="115"/>
    </row>
    <row r="35" spans="1:12" s="10" customFormat="1" ht="12.75" x14ac:dyDescent="0.25">
      <c r="A35" s="115" t="s">
        <v>337</v>
      </c>
      <c r="B35" s="115"/>
      <c r="C35" s="115"/>
      <c r="D35" s="115"/>
      <c r="E35" s="115"/>
      <c r="F35" s="115"/>
      <c r="G35" s="115"/>
      <c r="H35" s="115"/>
      <c r="I35" s="115"/>
    </row>
    <row r="36" spans="1:12" s="10" customFormat="1" ht="12.75" x14ac:dyDescent="0.25">
      <c r="A36" s="116" t="s">
        <v>10</v>
      </c>
      <c r="B36" s="116"/>
      <c r="C36" s="116"/>
      <c r="D36" s="116"/>
      <c r="E36" s="116"/>
      <c r="F36" s="116"/>
      <c r="G36" s="116"/>
      <c r="H36" s="116"/>
      <c r="I36" s="116"/>
    </row>
    <row r="37" spans="1:12" s="10" customFormat="1" ht="12.75" x14ac:dyDescent="0.25">
      <c r="A37" s="108" t="s">
        <v>420</v>
      </c>
      <c r="B37" s="108"/>
      <c r="C37" s="108"/>
      <c r="D37" s="108"/>
      <c r="E37" s="108"/>
      <c r="F37" s="108"/>
      <c r="G37" s="108"/>
      <c r="H37" s="108"/>
      <c r="I37" s="108"/>
    </row>
    <row r="38" spans="1:12" s="10" customFormat="1" ht="12.75" x14ac:dyDescent="0.25">
      <c r="A38" s="124"/>
      <c r="B38" s="124"/>
      <c r="C38" s="124"/>
      <c r="D38" s="124"/>
      <c r="E38" s="124"/>
      <c r="F38" s="124"/>
      <c r="G38" s="124"/>
      <c r="H38" s="124"/>
      <c r="I38" s="124"/>
    </row>
    <row r="39" spans="1:12" s="10" customFormat="1" ht="12.75" x14ac:dyDescent="0.25">
      <c r="A39" s="110" t="s">
        <v>421</v>
      </c>
      <c r="B39" s="110"/>
      <c r="C39" s="110"/>
      <c r="D39" s="110"/>
      <c r="E39" s="110"/>
      <c r="F39" s="110"/>
      <c r="G39" s="110"/>
      <c r="H39" s="110"/>
      <c r="I39" s="110"/>
    </row>
    <row r="40" spans="1:12" x14ac:dyDescent="0.25">
      <c r="D40" s="98"/>
      <c r="E40" s="98"/>
      <c r="F40" s="98"/>
      <c r="G40" s="98"/>
      <c r="H40" s="98"/>
      <c r="I40" s="98"/>
      <c r="J40" s="102"/>
      <c r="K40" s="100"/>
      <c r="L40" s="101"/>
    </row>
    <row r="41" spans="1:12" x14ac:dyDescent="0.25">
      <c r="D41" s="103"/>
      <c r="E41" s="103"/>
      <c r="F41" s="103"/>
      <c r="G41" s="103"/>
      <c r="H41" s="103"/>
      <c r="I41" s="98"/>
    </row>
    <row r="42" spans="1:12" x14ac:dyDescent="0.25">
      <c r="L42" s="99"/>
    </row>
  </sheetData>
  <mergeCells count="18">
    <mergeCell ref="A1:I1"/>
    <mergeCell ref="A2:I2"/>
    <mergeCell ref="A4:I4"/>
    <mergeCell ref="A5:I5"/>
    <mergeCell ref="A8:I8"/>
    <mergeCell ref="A39:I39"/>
    <mergeCell ref="A38:I38"/>
    <mergeCell ref="A33:I33"/>
    <mergeCell ref="A3:I3"/>
    <mergeCell ref="A6:I6"/>
    <mergeCell ref="A28:B28"/>
    <mergeCell ref="A29:B29"/>
    <mergeCell ref="A30:I30"/>
    <mergeCell ref="A32:I32"/>
    <mergeCell ref="A34:I34"/>
    <mergeCell ref="A35:I35"/>
    <mergeCell ref="A36:I36"/>
    <mergeCell ref="A37:I37"/>
  </mergeCells>
  <pageMargins left="0.7" right="0.7" top="0.75" bottom="0.75" header="0.3" footer="0.3"/>
  <pageSetup scale="6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M268"/>
  <sheetViews>
    <sheetView topLeftCell="A65" zoomScaleNormal="100" workbookViewId="0">
      <selection activeCell="E53" sqref="E53"/>
    </sheetView>
  </sheetViews>
  <sheetFormatPr baseColWidth="10" defaultRowHeight="15" x14ac:dyDescent="0.25"/>
  <cols>
    <col min="1" max="1" width="11.28515625" style="32" bestFit="1" customWidth="1"/>
    <col min="2" max="2" width="41" style="32" bestFit="1" customWidth="1"/>
    <col min="3" max="3" width="7" style="32" customWidth="1"/>
    <col min="4" max="4" width="10" style="32" bestFit="1" customWidth="1"/>
    <col min="5" max="5" width="45.42578125" style="32" bestFit="1" customWidth="1"/>
    <col min="6" max="6" width="15.5703125" style="32" customWidth="1"/>
    <col min="7" max="11" width="14.7109375" style="32" customWidth="1"/>
    <col min="12" max="12" width="10.5703125" style="32" bestFit="1" customWidth="1"/>
    <col min="13" max="13" width="42.7109375" style="32" customWidth="1"/>
    <col min="14" max="16384" width="11.42578125" style="32"/>
  </cols>
  <sheetData>
    <row r="1" spans="1:13" ht="21" x14ac:dyDescent="0.25">
      <c r="A1" s="128" t="s">
        <v>339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</row>
    <row r="2" spans="1:13" ht="15.75" x14ac:dyDescent="0.25">
      <c r="A2" s="129" t="s">
        <v>340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</row>
    <row r="3" spans="1:13" ht="15.75" x14ac:dyDescent="0.25">
      <c r="A3" s="129" t="s">
        <v>42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</row>
    <row r="4" spans="1:13" ht="15.75" x14ac:dyDescent="0.25">
      <c r="A4" s="129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</row>
    <row r="5" spans="1:13" x14ac:dyDescent="0.25">
      <c r="A5" s="130" t="s">
        <v>43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</row>
    <row r="6" spans="1:13" x14ac:dyDescent="0.25">
      <c r="A6" s="130" t="s">
        <v>44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</row>
    <row r="7" spans="1:13" ht="16.5" thickBot="1" x14ac:dyDescent="0.3">
      <c r="A7" s="131"/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</row>
    <row r="8" spans="1:13" ht="102" customHeight="1" thickBot="1" x14ac:dyDescent="0.3">
      <c r="A8" s="31" t="s">
        <v>45</v>
      </c>
      <c r="B8" s="31" t="s">
        <v>46</v>
      </c>
      <c r="C8" s="31" t="s">
        <v>47</v>
      </c>
      <c r="D8" s="31" t="s">
        <v>48</v>
      </c>
      <c r="E8" s="31" t="s">
        <v>49</v>
      </c>
      <c r="F8" s="31" t="s">
        <v>50</v>
      </c>
      <c r="G8" s="31" t="s">
        <v>431</v>
      </c>
      <c r="H8" s="31" t="s">
        <v>432</v>
      </c>
      <c r="I8" s="31" t="s">
        <v>433</v>
      </c>
      <c r="J8" s="31" t="s">
        <v>434</v>
      </c>
      <c r="K8" s="31" t="s">
        <v>419</v>
      </c>
      <c r="L8" s="31" t="s">
        <v>51</v>
      </c>
      <c r="M8" s="31" t="s">
        <v>52</v>
      </c>
    </row>
    <row r="9" spans="1:13" ht="31.5" customHeight="1" thickBot="1" x14ac:dyDescent="0.3">
      <c r="A9" s="62">
        <v>1712052750</v>
      </c>
      <c r="B9" s="63" t="s">
        <v>53</v>
      </c>
      <c r="C9" s="64">
        <v>1</v>
      </c>
      <c r="D9" s="65">
        <v>1</v>
      </c>
      <c r="E9" s="66" t="s">
        <v>54</v>
      </c>
      <c r="F9" s="67">
        <v>565.22</v>
      </c>
      <c r="G9" s="68">
        <v>565.22</v>
      </c>
      <c r="H9" s="68">
        <v>565.22</v>
      </c>
      <c r="I9" s="68">
        <v>565.22</v>
      </c>
      <c r="J9" s="68">
        <v>565.22</v>
      </c>
      <c r="K9" s="68">
        <v>565.22</v>
      </c>
      <c r="L9" s="69">
        <v>40709</v>
      </c>
      <c r="M9" s="70" t="s">
        <v>435</v>
      </c>
    </row>
    <row r="10" spans="1:13" ht="31.5" customHeight="1" thickBot="1" x14ac:dyDescent="0.3">
      <c r="A10" s="62">
        <v>1103496830</v>
      </c>
      <c r="B10" s="63" t="s">
        <v>55</v>
      </c>
      <c r="C10" s="64">
        <f>C9+1</f>
        <v>2</v>
      </c>
      <c r="D10" s="71">
        <v>6</v>
      </c>
      <c r="E10" s="66" t="s">
        <v>436</v>
      </c>
      <c r="F10" s="67">
        <v>822.37</v>
      </c>
      <c r="G10" s="68">
        <v>822.37</v>
      </c>
      <c r="H10" s="68">
        <v>822.37</v>
      </c>
      <c r="I10" s="68">
        <v>822.37</v>
      </c>
      <c r="J10" s="68">
        <v>822.37</v>
      </c>
      <c r="K10" s="68">
        <v>822.37</v>
      </c>
      <c r="L10" s="69">
        <v>36601</v>
      </c>
      <c r="M10" s="70" t="s">
        <v>56</v>
      </c>
    </row>
    <row r="11" spans="1:13" ht="31.5" customHeight="1" thickBot="1" x14ac:dyDescent="0.3">
      <c r="A11" s="62">
        <v>1102409560</v>
      </c>
      <c r="B11" s="63" t="s">
        <v>57</v>
      </c>
      <c r="C11" s="64">
        <f t="shared" ref="C11:C74" si="0">C10+1</f>
        <v>3</v>
      </c>
      <c r="D11" s="65">
        <v>1</v>
      </c>
      <c r="E11" s="66" t="s">
        <v>54</v>
      </c>
      <c r="F11" s="67">
        <v>565.22</v>
      </c>
      <c r="G11" s="68">
        <v>565.22</v>
      </c>
      <c r="H11" s="68">
        <v>565.22</v>
      </c>
      <c r="I11" s="68">
        <v>565.22</v>
      </c>
      <c r="J11" s="68">
        <v>565.22</v>
      </c>
      <c r="K11" s="68">
        <v>565.22</v>
      </c>
      <c r="L11" s="69">
        <v>40544</v>
      </c>
      <c r="M11" s="70" t="s">
        <v>56</v>
      </c>
    </row>
    <row r="12" spans="1:13" ht="31.5" customHeight="1" thickBot="1" x14ac:dyDescent="0.3">
      <c r="A12" s="62">
        <v>1102809330</v>
      </c>
      <c r="B12" s="63" t="s">
        <v>58</v>
      </c>
      <c r="C12" s="64">
        <f t="shared" si="0"/>
        <v>4</v>
      </c>
      <c r="D12" s="65">
        <v>2</v>
      </c>
      <c r="E12" s="66" t="s">
        <v>59</v>
      </c>
      <c r="F12" s="67">
        <v>581.22</v>
      </c>
      <c r="G12" s="68">
        <v>581.22</v>
      </c>
      <c r="H12" s="68">
        <v>581.22</v>
      </c>
      <c r="I12" s="68">
        <v>581.22</v>
      </c>
      <c r="J12" s="68">
        <v>581.22</v>
      </c>
      <c r="K12" s="68">
        <v>581.22</v>
      </c>
      <c r="L12" s="69">
        <v>40544</v>
      </c>
      <c r="M12" s="70" t="s">
        <v>60</v>
      </c>
    </row>
    <row r="13" spans="1:13" ht="31.5" customHeight="1" thickBot="1" x14ac:dyDescent="0.3">
      <c r="A13" s="62">
        <v>1100414141</v>
      </c>
      <c r="B13" s="63" t="s">
        <v>61</v>
      </c>
      <c r="C13" s="64">
        <f t="shared" si="0"/>
        <v>5</v>
      </c>
      <c r="D13" s="65">
        <v>2</v>
      </c>
      <c r="E13" s="66" t="s">
        <v>59</v>
      </c>
      <c r="F13" s="67">
        <v>581.22</v>
      </c>
      <c r="G13" s="68">
        <v>581.22</v>
      </c>
      <c r="H13" s="68">
        <v>581.22</v>
      </c>
      <c r="I13" s="68">
        <v>581.22</v>
      </c>
      <c r="J13" s="68">
        <v>581.22</v>
      </c>
      <c r="K13" s="68">
        <v>581.22</v>
      </c>
      <c r="L13" s="69">
        <v>40544</v>
      </c>
      <c r="M13" s="70" t="s">
        <v>60</v>
      </c>
    </row>
    <row r="14" spans="1:13" ht="31.5" customHeight="1" thickBot="1" x14ac:dyDescent="0.3">
      <c r="A14" s="62">
        <v>1104542905</v>
      </c>
      <c r="B14" s="63" t="s">
        <v>62</v>
      </c>
      <c r="C14" s="64">
        <f t="shared" si="0"/>
        <v>6</v>
      </c>
      <c r="D14" s="65">
        <v>1</v>
      </c>
      <c r="E14" s="66" t="s">
        <v>54</v>
      </c>
      <c r="F14" s="67">
        <v>565.22</v>
      </c>
      <c r="G14" s="68">
        <v>565.22</v>
      </c>
      <c r="H14" s="68">
        <v>565.22</v>
      </c>
      <c r="I14" s="68">
        <v>565.22</v>
      </c>
      <c r="J14" s="68">
        <v>565.22</v>
      </c>
      <c r="K14" s="68">
        <v>565.22</v>
      </c>
      <c r="L14" s="69">
        <v>40544</v>
      </c>
      <c r="M14" s="70" t="s">
        <v>56</v>
      </c>
    </row>
    <row r="15" spans="1:13" ht="31.5" customHeight="1" thickBot="1" x14ac:dyDescent="0.3">
      <c r="A15" s="62">
        <v>1102900600</v>
      </c>
      <c r="B15" s="63" t="s">
        <v>63</v>
      </c>
      <c r="C15" s="64">
        <f t="shared" si="0"/>
        <v>7</v>
      </c>
      <c r="D15" s="65">
        <v>1</v>
      </c>
      <c r="E15" s="66" t="s">
        <v>64</v>
      </c>
      <c r="F15" s="67">
        <v>565.22</v>
      </c>
      <c r="G15" s="68">
        <v>565.22</v>
      </c>
      <c r="H15" s="68">
        <v>565.22</v>
      </c>
      <c r="I15" s="68">
        <v>565.22</v>
      </c>
      <c r="J15" s="68">
        <v>565.22</v>
      </c>
      <c r="K15" s="68">
        <v>565.22</v>
      </c>
      <c r="L15" s="69">
        <v>40544</v>
      </c>
      <c r="M15" s="70" t="s">
        <v>56</v>
      </c>
    </row>
    <row r="16" spans="1:13" ht="31.5" customHeight="1" thickBot="1" x14ac:dyDescent="0.3">
      <c r="A16" s="62">
        <v>1900350123</v>
      </c>
      <c r="B16" s="63" t="s">
        <v>65</v>
      </c>
      <c r="C16" s="64">
        <f t="shared" si="0"/>
        <v>8</v>
      </c>
      <c r="D16" s="65">
        <v>2</v>
      </c>
      <c r="E16" s="66" t="s">
        <v>59</v>
      </c>
      <c r="F16" s="67">
        <v>581.22</v>
      </c>
      <c r="G16" s="68">
        <v>581.22</v>
      </c>
      <c r="H16" s="68">
        <v>581.22</v>
      </c>
      <c r="I16" s="68">
        <v>581.22</v>
      </c>
      <c r="J16" s="68">
        <v>581.22</v>
      </c>
      <c r="K16" s="68">
        <v>581.22</v>
      </c>
      <c r="L16" s="69">
        <v>40544</v>
      </c>
      <c r="M16" s="70" t="s">
        <v>60</v>
      </c>
    </row>
    <row r="17" spans="1:13" ht="31.5" customHeight="1" thickBot="1" x14ac:dyDescent="0.3">
      <c r="A17" s="62">
        <v>1102749536</v>
      </c>
      <c r="B17" s="63" t="s">
        <v>437</v>
      </c>
      <c r="C17" s="64">
        <f t="shared" si="0"/>
        <v>9</v>
      </c>
      <c r="D17" s="65">
        <v>3</v>
      </c>
      <c r="E17" s="66" t="s">
        <v>66</v>
      </c>
      <c r="F17" s="67">
        <v>876</v>
      </c>
      <c r="G17" s="68">
        <v>876</v>
      </c>
      <c r="H17" s="68">
        <v>876</v>
      </c>
      <c r="I17" s="68">
        <v>876</v>
      </c>
      <c r="J17" s="68">
        <v>876</v>
      </c>
      <c r="K17" s="68">
        <v>876</v>
      </c>
      <c r="L17" s="69">
        <v>32807</v>
      </c>
      <c r="M17" s="70" t="s">
        <v>56</v>
      </c>
    </row>
    <row r="18" spans="1:13" ht="31.5" customHeight="1" thickBot="1" x14ac:dyDescent="0.3">
      <c r="A18" s="62">
        <v>1103297279</v>
      </c>
      <c r="B18" s="63" t="s">
        <v>67</v>
      </c>
      <c r="C18" s="64">
        <f t="shared" si="0"/>
        <v>10</v>
      </c>
      <c r="D18" s="65">
        <v>4</v>
      </c>
      <c r="E18" s="66" t="s">
        <v>68</v>
      </c>
      <c r="F18" s="67">
        <v>620.87</v>
      </c>
      <c r="G18" s="68">
        <v>620.87</v>
      </c>
      <c r="H18" s="68">
        <v>620.87</v>
      </c>
      <c r="I18" s="68">
        <v>620.87</v>
      </c>
      <c r="J18" s="68">
        <v>620.87</v>
      </c>
      <c r="K18" s="68">
        <v>620.87</v>
      </c>
      <c r="L18" s="69">
        <v>37347</v>
      </c>
      <c r="M18" s="70" t="s">
        <v>56</v>
      </c>
    </row>
    <row r="19" spans="1:13" ht="31.5" customHeight="1" thickBot="1" x14ac:dyDescent="0.3">
      <c r="A19" s="62">
        <v>1103949044</v>
      </c>
      <c r="B19" s="63" t="s">
        <v>69</v>
      </c>
      <c r="C19" s="64">
        <f t="shared" si="0"/>
        <v>11</v>
      </c>
      <c r="D19" s="65">
        <v>1</v>
      </c>
      <c r="E19" s="66" t="s">
        <v>70</v>
      </c>
      <c r="F19" s="67">
        <v>615.22</v>
      </c>
      <c r="G19" s="68">
        <v>615.22</v>
      </c>
      <c r="H19" s="68">
        <v>615.22</v>
      </c>
      <c r="I19" s="68">
        <v>615.22</v>
      </c>
      <c r="J19" s="68">
        <v>615.22</v>
      </c>
      <c r="K19" s="68">
        <v>615.22</v>
      </c>
      <c r="L19" s="69">
        <v>40544</v>
      </c>
      <c r="M19" s="70" t="s">
        <v>71</v>
      </c>
    </row>
    <row r="20" spans="1:13" ht="31.5" customHeight="1" thickBot="1" x14ac:dyDescent="0.3">
      <c r="A20" s="62">
        <v>1103530927</v>
      </c>
      <c r="B20" s="63" t="s">
        <v>72</v>
      </c>
      <c r="C20" s="64">
        <f t="shared" si="0"/>
        <v>12</v>
      </c>
      <c r="D20" s="65">
        <v>1</v>
      </c>
      <c r="E20" s="66" t="s">
        <v>73</v>
      </c>
      <c r="F20" s="67">
        <v>565.22</v>
      </c>
      <c r="G20" s="68">
        <v>565.22</v>
      </c>
      <c r="H20" s="68">
        <v>565.22</v>
      </c>
      <c r="I20" s="68">
        <v>565.22</v>
      </c>
      <c r="J20" s="68">
        <v>565.22</v>
      </c>
      <c r="K20" s="68">
        <v>565.22</v>
      </c>
      <c r="L20" s="69">
        <v>40544</v>
      </c>
      <c r="M20" s="70" t="s">
        <v>56</v>
      </c>
    </row>
    <row r="21" spans="1:13" ht="31.5" customHeight="1" thickBot="1" x14ac:dyDescent="0.3">
      <c r="A21" s="62">
        <v>1102091509</v>
      </c>
      <c r="B21" s="63" t="s">
        <v>74</v>
      </c>
      <c r="C21" s="64">
        <f t="shared" si="0"/>
        <v>13</v>
      </c>
      <c r="D21" s="65">
        <v>3</v>
      </c>
      <c r="E21" s="66" t="s">
        <v>75</v>
      </c>
      <c r="F21" s="104"/>
      <c r="G21" s="105"/>
      <c r="H21" s="68">
        <v>612</v>
      </c>
      <c r="I21" s="68">
        <v>612</v>
      </c>
      <c r="J21" s="68">
        <v>612</v>
      </c>
      <c r="K21" s="68">
        <v>612</v>
      </c>
      <c r="L21" s="69">
        <v>36923</v>
      </c>
      <c r="M21" s="72" t="s">
        <v>438</v>
      </c>
    </row>
    <row r="22" spans="1:13" ht="31.5" customHeight="1" thickBot="1" x14ac:dyDescent="0.3">
      <c r="A22" s="62">
        <v>1104148026</v>
      </c>
      <c r="B22" s="63" t="s">
        <v>76</v>
      </c>
      <c r="C22" s="64">
        <f t="shared" si="0"/>
        <v>14</v>
      </c>
      <c r="D22" s="65">
        <v>1</v>
      </c>
      <c r="E22" s="66" t="s">
        <v>54</v>
      </c>
      <c r="F22" s="67">
        <v>565.22</v>
      </c>
      <c r="G22" s="68">
        <v>565.22</v>
      </c>
      <c r="H22" s="68">
        <v>565.22</v>
      </c>
      <c r="I22" s="68">
        <v>565.22</v>
      </c>
      <c r="J22" s="68">
        <v>565.22</v>
      </c>
      <c r="K22" s="68">
        <v>565.22</v>
      </c>
      <c r="L22" s="69">
        <v>40787</v>
      </c>
      <c r="M22" s="70" t="s">
        <v>56</v>
      </c>
    </row>
    <row r="23" spans="1:13" ht="31.5" customHeight="1" thickBot="1" x14ac:dyDescent="0.3">
      <c r="A23" s="62" t="s">
        <v>77</v>
      </c>
      <c r="B23" s="63" t="s">
        <v>78</v>
      </c>
      <c r="C23" s="64">
        <f t="shared" si="0"/>
        <v>15</v>
      </c>
      <c r="D23" s="65">
        <v>1</v>
      </c>
      <c r="E23" s="66" t="s">
        <v>79</v>
      </c>
      <c r="F23" s="67"/>
      <c r="G23" s="68"/>
      <c r="H23" s="68">
        <v>582</v>
      </c>
      <c r="I23" s="68">
        <v>582</v>
      </c>
      <c r="J23" s="68">
        <v>582</v>
      </c>
      <c r="K23" s="68">
        <v>582</v>
      </c>
      <c r="L23" s="69">
        <v>39814</v>
      </c>
      <c r="M23" s="72" t="s">
        <v>438</v>
      </c>
    </row>
    <row r="24" spans="1:13" ht="31.5" customHeight="1" thickBot="1" x14ac:dyDescent="0.3">
      <c r="A24" s="62">
        <v>1102374806</v>
      </c>
      <c r="B24" s="63" t="s">
        <v>80</v>
      </c>
      <c r="C24" s="64">
        <f t="shared" si="0"/>
        <v>16</v>
      </c>
      <c r="D24" s="65">
        <v>4</v>
      </c>
      <c r="E24" s="66" t="s">
        <v>68</v>
      </c>
      <c r="F24" s="67">
        <v>615.22</v>
      </c>
      <c r="G24" s="68">
        <v>615.22</v>
      </c>
      <c r="H24" s="68">
        <v>615.22</v>
      </c>
      <c r="I24" s="68">
        <v>615.22</v>
      </c>
      <c r="J24" s="68">
        <v>615.22</v>
      </c>
      <c r="K24" s="68">
        <v>615.22</v>
      </c>
      <c r="L24" s="69">
        <v>40544</v>
      </c>
      <c r="M24" s="72" t="s">
        <v>56</v>
      </c>
    </row>
    <row r="25" spans="1:13" ht="31.5" customHeight="1" thickBot="1" x14ac:dyDescent="0.3">
      <c r="A25" s="62">
        <v>1103166524</v>
      </c>
      <c r="B25" s="63" t="s">
        <v>81</v>
      </c>
      <c r="C25" s="64">
        <f t="shared" si="0"/>
        <v>17</v>
      </c>
      <c r="D25" s="65">
        <v>1</v>
      </c>
      <c r="E25" s="66" t="s">
        <v>82</v>
      </c>
      <c r="F25" s="67">
        <v>565.22</v>
      </c>
      <c r="G25" s="68">
        <v>565.22</v>
      </c>
      <c r="H25" s="68">
        <v>565.22</v>
      </c>
      <c r="I25" s="68">
        <v>565.22</v>
      </c>
      <c r="J25" s="68">
        <v>565.22</v>
      </c>
      <c r="K25" s="68">
        <v>565.22</v>
      </c>
      <c r="L25" s="69">
        <v>40544</v>
      </c>
      <c r="M25" s="72" t="s">
        <v>56</v>
      </c>
    </row>
    <row r="26" spans="1:13" ht="31.5" customHeight="1" thickBot="1" x14ac:dyDescent="0.3">
      <c r="A26" s="62">
        <v>1102854229</v>
      </c>
      <c r="B26" s="63" t="s">
        <v>83</v>
      </c>
      <c r="C26" s="64">
        <f t="shared" si="0"/>
        <v>18</v>
      </c>
      <c r="D26" s="65">
        <v>1</v>
      </c>
      <c r="E26" s="66" t="s">
        <v>84</v>
      </c>
      <c r="F26" s="67">
        <v>565.22</v>
      </c>
      <c r="G26" s="68">
        <v>565.22</v>
      </c>
      <c r="H26" s="68">
        <v>565.22</v>
      </c>
      <c r="I26" s="68">
        <v>565.22</v>
      </c>
      <c r="J26" s="68">
        <v>565.22</v>
      </c>
      <c r="K26" s="68">
        <v>565.22</v>
      </c>
      <c r="L26" s="69">
        <v>40544</v>
      </c>
      <c r="M26" s="72" t="s">
        <v>60</v>
      </c>
    </row>
    <row r="27" spans="1:13" ht="31.5" customHeight="1" thickBot="1" x14ac:dyDescent="0.3">
      <c r="A27" s="62">
        <v>1103021562</v>
      </c>
      <c r="B27" s="63" t="s">
        <v>85</v>
      </c>
      <c r="C27" s="64">
        <f t="shared" si="0"/>
        <v>19</v>
      </c>
      <c r="D27" s="65">
        <v>3</v>
      </c>
      <c r="E27" s="66" t="s">
        <v>75</v>
      </c>
      <c r="F27" s="67">
        <v>598.22</v>
      </c>
      <c r="G27" s="68">
        <v>598.22</v>
      </c>
      <c r="H27" s="68">
        <v>598.22</v>
      </c>
      <c r="I27" s="68">
        <v>598.22</v>
      </c>
      <c r="J27" s="68">
        <v>598.22</v>
      </c>
      <c r="K27" s="68">
        <v>598.22</v>
      </c>
      <c r="L27" s="69">
        <v>36342</v>
      </c>
      <c r="M27" s="72" t="s">
        <v>435</v>
      </c>
    </row>
    <row r="28" spans="1:13" ht="31.5" customHeight="1" thickBot="1" x14ac:dyDescent="0.3">
      <c r="A28" s="62">
        <v>1103386668</v>
      </c>
      <c r="B28" s="63" t="s">
        <v>86</v>
      </c>
      <c r="C28" s="64">
        <f t="shared" si="0"/>
        <v>20</v>
      </c>
      <c r="D28" s="65">
        <v>3</v>
      </c>
      <c r="E28" s="66" t="s">
        <v>66</v>
      </c>
      <c r="F28" s="67"/>
      <c r="G28" s="68"/>
      <c r="H28" s="68"/>
      <c r="I28" s="68">
        <v>598.22</v>
      </c>
      <c r="J28" s="68">
        <v>598.22</v>
      </c>
      <c r="K28" s="68">
        <v>598.22</v>
      </c>
      <c r="L28" s="69">
        <v>40544</v>
      </c>
      <c r="M28" s="72" t="s">
        <v>439</v>
      </c>
    </row>
    <row r="29" spans="1:13" ht="31.5" customHeight="1" thickBot="1" x14ac:dyDescent="0.3">
      <c r="A29" s="62">
        <v>1104670664</v>
      </c>
      <c r="B29" s="63" t="s">
        <v>88</v>
      </c>
      <c r="C29" s="64">
        <f t="shared" si="0"/>
        <v>21</v>
      </c>
      <c r="D29" s="65">
        <v>1</v>
      </c>
      <c r="E29" s="66" t="s">
        <v>70</v>
      </c>
      <c r="F29" s="67">
        <v>615.22</v>
      </c>
      <c r="G29" s="68">
        <v>615.22</v>
      </c>
      <c r="H29" s="68">
        <v>615.22</v>
      </c>
      <c r="I29" s="68">
        <v>615.22</v>
      </c>
      <c r="J29" s="68">
        <v>615.22</v>
      </c>
      <c r="K29" s="68">
        <v>615.22</v>
      </c>
      <c r="L29" s="69">
        <v>40544</v>
      </c>
      <c r="M29" s="72" t="s">
        <v>71</v>
      </c>
    </row>
    <row r="30" spans="1:13" ht="31.5" customHeight="1" thickBot="1" x14ac:dyDescent="0.3">
      <c r="A30" s="62">
        <v>1303281222</v>
      </c>
      <c r="B30" s="63" t="s">
        <v>89</v>
      </c>
      <c r="C30" s="64">
        <f t="shared" si="0"/>
        <v>22</v>
      </c>
      <c r="D30" s="65">
        <v>2</v>
      </c>
      <c r="E30" s="66" t="s">
        <v>59</v>
      </c>
      <c r="F30" s="67">
        <v>581.22</v>
      </c>
      <c r="G30" s="68">
        <v>581.22</v>
      </c>
      <c r="H30" s="68">
        <v>581.22</v>
      </c>
      <c r="I30" s="68">
        <v>581.22</v>
      </c>
      <c r="J30" s="68">
        <v>581.22</v>
      </c>
      <c r="K30" s="68">
        <v>581.22</v>
      </c>
      <c r="L30" s="69">
        <v>40544</v>
      </c>
      <c r="M30" s="72" t="s">
        <v>60</v>
      </c>
    </row>
    <row r="31" spans="1:13" ht="31.5" customHeight="1" thickBot="1" x14ac:dyDescent="0.3">
      <c r="A31" s="62" t="s">
        <v>90</v>
      </c>
      <c r="B31" s="63" t="s">
        <v>91</v>
      </c>
      <c r="C31" s="64">
        <f t="shared" si="0"/>
        <v>23</v>
      </c>
      <c r="D31" s="65">
        <v>2</v>
      </c>
      <c r="E31" s="66" t="s">
        <v>59</v>
      </c>
      <c r="F31" s="67">
        <v>581.22</v>
      </c>
      <c r="G31" s="68">
        <v>581.22</v>
      </c>
      <c r="H31" s="68">
        <v>581.22</v>
      </c>
      <c r="I31" s="68">
        <v>581.22</v>
      </c>
      <c r="J31" s="68">
        <v>581.22</v>
      </c>
      <c r="K31" s="68">
        <v>581.22</v>
      </c>
      <c r="L31" s="69">
        <v>40544</v>
      </c>
      <c r="M31" s="72" t="s">
        <v>56</v>
      </c>
    </row>
    <row r="32" spans="1:13" ht="31.5" customHeight="1" thickBot="1" x14ac:dyDescent="0.3">
      <c r="A32" s="62">
        <v>1101353900</v>
      </c>
      <c r="B32" s="63" t="s">
        <v>92</v>
      </c>
      <c r="C32" s="64">
        <f t="shared" si="0"/>
        <v>24</v>
      </c>
      <c r="D32" s="65">
        <v>2</v>
      </c>
      <c r="E32" s="66" t="s">
        <v>59</v>
      </c>
      <c r="F32" s="67">
        <v>581.22</v>
      </c>
      <c r="G32" s="68">
        <v>581.22</v>
      </c>
      <c r="H32" s="68">
        <v>581.22</v>
      </c>
      <c r="I32" s="68">
        <v>581.22</v>
      </c>
      <c r="J32" s="68">
        <v>581.22</v>
      </c>
      <c r="K32" s="68">
        <v>581.22</v>
      </c>
      <c r="L32" s="69">
        <v>40544</v>
      </c>
      <c r="M32" s="72" t="s">
        <v>56</v>
      </c>
    </row>
    <row r="33" spans="1:13" ht="31.5" customHeight="1" thickBot="1" x14ac:dyDescent="0.3">
      <c r="A33" s="62">
        <v>1103559520</v>
      </c>
      <c r="B33" s="63" t="s">
        <v>93</v>
      </c>
      <c r="C33" s="64">
        <f t="shared" si="0"/>
        <v>25</v>
      </c>
      <c r="D33" s="65">
        <v>1</v>
      </c>
      <c r="E33" s="66" t="s">
        <v>82</v>
      </c>
      <c r="F33" s="67">
        <v>565.22</v>
      </c>
      <c r="G33" s="68">
        <v>565.22</v>
      </c>
      <c r="H33" s="68">
        <v>565.22</v>
      </c>
      <c r="I33" s="68">
        <v>565.22</v>
      </c>
      <c r="J33" s="68">
        <v>565.22</v>
      </c>
      <c r="K33" s="68">
        <v>565.22</v>
      </c>
      <c r="L33" s="69">
        <v>40544</v>
      </c>
      <c r="M33" s="72" t="s">
        <v>56</v>
      </c>
    </row>
    <row r="34" spans="1:13" ht="31.5" customHeight="1" thickBot="1" x14ac:dyDescent="0.3">
      <c r="A34" s="62">
        <v>1103702971</v>
      </c>
      <c r="B34" s="63" t="s">
        <v>94</v>
      </c>
      <c r="C34" s="64">
        <f t="shared" si="0"/>
        <v>26</v>
      </c>
      <c r="D34" s="65">
        <v>2</v>
      </c>
      <c r="E34" s="66" t="s">
        <v>59</v>
      </c>
      <c r="F34" s="67">
        <v>581.22</v>
      </c>
      <c r="G34" s="68">
        <v>581.22</v>
      </c>
      <c r="H34" s="68">
        <v>581.22</v>
      </c>
      <c r="I34" s="68">
        <v>581.22</v>
      </c>
      <c r="J34" s="68">
        <v>581.22</v>
      </c>
      <c r="K34" s="68">
        <v>581.22</v>
      </c>
      <c r="L34" s="69">
        <v>40544</v>
      </c>
      <c r="M34" s="72" t="s">
        <v>60</v>
      </c>
    </row>
    <row r="35" spans="1:13" ht="31.5" customHeight="1" thickBot="1" x14ac:dyDescent="0.3">
      <c r="A35" s="62">
        <v>1103034201</v>
      </c>
      <c r="B35" s="63" t="s">
        <v>95</v>
      </c>
      <c r="C35" s="64">
        <f t="shared" si="0"/>
        <v>27</v>
      </c>
      <c r="D35" s="65">
        <v>2</v>
      </c>
      <c r="E35" s="66" t="s">
        <v>59</v>
      </c>
      <c r="F35" s="67"/>
      <c r="G35" s="68"/>
      <c r="H35" s="68"/>
      <c r="I35" s="68">
        <v>581</v>
      </c>
      <c r="J35" s="68">
        <v>581</v>
      </c>
      <c r="K35" s="68">
        <v>581</v>
      </c>
      <c r="L35" s="69">
        <v>40909</v>
      </c>
      <c r="M35" s="72" t="s">
        <v>440</v>
      </c>
    </row>
    <row r="36" spans="1:13" ht="31.5" customHeight="1" thickBot="1" x14ac:dyDescent="0.3">
      <c r="A36" s="62">
        <v>1100646353</v>
      </c>
      <c r="B36" s="63" t="s">
        <v>96</v>
      </c>
      <c r="C36" s="64">
        <f t="shared" si="0"/>
        <v>28</v>
      </c>
      <c r="D36" s="65">
        <v>1</v>
      </c>
      <c r="E36" s="66" t="s">
        <v>441</v>
      </c>
      <c r="F36" s="67">
        <v>596.82000000000005</v>
      </c>
      <c r="G36" s="68">
        <v>596.82000000000005</v>
      </c>
      <c r="H36" s="68">
        <v>596.82000000000005</v>
      </c>
      <c r="I36" s="68">
        <v>596.82000000000005</v>
      </c>
      <c r="J36" s="68">
        <v>596.82000000000005</v>
      </c>
      <c r="K36" s="68">
        <v>596.82000000000005</v>
      </c>
      <c r="L36" s="69">
        <v>40909</v>
      </c>
      <c r="M36" s="72" t="s">
        <v>56</v>
      </c>
    </row>
    <row r="37" spans="1:13" ht="31.5" customHeight="1" thickBot="1" x14ac:dyDescent="0.3">
      <c r="A37" s="62">
        <v>1104389372</v>
      </c>
      <c r="B37" s="63" t="s">
        <v>97</v>
      </c>
      <c r="C37" s="64">
        <f t="shared" si="0"/>
        <v>29</v>
      </c>
      <c r="D37" s="65">
        <v>1</v>
      </c>
      <c r="E37" s="66" t="s">
        <v>70</v>
      </c>
      <c r="F37" s="67">
        <v>565.22</v>
      </c>
      <c r="G37" s="68">
        <v>565.22</v>
      </c>
      <c r="H37" s="68">
        <v>565.22</v>
      </c>
      <c r="I37" s="68">
        <v>565.22</v>
      </c>
      <c r="J37" s="68">
        <v>565.22</v>
      </c>
      <c r="K37" s="68">
        <v>565.22</v>
      </c>
      <c r="L37" s="69">
        <v>40709</v>
      </c>
      <c r="M37" s="72" t="s">
        <v>71</v>
      </c>
    </row>
    <row r="38" spans="1:13" ht="31.5" customHeight="1" thickBot="1" x14ac:dyDescent="0.3">
      <c r="A38" s="62">
        <v>1103934640</v>
      </c>
      <c r="B38" s="63" t="s">
        <v>98</v>
      </c>
      <c r="C38" s="64">
        <f t="shared" si="0"/>
        <v>30</v>
      </c>
      <c r="D38" s="65">
        <v>1</v>
      </c>
      <c r="E38" s="66" t="s">
        <v>84</v>
      </c>
      <c r="F38" s="67">
        <v>565.22</v>
      </c>
      <c r="G38" s="68">
        <v>565.22</v>
      </c>
      <c r="H38" s="68">
        <v>565.22</v>
      </c>
      <c r="I38" s="68">
        <v>565.22</v>
      </c>
      <c r="J38" s="68">
        <v>565.22</v>
      </c>
      <c r="K38" s="68">
        <v>565.22</v>
      </c>
      <c r="L38" s="69">
        <v>40544</v>
      </c>
      <c r="M38" s="72" t="s">
        <v>60</v>
      </c>
    </row>
    <row r="39" spans="1:13" ht="31.5" customHeight="1" thickBot="1" x14ac:dyDescent="0.3">
      <c r="A39" s="62">
        <v>1101408217</v>
      </c>
      <c r="B39" s="63" t="s">
        <v>99</v>
      </c>
      <c r="C39" s="64">
        <f t="shared" si="0"/>
        <v>31</v>
      </c>
      <c r="D39" s="65">
        <v>2</v>
      </c>
      <c r="E39" s="66" t="s">
        <v>100</v>
      </c>
      <c r="F39" s="67">
        <v>581.22</v>
      </c>
      <c r="G39" s="68">
        <v>581.22</v>
      </c>
      <c r="H39" s="68">
        <v>581.22</v>
      </c>
      <c r="I39" s="68">
        <v>581.22</v>
      </c>
      <c r="J39" s="68">
        <v>581.22</v>
      </c>
      <c r="K39" s="68">
        <v>581.22</v>
      </c>
      <c r="L39" s="69">
        <v>38322</v>
      </c>
      <c r="M39" s="72" t="s">
        <v>60</v>
      </c>
    </row>
    <row r="40" spans="1:13" ht="31.5" customHeight="1" thickBot="1" x14ac:dyDescent="0.3">
      <c r="A40" s="62">
        <v>1102772413</v>
      </c>
      <c r="B40" s="63" t="s">
        <v>101</v>
      </c>
      <c r="C40" s="64">
        <f t="shared" si="0"/>
        <v>32</v>
      </c>
      <c r="D40" s="65">
        <v>1</v>
      </c>
      <c r="E40" s="66" t="s">
        <v>82</v>
      </c>
      <c r="F40" s="67">
        <v>565.22</v>
      </c>
      <c r="G40" s="68">
        <v>565.22</v>
      </c>
      <c r="H40" s="68">
        <v>565.22</v>
      </c>
      <c r="I40" s="68">
        <v>565.22</v>
      </c>
      <c r="J40" s="68">
        <v>565.22</v>
      </c>
      <c r="K40" s="68">
        <v>565.22</v>
      </c>
      <c r="L40" s="69">
        <v>40909</v>
      </c>
      <c r="M40" s="72" t="s">
        <v>56</v>
      </c>
    </row>
    <row r="41" spans="1:13" ht="31.5" customHeight="1" thickBot="1" x14ac:dyDescent="0.3">
      <c r="A41" s="62">
        <v>1100794245</v>
      </c>
      <c r="B41" s="63" t="s">
        <v>442</v>
      </c>
      <c r="C41" s="64">
        <f t="shared" si="0"/>
        <v>33</v>
      </c>
      <c r="D41" s="65">
        <v>1</v>
      </c>
      <c r="E41" s="66" t="s">
        <v>84</v>
      </c>
      <c r="F41" s="67">
        <v>681.97</v>
      </c>
      <c r="G41" s="67">
        <v>681.97</v>
      </c>
      <c r="H41" s="67">
        <v>681.97</v>
      </c>
      <c r="I41" s="67">
        <v>681.97</v>
      </c>
      <c r="J41" s="67">
        <v>681.97</v>
      </c>
      <c r="K41" s="68"/>
      <c r="L41" s="69">
        <v>37469</v>
      </c>
      <c r="M41" s="72" t="s">
        <v>443</v>
      </c>
    </row>
    <row r="42" spans="1:13" ht="31.5" customHeight="1" thickBot="1" x14ac:dyDescent="0.3">
      <c r="A42" s="62">
        <v>1104195811</v>
      </c>
      <c r="B42" s="63" t="s">
        <v>102</v>
      </c>
      <c r="C42" s="64">
        <f t="shared" si="0"/>
        <v>34</v>
      </c>
      <c r="D42" s="65">
        <v>1</v>
      </c>
      <c r="E42" s="66" t="s">
        <v>82</v>
      </c>
      <c r="F42" s="67">
        <v>565.22</v>
      </c>
      <c r="G42" s="68">
        <v>565.22</v>
      </c>
      <c r="H42" s="68">
        <v>565.22</v>
      </c>
      <c r="I42" s="68">
        <v>565.22</v>
      </c>
      <c r="J42" s="68">
        <v>565.22</v>
      </c>
      <c r="K42" s="68">
        <v>565.22</v>
      </c>
      <c r="L42" s="69">
        <v>40544</v>
      </c>
      <c r="M42" s="72" t="s">
        <v>56</v>
      </c>
    </row>
    <row r="43" spans="1:13" ht="31.5" customHeight="1" thickBot="1" x14ac:dyDescent="0.3">
      <c r="A43" s="62">
        <v>1100867181</v>
      </c>
      <c r="B43" s="63" t="s">
        <v>103</v>
      </c>
      <c r="C43" s="64">
        <f t="shared" si="0"/>
        <v>35</v>
      </c>
      <c r="D43" s="65">
        <v>1</v>
      </c>
      <c r="E43" s="66" t="s">
        <v>84</v>
      </c>
      <c r="F43" s="67"/>
      <c r="G43" s="68"/>
      <c r="H43" s="68">
        <v>565.22</v>
      </c>
      <c r="I43" s="68">
        <v>565.22</v>
      </c>
      <c r="J43" s="68">
        <v>565.22</v>
      </c>
      <c r="K43" s="68">
        <v>565.22</v>
      </c>
      <c r="L43" s="69">
        <v>40544</v>
      </c>
      <c r="M43" s="72" t="s">
        <v>444</v>
      </c>
    </row>
    <row r="44" spans="1:13" ht="31.5" customHeight="1" thickBot="1" x14ac:dyDescent="0.3">
      <c r="A44" s="62" t="s">
        <v>445</v>
      </c>
      <c r="B44" s="63" t="s">
        <v>446</v>
      </c>
      <c r="C44" s="64">
        <f t="shared" si="0"/>
        <v>36</v>
      </c>
      <c r="D44" s="65">
        <v>2</v>
      </c>
      <c r="E44" s="66" t="s">
        <v>447</v>
      </c>
      <c r="F44" s="67"/>
      <c r="G44" s="68"/>
      <c r="H44" s="68"/>
      <c r="I44" s="68"/>
      <c r="J44" s="68"/>
      <c r="K44" s="68">
        <v>531</v>
      </c>
      <c r="L44" s="69">
        <v>43626</v>
      </c>
      <c r="M44" s="72" t="s">
        <v>448</v>
      </c>
    </row>
    <row r="45" spans="1:13" ht="31.5" customHeight="1" thickBot="1" x14ac:dyDescent="0.3">
      <c r="A45" s="62">
        <v>1104544778</v>
      </c>
      <c r="B45" s="63" t="s">
        <v>104</v>
      </c>
      <c r="C45" s="64">
        <f t="shared" si="0"/>
        <v>37</v>
      </c>
      <c r="D45" s="65">
        <v>1</v>
      </c>
      <c r="E45" s="66" t="s">
        <v>82</v>
      </c>
      <c r="F45" s="67">
        <v>565.22</v>
      </c>
      <c r="G45" s="68">
        <v>565.22</v>
      </c>
      <c r="H45" s="68">
        <v>565.22</v>
      </c>
      <c r="I45" s="68">
        <v>565.22</v>
      </c>
      <c r="J45" s="68">
        <v>565.22</v>
      </c>
      <c r="K45" s="68">
        <v>565.22</v>
      </c>
      <c r="L45" s="69">
        <v>40909</v>
      </c>
      <c r="M45" s="72" t="s">
        <v>56</v>
      </c>
    </row>
    <row r="46" spans="1:13" ht="31.5" customHeight="1" thickBot="1" x14ac:dyDescent="0.3">
      <c r="A46" s="62">
        <v>1101708376</v>
      </c>
      <c r="B46" s="63" t="s">
        <v>105</v>
      </c>
      <c r="C46" s="64">
        <f t="shared" si="0"/>
        <v>38</v>
      </c>
      <c r="D46" s="65">
        <v>9</v>
      </c>
      <c r="E46" s="66" t="s">
        <v>106</v>
      </c>
      <c r="F46" s="73">
        <v>1332.19</v>
      </c>
      <c r="G46" s="74">
        <v>1332.19</v>
      </c>
      <c r="H46" s="74">
        <v>1332.19</v>
      </c>
      <c r="I46" s="74">
        <v>1332.19</v>
      </c>
      <c r="J46" s="74">
        <v>1332.19</v>
      </c>
      <c r="K46" s="74">
        <v>1332.19</v>
      </c>
      <c r="L46" s="69">
        <v>27956</v>
      </c>
      <c r="M46" s="72" t="s">
        <v>56</v>
      </c>
    </row>
    <row r="47" spans="1:13" ht="31.5" customHeight="1" thickBot="1" x14ac:dyDescent="0.3">
      <c r="A47" s="62">
        <v>1100866944</v>
      </c>
      <c r="B47" s="63" t="s">
        <v>107</v>
      </c>
      <c r="C47" s="64">
        <f t="shared" si="0"/>
        <v>39</v>
      </c>
      <c r="D47" s="65">
        <v>1</v>
      </c>
      <c r="E47" s="66" t="s">
        <v>82</v>
      </c>
      <c r="F47" s="67">
        <v>565.22</v>
      </c>
      <c r="G47" s="68">
        <v>565.22</v>
      </c>
      <c r="H47" s="68">
        <v>565.22</v>
      </c>
      <c r="I47" s="68">
        <v>565.22</v>
      </c>
      <c r="J47" s="68">
        <v>565.22</v>
      </c>
      <c r="K47" s="68">
        <v>565.22</v>
      </c>
      <c r="L47" s="69">
        <v>40909</v>
      </c>
      <c r="M47" s="72" t="s">
        <v>56</v>
      </c>
    </row>
    <row r="48" spans="1:13" ht="31.5" customHeight="1" thickBot="1" x14ac:dyDescent="0.3">
      <c r="A48" s="62">
        <v>1103303275</v>
      </c>
      <c r="B48" s="63" t="s">
        <v>108</v>
      </c>
      <c r="C48" s="64">
        <f t="shared" si="0"/>
        <v>40</v>
      </c>
      <c r="D48" s="65">
        <v>2</v>
      </c>
      <c r="E48" s="66" t="s">
        <v>109</v>
      </c>
      <c r="F48" s="67">
        <v>581.22</v>
      </c>
      <c r="G48" s="68">
        <v>581.22</v>
      </c>
      <c r="H48" s="68">
        <v>581.22</v>
      </c>
      <c r="I48" s="68">
        <v>581.22</v>
      </c>
      <c r="J48" s="68">
        <v>581.22</v>
      </c>
      <c r="K48" s="68">
        <v>581.22</v>
      </c>
      <c r="L48" s="69">
        <v>40544</v>
      </c>
      <c r="M48" s="72" t="s">
        <v>56</v>
      </c>
    </row>
    <row r="49" spans="1:13" ht="31.5" customHeight="1" thickBot="1" x14ac:dyDescent="0.3">
      <c r="A49" s="62">
        <v>1103677124</v>
      </c>
      <c r="B49" s="63" t="s">
        <v>110</v>
      </c>
      <c r="C49" s="64">
        <f t="shared" si="0"/>
        <v>41</v>
      </c>
      <c r="D49" s="65">
        <v>4</v>
      </c>
      <c r="E49" s="66" t="s">
        <v>68</v>
      </c>
      <c r="F49" s="67">
        <v>615.22</v>
      </c>
      <c r="G49" s="68">
        <v>615.22</v>
      </c>
      <c r="H49" s="68">
        <v>615.22</v>
      </c>
      <c r="I49" s="68">
        <v>615.22</v>
      </c>
      <c r="J49" s="68">
        <v>615.22</v>
      </c>
      <c r="K49" s="68">
        <v>615.22</v>
      </c>
      <c r="L49" s="69">
        <v>40544</v>
      </c>
      <c r="M49" s="72" t="s">
        <v>435</v>
      </c>
    </row>
    <row r="50" spans="1:13" ht="31.5" customHeight="1" thickBot="1" x14ac:dyDescent="0.3">
      <c r="A50" s="62">
        <v>1104370737</v>
      </c>
      <c r="B50" s="63" t="s">
        <v>111</v>
      </c>
      <c r="C50" s="64">
        <f t="shared" si="0"/>
        <v>42</v>
      </c>
      <c r="D50" s="65">
        <v>2</v>
      </c>
      <c r="E50" s="66" t="s">
        <v>109</v>
      </c>
      <c r="F50" s="67">
        <v>581.22</v>
      </c>
      <c r="G50" s="68">
        <v>581.22</v>
      </c>
      <c r="H50" s="68">
        <v>581.22</v>
      </c>
      <c r="I50" s="68">
        <v>581.22</v>
      </c>
      <c r="J50" s="68">
        <v>581.22</v>
      </c>
      <c r="K50" s="68">
        <v>581.22</v>
      </c>
      <c r="L50" s="69">
        <v>40544</v>
      </c>
      <c r="M50" s="72" t="s">
        <v>56</v>
      </c>
    </row>
    <row r="51" spans="1:13" ht="31.5" customHeight="1" thickBot="1" x14ac:dyDescent="0.3">
      <c r="A51" s="62">
        <v>1100233798</v>
      </c>
      <c r="B51" s="63" t="s">
        <v>112</v>
      </c>
      <c r="C51" s="64">
        <f t="shared" si="0"/>
        <v>43</v>
      </c>
      <c r="D51" s="65">
        <v>1</v>
      </c>
      <c r="E51" s="66" t="s">
        <v>54</v>
      </c>
      <c r="F51" s="67">
        <v>565.22</v>
      </c>
      <c r="G51" s="68">
        <v>565.22</v>
      </c>
      <c r="H51" s="68">
        <v>565.22</v>
      </c>
      <c r="I51" s="68">
        <v>565.22</v>
      </c>
      <c r="J51" s="68">
        <v>565.22</v>
      </c>
      <c r="K51" s="68">
        <v>565.22</v>
      </c>
      <c r="L51" s="69">
        <v>40544</v>
      </c>
      <c r="M51" s="72" t="s">
        <v>60</v>
      </c>
    </row>
    <row r="52" spans="1:13" ht="31.5" customHeight="1" thickBot="1" x14ac:dyDescent="0.3">
      <c r="A52" s="62">
        <v>1100309333</v>
      </c>
      <c r="B52" s="63" t="s">
        <v>113</v>
      </c>
      <c r="C52" s="64">
        <f t="shared" si="0"/>
        <v>44</v>
      </c>
      <c r="D52" s="65">
        <v>4</v>
      </c>
      <c r="E52" s="66" t="s">
        <v>68</v>
      </c>
      <c r="F52" s="67">
        <v>864.31000000000006</v>
      </c>
      <c r="G52" s="68">
        <v>864.31000000000006</v>
      </c>
      <c r="H52" s="68">
        <v>864.31000000000006</v>
      </c>
      <c r="I52" s="68">
        <v>864.31000000000006</v>
      </c>
      <c r="J52" s="68">
        <v>864.31000000000006</v>
      </c>
      <c r="K52" s="68">
        <v>864.31000000000006</v>
      </c>
      <c r="L52" s="69">
        <v>28850</v>
      </c>
      <c r="M52" s="72" t="s">
        <v>56</v>
      </c>
    </row>
    <row r="53" spans="1:13" ht="31.5" customHeight="1" thickBot="1" x14ac:dyDescent="0.3">
      <c r="A53" s="62">
        <v>1102124052</v>
      </c>
      <c r="B53" s="63" t="s">
        <v>114</v>
      </c>
      <c r="C53" s="64">
        <f t="shared" si="0"/>
        <v>45</v>
      </c>
      <c r="D53" s="65">
        <v>4</v>
      </c>
      <c r="E53" s="66" t="s">
        <v>68</v>
      </c>
      <c r="F53" s="67">
        <v>615.22</v>
      </c>
      <c r="G53" s="68">
        <v>615.22</v>
      </c>
      <c r="H53" s="68">
        <v>615.22</v>
      </c>
      <c r="I53" s="68">
        <v>615.22</v>
      </c>
      <c r="J53" s="68">
        <v>615.22</v>
      </c>
      <c r="K53" s="68">
        <v>615.22</v>
      </c>
      <c r="L53" s="69">
        <v>40909</v>
      </c>
      <c r="M53" s="72" t="s">
        <v>56</v>
      </c>
    </row>
    <row r="54" spans="1:13" ht="31.5" customHeight="1" thickBot="1" x14ac:dyDescent="0.3">
      <c r="A54" s="62">
        <v>1103479836</v>
      </c>
      <c r="B54" s="63" t="s">
        <v>115</v>
      </c>
      <c r="C54" s="64">
        <f t="shared" si="0"/>
        <v>46</v>
      </c>
      <c r="D54" s="65">
        <v>3</v>
      </c>
      <c r="E54" s="66" t="s">
        <v>116</v>
      </c>
      <c r="F54" s="67">
        <v>598.22</v>
      </c>
      <c r="G54" s="68">
        <v>598.22</v>
      </c>
      <c r="H54" s="68">
        <v>598.22</v>
      </c>
      <c r="I54" s="68">
        <v>598.22</v>
      </c>
      <c r="J54" s="68">
        <v>598.22</v>
      </c>
      <c r="K54" s="68">
        <v>598.22</v>
      </c>
      <c r="L54" s="69">
        <v>40544</v>
      </c>
      <c r="M54" s="72" t="s">
        <v>60</v>
      </c>
    </row>
    <row r="55" spans="1:13" ht="31.5" customHeight="1" thickBot="1" x14ac:dyDescent="0.3">
      <c r="A55" s="62" t="s">
        <v>117</v>
      </c>
      <c r="B55" s="63" t="s">
        <v>118</v>
      </c>
      <c r="C55" s="64">
        <f t="shared" si="0"/>
        <v>47</v>
      </c>
      <c r="D55" s="65">
        <v>4</v>
      </c>
      <c r="E55" s="66" t="s">
        <v>68</v>
      </c>
      <c r="F55" s="67">
        <v>615.22</v>
      </c>
      <c r="G55" s="68">
        <v>615.22</v>
      </c>
      <c r="H55" s="68">
        <v>615.22</v>
      </c>
      <c r="I55" s="68">
        <v>615.22</v>
      </c>
      <c r="J55" s="68">
        <v>615.22</v>
      </c>
      <c r="K55" s="68">
        <v>615.22</v>
      </c>
      <c r="L55" s="69">
        <v>40544</v>
      </c>
      <c r="M55" s="72" t="s">
        <v>56</v>
      </c>
    </row>
    <row r="56" spans="1:13" ht="31.5" customHeight="1" thickBot="1" x14ac:dyDescent="0.3">
      <c r="A56" s="62">
        <v>1103338768</v>
      </c>
      <c r="B56" s="63" t="s">
        <v>119</v>
      </c>
      <c r="C56" s="64">
        <f t="shared" si="0"/>
        <v>48</v>
      </c>
      <c r="D56" s="65">
        <v>9</v>
      </c>
      <c r="E56" s="66" t="s">
        <v>120</v>
      </c>
      <c r="F56" s="67"/>
      <c r="G56" s="68"/>
      <c r="H56" s="68"/>
      <c r="I56" s="68">
        <v>876</v>
      </c>
      <c r="J56" s="68">
        <v>876</v>
      </c>
      <c r="K56" s="68">
        <v>876</v>
      </c>
      <c r="L56" s="69">
        <v>38322</v>
      </c>
      <c r="M56" s="72" t="s">
        <v>439</v>
      </c>
    </row>
    <row r="57" spans="1:13" ht="31.5" customHeight="1" thickBot="1" x14ac:dyDescent="0.3">
      <c r="A57" s="62">
        <v>1702927417</v>
      </c>
      <c r="B57" s="63" t="s">
        <v>121</v>
      </c>
      <c r="C57" s="64">
        <f t="shared" si="0"/>
        <v>49</v>
      </c>
      <c r="D57" s="65">
        <v>1</v>
      </c>
      <c r="E57" s="66" t="s">
        <v>82</v>
      </c>
      <c r="F57" s="67"/>
      <c r="G57" s="68"/>
      <c r="H57" s="68"/>
      <c r="I57" s="68">
        <v>565.22</v>
      </c>
      <c r="J57" s="68">
        <v>565.22</v>
      </c>
      <c r="K57" s="68">
        <v>565.22</v>
      </c>
      <c r="L57" s="69">
        <v>37151</v>
      </c>
      <c r="M57" s="72" t="s">
        <v>439</v>
      </c>
    </row>
    <row r="58" spans="1:13" ht="31.5" customHeight="1" thickBot="1" x14ac:dyDescent="0.3">
      <c r="A58" s="62">
        <v>1105032864</v>
      </c>
      <c r="B58" s="63" t="s">
        <v>122</v>
      </c>
      <c r="C58" s="64">
        <f t="shared" si="0"/>
        <v>50</v>
      </c>
      <c r="D58" s="65">
        <v>1</v>
      </c>
      <c r="E58" s="66" t="s">
        <v>82</v>
      </c>
      <c r="F58" s="67">
        <v>565.22</v>
      </c>
      <c r="G58" s="68">
        <v>565.22</v>
      </c>
      <c r="H58" s="68">
        <v>565.22</v>
      </c>
      <c r="I58" s="68">
        <v>565.22</v>
      </c>
      <c r="J58" s="68">
        <v>565.22</v>
      </c>
      <c r="K58" s="68">
        <v>565.22</v>
      </c>
      <c r="L58" s="69">
        <v>40544</v>
      </c>
      <c r="M58" s="72" t="s">
        <v>56</v>
      </c>
    </row>
    <row r="59" spans="1:13" ht="31.5" customHeight="1" thickBot="1" x14ac:dyDescent="0.3">
      <c r="A59" s="62">
        <v>1102601992</v>
      </c>
      <c r="B59" s="63" t="s">
        <v>123</v>
      </c>
      <c r="C59" s="64">
        <f t="shared" si="0"/>
        <v>51</v>
      </c>
      <c r="D59" s="65">
        <v>1</v>
      </c>
      <c r="E59" s="66" t="s">
        <v>82</v>
      </c>
      <c r="F59" s="67">
        <v>565.22</v>
      </c>
      <c r="G59" s="68">
        <v>565.22</v>
      </c>
      <c r="H59" s="68">
        <v>565.22</v>
      </c>
      <c r="I59" s="68">
        <v>565.22</v>
      </c>
      <c r="J59" s="68">
        <v>565.22</v>
      </c>
      <c r="K59" s="68">
        <v>565.22</v>
      </c>
      <c r="L59" s="69">
        <v>39301</v>
      </c>
      <c r="M59" s="72" t="s">
        <v>56</v>
      </c>
    </row>
    <row r="60" spans="1:13" ht="31.5" customHeight="1" thickBot="1" x14ac:dyDescent="0.3">
      <c r="A60" s="62">
        <v>1103143549</v>
      </c>
      <c r="B60" s="63" t="s">
        <v>124</v>
      </c>
      <c r="C60" s="64">
        <f t="shared" si="0"/>
        <v>52</v>
      </c>
      <c r="D60" s="65">
        <v>4</v>
      </c>
      <c r="E60" s="66" t="s">
        <v>68</v>
      </c>
      <c r="F60" s="67">
        <v>615.22</v>
      </c>
      <c r="G60" s="68">
        <v>615.22</v>
      </c>
      <c r="H60" s="68">
        <v>615.22</v>
      </c>
      <c r="I60" s="68">
        <v>615.22</v>
      </c>
      <c r="J60" s="68">
        <v>615.22</v>
      </c>
      <c r="K60" s="68">
        <v>615.22</v>
      </c>
      <c r="L60" s="69">
        <v>39084</v>
      </c>
      <c r="M60" s="72" t="s">
        <v>56</v>
      </c>
    </row>
    <row r="61" spans="1:13" ht="31.5" customHeight="1" thickBot="1" x14ac:dyDescent="0.3">
      <c r="A61" s="62">
        <v>1101430476</v>
      </c>
      <c r="B61" s="63" t="s">
        <v>125</v>
      </c>
      <c r="C61" s="64">
        <f t="shared" si="0"/>
        <v>53</v>
      </c>
      <c r="D61" s="65">
        <v>6</v>
      </c>
      <c r="E61" s="66" t="s">
        <v>126</v>
      </c>
      <c r="F61" s="67">
        <v>1002.43</v>
      </c>
      <c r="G61" s="68">
        <v>1002.43</v>
      </c>
      <c r="H61" s="68">
        <v>1002.43</v>
      </c>
      <c r="I61" s="68">
        <v>1002.43</v>
      </c>
      <c r="J61" s="68">
        <v>1002.43</v>
      </c>
      <c r="K61" s="68">
        <v>1002.43</v>
      </c>
      <c r="L61" s="69">
        <v>30909</v>
      </c>
      <c r="M61" s="72" t="s">
        <v>56</v>
      </c>
    </row>
    <row r="62" spans="1:13" ht="31.5" customHeight="1" thickBot="1" x14ac:dyDescent="0.3">
      <c r="A62" s="62">
        <v>1101805826</v>
      </c>
      <c r="B62" s="63" t="s">
        <v>127</v>
      </c>
      <c r="C62" s="64">
        <f t="shared" si="0"/>
        <v>54</v>
      </c>
      <c r="D62" s="65">
        <v>2</v>
      </c>
      <c r="E62" s="66" t="s">
        <v>59</v>
      </c>
      <c r="F62" s="67">
        <v>581.22</v>
      </c>
      <c r="G62" s="68">
        <v>581.22</v>
      </c>
      <c r="H62" s="68">
        <v>581.22</v>
      </c>
      <c r="I62" s="68">
        <v>581.22</v>
      </c>
      <c r="J62" s="68">
        <v>581.22</v>
      </c>
      <c r="K62" s="68">
        <v>581.22</v>
      </c>
      <c r="L62" s="69">
        <v>40544</v>
      </c>
      <c r="M62" s="72" t="s">
        <v>60</v>
      </c>
    </row>
    <row r="63" spans="1:13" ht="31.5" customHeight="1" thickBot="1" x14ac:dyDescent="0.3">
      <c r="A63" s="62">
        <v>1100754934</v>
      </c>
      <c r="B63" s="63" t="s">
        <v>128</v>
      </c>
      <c r="C63" s="64">
        <f t="shared" si="0"/>
        <v>55</v>
      </c>
      <c r="D63" s="65">
        <v>2</v>
      </c>
      <c r="E63" s="66" t="s">
        <v>129</v>
      </c>
      <c r="F63" s="67">
        <v>565.22</v>
      </c>
      <c r="G63" s="68">
        <v>565.22</v>
      </c>
      <c r="H63" s="68">
        <v>565.22</v>
      </c>
      <c r="I63" s="68">
        <v>565.22</v>
      </c>
      <c r="J63" s="68">
        <v>565.22</v>
      </c>
      <c r="K63" s="68">
        <v>565.22</v>
      </c>
      <c r="L63" s="69">
        <v>40544</v>
      </c>
      <c r="M63" s="72" t="s">
        <v>435</v>
      </c>
    </row>
    <row r="64" spans="1:13" ht="31.5" customHeight="1" thickBot="1" x14ac:dyDescent="0.3">
      <c r="A64" s="62">
        <v>1102814405</v>
      </c>
      <c r="B64" s="63" t="s">
        <v>449</v>
      </c>
      <c r="C64" s="64">
        <f t="shared" si="0"/>
        <v>56</v>
      </c>
      <c r="D64" s="65">
        <v>1</v>
      </c>
      <c r="E64" s="66" t="s">
        <v>186</v>
      </c>
      <c r="F64" s="67">
        <v>565.22</v>
      </c>
      <c r="G64" s="67">
        <v>565.22</v>
      </c>
      <c r="H64" s="67">
        <v>565.22</v>
      </c>
      <c r="I64" s="67">
        <v>565.22</v>
      </c>
      <c r="J64" s="68"/>
      <c r="K64" s="68"/>
      <c r="L64" s="69">
        <v>40544</v>
      </c>
      <c r="M64" s="72" t="s">
        <v>450</v>
      </c>
    </row>
    <row r="65" spans="1:13" ht="31.5" customHeight="1" thickBot="1" x14ac:dyDescent="0.3">
      <c r="A65" s="62">
        <v>1103138556</v>
      </c>
      <c r="B65" s="63" t="s">
        <v>130</v>
      </c>
      <c r="C65" s="64">
        <f t="shared" si="0"/>
        <v>57</v>
      </c>
      <c r="D65" s="65">
        <v>1</v>
      </c>
      <c r="E65" s="66" t="s">
        <v>70</v>
      </c>
      <c r="F65" s="67">
        <v>615.22</v>
      </c>
      <c r="G65" s="68">
        <v>615.22</v>
      </c>
      <c r="H65" s="68">
        <v>615.22</v>
      </c>
      <c r="I65" s="68">
        <v>615.22</v>
      </c>
      <c r="J65" s="68">
        <v>615.22</v>
      </c>
      <c r="K65" s="68">
        <v>615.22</v>
      </c>
      <c r="L65" s="69">
        <v>39995</v>
      </c>
      <c r="M65" s="72" t="s">
        <v>71</v>
      </c>
    </row>
    <row r="66" spans="1:13" ht="31.5" customHeight="1" thickBot="1" x14ac:dyDescent="0.3">
      <c r="A66" s="62">
        <v>1709217218</v>
      </c>
      <c r="B66" s="63" t="s">
        <v>131</v>
      </c>
      <c r="C66" s="64">
        <f t="shared" si="0"/>
        <v>58</v>
      </c>
      <c r="D66" s="65">
        <v>2</v>
      </c>
      <c r="E66" s="66" t="s">
        <v>132</v>
      </c>
      <c r="F66" s="67">
        <v>581.22</v>
      </c>
      <c r="G66" s="68">
        <v>581.22</v>
      </c>
      <c r="H66" s="68">
        <v>581.22</v>
      </c>
      <c r="I66" s="68">
        <v>581.22</v>
      </c>
      <c r="J66" s="68">
        <v>581.22</v>
      </c>
      <c r="K66" s="68">
        <v>581.22</v>
      </c>
      <c r="L66" s="69">
        <v>40544</v>
      </c>
      <c r="M66" s="72" t="s">
        <v>56</v>
      </c>
    </row>
    <row r="67" spans="1:13" ht="31.5" customHeight="1" thickBot="1" x14ac:dyDescent="0.3">
      <c r="A67" s="62">
        <v>1103844682</v>
      </c>
      <c r="B67" s="63" t="s">
        <v>133</v>
      </c>
      <c r="C67" s="64">
        <f t="shared" si="0"/>
        <v>59</v>
      </c>
      <c r="D67" s="65">
        <v>1</v>
      </c>
      <c r="E67" s="66" t="s">
        <v>54</v>
      </c>
      <c r="F67" s="67">
        <v>565.22</v>
      </c>
      <c r="G67" s="68">
        <v>565.22</v>
      </c>
      <c r="H67" s="68">
        <v>565.22</v>
      </c>
      <c r="I67" s="68">
        <v>565.22</v>
      </c>
      <c r="J67" s="68">
        <v>565.22</v>
      </c>
      <c r="K67" s="68">
        <v>565.22</v>
      </c>
      <c r="L67" s="69">
        <v>40544</v>
      </c>
      <c r="M67" s="72" t="s">
        <v>435</v>
      </c>
    </row>
    <row r="68" spans="1:13" ht="31.5" customHeight="1" thickBot="1" x14ac:dyDescent="0.3">
      <c r="A68" s="62">
        <v>1101340253</v>
      </c>
      <c r="B68" s="63" t="s">
        <v>451</v>
      </c>
      <c r="C68" s="64">
        <f t="shared" si="0"/>
        <v>60</v>
      </c>
      <c r="D68" s="65">
        <v>4</v>
      </c>
      <c r="E68" s="66" t="s">
        <v>68</v>
      </c>
      <c r="F68" s="67">
        <v>876</v>
      </c>
      <c r="G68" s="67">
        <v>876</v>
      </c>
      <c r="H68" s="67">
        <v>876</v>
      </c>
      <c r="I68" s="67">
        <v>876</v>
      </c>
      <c r="J68" s="67">
        <v>876</v>
      </c>
      <c r="K68" s="68"/>
      <c r="L68" s="69">
        <v>29768</v>
      </c>
      <c r="M68" s="72" t="s">
        <v>452</v>
      </c>
    </row>
    <row r="69" spans="1:13" ht="31.5" customHeight="1" thickBot="1" x14ac:dyDescent="0.3">
      <c r="A69" s="62">
        <v>1102471867</v>
      </c>
      <c r="B69" s="63" t="s">
        <v>134</v>
      </c>
      <c r="C69" s="64">
        <f t="shared" si="0"/>
        <v>61</v>
      </c>
      <c r="D69" s="65">
        <v>1</v>
      </c>
      <c r="E69" s="66" t="s">
        <v>64</v>
      </c>
      <c r="F69" s="67">
        <v>565.22</v>
      </c>
      <c r="G69" s="68">
        <v>565.22</v>
      </c>
      <c r="H69" s="68">
        <v>565.22</v>
      </c>
      <c r="I69" s="68">
        <v>565.22</v>
      </c>
      <c r="J69" s="68">
        <v>565.22</v>
      </c>
      <c r="K69" s="68">
        <v>565.22</v>
      </c>
      <c r="L69" s="69">
        <v>40725</v>
      </c>
      <c r="M69" s="72" t="s">
        <v>60</v>
      </c>
    </row>
    <row r="70" spans="1:13" ht="31.5" customHeight="1" thickBot="1" x14ac:dyDescent="0.3">
      <c r="A70" s="62">
        <v>1103633390</v>
      </c>
      <c r="B70" s="63" t="s">
        <v>135</v>
      </c>
      <c r="C70" s="64">
        <f t="shared" si="0"/>
        <v>62</v>
      </c>
      <c r="D70" s="65">
        <v>1</v>
      </c>
      <c r="E70" s="66" t="s">
        <v>84</v>
      </c>
      <c r="F70" s="67">
        <v>565.22</v>
      </c>
      <c r="G70" s="68">
        <v>565.22</v>
      </c>
      <c r="H70" s="68">
        <v>565.22</v>
      </c>
      <c r="I70" s="68">
        <v>565.22</v>
      </c>
      <c r="J70" s="68">
        <v>565.22</v>
      </c>
      <c r="K70" s="68">
        <v>565.22</v>
      </c>
      <c r="L70" s="69">
        <v>41640</v>
      </c>
      <c r="M70" s="72" t="s">
        <v>87</v>
      </c>
    </row>
    <row r="71" spans="1:13" ht="31.5" customHeight="1" thickBot="1" x14ac:dyDescent="0.3">
      <c r="A71" s="62">
        <v>1102911268</v>
      </c>
      <c r="B71" s="63" t="s">
        <v>136</v>
      </c>
      <c r="C71" s="64">
        <f t="shared" si="0"/>
        <v>63</v>
      </c>
      <c r="D71" s="65">
        <v>2</v>
      </c>
      <c r="E71" s="66" t="s">
        <v>59</v>
      </c>
      <c r="F71" s="67">
        <v>581.22</v>
      </c>
      <c r="G71" s="68">
        <v>581.22</v>
      </c>
      <c r="H71" s="68">
        <v>581.22</v>
      </c>
      <c r="I71" s="68">
        <v>581.22</v>
      </c>
      <c r="J71" s="68">
        <v>581.22</v>
      </c>
      <c r="K71" s="68">
        <v>581.22</v>
      </c>
      <c r="L71" s="69">
        <v>40544</v>
      </c>
      <c r="M71" s="72" t="s">
        <v>60</v>
      </c>
    </row>
    <row r="72" spans="1:13" ht="31.5" customHeight="1" thickBot="1" x14ac:dyDescent="0.3">
      <c r="A72" s="62">
        <v>1102699541</v>
      </c>
      <c r="B72" s="63" t="s">
        <v>137</v>
      </c>
      <c r="C72" s="64">
        <f t="shared" si="0"/>
        <v>64</v>
      </c>
      <c r="D72" s="65">
        <v>1</v>
      </c>
      <c r="E72" s="66" t="s">
        <v>70</v>
      </c>
      <c r="F72" s="67">
        <v>821.72</v>
      </c>
      <c r="G72" s="68">
        <v>821.72</v>
      </c>
      <c r="H72" s="68">
        <v>821.72</v>
      </c>
      <c r="I72" s="68">
        <v>821.72</v>
      </c>
      <c r="J72" s="68">
        <v>821.72</v>
      </c>
      <c r="K72" s="68">
        <v>821.72</v>
      </c>
      <c r="L72" s="69">
        <v>36787</v>
      </c>
      <c r="M72" s="72" t="s">
        <v>71</v>
      </c>
    </row>
    <row r="73" spans="1:13" ht="31.5" customHeight="1" thickBot="1" x14ac:dyDescent="0.3">
      <c r="A73" s="62">
        <v>1101299228</v>
      </c>
      <c r="B73" s="63" t="s">
        <v>453</v>
      </c>
      <c r="C73" s="64">
        <f t="shared" si="0"/>
        <v>65</v>
      </c>
      <c r="D73" s="65">
        <v>1</v>
      </c>
      <c r="E73" s="66" t="s">
        <v>166</v>
      </c>
      <c r="F73" s="67">
        <v>565.22</v>
      </c>
      <c r="G73" s="67">
        <v>565.22</v>
      </c>
      <c r="H73" s="67">
        <v>565.22</v>
      </c>
      <c r="I73" s="67">
        <v>565.22</v>
      </c>
      <c r="J73" s="67">
        <v>565.22</v>
      </c>
      <c r="K73" s="68"/>
      <c r="L73" s="69">
        <v>40544</v>
      </c>
      <c r="M73" s="72" t="s">
        <v>454</v>
      </c>
    </row>
    <row r="74" spans="1:13" ht="31.5" customHeight="1" thickBot="1" x14ac:dyDescent="0.3">
      <c r="A74" s="62">
        <v>1103299457</v>
      </c>
      <c r="B74" s="63" t="s">
        <v>138</v>
      </c>
      <c r="C74" s="64">
        <f t="shared" si="0"/>
        <v>66</v>
      </c>
      <c r="D74" s="65">
        <v>1</v>
      </c>
      <c r="E74" s="66" t="s">
        <v>82</v>
      </c>
      <c r="F74" s="67">
        <v>565.22</v>
      </c>
      <c r="G74" s="68">
        <v>565.22</v>
      </c>
      <c r="H74" s="68">
        <v>565.22</v>
      </c>
      <c r="I74" s="68">
        <v>565.22</v>
      </c>
      <c r="J74" s="68">
        <v>565.22</v>
      </c>
      <c r="K74" s="68">
        <v>565.22</v>
      </c>
      <c r="L74" s="69">
        <v>38322</v>
      </c>
      <c r="M74" s="72" t="s">
        <v>56</v>
      </c>
    </row>
    <row r="75" spans="1:13" ht="31.5" customHeight="1" thickBot="1" x14ac:dyDescent="0.3">
      <c r="A75" s="62">
        <v>1102765862</v>
      </c>
      <c r="B75" s="63" t="s">
        <v>139</v>
      </c>
      <c r="C75" s="64">
        <f t="shared" ref="C75:C138" si="1">C74+1</f>
        <v>67</v>
      </c>
      <c r="D75" s="65">
        <v>1</v>
      </c>
      <c r="E75" s="66" t="s">
        <v>82</v>
      </c>
      <c r="F75" s="67">
        <v>565.22</v>
      </c>
      <c r="G75" s="68">
        <v>565.22</v>
      </c>
      <c r="H75" s="68">
        <v>565.22</v>
      </c>
      <c r="I75" s="68">
        <v>565.22</v>
      </c>
      <c r="J75" s="68">
        <v>565.22</v>
      </c>
      <c r="K75" s="68">
        <v>565.22</v>
      </c>
      <c r="L75" s="69">
        <v>40544</v>
      </c>
      <c r="M75" s="72" t="s">
        <v>56</v>
      </c>
    </row>
    <row r="76" spans="1:13" ht="31.5" customHeight="1" thickBot="1" x14ac:dyDescent="0.3">
      <c r="A76" s="62">
        <v>1101378675</v>
      </c>
      <c r="B76" s="63" t="s">
        <v>140</v>
      </c>
      <c r="C76" s="64">
        <f t="shared" si="1"/>
        <v>68</v>
      </c>
      <c r="D76" s="65">
        <v>2</v>
      </c>
      <c r="E76" s="66" t="s">
        <v>141</v>
      </c>
      <c r="F76" s="67">
        <v>581.22</v>
      </c>
      <c r="G76" s="68">
        <v>581.22</v>
      </c>
      <c r="H76" s="68">
        <v>581.22</v>
      </c>
      <c r="I76" s="68">
        <v>581.22</v>
      </c>
      <c r="J76" s="68">
        <v>581.22</v>
      </c>
      <c r="K76" s="68">
        <v>581.22</v>
      </c>
      <c r="L76" s="69">
        <v>40544</v>
      </c>
      <c r="M76" s="72" t="s">
        <v>56</v>
      </c>
    </row>
    <row r="77" spans="1:13" ht="31.5" customHeight="1" thickBot="1" x14ac:dyDescent="0.3">
      <c r="A77" s="62">
        <v>1103637862</v>
      </c>
      <c r="B77" s="63" t="s">
        <v>142</v>
      </c>
      <c r="C77" s="64">
        <f t="shared" si="1"/>
        <v>69</v>
      </c>
      <c r="D77" s="65">
        <v>1</v>
      </c>
      <c r="E77" s="66" t="s">
        <v>70</v>
      </c>
      <c r="F77" s="67">
        <v>615.22</v>
      </c>
      <c r="G77" s="68">
        <v>615.22</v>
      </c>
      <c r="H77" s="68">
        <v>615.22</v>
      </c>
      <c r="I77" s="68">
        <v>615.22</v>
      </c>
      <c r="J77" s="68">
        <v>615.22</v>
      </c>
      <c r="K77" s="68">
        <v>615.22</v>
      </c>
      <c r="L77" s="69">
        <v>40544</v>
      </c>
      <c r="M77" s="72" t="s">
        <v>71</v>
      </c>
    </row>
    <row r="78" spans="1:13" ht="31.5" customHeight="1" thickBot="1" x14ac:dyDescent="0.3">
      <c r="A78" s="62">
        <v>1103072201</v>
      </c>
      <c r="B78" s="63" t="s">
        <v>143</v>
      </c>
      <c r="C78" s="64">
        <f t="shared" si="1"/>
        <v>70</v>
      </c>
      <c r="D78" s="65">
        <v>4</v>
      </c>
      <c r="E78" s="66" t="s">
        <v>68</v>
      </c>
      <c r="F78" s="67">
        <v>653.64</v>
      </c>
      <c r="G78" s="68">
        <v>653.64</v>
      </c>
      <c r="H78" s="68">
        <v>653.64</v>
      </c>
      <c r="I78" s="68">
        <v>653.64</v>
      </c>
      <c r="J78" s="68">
        <v>653.64</v>
      </c>
      <c r="K78" s="68">
        <v>653.64</v>
      </c>
      <c r="L78" s="69">
        <v>38322</v>
      </c>
      <c r="M78" s="72" t="s">
        <v>56</v>
      </c>
    </row>
    <row r="79" spans="1:13" ht="31.5" customHeight="1" thickBot="1" x14ac:dyDescent="0.3">
      <c r="A79" s="62">
        <v>1103424899</v>
      </c>
      <c r="B79" s="63" t="s">
        <v>144</v>
      </c>
      <c r="C79" s="64">
        <f t="shared" si="1"/>
        <v>71</v>
      </c>
      <c r="D79" s="65">
        <v>1</v>
      </c>
      <c r="E79" s="66" t="s">
        <v>82</v>
      </c>
      <c r="F79" s="67">
        <v>565.22</v>
      </c>
      <c r="G79" s="68">
        <v>565.22</v>
      </c>
      <c r="H79" s="68">
        <v>565.22</v>
      </c>
      <c r="I79" s="68">
        <v>565.22</v>
      </c>
      <c r="J79" s="68">
        <v>565.22</v>
      </c>
      <c r="K79" s="68">
        <v>565.22</v>
      </c>
      <c r="L79" s="69">
        <v>40544</v>
      </c>
      <c r="M79" s="72" t="s">
        <v>435</v>
      </c>
    </row>
    <row r="80" spans="1:13" ht="31.5" customHeight="1" thickBot="1" x14ac:dyDescent="0.3">
      <c r="A80" s="62">
        <v>1711216083</v>
      </c>
      <c r="B80" s="63" t="s">
        <v>145</v>
      </c>
      <c r="C80" s="64">
        <f t="shared" si="1"/>
        <v>72</v>
      </c>
      <c r="D80" s="65">
        <v>2</v>
      </c>
      <c r="E80" s="66" t="s">
        <v>59</v>
      </c>
      <c r="F80" s="67">
        <v>581.22</v>
      </c>
      <c r="G80" s="68">
        <v>581.22</v>
      </c>
      <c r="H80" s="68">
        <v>581.22</v>
      </c>
      <c r="I80" s="68">
        <v>581.22</v>
      </c>
      <c r="J80" s="68">
        <v>581.22</v>
      </c>
      <c r="K80" s="68">
        <v>581.22</v>
      </c>
      <c r="L80" s="69">
        <v>40544</v>
      </c>
      <c r="M80" s="72" t="s">
        <v>60</v>
      </c>
    </row>
    <row r="81" spans="1:13" ht="31.5" customHeight="1" thickBot="1" x14ac:dyDescent="0.3">
      <c r="A81" s="62">
        <v>1309027827</v>
      </c>
      <c r="B81" s="63" t="s">
        <v>146</v>
      </c>
      <c r="C81" s="64">
        <f t="shared" si="1"/>
        <v>73</v>
      </c>
      <c r="D81" s="65">
        <v>2</v>
      </c>
      <c r="E81" s="66" t="s">
        <v>59</v>
      </c>
      <c r="F81" s="67">
        <v>581.22</v>
      </c>
      <c r="G81" s="68">
        <v>581.22</v>
      </c>
      <c r="H81" s="68">
        <v>581.22</v>
      </c>
      <c r="I81" s="68">
        <v>581.22</v>
      </c>
      <c r="J81" s="68">
        <v>581.22</v>
      </c>
      <c r="K81" s="68">
        <v>581.22</v>
      </c>
      <c r="L81" s="69">
        <v>40544</v>
      </c>
      <c r="M81" s="72" t="s">
        <v>60</v>
      </c>
    </row>
    <row r="82" spans="1:13" ht="31.5" customHeight="1" thickBot="1" x14ac:dyDescent="0.3">
      <c r="A82" s="62">
        <v>1900135649</v>
      </c>
      <c r="B82" s="63" t="s">
        <v>147</v>
      </c>
      <c r="C82" s="64">
        <f t="shared" si="1"/>
        <v>74</v>
      </c>
      <c r="D82" s="65">
        <v>4</v>
      </c>
      <c r="E82" s="66" t="s">
        <v>68</v>
      </c>
      <c r="F82" s="67">
        <v>694.1</v>
      </c>
      <c r="G82" s="68">
        <v>694.1</v>
      </c>
      <c r="H82" s="68">
        <v>694.1</v>
      </c>
      <c r="I82" s="68">
        <v>694.1</v>
      </c>
      <c r="J82" s="68">
        <v>694.1</v>
      </c>
      <c r="K82" s="68">
        <v>694.1</v>
      </c>
      <c r="L82" s="69">
        <v>36388</v>
      </c>
      <c r="M82" s="72" t="s">
        <v>56</v>
      </c>
    </row>
    <row r="83" spans="1:13" ht="31.5" customHeight="1" thickBot="1" x14ac:dyDescent="0.3">
      <c r="A83" s="62">
        <v>1103970909</v>
      </c>
      <c r="B83" s="63" t="s">
        <v>148</v>
      </c>
      <c r="C83" s="64">
        <f t="shared" si="1"/>
        <v>75</v>
      </c>
      <c r="D83" s="65">
        <v>3</v>
      </c>
      <c r="E83" s="66" t="s">
        <v>66</v>
      </c>
      <c r="F83" s="67"/>
      <c r="G83" s="68"/>
      <c r="H83" s="68"/>
      <c r="I83" s="68">
        <v>598.22</v>
      </c>
      <c r="J83" s="68">
        <v>598.22</v>
      </c>
      <c r="K83" s="68">
        <v>598.22</v>
      </c>
      <c r="L83" s="69">
        <v>39934</v>
      </c>
      <c r="M83" s="72" t="s">
        <v>439</v>
      </c>
    </row>
    <row r="84" spans="1:13" ht="31.5" customHeight="1" thickBot="1" x14ac:dyDescent="0.3">
      <c r="A84" s="62">
        <v>1103544423</v>
      </c>
      <c r="B84" s="63" t="s">
        <v>149</v>
      </c>
      <c r="C84" s="64">
        <f t="shared" si="1"/>
        <v>76</v>
      </c>
      <c r="D84" s="65">
        <v>3</v>
      </c>
      <c r="E84" s="66" t="s">
        <v>66</v>
      </c>
      <c r="F84" s="67"/>
      <c r="G84" s="68"/>
      <c r="H84" s="68"/>
      <c r="I84" s="68">
        <v>598.22</v>
      </c>
      <c r="J84" s="68">
        <v>598.22</v>
      </c>
      <c r="K84" s="68">
        <v>598.22</v>
      </c>
      <c r="L84" s="69">
        <v>39539</v>
      </c>
      <c r="M84" s="72" t="s">
        <v>439</v>
      </c>
    </row>
    <row r="85" spans="1:13" ht="31.5" customHeight="1" thickBot="1" x14ac:dyDescent="0.3">
      <c r="A85" s="62">
        <v>1103641385</v>
      </c>
      <c r="B85" s="63" t="s">
        <v>150</v>
      </c>
      <c r="C85" s="64">
        <f t="shared" si="1"/>
        <v>77</v>
      </c>
      <c r="D85" s="65">
        <v>8</v>
      </c>
      <c r="E85" s="66" t="s">
        <v>151</v>
      </c>
      <c r="F85" s="67"/>
      <c r="G85" s="68"/>
      <c r="H85" s="68"/>
      <c r="I85" s="68">
        <v>901</v>
      </c>
      <c r="J85" s="68">
        <v>901</v>
      </c>
      <c r="K85" s="68">
        <v>901</v>
      </c>
      <c r="L85" s="69">
        <v>41641</v>
      </c>
      <c r="M85" s="72" t="s">
        <v>439</v>
      </c>
    </row>
    <row r="86" spans="1:13" ht="31.5" customHeight="1" thickBot="1" x14ac:dyDescent="0.3">
      <c r="A86" s="62">
        <v>1103647184</v>
      </c>
      <c r="B86" s="63" t="s">
        <v>152</v>
      </c>
      <c r="C86" s="64">
        <f t="shared" si="1"/>
        <v>78</v>
      </c>
      <c r="D86" s="65">
        <v>4</v>
      </c>
      <c r="E86" s="66" t="s">
        <v>68</v>
      </c>
      <c r="F86" s="67">
        <v>615.22</v>
      </c>
      <c r="G86" s="68">
        <v>615.22</v>
      </c>
      <c r="H86" s="68">
        <v>615.22</v>
      </c>
      <c r="I86" s="68">
        <v>615.22</v>
      </c>
      <c r="J86" s="68">
        <v>615.22</v>
      </c>
      <c r="K86" s="68">
        <v>615.22</v>
      </c>
      <c r="L86" s="69">
        <v>40544</v>
      </c>
      <c r="M86" s="72" t="s">
        <v>435</v>
      </c>
    </row>
    <row r="87" spans="1:13" ht="31.5" customHeight="1" thickBot="1" x14ac:dyDescent="0.3">
      <c r="A87" s="62">
        <v>1101090494</v>
      </c>
      <c r="B87" s="63" t="s">
        <v>153</v>
      </c>
      <c r="C87" s="64">
        <f t="shared" si="1"/>
        <v>79</v>
      </c>
      <c r="D87" s="65">
        <v>1</v>
      </c>
      <c r="E87" s="66" t="s">
        <v>54</v>
      </c>
      <c r="F87" s="67"/>
      <c r="G87" s="68"/>
      <c r="H87" s="68">
        <v>582</v>
      </c>
      <c r="I87" s="68">
        <v>582</v>
      </c>
      <c r="J87" s="68">
        <v>582</v>
      </c>
      <c r="K87" s="68">
        <v>582</v>
      </c>
      <c r="L87" s="69">
        <v>39879</v>
      </c>
      <c r="M87" s="72" t="s">
        <v>455</v>
      </c>
    </row>
    <row r="88" spans="1:13" ht="31.5" customHeight="1" thickBot="1" x14ac:dyDescent="0.3">
      <c r="A88" s="62">
        <v>1103381669</v>
      </c>
      <c r="B88" s="63" t="s">
        <v>154</v>
      </c>
      <c r="C88" s="64">
        <f t="shared" si="1"/>
        <v>80</v>
      </c>
      <c r="D88" s="65">
        <v>3</v>
      </c>
      <c r="E88" s="66" t="s">
        <v>155</v>
      </c>
      <c r="F88" s="67"/>
      <c r="G88" s="68"/>
      <c r="H88" s="68"/>
      <c r="I88" s="68">
        <v>598</v>
      </c>
      <c r="J88" s="68">
        <v>598</v>
      </c>
      <c r="K88" s="68">
        <v>598</v>
      </c>
      <c r="L88" s="69">
        <v>41640</v>
      </c>
      <c r="M88" s="72" t="s">
        <v>440</v>
      </c>
    </row>
    <row r="89" spans="1:13" ht="31.5" customHeight="1" thickBot="1" x14ac:dyDescent="0.3">
      <c r="A89" s="62">
        <v>1102589072</v>
      </c>
      <c r="B89" s="63" t="s">
        <v>156</v>
      </c>
      <c r="C89" s="64">
        <f t="shared" si="1"/>
        <v>81</v>
      </c>
      <c r="D89" s="65">
        <v>3</v>
      </c>
      <c r="E89" s="66" t="s">
        <v>155</v>
      </c>
      <c r="F89" s="67"/>
      <c r="G89" s="68"/>
      <c r="H89" s="68"/>
      <c r="I89" s="68">
        <v>598</v>
      </c>
      <c r="J89" s="68">
        <v>598</v>
      </c>
      <c r="K89" s="68">
        <v>598</v>
      </c>
      <c r="L89" s="69">
        <v>41640</v>
      </c>
      <c r="M89" s="72" t="s">
        <v>440</v>
      </c>
    </row>
    <row r="90" spans="1:13" ht="31.5" customHeight="1" thickBot="1" x14ac:dyDescent="0.3">
      <c r="A90" s="62">
        <v>1103300024</v>
      </c>
      <c r="B90" s="63" t="s">
        <v>157</v>
      </c>
      <c r="C90" s="64">
        <f t="shared" si="1"/>
        <v>82</v>
      </c>
      <c r="D90" s="65">
        <v>2</v>
      </c>
      <c r="E90" s="66" t="s">
        <v>158</v>
      </c>
      <c r="F90" s="67"/>
      <c r="G90" s="68"/>
      <c r="H90" s="68"/>
      <c r="I90" s="68">
        <v>581.22</v>
      </c>
      <c r="J90" s="68">
        <v>581.22</v>
      </c>
      <c r="K90" s="68">
        <v>581.22</v>
      </c>
      <c r="L90" s="75">
        <v>38322</v>
      </c>
      <c r="M90" s="72" t="s">
        <v>456</v>
      </c>
    </row>
    <row r="91" spans="1:13" ht="31.5" customHeight="1" thickBot="1" x14ac:dyDescent="0.3">
      <c r="A91" s="62">
        <v>1103229082</v>
      </c>
      <c r="B91" s="63" t="s">
        <v>159</v>
      </c>
      <c r="C91" s="64">
        <f t="shared" si="1"/>
        <v>83</v>
      </c>
      <c r="D91" s="65">
        <v>3</v>
      </c>
      <c r="E91" s="66" t="s">
        <v>66</v>
      </c>
      <c r="F91" s="67">
        <v>598.22</v>
      </c>
      <c r="G91" s="68">
        <v>598.22</v>
      </c>
      <c r="H91" s="68">
        <v>598.22</v>
      </c>
      <c r="I91" s="68">
        <v>598.22</v>
      </c>
      <c r="J91" s="68">
        <v>598.22</v>
      </c>
      <c r="K91" s="68">
        <v>598.22</v>
      </c>
      <c r="L91" s="69">
        <v>40544</v>
      </c>
      <c r="M91" s="72" t="s">
        <v>56</v>
      </c>
    </row>
    <row r="92" spans="1:13" ht="31.5" customHeight="1" thickBot="1" x14ac:dyDescent="0.3">
      <c r="A92" s="62">
        <v>1102782990</v>
      </c>
      <c r="B92" s="63" t="s">
        <v>160</v>
      </c>
      <c r="C92" s="64">
        <f t="shared" si="1"/>
        <v>84</v>
      </c>
      <c r="D92" s="65">
        <v>4</v>
      </c>
      <c r="E92" s="66" t="s">
        <v>68</v>
      </c>
      <c r="F92" s="67">
        <v>615.22</v>
      </c>
      <c r="G92" s="68">
        <v>615.22</v>
      </c>
      <c r="H92" s="68">
        <v>615.22</v>
      </c>
      <c r="I92" s="68">
        <v>615.22</v>
      </c>
      <c r="J92" s="68">
        <v>615.22</v>
      </c>
      <c r="K92" s="68">
        <v>615.22</v>
      </c>
      <c r="L92" s="69">
        <v>38322</v>
      </c>
      <c r="M92" s="72" t="s">
        <v>56</v>
      </c>
    </row>
    <row r="93" spans="1:13" ht="31.5" customHeight="1" thickBot="1" x14ac:dyDescent="0.3">
      <c r="A93" s="62">
        <v>1104490592</v>
      </c>
      <c r="B93" s="63" t="s">
        <v>161</v>
      </c>
      <c r="C93" s="64">
        <f t="shared" si="1"/>
        <v>85</v>
      </c>
      <c r="D93" s="65">
        <v>1</v>
      </c>
      <c r="E93" s="66" t="s">
        <v>54</v>
      </c>
      <c r="F93" s="67">
        <v>565.22</v>
      </c>
      <c r="G93" s="68">
        <v>565.22</v>
      </c>
      <c r="H93" s="68">
        <v>565.22</v>
      </c>
      <c r="I93" s="68">
        <v>565.22</v>
      </c>
      <c r="J93" s="68">
        <v>565.22</v>
      </c>
      <c r="K93" s="68">
        <v>565.22</v>
      </c>
      <c r="L93" s="69">
        <v>40544</v>
      </c>
      <c r="M93" s="72" t="s">
        <v>56</v>
      </c>
    </row>
    <row r="94" spans="1:13" ht="31.5" customHeight="1" thickBot="1" x14ac:dyDescent="0.3">
      <c r="A94" s="62">
        <v>1101511796</v>
      </c>
      <c r="B94" s="63" t="s">
        <v>162</v>
      </c>
      <c r="C94" s="64">
        <f t="shared" si="1"/>
        <v>86</v>
      </c>
      <c r="D94" s="65">
        <v>1</v>
      </c>
      <c r="E94" s="66" t="s">
        <v>54</v>
      </c>
      <c r="F94" s="67"/>
      <c r="G94" s="68"/>
      <c r="H94" s="68">
        <v>582</v>
      </c>
      <c r="I94" s="68">
        <v>582</v>
      </c>
      <c r="J94" s="68">
        <v>582</v>
      </c>
      <c r="K94" s="68">
        <v>582</v>
      </c>
      <c r="L94" s="69">
        <v>39904</v>
      </c>
      <c r="M94" s="72" t="s">
        <v>455</v>
      </c>
    </row>
    <row r="95" spans="1:13" ht="31.5" customHeight="1" thickBot="1" x14ac:dyDescent="0.3">
      <c r="A95" s="62">
        <v>1103998934</v>
      </c>
      <c r="B95" s="63" t="s">
        <v>163</v>
      </c>
      <c r="C95" s="64">
        <f t="shared" si="1"/>
        <v>87</v>
      </c>
      <c r="D95" s="65">
        <v>1</v>
      </c>
      <c r="E95" s="66" t="s">
        <v>82</v>
      </c>
      <c r="F95" s="67">
        <v>565.22</v>
      </c>
      <c r="G95" s="68">
        <v>565.22</v>
      </c>
      <c r="H95" s="68">
        <v>565.22</v>
      </c>
      <c r="I95" s="68">
        <v>565.22</v>
      </c>
      <c r="J95" s="68">
        <v>565.22</v>
      </c>
      <c r="K95" s="68">
        <v>565.22</v>
      </c>
      <c r="L95" s="69">
        <v>40544</v>
      </c>
      <c r="M95" s="72" t="s">
        <v>56</v>
      </c>
    </row>
    <row r="96" spans="1:13" ht="31.5" customHeight="1" thickBot="1" x14ac:dyDescent="0.3">
      <c r="A96" s="62">
        <v>1104876238</v>
      </c>
      <c r="B96" s="63" t="s">
        <v>164</v>
      </c>
      <c r="C96" s="64">
        <f t="shared" si="1"/>
        <v>88</v>
      </c>
      <c r="D96" s="65">
        <v>1</v>
      </c>
      <c r="E96" s="66" t="s">
        <v>82</v>
      </c>
      <c r="F96" s="67">
        <v>565.22</v>
      </c>
      <c r="G96" s="68">
        <v>565.22</v>
      </c>
      <c r="H96" s="68">
        <v>565.22</v>
      </c>
      <c r="I96" s="68">
        <v>565.22</v>
      </c>
      <c r="J96" s="68">
        <v>565.22</v>
      </c>
      <c r="K96" s="68">
        <v>565.22</v>
      </c>
      <c r="L96" s="69">
        <v>40544</v>
      </c>
      <c r="M96" s="72" t="s">
        <v>56</v>
      </c>
    </row>
    <row r="97" spans="1:13" ht="31.5" customHeight="1" thickBot="1" x14ac:dyDescent="0.3">
      <c r="A97" s="62">
        <v>1101861993</v>
      </c>
      <c r="B97" s="63" t="s">
        <v>165</v>
      </c>
      <c r="C97" s="64">
        <f t="shared" si="1"/>
        <v>89</v>
      </c>
      <c r="D97" s="65">
        <v>1</v>
      </c>
      <c r="E97" s="66" t="s">
        <v>166</v>
      </c>
      <c r="F97" s="67">
        <v>565.22</v>
      </c>
      <c r="G97" s="68">
        <v>565.22</v>
      </c>
      <c r="H97" s="68">
        <v>565.22</v>
      </c>
      <c r="I97" s="68">
        <v>565.22</v>
      </c>
      <c r="J97" s="68">
        <v>565.22</v>
      </c>
      <c r="K97" s="68">
        <v>565.22</v>
      </c>
      <c r="L97" s="69">
        <v>40544</v>
      </c>
      <c r="M97" s="72" t="s">
        <v>60</v>
      </c>
    </row>
    <row r="98" spans="1:13" ht="31.5" customHeight="1" thickBot="1" x14ac:dyDescent="0.3">
      <c r="A98" s="62">
        <v>1101394045</v>
      </c>
      <c r="B98" s="63" t="s">
        <v>167</v>
      </c>
      <c r="C98" s="64">
        <f t="shared" si="1"/>
        <v>90</v>
      </c>
      <c r="D98" s="65">
        <v>1</v>
      </c>
      <c r="E98" s="66" t="s">
        <v>54</v>
      </c>
      <c r="F98" s="67">
        <v>631.16000000000008</v>
      </c>
      <c r="G98" s="68">
        <v>631.16000000000008</v>
      </c>
      <c r="H98" s="68">
        <v>631.16000000000008</v>
      </c>
      <c r="I98" s="68">
        <v>631.16000000000008</v>
      </c>
      <c r="J98" s="68">
        <v>631.16000000000008</v>
      </c>
      <c r="K98" s="68">
        <v>631.16000000000008</v>
      </c>
      <c r="L98" s="69">
        <v>38322</v>
      </c>
      <c r="M98" s="72" t="s">
        <v>56</v>
      </c>
    </row>
    <row r="99" spans="1:13" ht="31.5" customHeight="1" thickBot="1" x14ac:dyDescent="0.3">
      <c r="A99" s="62">
        <v>1102620976</v>
      </c>
      <c r="B99" s="63" t="s">
        <v>168</v>
      </c>
      <c r="C99" s="64">
        <f t="shared" si="1"/>
        <v>91</v>
      </c>
      <c r="D99" s="65">
        <v>4</v>
      </c>
      <c r="E99" s="66" t="s">
        <v>68</v>
      </c>
      <c r="F99" s="67"/>
      <c r="G99" s="68"/>
      <c r="H99" s="68"/>
      <c r="I99" s="68">
        <v>598</v>
      </c>
      <c r="J99" s="68">
        <v>598</v>
      </c>
      <c r="K99" s="68">
        <v>598</v>
      </c>
      <c r="L99" s="69">
        <v>41640</v>
      </c>
      <c r="M99" s="72" t="s">
        <v>440</v>
      </c>
    </row>
    <row r="100" spans="1:13" ht="31.5" customHeight="1" thickBot="1" x14ac:dyDescent="0.3">
      <c r="A100" s="62">
        <v>1104419385</v>
      </c>
      <c r="B100" s="63" t="s">
        <v>169</v>
      </c>
      <c r="C100" s="64">
        <f t="shared" si="1"/>
        <v>92</v>
      </c>
      <c r="D100" s="65">
        <v>1</v>
      </c>
      <c r="E100" s="66" t="s">
        <v>54</v>
      </c>
      <c r="F100" s="67">
        <v>565.22</v>
      </c>
      <c r="G100" s="68">
        <v>565.22</v>
      </c>
      <c r="H100" s="68">
        <v>565.22</v>
      </c>
      <c r="I100" s="68">
        <v>565.22</v>
      </c>
      <c r="J100" s="68">
        <v>565.22</v>
      </c>
      <c r="K100" s="68">
        <v>565.22</v>
      </c>
      <c r="L100" s="69">
        <v>40544</v>
      </c>
      <c r="M100" s="72" t="s">
        <v>56</v>
      </c>
    </row>
    <row r="101" spans="1:13" ht="31.5" customHeight="1" thickBot="1" x14ac:dyDescent="0.3">
      <c r="A101" s="62">
        <v>1103032601</v>
      </c>
      <c r="B101" s="63" t="s">
        <v>170</v>
      </c>
      <c r="C101" s="64">
        <f t="shared" si="1"/>
        <v>93</v>
      </c>
      <c r="D101" s="65">
        <v>1</v>
      </c>
      <c r="E101" s="66" t="s">
        <v>54</v>
      </c>
      <c r="F101" s="67"/>
      <c r="G101" s="68"/>
      <c r="H101" s="68">
        <v>582</v>
      </c>
      <c r="I101" s="68">
        <v>582</v>
      </c>
      <c r="J101" s="68">
        <v>582</v>
      </c>
      <c r="K101" s="68">
        <v>582</v>
      </c>
      <c r="L101" s="69">
        <v>39879</v>
      </c>
      <c r="M101" s="72" t="s">
        <v>455</v>
      </c>
    </row>
    <row r="102" spans="1:13" ht="31.5" customHeight="1" thickBot="1" x14ac:dyDescent="0.3">
      <c r="A102" s="62">
        <v>1900447911</v>
      </c>
      <c r="B102" s="63" t="s">
        <v>171</v>
      </c>
      <c r="C102" s="64">
        <f t="shared" si="1"/>
        <v>94</v>
      </c>
      <c r="D102" s="65">
        <v>2</v>
      </c>
      <c r="E102" s="66" t="s">
        <v>59</v>
      </c>
      <c r="F102" s="67">
        <v>581.22</v>
      </c>
      <c r="G102" s="68">
        <v>581.22</v>
      </c>
      <c r="H102" s="68">
        <v>581.22</v>
      </c>
      <c r="I102" s="68">
        <v>581.22</v>
      </c>
      <c r="J102" s="68">
        <v>581.22</v>
      </c>
      <c r="K102" s="68">
        <v>581.22</v>
      </c>
      <c r="L102" s="69">
        <v>40544</v>
      </c>
      <c r="M102" s="72" t="s">
        <v>56</v>
      </c>
    </row>
    <row r="103" spans="1:13" ht="31.5" customHeight="1" thickBot="1" x14ac:dyDescent="0.3">
      <c r="A103" s="62">
        <v>1102061858</v>
      </c>
      <c r="B103" s="63" t="s">
        <v>172</v>
      </c>
      <c r="C103" s="64">
        <f t="shared" si="1"/>
        <v>95</v>
      </c>
      <c r="D103" s="65">
        <v>1</v>
      </c>
      <c r="E103" s="66" t="s">
        <v>166</v>
      </c>
      <c r="F103" s="67">
        <v>565.22</v>
      </c>
      <c r="G103" s="68">
        <v>565.22</v>
      </c>
      <c r="H103" s="68">
        <v>565.22</v>
      </c>
      <c r="I103" s="68">
        <v>565.22</v>
      </c>
      <c r="J103" s="68">
        <v>565.22</v>
      </c>
      <c r="K103" s="68">
        <v>565.22</v>
      </c>
      <c r="L103" s="69">
        <v>40544</v>
      </c>
      <c r="M103" s="72" t="s">
        <v>60</v>
      </c>
    </row>
    <row r="104" spans="1:13" ht="31.5" customHeight="1" thickBot="1" x14ac:dyDescent="0.3">
      <c r="A104" s="62">
        <v>1100198934</v>
      </c>
      <c r="B104" s="63" t="s">
        <v>173</v>
      </c>
      <c r="C104" s="64">
        <f t="shared" si="1"/>
        <v>96</v>
      </c>
      <c r="D104" s="65">
        <v>1</v>
      </c>
      <c r="E104" s="66" t="s">
        <v>64</v>
      </c>
      <c r="F104" s="67">
        <v>565.22</v>
      </c>
      <c r="G104" s="68">
        <v>565.22</v>
      </c>
      <c r="H104" s="68">
        <v>565.22</v>
      </c>
      <c r="I104" s="68">
        <v>565.22</v>
      </c>
      <c r="J104" s="68">
        <v>565.22</v>
      </c>
      <c r="K104" s="68">
        <v>565.22</v>
      </c>
      <c r="L104" s="69">
        <v>40544</v>
      </c>
      <c r="M104" s="72" t="s">
        <v>56</v>
      </c>
    </row>
    <row r="105" spans="1:13" ht="31.5" customHeight="1" thickBot="1" x14ac:dyDescent="0.3">
      <c r="A105" s="62">
        <v>1100440138</v>
      </c>
      <c r="B105" s="63" t="s">
        <v>174</v>
      </c>
      <c r="C105" s="64">
        <f t="shared" si="1"/>
        <v>97</v>
      </c>
      <c r="D105" s="65">
        <v>4</v>
      </c>
      <c r="E105" s="66" t="s">
        <v>68</v>
      </c>
      <c r="F105" s="73">
        <v>900.59</v>
      </c>
      <c r="G105" s="74">
        <v>900.59</v>
      </c>
      <c r="H105" s="74">
        <v>900.59</v>
      </c>
      <c r="I105" s="74">
        <v>900.59</v>
      </c>
      <c r="J105" s="74">
        <v>900.59</v>
      </c>
      <c r="K105" s="74">
        <v>900.59</v>
      </c>
      <c r="L105" s="69">
        <v>30145</v>
      </c>
      <c r="M105" s="72" t="s">
        <v>56</v>
      </c>
    </row>
    <row r="106" spans="1:13" ht="31.5" customHeight="1" thickBot="1" x14ac:dyDescent="0.3">
      <c r="A106" s="62">
        <v>1100630399</v>
      </c>
      <c r="B106" s="63" t="s">
        <v>175</v>
      </c>
      <c r="C106" s="64">
        <f t="shared" si="1"/>
        <v>98</v>
      </c>
      <c r="D106" s="65">
        <v>2</v>
      </c>
      <c r="E106" s="66" t="s">
        <v>59</v>
      </c>
      <c r="F106" s="67">
        <v>581.22</v>
      </c>
      <c r="G106" s="68">
        <v>581.22</v>
      </c>
      <c r="H106" s="68">
        <v>581.22</v>
      </c>
      <c r="I106" s="68">
        <v>581.22</v>
      </c>
      <c r="J106" s="68">
        <v>581.22</v>
      </c>
      <c r="K106" s="68">
        <v>581.22</v>
      </c>
      <c r="L106" s="69">
        <v>40544</v>
      </c>
      <c r="M106" s="72" t="s">
        <v>60</v>
      </c>
    </row>
    <row r="107" spans="1:13" ht="31.5" customHeight="1" thickBot="1" x14ac:dyDescent="0.3">
      <c r="A107" s="62">
        <v>1101092268</v>
      </c>
      <c r="B107" s="63" t="s">
        <v>176</v>
      </c>
      <c r="C107" s="64">
        <f t="shared" si="1"/>
        <v>99</v>
      </c>
      <c r="D107" s="65">
        <v>2</v>
      </c>
      <c r="E107" s="66" t="s">
        <v>59</v>
      </c>
      <c r="F107" s="67">
        <v>581.22</v>
      </c>
      <c r="G107" s="68">
        <v>581.22</v>
      </c>
      <c r="H107" s="68">
        <v>581.22</v>
      </c>
      <c r="I107" s="68">
        <v>581.22</v>
      </c>
      <c r="J107" s="68">
        <v>581.22</v>
      </c>
      <c r="K107" s="68">
        <v>581.22</v>
      </c>
      <c r="L107" s="69">
        <v>40544</v>
      </c>
      <c r="M107" s="72" t="s">
        <v>60</v>
      </c>
    </row>
    <row r="108" spans="1:13" ht="31.5" customHeight="1" thickBot="1" x14ac:dyDescent="0.3">
      <c r="A108" s="62">
        <v>1103185565</v>
      </c>
      <c r="B108" s="63" t="s">
        <v>177</v>
      </c>
      <c r="C108" s="64">
        <f t="shared" si="1"/>
        <v>100</v>
      </c>
      <c r="D108" s="65">
        <v>1</v>
      </c>
      <c r="E108" s="66" t="s">
        <v>178</v>
      </c>
      <c r="F108" s="67">
        <v>565.22</v>
      </c>
      <c r="G108" s="68">
        <v>565.22</v>
      </c>
      <c r="H108" s="68">
        <v>565.22</v>
      </c>
      <c r="I108" s="68">
        <v>565.22</v>
      </c>
      <c r="J108" s="68">
        <v>565.22</v>
      </c>
      <c r="K108" s="68">
        <v>565.22</v>
      </c>
      <c r="L108" s="69">
        <v>40756</v>
      </c>
      <c r="M108" s="72" t="s">
        <v>435</v>
      </c>
    </row>
    <row r="109" spans="1:13" ht="31.5" customHeight="1" thickBot="1" x14ac:dyDescent="0.3">
      <c r="A109" s="62">
        <v>1102821483</v>
      </c>
      <c r="B109" s="63" t="s">
        <v>179</v>
      </c>
      <c r="C109" s="64">
        <f t="shared" si="1"/>
        <v>101</v>
      </c>
      <c r="D109" s="65">
        <v>4</v>
      </c>
      <c r="E109" s="66" t="s">
        <v>68</v>
      </c>
      <c r="F109" s="67">
        <v>627.22</v>
      </c>
      <c r="G109" s="68">
        <v>627.22</v>
      </c>
      <c r="H109" s="68">
        <v>627.22</v>
      </c>
      <c r="I109" s="68">
        <v>627.22</v>
      </c>
      <c r="J109" s="68">
        <v>627.22</v>
      </c>
      <c r="K109" s="68">
        <v>627.22</v>
      </c>
      <c r="L109" s="69">
        <v>40544</v>
      </c>
      <c r="M109" s="72" t="s">
        <v>56</v>
      </c>
    </row>
    <row r="110" spans="1:13" ht="31.5" customHeight="1" thickBot="1" x14ac:dyDescent="0.3">
      <c r="A110" s="62">
        <v>1102095864</v>
      </c>
      <c r="B110" s="63" t="s">
        <v>180</v>
      </c>
      <c r="C110" s="64">
        <f t="shared" si="1"/>
        <v>102</v>
      </c>
      <c r="D110" s="65">
        <v>1</v>
      </c>
      <c r="E110" s="66" t="s">
        <v>82</v>
      </c>
      <c r="F110" s="67">
        <v>565.22</v>
      </c>
      <c r="G110" s="68">
        <v>565.22</v>
      </c>
      <c r="H110" s="68">
        <v>565.22</v>
      </c>
      <c r="I110" s="68">
        <v>565.22</v>
      </c>
      <c r="J110" s="68">
        <v>565.22</v>
      </c>
      <c r="K110" s="68">
        <v>565.22</v>
      </c>
      <c r="L110" s="69">
        <v>39995</v>
      </c>
      <c r="M110" s="72" t="s">
        <v>56</v>
      </c>
    </row>
    <row r="111" spans="1:13" ht="31.5" customHeight="1" thickBot="1" x14ac:dyDescent="0.3">
      <c r="A111" s="62">
        <v>1102757075</v>
      </c>
      <c r="B111" s="63" t="s">
        <v>457</v>
      </c>
      <c r="C111" s="64">
        <f t="shared" si="1"/>
        <v>103</v>
      </c>
      <c r="D111" s="65">
        <v>4</v>
      </c>
      <c r="E111" s="66" t="s">
        <v>68</v>
      </c>
      <c r="F111" s="67">
        <v>615.22</v>
      </c>
      <c r="G111" s="67">
        <v>615.22</v>
      </c>
      <c r="H111" s="67">
        <v>615.22</v>
      </c>
      <c r="I111" s="68"/>
      <c r="J111" s="68"/>
      <c r="K111" s="68"/>
      <c r="L111" s="69">
        <v>40544</v>
      </c>
      <c r="M111" s="72" t="s">
        <v>458</v>
      </c>
    </row>
    <row r="112" spans="1:13" ht="31.5" customHeight="1" thickBot="1" x14ac:dyDescent="0.3">
      <c r="A112" s="62">
        <v>1103876833</v>
      </c>
      <c r="B112" s="63" t="s">
        <v>181</v>
      </c>
      <c r="C112" s="64">
        <f t="shared" si="1"/>
        <v>104</v>
      </c>
      <c r="D112" s="65">
        <v>8</v>
      </c>
      <c r="E112" s="66" t="s">
        <v>151</v>
      </c>
      <c r="F112" s="67"/>
      <c r="G112" s="68"/>
      <c r="H112" s="68"/>
      <c r="I112" s="68">
        <v>901</v>
      </c>
      <c r="J112" s="68">
        <v>901</v>
      </c>
      <c r="K112" s="68">
        <v>901</v>
      </c>
      <c r="L112" s="69">
        <v>41687</v>
      </c>
      <c r="M112" s="72" t="s">
        <v>439</v>
      </c>
    </row>
    <row r="113" spans="1:13" ht="31.5" customHeight="1" thickBot="1" x14ac:dyDescent="0.3">
      <c r="A113" s="62">
        <v>1103958805</v>
      </c>
      <c r="B113" s="63" t="s">
        <v>182</v>
      </c>
      <c r="C113" s="64">
        <f t="shared" si="1"/>
        <v>105</v>
      </c>
      <c r="D113" s="65">
        <v>3</v>
      </c>
      <c r="E113" s="66" t="s">
        <v>66</v>
      </c>
      <c r="F113" s="67"/>
      <c r="G113" s="68"/>
      <c r="H113" s="68"/>
      <c r="I113" s="68">
        <v>615.22</v>
      </c>
      <c r="J113" s="68">
        <v>615.22</v>
      </c>
      <c r="K113" s="68">
        <v>615.22</v>
      </c>
      <c r="L113" s="69">
        <v>38322</v>
      </c>
      <c r="M113" s="72" t="s">
        <v>439</v>
      </c>
    </row>
    <row r="114" spans="1:13" ht="31.5" customHeight="1" thickBot="1" x14ac:dyDescent="0.3">
      <c r="A114" s="62" t="s">
        <v>183</v>
      </c>
      <c r="B114" s="63" t="s">
        <v>184</v>
      </c>
      <c r="C114" s="64">
        <f t="shared" si="1"/>
        <v>106</v>
      </c>
      <c r="D114" s="65">
        <v>2</v>
      </c>
      <c r="E114" s="66" t="s">
        <v>141</v>
      </c>
      <c r="F114" s="67">
        <v>811.88</v>
      </c>
      <c r="G114" s="68">
        <v>811.88</v>
      </c>
      <c r="H114" s="68">
        <v>811.88</v>
      </c>
      <c r="I114" s="68">
        <v>811.88</v>
      </c>
      <c r="J114" s="68">
        <v>811.88</v>
      </c>
      <c r="K114" s="68">
        <v>811.88</v>
      </c>
      <c r="L114" s="69">
        <v>31364</v>
      </c>
      <c r="M114" s="72" t="s">
        <v>56</v>
      </c>
    </row>
    <row r="115" spans="1:13" ht="31.5" customHeight="1" thickBot="1" x14ac:dyDescent="0.3">
      <c r="A115" s="62">
        <v>1102980826</v>
      </c>
      <c r="B115" s="63" t="s">
        <v>185</v>
      </c>
      <c r="C115" s="64">
        <f t="shared" si="1"/>
        <v>107</v>
      </c>
      <c r="D115" s="65">
        <v>1</v>
      </c>
      <c r="E115" s="66" t="s">
        <v>186</v>
      </c>
      <c r="F115" s="67"/>
      <c r="G115" s="68"/>
      <c r="H115" s="68">
        <v>565.22</v>
      </c>
      <c r="I115" s="68">
        <v>565.22</v>
      </c>
      <c r="J115" s="68">
        <v>565.22</v>
      </c>
      <c r="K115" s="68">
        <v>565.22</v>
      </c>
      <c r="L115" s="69">
        <v>40544</v>
      </c>
      <c r="M115" s="72" t="s">
        <v>444</v>
      </c>
    </row>
    <row r="116" spans="1:13" ht="31.5" customHeight="1" thickBot="1" x14ac:dyDescent="0.3">
      <c r="A116" s="62">
        <v>1103067300</v>
      </c>
      <c r="B116" s="63" t="s">
        <v>187</v>
      </c>
      <c r="C116" s="64">
        <f t="shared" si="1"/>
        <v>108</v>
      </c>
      <c r="D116" s="65">
        <v>2</v>
      </c>
      <c r="E116" s="66" t="s">
        <v>59</v>
      </c>
      <c r="F116" s="67">
        <v>581.22</v>
      </c>
      <c r="G116" s="68">
        <v>581.22</v>
      </c>
      <c r="H116" s="68">
        <v>581.22</v>
      </c>
      <c r="I116" s="68">
        <v>581.22</v>
      </c>
      <c r="J116" s="68">
        <v>581.22</v>
      </c>
      <c r="K116" s="68">
        <v>581.22</v>
      </c>
      <c r="L116" s="69">
        <v>40544</v>
      </c>
      <c r="M116" s="72" t="s">
        <v>60</v>
      </c>
    </row>
    <row r="117" spans="1:13" ht="31.5" customHeight="1" thickBot="1" x14ac:dyDescent="0.3">
      <c r="A117" s="62">
        <v>1102189774</v>
      </c>
      <c r="B117" s="63" t="s">
        <v>188</v>
      </c>
      <c r="C117" s="64">
        <f t="shared" si="1"/>
        <v>109</v>
      </c>
      <c r="D117" s="65">
        <v>2</v>
      </c>
      <c r="E117" s="66" t="s">
        <v>132</v>
      </c>
      <c r="F117" s="67">
        <v>581.22</v>
      </c>
      <c r="G117" s="68">
        <v>581.22</v>
      </c>
      <c r="H117" s="68">
        <v>581.22</v>
      </c>
      <c r="I117" s="68">
        <v>581.22</v>
      </c>
      <c r="J117" s="68">
        <v>581.22</v>
      </c>
      <c r="K117" s="68">
        <v>581.22</v>
      </c>
      <c r="L117" s="69">
        <v>40544</v>
      </c>
      <c r="M117" s="72" t="s">
        <v>56</v>
      </c>
    </row>
    <row r="118" spans="1:13" ht="31.5" customHeight="1" thickBot="1" x14ac:dyDescent="0.3">
      <c r="A118" s="62">
        <v>1103910103</v>
      </c>
      <c r="B118" s="63" t="s">
        <v>189</v>
      </c>
      <c r="C118" s="64">
        <f t="shared" si="1"/>
        <v>110</v>
      </c>
      <c r="D118" s="65">
        <v>1</v>
      </c>
      <c r="E118" s="66" t="s">
        <v>73</v>
      </c>
      <c r="F118" s="67">
        <v>565.22</v>
      </c>
      <c r="G118" s="68">
        <v>565.22</v>
      </c>
      <c r="H118" s="68">
        <v>565.22</v>
      </c>
      <c r="I118" s="68">
        <v>565.22</v>
      </c>
      <c r="J118" s="68">
        <v>565.22</v>
      </c>
      <c r="K118" s="68">
        <v>565.22</v>
      </c>
      <c r="L118" s="69">
        <v>39995</v>
      </c>
      <c r="M118" s="72" t="s">
        <v>56</v>
      </c>
    </row>
    <row r="119" spans="1:13" ht="31.5" customHeight="1" thickBot="1" x14ac:dyDescent="0.3">
      <c r="A119" s="62">
        <v>1102876016</v>
      </c>
      <c r="B119" s="63" t="s">
        <v>190</v>
      </c>
      <c r="C119" s="64">
        <f t="shared" si="1"/>
        <v>111</v>
      </c>
      <c r="D119" s="65">
        <v>2</v>
      </c>
      <c r="E119" s="66" t="s">
        <v>191</v>
      </c>
      <c r="F119" s="67">
        <v>581.22</v>
      </c>
      <c r="G119" s="68">
        <v>581.22</v>
      </c>
      <c r="H119" s="68">
        <v>581.22</v>
      </c>
      <c r="I119" s="68">
        <v>581.22</v>
      </c>
      <c r="J119" s="68">
        <v>581.22</v>
      </c>
      <c r="K119" s="68">
        <v>581.22</v>
      </c>
      <c r="L119" s="69">
        <v>39995</v>
      </c>
      <c r="M119" s="72" t="s">
        <v>56</v>
      </c>
    </row>
    <row r="120" spans="1:13" ht="31.5" customHeight="1" thickBot="1" x14ac:dyDescent="0.3">
      <c r="A120" s="62">
        <v>1103016299</v>
      </c>
      <c r="B120" s="63" t="s">
        <v>192</v>
      </c>
      <c r="C120" s="64">
        <f t="shared" si="1"/>
        <v>112</v>
      </c>
      <c r="D120" s="65">
        <v>4</v>
      </c>
      <c r="E120" s="66" t="s">
        <v>68</v>
      </c>
      <c r="F120" s="67">
        <v>728.22</v>
      </c>
      <c r="G120" s="68">
        <v>728.22</v>
      </c>
      <c r="H120" s="68">
        <v>728.22</v>
      </c>
      <c r="I120" s="68">
        <v>728.22</v>
      </c>
      <c r="J120" s="68">
        <v>728.22</v>
      </c>
      <c r="K120" s="68">
        <v>728.22</v>
      </c>
      <c r="L120" s="69">
        <v>40909</v>
      </c>
      <c r="M120" s="72" t="s">
        <v>56</v>
      </c>
    </row>
    <row r="121" spans="1:13" ht="31.5" customHeight="1" thickBot="1" x14ac:dyDescent="0.3">
      <c r="A121" s="62">
        <v>1102810643</v>
      </c>
      <c r="B121" s="63" t="s">
        <v>193</v>
      </c>
      <c r="C121" s="64">
        <f t="shared" si="1"/>
        <v>113</v>
      </c>
      <c r="D121" s="65">
        <v>1</v>
      </c>
      <c r="E121" s="66" t="s">
        <v>54</v>
      </c>
      <c r="F121" s="67">
        <v>565.22</v>
      </c>
      <c r="G121" s="68">
        <v>565.22</v>
      </c>
      <c r="H121" s="68">
        <v>565.22</v>
      </c>
      <c r="I121" s="68">
        <v>565.22</v>
      </c>
      <c r="J121" s="68">
        <v>565.22</v>
      </c>
      <c r="K121" s="68">
        <v>565.22</v>
      </c>
      <c r="L121" s="69">
        <v>41279</v>
      </c>
      <c r="M121" s="72" t="s">
        <v>56</v>
      </c>
    </row>
    <row r="122" spans="1:13" ht="31.5" customHeight="1" thickBot="1" x14ac:dyDescent="0.3">
      <c r="A122" s="62">
        <v>1103142020</v>
      </c>
      <c r="B122" s="63" t="s">
        <v>194</v>
      </c>
      <c r="C122" s="64">
        <f t="shared" si="1"/>
        <v>114</v>
      </c>
      <c r="D122" s="65">
        <v>2</v>
      </c>
      <c r="E122" s="66" t="s">
        <v>59</v>
      </c>
      <c r="F122" s="67">
        <v>581.22</v>
      </c>
      <c r="G122" s="68">
        <v>581.22</v>
      </c>
      <c r="H122" s="68">
        <v>581.22</v>
      </c>
      <c r="I122" s="68">
        <v>581.22</v>
      </c>
      <c r="J122" s="68">
        <v>581.22</v>
      </c>
      <c r="K122" s="68">
        <v>581.22</v>
      </c>
      <c r="L122" s="69">
        <v>40544</v>
      </c>
      <c r="M122" s="72" t="s">
        <v>60</v>
      </c>
    </row>
    <row r="123" spans="1:13" ht="31.5" customHeight="1" thickBot="1" x14ac:dyDescent="0.3">
      <c r="A123" s="62">
        <v>1104103526</v>
      </c>
      <c r="B123" s="63" t="s">
        <v>195</v>
      </c>
      <c r="C123" s="64">
        <f t="shared" si="1"/>
        <v>115</v>
      </c>
      <c r="D123" s="65">
        <v>1</v>
      </c>
      <c r="E123" s="66" t="s">
        <v>64</v>
      </c>
      <c r="F123" s="67">
        <v>565.22</v>
      </c>
      <c r="G123" s="68">
        <v>565.22</v>
      </c>
      <c r="H123" s="68">
        <v>565.22</v>
      </c>
      <c r="I123" s="68">
        <v>565.22</v>
      </c>
      <c r="J123" s="68">
        <v>565.22</v>
      </c>
      <c r="K123" s="68">
        <v>565.22</v>
      </c>
      <c r="L123" s="69">
        <v>40544</v>
      </c>
      <c r="M123" s="72" t="s">
        <v>60</v>
      </c>
    </row>
    <row r="124" spans="1:13" ht="31.5" customHeight="1" thickBot="1" x14ac:dyDescent="0.3">
      <c r="A124" s="62">
        <v>1900476407</v>
      </c>
      <c r="B124" s="63" t="s">
        <v>196</v>
      </c>
      <c r="C124" s="64">
        <f t="shared" si="1"/>
        <v>116</v>
      </c>
      <c r="D124" s="65">
        <v>1</v>
      </c>
      <c r="E124" s="66" t="s">
        <v>73</v>
      </c>
      <c r="F124" s="67">
        <v>565.22</v>
      </c>
      <c r="G124" s="68">
        <v>565.22</v>
      </c>
      <c r="H124" s="68">
        <v>565.22</v>
      </c>
      <c r="I124" s="68">
        <v>565.22</v>
      </c>
      <c r="J124" s="68">
        <v>565.22</v>
      </c>
      <c r="K124" s="68">
        <v>565.22</v>
      </c>
      <c r="L124" s="69">
        <v>40544</v>
      </c>
      <c r="M124" s="72" t="s">
        <v>56</v>
      </c>
    </row>
    <row r="125" spans="1:13" ht="31.5" customHeight="1" thickBot="1" x14ac:dyDescent="0.3">
      <c r="A125" s="62">
        <v>1100295649</v>
      </c>
      <c r="B125" s="63" t="s">
        <v>459</v>
      </c>
      <c r="C125" s="64">
        <f t="shared" si="1"/>
        <v>117</v>
      </c>
      <c r="D125" s="65">
        <v>2</v>
      </c>
      <c r="E125" s="66" t="s">
        <v>132</v>
      </c>
      <c r="F125" s="67">
        <v>520</v>
      </c>
      <c r="G125" s="68"/>
      <c r="H125" s="68"/>
      <c r="I125" s="68"/>
      <c r="J125" s="68"/>
      <c r="K125" s="68"/>
      <c r="L125" s="69">
        <v>40544</v>
      </c>
      <c r="M125" s="72" t="s">
        <v>460</v>
      </c>
    </row>
    <row r="126" spans="1:13" ht="31.5" customHeight="1" thickBot="1" x14ac:dyDescent="0.3">
      <c r="A126" s="62">
        <v>1104080187</v>
      </c>
      <c r="B126" s="63" t="s">
        <v>197</v>
      </c>
      <c r="C126" s="64">
        <f t="shared" si="1"/>
        <v>118</v>
      </c>
      <c r="D126" s="65">
        <v>1</v>
      </c>
      <c r="E126" s="66" t="s">
        <v>64</v>
      </c>
      <c r="F126" s="67">
        <v>565.22</v>
      </c>
      <c r="G126" s="68">
        <v>565.22</v>
      </c>
      <c r="H126" s="68">
        <v>565.22</v>
      </c>
      <c r="I126" s="68">
        <v>565.22</v>
      </c>
      <c r="J126" s="68">
        <v>565.22</v>
      </c>
      <c r="K126" s="68">
        <v>565.22</v>
      </c>
      <c r="L126" s="69">
        <v>40544</v>
      </c>
      <c r="M126" s="72" t="s">
        <v>60</v>
      </c>
    </row>
    <row r="127" spans="1:13" ht="31.5" customHeight="1" thickBot="1" x14ac:dyDescent="0.3">
      <c r="A127" s="62">
        <v>1103233498</v>
      </c>
      <c r="B127" s="63" t="s">
        <v>198</v>
      </c>
      <c r="C127" s="64">
        <f t="shared" si="1"/>
        <v>119</v>
      </c>
      <c r="D127" s="65">
        <v>4</v>
      </c>
      <c r="E127" s="66" t="s">
        <v>68</v>
      </c>
      <c r="F127" s="67">
        <v>615.22</v>
      </c>
      <c r="G127" s="68">
        <v>615.22</v>
      </c>
      <c r="H127" s="68">
        <v>615.22</v>
      </c>
      <c r="I127" s="68">
        <v>615.22</v>
      </c>
      <c r="J127" s="68">
        <v>615.22</v>
      </c>
      <c r="K127" s="68">
        <v>615.22</v>
      </c>
      <c r="L127" s="69">
        <v>40544</v>
      </c>
      <c r="M127" s="72" t="s">
        <v>56</v>
      </c>
    </row>
    <row r="128" spans="1:13" ht="31.5" customHeight="1" thickBot="1" x14ac:dyDescent="0.3">
      <c r="A128" s="62">
        <v>1102704911</v>
      </c>
      <c r="B128" s="63" t="s">
        <v>199</v>
      </c>
      <c r="C128" s="64">
        <f t="shared" si="1"/>
        <v>120</v>
      </c>
      <c r="D128" s="65">
        <v>4</v>
      </c>
      <c r="E128" s="66" t="s">
        <v>68</v>
      </c>
      <c r="F128" s="67">
        <v>615.22</v>
      </c>
      <c r="G128" s="68">
        <v>615.22</v>
      </c>
      <c r="H128" s="68">
        <v>615.22</v>
      </c>
      <c r="I128" s="68">
        <v>615.22</v>
      </c>
      <c r="J128" s="68">
        <v>615.22</v>
      </c>
      <c r="K128" s="68">
        <v>615.22</v>
      </c>
      <c r="L128" s="69">
        <v>40544</v>
      </c>
      <c r="M128" s="72" t="s">
        <v>56</v>
      </c>
    </row>
    <row r="129" spans="1:13" ht="31.5" customHeight="1" thickBot="1" x14ac:dyDescent="0.3">
      <c r="A129" s="62">
        <v>1102405931</v>
      </c>
      <c r="B129" s="63" t="s">
        <v>200</v>
      </c>
      <c r="C129" s="64">
        <f t="shared" si="1"/>
        <v>121</v>
      </c>
      <c r="D129" s="65">
        <v>2</v>
      </c>
      <c r="E129" s="66" t="s">
        <v>59</v>
      </c>
      <c r="F129" s="67">
        <v>581.22</v>
      </c>
      <c r="G129" s="68">
        <v>581.22</v>
      </c>
      <c r="H129" s="68">
        <v>581.22</v>
      </c>
      <c r="I129" s="68">
        <v>581.22</v>
      </c>
      <c r="J129" s="68">
        <v>581.22</v>
      </c>
      <c r="K129" s="68">
        <v>581.22</v>
      </c>
      <c r="L129" s="69">
        <v>40544</v>
      </c>
      <c r="M129" s="72" t="s">
        <v>56</v>
      </c>
    </row>
    <row r="130" spans="1:13" ht="31.5" customHeight="1" thickBot="1" x14ac:dyDescent="0.3">
      <c r="A130" s="62">
        <v>1100580750</v>
      </c>
      <c r="B130" s="63" t="s">
        <v>201</v>
      </c>
      <c r="C130" s="64">
        <f t="shared" si="1"/>
        <v>122</v>
      </c>
      <c r="D130" s="65">
        <v>4</v>
      </c>
      <c r="E130" s="66" t="s">
        <v>68</v>
      </c>
      <c r="F130" s="67">
        <v>615.22</v>
      </c>
      <c r="G130" s="68">
        <v>615.22</v>
      </c>
      <c r="H130" s="68">
        <v>615.22</v>
      </c>
      <c r="I130" s="68">
        <v>615.22</v>
      </c>
      <c r="J130" s="68">
        <v>615.22</v>
      </c>
      <c r="K130" s="68">
        <v>615.22</v>
      </c>
      <c r="L130" s="69">
        <v>38292</v>
      </c>
      <c r="M130" s="72" t="s">
        <v>56</v>
      </c>
    </row>
    <row r="131" spans="1:13" ht="31.5" customHeight="1" thickBot="1" x14ac:dyDescent="0.3">
      <c r="A131" s="62">
        <v>1103822506</v>
      </c>
      <c r="B131" s="63" t="s">
        <v>202</v>
      </c>
      <c r="C131" s="64">
        <f t="shared" si="1"/>
        <v>123</v>
      </c>
      <c r="D131" s="65">
        <v>4</v>
      </c>
      <c r="E131" s="66" t="s">
        <v>68</v>
      </c>
      <c r="F131" s="67">
        <v>615.22</v>
      </c>
      <c r="G131" s="68">
        <v>615.22</v>
      </c>
      <c r="H131" s="68">
        <v>615.22</v>
      </c>
      <c r="I131" s="68">
        <v>615.22</v>
      </c>
      <c r="J131" s="68">
        <v>615.22</v>
      </c>
      <c r="K131" s="68">
        <v>615.22</v>
      </c>
      <c r="L131" s="69">
        <v>40544</v>
      </c>
      <c r="M131" s="72" t="s">
        <v>435</v>
      </c>
    </row>
    <row r="132" spans="1:13" ht="31.5" customHeight="1" thickBot="1" x14ac:dyDescent="0.3">
      <c r="A132" s="62">
        <v>1103360994</v>
      </c>
      <c r="B132" s="63" t="s">
        <v>203</v>
      </c>
      <c r="C132" s="64">
        <f t="shared" si="1"/>
        <v>124</v>
      </c>
      <c r="D132" s="65">
        <v>4</v>
      </c>
      <c r="E132" s="66" t="s">
        <v>68</v>
      </c>
      <c r="F132" s="67">
        <v>615.22</v>
      </c>
      <c r="G132" s="68">
        <v>615.22</v>
      </c>
      <c r="H132" s="68">
        <v>615.22</v>
      </c>
      <c r="I132" s="68">
        <v>615.22</v>
      </c>
      <c r="J132" s="68">
        <v>615.22</v>
      </c>
      <c r="K132" s="68">
        <v>615.22</v>
      </c>
      <c r="L132" s="69">
        <v>39419</v>
      </c>
      <c r="M132" s="72" t="s">
        <v>56</v>
      </c>
    </row>
    <row r="133" spans="1:13" ht="31.5" customHeight="1" thickBot="1" x14ac:dyDescent="0.3">
      <c r="A133" s="62">
        <v>1101383519</v>
      </c>
      <c r="B133" s="63" t="s">
        <v>204</v>
      </c>
      <c r="C133" s="64">
        <f t="shared" si="1"/>
        <v>125</v>
      </c>
      <c r="D133" s="65">
        <v>1</v>
      </c>
      <c r="E133" s="66" t="s">
        <v>64</v>
      </c>
      <c r="F133" s="67">
        <v>565.22</v>
      </c>
      <c r="G133" s="68">
        <v>565.22</v>
      </c>
      <c r="H133" s="68">
        <v>565.22</v>
      </c>
      <c r="I133" s="68">
        <v>565.22</v>
      </c>
      <c r="J133" s="68">
        <v>565.22</v>
      </c>
      <c r="K133" s="68">
        <v>565.22</v>
      </c>
      <c r="L133" s="69">
        <v>40544</v>
      </c>
      <c r="M133" s="72" t="s">
        <v>60</v>
      </c>
    </row>
    <row r="134" spans="1:13" ht="31.5" customHeight="1" thickBot="1" x14ac:dyDescent="0.3">
      <c r="A134" s="62">
        <v>1100334679</v>
      </c>
      <c r="B134" s="63" t="s">
        <v>205</v>
      </c>
      <c r="C134" s="64">
        <f t="shared" si="1"/>
        <v>126</v>
      </c>
      <c r="D134" s="65">
        <v>4</v>
      </c>
      <c r="E134" s="66" t="s">
        <v>68</v>
      </c>
      <c r="F134" s="67">
        <v>690.2</v>
      </c>
      <c r="G134" s="68">
        <v>690.2</v>
      </c>
      <c r="H134" s="68">
        <v>690.2</v>
      </c>
      <c r="I134" s="68">
        <v>690.2</v>
      </c>
      <c r="J134" s="68">
        <v>690.2</v>
      </c>
      <c r="K134" s="68">
        <v>690.2</v>
      </c>
      <c r="L134" s="69">
        <v>37803</v>
      </c>
      <c r="M134" s="72" t="s">
        <v>56</v>
      </c>
    </row>
    <row r="135" spans="1:13" ht="31.5" customHeight="1" thickBot="1" x14ac:dyDescent="0.3">
      <c r="A135" s="62">
        <v>1104592793</v>
      </c>
      <c r="B135" s="63" t="s">
        <v>206</v>
      </c>
      <c r="C135" s="64">
        <f t="shared" si="1"/>
        <v>127</v>
      </c>
      <c r="D135" s="65">
        <v>1</v>
      </c>
      <c r="E135" s="66" t="s">
        <v>82</v>
      </c>
      <c r="F135" s="67">
        <v>565.22</v>
      </c>
      <c r="G135" s="68">
        <v>565.22</v>
      </c>
      <c r="H135" s="68">
        <v>565.22</v>
      </c>
      <c r="I135" s="68">
        <v>565.22</v>
      </c>
      <c r="J135" s="68">
        <v>565.22</v>
      </c>
      <c r="K135" s="68">
        <v>565.22</v>
      </c>
      <c r="L135" s="69">
        <v>40544</v>
      </c>
      <c r="M135" s="72" t="s">
        <v>56</v>
      </c>
    </row>
    <row r="136" spans="1:13" ht="31.5" customHeight="1" thickBot="1" x14ac:dyDescent="0.3">
      <c r="A136" s="62">
        <v>1103986947</v>
      </c>
      <c r="B136" s="63" t="s">
        <v>207</v>
      </c>
      <c r="C136" s="64">
        <f t="shared" si="1"/>
        <v>128</v>
      </c>
      <c r="D136" s="65">
        <v>2</v>
      </c>
      <c r="E136" s="66" t="s">
        <v>59</v>
      </c>
      <c r="F136" s="67">
        <v>581.22</v>
      </c>
      <c r="G136" s="68">
        <v>581.22</v>
      </c>
      <c r="H136" s="68">
        <v>581.22</v>
      </c>
      <c r="I136" s="68">
        <v>581.22</v>
      </c>
      <c r="J136" s="68">
        <v>581.22</v>
      </c>
      <c r="K136" s="68">
        <v>581.22</v>
      </c>
      <c r="L136" s="69">
        <v>40544</v>
      </c>
      <c r="M136" s="72" t="s">
        <v>60</v>
      </c>
    </row>
    <row r="137" spans="1:13" ht="31.5" customHeight="1" thickBot="1" x14ac:dyDescent="0.3">
      <c r="A137" s="62">
        <v>1103817779</v>
      </c>
      <c r="B137" s="63" t="s">
        <v>208</v>
      </c>
      <c r="C137" s="64">
        <f t="shared" si="1"/>
        <v>129</v>
      </c>
      <c r="D137" s="65">
        <v>2</v>
      </c>
      <c r="E137" s="66" t="s">
        <v>100</v>
      </c>
      <c r="F137" s="67">
        <v>581.22</v>
      </c>
      <c r="G137" s="68">
        <v>581.22</v>
      </c>
      <c r="H137" s="68">
        <v>581.22</v>
      </c>
      <c r="I137" s="68">
        <v>581.22</v>
      </c>
      <c r="J137" s="68">
        <v>581.22</v>
      </c>
      <c r="K137" s="68">
        <v>581.22</v>
      </c>
      <c r="L137" s="69">
        <v>40725</v>
      </c>
      <c r="M137" s="72" t="s">
        <v>60</v>
      </c>
    </row>
    <row r="138" spans="1:13" ht="31.5" customHeight="1" thickBot="1" x14ac:dyDescent="0.3">
      <c r="A138" s="62">
        <v>1103551436</v>
      </c>
      <c r="B138" s="63" t="s">
        <v>209</v>
      </c>
      <c r="C138" s="64">
        <f t="shared" si="1"/>
        <v>130</v>
      </c>
      <c r="D138" s="65">
        <v>2</v>
      </c>
      <c r="E138" s="66" t="s">
        <v>59</v>
      </c>
      <c r="F138" s="67">
        <v>581.22</v>
      </c>
      <c r="G138" s="68">
        <v>581.22</v>
      </c>
      <c r="H138" s="68">
        <v>581.22</v>
      </c>
      <c r="I138" s="68">
        <v>581.22</v>
      </c>
      <c r="J138" s="68">
        <v>581.22</v>
      </c>
      <c r="K138" s="68">
        <v>581.22</v>
      </c>
      <c r="L138" s="69">
        <v>40544</v>
      </c>
      <c r="M138" s="72" t="s">
        <v>60</v>
      </c>
    </row>
    <row r="139" spans="1:13" ht="31.5" customHeight="1" thickBot="1" x14ac:dyDescent="0.3">
      <c r="A139" s="62">
        <v>1103482566</v>
      </c>
      <c r="B139" s="63" t="s">
        <v>210</v>
      </c>
      <c r="C139" s="64">
        <f t="shared" ref="C139:C202" si="2">C138+1</f>
        <v>131</v>
      </c>
      <c r="D139" s="65">
        <v>1</v>
      </c>
      <c r="E139" s="66" t="s">
        <v>82</v>
      </c>
      <c r="F139" s="67">
        <v>565.22</v>
      </c>
      <c r="G139" s="68">
        <v>565.22</v>
      </c>
      <c r="H139" s="68">
        <v>565.22</v>
      </c>
      <c r="I139" s="68">
        <v>565.22</v>
      </c>
      <c r="J139" s="68">
        <v>565.22</v>
      </c>
      <c r="K139" s="68">
        <v>565.22</v>
      </c>
      <c r="L139" s="69">
        <v>40544</v>
      </c>
      <c r="M139" s="72" t="s">
        <v>56</v>
      </c>
    </row>
    <row r="140" spans="1:13" ht="31.5" customHeight="1" thickBot="1" x14ac:dyDescent="0.3">
      <c r="A140" s="62">
        <v>1102417795</v>
      </c>
      <c r="B140" s="63" t="s">
        <v>211</v>
      </c>
      <c r="C140" s="64">
        <f t="shared" si="2"/>
        <v>132</v>
      </c>
      <c r="D140" s="65">
        <v>2</v>
      </c>
      <c r="E140" s="66" t="s">
        <v>191</v>
      </c>
      <c r="F140" s="67">
        <v>581.22</v>
      </c>
      <c r="G140" s="68">
        <v>581.22</v>
      </c>
      <c r="H140" s="68">
        <v>581.22</v>
      </c>
      <c r="I140" s="68">
        <v>581.22</v>
      </c>
      <c r="J140" s="68">
        <v>581.22</v>
      </c>
      <c r="K140" s="68">
        <v>581.22</v>
      </c>
      <c r="L140" s="69">
        <v>39965</v>
      </c>
      <c r="M140" s="72" t="s">
        <v>56</v>
      </c>
    </row>
    <row r="141" spans="1:13" ht="31.5" customHeight="1" thickBot="1" x14ac:dyDescent="0.3">
      <c r="A141" s="62">
        <v>1103612048</v>
      </c>
      <c r="B141" s="63" t="s">
        <v>212</v>
      </c>
      <c r="C141" s="64">
        <f t="shared" si="2"/>
        <v>133</v>
      </c>
      <c r="D141" s="65">
        <v>2</v>
      </c>
      <c r="E141" s="66" t="s">
        <v>59</v>
      </c>
      <c r="F141" s="67">
        <v>581.22</v>
      </c>
      <c r="G141" s="68">
        <v>581.22</v>
      </c>
      <c r="H141" s="68">
        <v>581.22</v>
      </c>
      <c r="I141" s="68">
        <v>581.22</v>
      </c>
      <c r="J141" s="68">
        <v>581.22</v>
      </c>
      <c r="K141" s="68">
        <v>581.22</v>
      </c>
      <c r="L141" s="69">
        <v>40544</v>
      </c>
      <c r="M141" s="72" t="s">
        <v>56</v>
      </c>
    </row>
    <row r="142" spans="1:13" ht="31.5" customHeight="1" thickBot="1" x14ac:dyDescent="0.3">
      <c r="A142" s="62">
        <v>1101979027</v>
      </c>
      <c r="B142" s="63" t="s">
        <v>213</v>
      </c>
      <c r="C142" s="64">
        <f t="shared" si="2"/>
        <v>134</v>
      </c>
      <c r="D142" s="65">
        <v>2</v>
      </c>
      <c r="E142" s="66" t="s">
        <v>59</v>
      </c>
      <c r="F142" s="67">
        <v>581.22</v>
      </c>
      <c r="G142" s="68">
        <v>581.22</v>
      </c>
      <c r="H142" s="68">
        <v>581.22</v>
      </c>
      <c r="I142" s="68">
        <v>581.22</v>
      </c>
      <c r="J142" s="68">
        <v>581.22</v>
      </c>
      <c r="K142" s="68">
        <v>581.22</v>
      </c>
      <c r="L142" s="69">
        <v>40544</v>
      </c>
      <c r="M142" s="72" t="s">
        <v>60</v>
      </c>
    </row>
    <row r="143" spans="1:13" ht="31.5" customHeight="1" thickBot="1" x14ac:dyDescent="0.3">
      <c r="A143" s="62">
        <v>1102473467</v>
      </c>
      <c r="B143" s="63" t="s">
        <v>214</v>
      </c>
      <c r="C143" s="64">
        <f t="shared" si="2"/>
        <v>135</v>
      </c>
      <c r="D143" s="65">
        <v>1</v>
      </c>
      <c r="E143" s="66" t="s">
        <v>64</v>
      </c>
      <c r="F143" s="67">
        <v>565.22</v>
      </c>
      <c r="G143" s="68">
        <v>565.22</v>
      </c>
      <c r="H143" s="68">
        <v>565.22</v>
      </c>
      <c r="I143" s="68">
        <v>565.22</v>
      </c>
      <c r="J143" s="68">
        <v>565.22</v>
      </c>
      <c r="K143" s="68">
        <v>565.22</v>
      </c>
      <c r="L143" s="69">
        <v>40544</v>
      </c>
      <c r="M143" s="72" t="s">
        <v>56</v>
      </c>
    </row>
    <row r="144" spans="1:13" ht="31.5" customHeight="1" thickBot="1" x14ac:dyDescent="0.3">
      <c r="A144" s="62">
        <v>1104329188</v>
      </c>
      <c r="B144" s="63" t="s">
        <v>215</v>
      </c>
      <c r="C144" s="64">
        <f t="shared" si="2"/>
        <v>136</v>
      </c>
      <c r="D144" s="65">
        <v>1</v>
      </c>
      <c r="E144" s="66" t="s">
        <v>186</v>
      </c>
      <c r="F144" s="67"/>
      <c r="G144" s="68"/>
      <c r="H144" s="68">
        <v>565.22</v>
      </c>
      <c r="I144" s="68">
        <v>565.22</v>
      </c>
      <c r="J144" s="68">
        <v>565.22</v>
      </c>
      <c r="K144" s="68">
        <v>565.22</v>
      </c>
      <c r="L144" s="69">
        <v>40544</v>
      </c>
      <c r="M144" s="72" t="s">
        <v>444</v>
      </c>
    </row>
    <row r="145" spans="1:13" ht="31.5" customHeight="1" thickBot="1" x14ac:dyDescent="0.3">
      <c r="A145" s="62">
        <v>1102128251</v>
      </c>
      <c r="B145" s="63" t="s">
        <v>216</v>
      </c>
      <c r="C145" s="64">
        <f t="shared" si="2"/>
        <v>137</v>
      </c>
      <c r="D145" s="65">
        <v>5</v>
      </c>
      <c r="E145" s="66" t="s">
        <v>217</v>
      </c>
      <c r="F145" s="67">
        <v>733.22</v>
      </c>
      <c r="G145" s="68">
        <v>733.22</v>
      </c>
      <c r="H145" s="68">
        <v>733.22</v>
      </c>
      <c r="I145" s="68">
        <v>733.22</v>
      </c>
      <c r="J145" s="68">
        <v>733.22</v>
      </c>
      <c r="K145" s="68">
        <v>733.22</v>
      </c>
      <c r="L145" s="75">
        <v>40544</v>
      </c>
      <c r="M145" s="72" t="s">
        <v>60</v>
      </c>
    </row>
    <row r="146" spans="1:13" ht="31.5" customHeight="1" thickBot="1" x14ac:dyDescent="0.3">
      <c r="A146" s="62">
        <v>1102550157</v>
      </c>
      <c r="B146" s="63" t="s">
        <v>218</v>
      </c>
      <c r="C146" s="64">
        <f t="shared" si="2"/>
        <v>138</v>
      </c>
      <c r="D146" s="65">
        <v>1</v>
      </c>
      <c r="E146" s="66" t="s">
        <v>54</v>
      </c>
      <c r="F146" s="67">
        <v>565.22</v>
      </c>
      <c r="G146" s="68">
        <v>565.22</v>
      </c>
      <c r="H146" s="68">
        <v>565.22</v>
      </c>
      <c r="I146" s="68">
        <v>565.22</v>
      </c>
      <c r="J146" s="68">
        <v>565.22</v>
      </c>
      <c r="K146" s="68">
        <v>565.22</v>
      </c>
      <c r="L146" s="69">
        <v>40544</v>
      </c>
      <c r="M146" s="72" t="s">
        <v>56</v>
      </c>
    </row>
    <row r="147" spans="1:13" ht="31.5" customHeight="1" thickBot="1" x14ac:dyDescent="0.3">
      <c r="A147" s="62">
        <v>1104570112</v>
      </c>
      <c r="B147" s="63" t="s">
        <v>219</v>
      </c>
      <c r="C147" s="64">
        <f t="shared" si="2"/>
        <v>139</v>
      </c>
      <c r="D147" s="65">
        <v>2</v>
      </c>
      <c r="E147" s="66" t="s">
        <v>109</v>
      </c>
      <c r="F147" s="67">
        <v>581.22</v>
      </c>
      <c r="G147" s="68">
        <v>581.22</v>
      </c>
      <c r="H147" s="68">
        <v>581.22</v>
      </c>
      <c r="I147" s="68">
        <v>581.22</v>
      </c>
      <c r="J147" s="68">
        <v>581.22</v>
      </c>
      <c r="K147" s="68">
        <v>581.22</v>
      </c>
      <c r="L147" s="69">
        <v>40544</v>
      </c>
      <c r="M147" s="72" t="s">
        <v>56</v>
      </c>
    </row>
    <row r="148" spans="1:13" ht="31.5" customHeight="1" thickBot="1" x14ac:dyDescent="0.3">
      <c r="A148" s="62">
        <v>1103894349</v>
      </c>
      <c r="B148" s="63" t="s">
        <v>220</v>
      </c>
      <c r="C148" s="64">
        <f t="shared" si="2"/>
        <v>140</v>
      </c>
      <c r="D148" s="65">
        <v>1</v>
      </c>
      <c r="E148" s="66" t="s">
        <v>70</v>
      </c>
      <c r="F148" s="67">
        <v>615.22</v>
      </c>
      <c r="G148" s="68">
        <v>615.22</v>
      </c>
      <c r="H148" s="68">
        <v>615.22</v>
      </c>
      <c r="I148" s="68">
        <v>615.22</v>
      </c>
      <c r="J148" s="68">
        <v>615.22</v>
      </c>
      <c r="K148" s="68">
        <v>615.22</v>
      </c>
      <c r="L148" s="69">
        <v>40544</v>
      </c>
      <c r="M148" s="72" t="s">
        <v>71</v>
      </c>
    </row>
    <row r="149" spans="1:13" ht="31.5" customHeight="1" thickBot="1" x14ac:dyDescent="0.3">
      <c r="A149" s="62">
        <v>1103387302</v>
      </c>
      <c r="B149" s="63" t="s">
        <v>221</v>
      </c>
      <c r="C149" s="64">
        <f t="shared" si="2"/>
        <v>141</v>
      </c>
      <c r="D149" s="65">
        <v>2</v>
      </c>
      <c r="E149" s="66" t="s">
        <v>59</v>
      </c>
      <c r="F149" s="67">
        <v>581.22</v>
      </c>
      <c r="G149" s="68">
        <v>581.22</v>
      </c>
      <c r="H149" s="68">
        <v>581.22</v>
      </c>
      <c r="I149" s="68">
        <v>581.22</v>
      </c>
      <c r="J149" s="68">
        <v>581.22</v>
      </c>
      <c r="K149" s="68">
        <v>581.22</v>
      </c>
      <c r="L149" s="69">
        <v>40725</v>
      </c>
      <c r="M149" s="72" t="s">
        <v>56</v>
      </c>
    </row>
    <row r="150" spans="1:13" ht="31.5" customHeight="1" thickBot="1" x14ac:dyDescent="0.3">
      <c r="A150" s="62">
        <v>1101114757</v>
      </c>
      <c r="B150" s="63" t="s">
        <v>222</v>
      </c>
      <c r="C150" s="64">
        <f t="shared" si="2"/>
        <v>142</v>
      </c>
      <c r="D150" s="65">
        <v>1</v>
      </c>
      <c r="E150" s="66" t="s">
        <v>54</v>
      </c>
      <c r="F150" s="67">
        <v>565.22</v>
      </c>
      <c r="G150" s="68">
        <v>565.22</v>
      </c>
      <c r="H150" s="68">
        <v>565.22</v>
      </c>
      <c r="I150" s="68">
        <v>565.22</v>
      </c>
      <c r="J150" s="68">
        <v>565.22</v>
      </c>
      <c r="K150" s="68">
        <v>565.22</v>
      </c>
      <c r="L150" s="69">
        <v>40909</v>
      </c>
      <c r="M150" s="72" t="s">
        <v>56</v>
      </c>
    </row>
    <row r="151" spans="1:13" ht="31.5" customHeight="1" thickBot="1" x14ac:dyDescent="0.3">
      <c r="A151" s="62">
        <v>1900240431</v>
      </c>
      <c r="B151" s="63" t="s">
        <v>223</v>
      </c>
      <c r="C151" s="64">
        <f t="shared" si="2"/>
        <v>143</v>
      </c>
      <c r="D151" s="65">
        <v>4</v>
      </c>
      <c r="E151" s="66" t="s">
        <v>68</v>
      </c>
      <c r="F151" s="67">
        <v>615.22</v>
      </c>
      <c r="G151" s="68">
        <v>615.22</v>
      </c>
      <c r="H151" s="68">
        <v>615.22</v>
      </c>
      <c r="I151" s="68">
        <v>615.22</v>
      </c>
      <c r="J151" s="68">
        <v>615.22</v>
      </c>
      <c r="K151" s="68">
        <v>615.22</v>
      </c>
      <c r="L151" s="69">
        <v>39776</v>
      </c>
      <c r="M151" s="72" t="s">
        <v>56</v>
      </c>
    </row>
    <row r="152" spans="1:13" ht="31.5" customHeight="1" thickBot="1" x14ac:dyDescent="0.3">
      <c r="A152" s="62">
        <v>1102364104</v>
      </c>
      <c r="B152" s="63" t="s">
        <v>224</v>
      </c>
      <c r="C152" s="64">
        <f t="shared" si="2"/>
        <v>144</v>
      </c>
      <c r="D152" s="65">
        <v>2</v>
      </c>
      <c r="E152" s="66" t="s">
        <v>158</v>
      </c>
      <c r="F152" s="67">
        <v>581.22</v>
      </c>
      <c r="G152" s="68">
        <v>581.22</v>
      </c>
      <c r="H152" s="68">
        <v>581.22</v>
      </c>
      <c r="I152" s="68">
        <v>581.22</v>
      </c>
      <c r="J152" s="68">
        <v>581.22</v>
      </c>
      <c r="K152" s="68">
        <v>581.22</v>
      </c>
      <c r="L152" s="69">
        <v>40544</v>
      </c>
      <c r="M152" s="72" t="s">
        <v>60</v>
      </c>
    </row>
    <row r="153" spans="1:13" ht="31.5" customHeight="1" thickBot="1" x14ac:dyDescent="0.3">
      <c r="A153" s="62">
        <v>1100334455</v>
      </c>
      <c r="B153" s="63" t="s">
        <v>461</v>
      </c>
      <c r="C153" s="64">
        <f t="shared" si="2"/>
        <v>145</v>
      </c>
      <c r="D153" s="65">
        <v>1</v>
      </c>
      <c r="E153" s="66" t="s">
        <v>54</v>
      </c>
      <c r="F153" s="67"/>
      <c r="G153" s="68"/>
      <c r="H153" s="68">
        <v>582</v>
      </c>
      <c r="I153" s="68">
        <v>582</v>
      </c>
      <c r="J153" s="68"/>
      <c r="K153" s="68"/>
      <c r="L153" s="69">
        <v>39879</v>
      </c>
      <c r="M153" s="72" t="s">
        <v>462</v>
      </c>
    </row>
    <row r="154" spans="1:13" ht="31.5" customHeight="1" thickBot="1" x14ac:dyDescent="0.3">
      <c r="A154" s="62">
        <v>1102502877</v>
      </c>
      <c r="B154" s="63" t="s">
        <v>225</v>
      </c>
      <c r="C154" s="64">
        <f t="shared" si="2"/>
        <v>146</v>
      </c>
      <c r="D154" s="65">
        <v>1</v>
      </c>
      <c r="E154" s="66" t="s">
        <v>226</v>
      </c>
      <c r="F154" s="67">
        <v>565.22</v>
      </c>
      <c r="G154" s="68">
        <v>565.22</v>
      </c>
      <c r="H154" s="68">
        <v>565.22</v>
      </c>
      <c r="I154" s="68">
        <v>565.22</v>
      </c>
      <c r="J154" s="68">
        <v>565.22</v>
      </c>
      <c r="K154" s="68">
        <v>565.22</v>
      </c>
      <c r="L154" s="69">
        <v>40544</v>
      </c>
      <c r="M154" s="72" t="s">
        <v>56</v>
      </c>
    </row>
    <row r="155" spans="1:13" ht="31.5" customHeight="1" thickBot="1" x14ac:dyDescent="0.3">
      <c r="A155" s="62">
        <v>1103654438</v>
      </c>
      <c r="B155" s="63" t="s">
        <v>227</v>
      </c>
      <c r="C155" s="64">
        <f t="shared" si="2"/>
        <v>147</v>
      </c>
      <c r="D155" s="65">
        <v>1</v>
      </c>
      <c r="E155" s="66" t="s">
        <v>70</v>
      </c>
      <c r="F155" s="67">
        <v>615.22</v>
      </c>
      <c r="G155" s="68">
        <v>615.22</v>
      </c>
      <c r="H155" s="68">
        <v>615.22</v>
      </c>
      <c r="I155" s="68">
        <v>615.22</v>
      </c>
      <c r="J155" s="68">
        <v>615.22</v>
      </c>
      <c r="K155" s="68">
        <v>615.22</v>
      </c>
      <c r="L155" s="69">
        <v>39748</v>
      </c>
      <c r="M155" s="72" t="s">
        <v>71</v>
      </c>
    </row>
    <row r="156" spans="1:13" ht="31.5" customHeight="1" thickBot="1" x14ac:dyDescent="0.3">
      <c r="A156" s="62" t="s">
        <v>228</v>
      </c>
      <c r="B156" s="63" t="s">
        <v>229</v>
      </c>
      <c r="C156" s="64">
        <f t="shared" si="2"/>
        <v>148</v>
      </c>
      <c r="D156" s="65">
        <v>1</v>
      </c>
      <c r="E156" s="66" t="s">
        <v>70</v>
      </c>
      <c r="F156" s="67">
        <v>615.22</v>
      </c>
      <c r="G156" s="68">
        <v>615.22</v>
      </c>
      <c r="H156" s="68">
        <v>615.22</v>
      </c>
      <c r="I156" s="68">
        <v>615.22</v>
      </c>
      <c r="J156" s="68">
        <v>615.22</v>
      </c>
      <c r="K156" s="68">
        <v>615.22</v>
      </c>
      <c r="L156" s="69">
        <v>40544</v>
      </c>
      <c r="M156" s="72" t="s">
        <v>71</v>
      </c>
    </row>
    <row r="157" spans="1:13" ht="31.5" customHeight="1" thickBot="1" x14ac:dyDescent="0.3">
      <c r="A157" s="62">
        <v>1103465397</v>
      </c>
      <c r="B157" s="63" t="s">
        <v>230</v>
      </c>
      <c r="C157" s="64">
        <f t="shared" si="2"/>
        <v>149</v>
      </c>
      <c r="D157" s="65">
        <v>1</v>
      </c>
      <c r="E157" s="66" t="s">
        <v>82</v>
      </c>
      <c r="F157" s="67">
        <v>565.22</v>
      </c>
      <c r="G157" s="68">
        <v>565.22</v>
      </c>
      <c r="H157" s="68">
        <v>565.22</v>
      </c>
      <c r="I157" s="68">
        <v>565.22</v>
      </c>
      <c r="J157" s="68">
        <v>565.22</v>
      </c>
      <c r="K157" s="68">
        <v>565.22</v>
      </c>
      <c r="L157" s="69">
        <v>40544</v>
      </c>
      <c r="M157" s="72" t="s">
        <v>56</v>
      </c>
    </row>
    <row r="158" spans="1:13" ht="31.5" customHeight="1" thickBot="1" x14ac:dyDescent="0.3">
      <c r="A158" s="62">
        <v>1101828612</v>
      </c>
      <c r="B158" s="63" t="s">
        <v>231</v>
      </c>
      <c r="C158" s="64">
        <f t="shared" si="2"/>
        <v>150</v>
      </c>
      <c r="D158" s="65">
        <v>1</v>
      </c>
      <c r="E158" s="66" t="s">
        <v>79</v>
      </c>
      <c r="F158" s="67"/>
      <c r="G158" s="68"/>
      <c r="H158" s="68">
        <v>612</v>
      </c>
      <c r="I158" s="68">
        <v>612</v>
      </c>
      <c r="J158" s="68">
        <v>612</v>
      </c>
      <c r="K158" s="68">
        <v>612</v>
      </c>
      <c r="L158" s="69">
        <v>36007</v>
      </c>
      <c r="M158" s="72" t="s">
        <v>438</v>
      </c>
    </row>
    <row r="159" spans="1:13" ht="31.5" customHeight="1" thickBot="1" x14ac:dyDescent="0.3">
      <c r="A159" s="62">
        <v>1101474409</v>
      </c>
      <c r="B159" s="63" t="s">
        <v>232</v>
      </c>
      <c r="C159" s="64">
        <f t="shared" si="2"/>
        <v>151</v>
      </c>
      <c r="D159" s="65">
        <v>1</v>
      </c>
      <c r="E159" s="66" t="s">
        <v>64</v>
      </c>
      <c r="F159" s="67">
        <v>565.22</v>
      </c>
      <c r="G159" s="68">
        <v>565.22</v>
      </c>
      <c r="H159" s="68">
        <v>565.22</v>
      </c>
      <c r="I159" s="68">
        <v>565.22</v>
      </c>
      <c r="J159" s="68">
        <v>565.22</v>
      </c>
      <c r="K159" s="68">
        <v>565.22</v>
      </c>
      <c r="L159" s="69">
        <v>40544</v>
      </c>
      <c r="M159" s="72" t="s">
        <v>56</v>
      </c>
    </row>
    <row r="160" spans="1:13" ht="31.5" customHeight="1" thickBot="1" x14ac:dyDescent="0.3">
      <c r="A160" s="62">
        <v>1101375069</v>
      </c>
      <c r="B160" s="63" t="s">
        <v>463</v>
      </c>
      <c r="C160" s="64">
        <f t="shared" si="2"/>
        <v>152</v>
      </c>
      <c r="D160" s="65">
        <v>4</v>
      </c>
      <c r="E160" s="66" t="s">
        <v>68</v>
      </c>
      <c r="F160" s="67">
        <v>841.27</v>
      </c>
      <c r="G160" s="67">
        <v>841.27</v>
      </c>
      <c r="H160" s="67">
        <v>841.27</v>
      </c>
      <c r="I160" s="67">
        <v>841.27</v>
      </c>
      <c r="J160" s="67">
        <v>841.27</v>
      </c>
      <c r="K160" s="68"/>
      <c r="L160" s="69">
        <v>36982</v>
      </c>
      <c r="M160" s="72" t="s">
        <v>464</v>
      </c>
    </row>
    <row r="161" spans="1:13" ht="31.5" customHeight="1" thickBot="1" x14ac:dyDescent="0.3">
      <c r="A161" s="62">
        <v>1101778684</v>
      </c>
      <c r="B161" s="63" t="s">
        <v>233</v>
      </c>
      <c r="C161" s="64">
        <f t="shared" si="2"/>
        <v>153</v>
      </c>
      <c r="D161" s="65">
        <v>1</v>
      </c>
      <c r="E161" s="66" t="s">
        <v>82</v>
      </c>
      <c r="F161" s="67">
        <v>565.22</v>
      </c>
      <c r="G161" s="68">
        <v>565.22</v>
      </c>
      <c r="H161" s="68">
        <v>565.22</v>
      </c>
      <c r="I161" s="68">
        <v>565.22</v>
      </c>
      <c r="J161" s="68">
        <v>565.22</v>
      </c>
      <c r="K161" s="68">
        <v>565.22</v>
      </c>
      <c r="L161" s="69">
        <v>40544</v>
      </c>
      <c r="M161" s="72" t="s">
        <v>56</v>
      </c>
    </row>
    <row r="162" spans="1:13" ht="31.5" customHeight="1" thickBot="1" x14ac:dyDescent="0.3">
      <c r="A162" s="62">
        <v>1101785093</v>
      </c>
      <c r="B162" s="63" t="s">
        <v>234</v>
      </c>
      <c r="C162" s="64">
        <f t="shared" si="2"/>
        <v>154</v>
      </c>
      <c r="D162" s="65">
        <v>8</v>
      </c>
      <c r="E162" s="66" t="s">
        <v>465</v>
      </c>
      <c r="F162" s="67"/>
      <c r="G162" s="68"/>
      <c r="H162" s="68">
        <v>1016</v>
      </c>
      <c r="I162" s="68">
        <v>1016</v>
      </c>
      <c r="J162" s="68">
        <v>1016</v>
      </c>
      <c r="K162" s="68">
        <v>1016</v>
      </c>
      <c r="L162" s="69">
        <v>36605</v>
      </c>
      <c r="M162" s="72" t="s">
        <v>438</v>
      </c>
    </row>
    <row r="163" spans="1:13" ht="31.5" customHeight="1" thickBot="1" x14ac:dyDescent="0.3">
      <c r="A163" s="62">
        <v>1715028468</v>
      </c>
      <c r="B163" s="63" t="s">
        <v>235</v>
      </c>
      <c r="C163" s="64">
        <f t="shared" si="2"/>
        <v>155</v>
      </c>
      <c r="D163" s="65">
        <v>1</v>
      </c>
      <c r="E163" s="66" t="s">
        <v>70</v>
      </c>
      <c r="F163" s="67">
        <v>565.22</v>
      </c>
      <c r="G163" s="68">
        <v>565.22</v>
      </c>
      <c r="H163" s="68">
        <v>565.22</v>
      </c>
      <c r="I163" s="68">
        <v>565.22</v>
      </c>
      <c r="J163" s="68">
        <v>565.22</v>
      </c>
      <c r="K163" s="68">
        <v>565.22</v>
      </c>
      <c r="L163" s="69">
        <v>40544</v>
      </c>
      <c r="M163" s="72" t="s">
        <v>71</v>
      </c>
    </row>
    <row r="164" spans="1:13" ht="31.5" customHeight="1" thickBot="1" x14ac:dyDescent="0.3">
      <c r="A164" s="62">
        <v>1104510308</v>
      </c>
      <c r="B164" s="63" t="s">
        <v>236</v>
      </c>
      <c r="C164" s="64">
        <f t="shared" si="2"/>
        <v>156</v>
      </c>
      <c r="D164" s="65">
        <v>1</v>
      </c>
      <c r="E164" s="66" t="s">
        <v>54</v>
      </c>
      <c r="F164" s="67">
        <v>565.22</v>
      </c>
      <c r="G164" s="68">
        <v>565.22</v>
      </c>
      <c r="H164" s="68">
        <v>565.22</v>
      </c>
      <c r="I164" s="68">
        <v>565.22</v>
      </c>
      <c r="J164" s="68">
        <v>565.22</v>
      </c>
      <c r="K164" s="68">
        <v>565.22</v>
      </c>
      <c r="L164" s="69">
        <v>40544</v>
      </c>
      <c r="M164" s="72" t="s">
        <v>56</v>
      </c>
    </row>
    <row r="165" spans="1:13" ht="31.5" customHeight="1" thickBot="1" x14ac:dyDescent="0.3">
      <c r="A165" s="62">
        <v>1900060672</v>
      </c>
      <c r="B165" s="63" t="s">
        <v>237</v>
      </c>
      <c r="C165" s="64">
        <f t="shared" si="2"/>
        <v>157</v>
      </c>
      <c r="D165" s="65">
        <v>4</v>
      </c>
      <c r="E165" s="66" t="s">
        <v>68</v>
      </c>
      <c r="F165" s="67"/>
      <c r="G165" s="68"/>
      <c r="H165" s="68"/>
      <c r="I165" s="68">
        <v>615</v>
      </c>
      <c r="J165" s="68">
        <v>615</v>
      </c>
      <c r="K165" s="68">
        <v>615</v>
      </c>
      <c r="L165" s="69">
        <v>40544</v>
      </c>
      <c r="M165" s="72" t="s">
        <v>440</v>
      </c>
    </row>
    <row r="166" spans="1:13" ht="31.5" customHeight="1" thickBot="1" x14ac:dyDescent="0.3">
      <c r="A166" s="62">
        <v>1101968012</v>
      </c>
      <c r="B166" s="63" t="s">
        <v>238</v>
      </c>
      <c r="C166" s="64">
        <f t="shared" si="2"/>
        <v>158</v>
      </c>
      <c r="D166" s="65">
        <v>1</v>
      </c>
      <c r="E166" s="66" t="s">
        <v>166</v>
      </c>
      <c r="F166" s="67">
        <v>565.22</v>
      </c>
      <c r="G166" s="68">
        <v>565.22</v>
      </c>
      <c r="H166" s="68">
        <v>565.22</v>
      </c>
      <c r="I166" s="68">
        <v>565.22</v>
      </c>
      <c r="J166" s="68">
        <v>565.22</v>
      </c>
      <c r="K166" s="68">
        <v>565.22</v>
      </c>
      <c r="L166" s="69">
        <v>40544</v>
      </c>
      <c r="M166" s="72" t="s">
        <v>60</v>
      </c>
    </row>
    <row r="167" spans="1:13" ht="31.5" customHeight="1" thickBot="1" x14ac:dyDescent="0.3">
      <c r="A167" s="62">
        <v>1104098478</v>
      </c>
      <c r="B167" s="63" t="s">
        <v>239</v>
      </c>
      <c r="C167" s="64">
        <f t="shared" si="2"/>
        <v>159</v>
      </c>
      <c r="D167" s="65">
        <v>1</v>
      </c>
      <c r="E167" s="66" t="s">
        <v>178</v>
      </c>
      <c r="F167" s="67">
        <v>565.22</v>
      </c>
      <c r="G167" s="68">
        <v>565.22</v>
      </c>
      <c r="H167" s="68">
        <v>565.22</v>
      </c>
      <c r="I167" s="68">
        <v>565.22</v>
      </c>
      <c r="J167" s="68">
        <v>565.22</v>
      </c>
      <c r="K167" s="68">
        <v>565.22</v>
      </c>
      <c r="L167" s="69">
        <v>41640</v>
      </c>
      <c r="M167" s="72" t="s">
        <v>56</v>
      </c>
    </row>
    <row r="168" spans="1:13" ht="31.5" customHeight="1" thickBot="1" x14ac:dyDescent="0.3">
      <c r="A168" s="62">
        <v>1101824827</v>
      </c>
      <c r="B168" s="63" t="s">
        <v>240</v>
      </c>
      <c r="C168" s="64">
        <f t="shared" si="2"/>
        <v>160</v>
      </c>
      <c r="D168" s="76">
        <v>3</v>
      </c>
      <c r="E168" s="66" t="s">
        <v>66</v>
      </c>
      <c r="F168" s="67">
        <v>821</v>
      </c>
      <c r="G168" s="68">
        <v>821</v>
      </c>
      <c r="H168" s="68">
        <v>821</v>
      </c>
      <c r="I168" s="68">
        <v>821</v>
      </c>
      <c r="J168" s="68">
        <v>821</v>
      </c>
      <c r="K168" s="68">
        <v>821</v>
      </c>
      <c r="L168" s="69">
        <v>28491</v>
      </c>
      <c r="M168" s="72" t="s">
        <v>56</v>
      </c>
    </row>
    <row r="169" spans="1:13" ht="31.5" customHeight="1" thickBot="1" x14ac:dyDescent="0.3">
      <c r="A169" s="62">
        <v>1102004890</v>
      </c>
      <c r="B169" s="63" t="s">
        <v>241</v>
      </c>
      <c r="C169" s="64">
        <f t="shared" si="2"/>
        <v>161</v>
      </c>
      <c r="D169" s="65">
        <v>1</v>
      </c>
      <c r="E169" s="66" t="s">
        <v>82</v>
      </c>
      <c r="F169" s="67">
        <v>674.82</v>
      </c>
      <c r="G169" s="68">
        <v>674.82</v>
      </c>
      <c r="H169" s="68">
        <v>674.82</v>
      </c>
      <c r="I169" s="68">
        <v>674.82</v>
      </c>
      <c r="J169" s="68">
        <v>674.82</v>
      </c>
      <c r="K169" s="68">
        <v>674.82</v>
      </c>
      <c r="L169" s="69">
        <v>35612</v>
      </c>
      <c r="M169" s="72" t="s">
        <v>60</v>
      </c>
    </row>
    <row r="170" spans="1:13" ht="31.5" customHeight="1" thickBot="1" x14ac:dyDescent="0.3">
      <c r="A170" s="62">
        <v>1103388482</v>
      </c>
      <c r="B170" s="63" t="s">
        <v>242</v>
      </c>
      <c r="C170" s="64">
        <f t="shared" si="2"/>
        <v>162</v>
      </c>
      <c r="D170" s="65">
        <v>1</v>
      </c>
      <c r="E170" s="66" t="s">
        <v>54</v>
      </c>
      <c r="F170" s="67"/>
      <c r="G170" s="68"/>
      <c r="H170" s="68">
        <v>582</v>
      </c>
      <c r="I170" s="68">
        <v>582</v>
      </c>
      <c r="J170" s="68">
        <v>582</v>
      </c>
      <c r="K170" s="68">
        <v>582</v>
      </c>
      <c r="L170" s="69">
        <v>39951</v>
      </c>
      <c r="M170" s="72" t="s">
        <v>455</v>
      </c>
    </row>
    <row r="171" spans="1:13" ht="31.5" customHeight="1" thickBot="1" x14ac:dyDescent="0.3">
      <c r="A171" s="62">
        <v>1102484951</v>
      </c>
      <c r="B171" s="63" t="s">
        <v>243</v>
      </c>
      <c r="C171" s="64">
        <f t="shared" si="2"/>
        <v>163</v>
      </c>
      <c r="D171" s="65">
        <v>1</v>
      </c>
      <c r="E171" s="66" t="s">
        <v>64</v>
      </c>
      <c r="F171" s="67">
        <v>565.22</v>
      </c>
      <c r="G171" s="68">
        <v>565.22</v>
      </c>
      <c r="H171" s="68">
        <v>565.22</v>
      </c>
      <c r="I171" s="68">
        <v>565.22</v>
      </c>
      <c r="J171" s="68">
        <v>565.22</v>
      </c>
      <c r="K171" s="68">
        <v>565.22</v>
      </c>
      <c r="L171" s="69">
        <v>40544</v>
      </c>
      <c r="M171" s="72" t="s">
        <v>60</v>
      </c>
    </row>
    <row r="172" spans="1:13" ht="31.5" customHeight="1" thickBot="1" x14ac:dyDescent="0.3">
      <c r="A172" s="62" t="s">
        <v>244</v>
      </c>
      <c r="B172" s="63" t="s">
        <v>245</v>
      </c>
      <c r="C172" s="64">
        <f t="shared" si="2"/>
        <v>164</v>
      </c>
      <c r="D172" s="65">
        <v>2</v>
      </c>
      <c r="E172" s="66" t="s">
        <v>59</v>
      </c>
      <c r="F172" s="67">
        <v>581.22</v>
      </c>
      <c r="G172" s="68">
        <v>581.22</v>
      </c>
      <c r="H172" s="68">
        <v>581.22</v>
      </c>
      <c r="I172" s="68">
        <v>581.22</v>
      </c>
      <c r="J172" s="68">
        <v>581.22</v>
      </c>
      <c r="K172" s="68">
        <v>581.22</v>
      </c>
      <c r="L172" s="69">
        <v>40725</v>
      </c>
      <c r="M172" s="72" t="s">
        <v>60</v>
      </c>
    </row>
    <row r="173" spans="1:13" ht="31.5" customHeight="1" thickBot="1" x14ac:dyDescent="0.3">
      <c r="A173" s="62">
        <v>1101575593</v>
      </c>
      <c r="B173" s="63" t="s">
        <v>246</v>
      </c>
      <c r="C173" s="64">
        <f t="shared" si="2"/>
        <v>165</v>
      </c>
      <c r="D173" s="65">
        <v>1</v>
      </c>
      <c r="E173" s="66" t="s">
        <v>64</v>
      </c>
      <c r="F173" s="67">
        <v>565.22</v>
      </c>
      <c r="G173" s="68">
        <v>565.22</v>
      </c>
      <c r="H173" s="68">
        <v>565.22</v>
      </c>
      <c r="I173" s="68">
        <v>565.22</v>
      </c>
      <c r="J173" s="68">
        <v>565.22</v>
      </c>
      <c r="K173" s="68">
        <v>565.22</v>
      </c>
      <c r="L173" s="69">
        <v>40544</v>
      </c>
      <c r="M173" s="72" t="s">
        <v>60</v>
      </c>
    </row>
    <row r="174" spans="1:13" ht="31.5" customHeight="1" thickBot="1" x14ac:dyDescent="0.3">
      <c r="A174" s="62">
        <v>1103040158</v>
      </c>
      <c r="B174" s="63" t="s">
        <v>247</v>
      </c>
      <c r="C174" s="64">
        <f t="shared" si="2"/>
        <v>166</v>
      </c>
      <c r="D174" s="65">
        <v>4</v>
      </c>
      <c r="E174" s="66" t="s">
        <v>68</v>
      </c>
      <c r="F174" s="67">
        <v>615.22</v>
      </c>
      <c r="G174" s="68">
        <v>615.22</v>
      </c>
      <c r="H174" s="68">
        <v>615.22</v>
      </c>
      <c r="I174" s="68">
        <v>615.22</v>
      </c>
      <c r="J174" s="68">
        <v>615.22</v>
      </c>
      <c r="K174" s="68">
        <v>615.22</v>
      </c>
      <c r="L174" s="69">
        <v>40544</v>
      </c>
      <c r="M174" s="72" t="s">
        <v>60</v>
      </c>
    </row>
    <row r="175" spans="1:13" ht="31.5" customHeight="1" thickBot="1" x14ac:dyDescent="0.3">
      <c r="A175" s="62">
        <v>1102433537</v>
      </c>
      <c r="B175" s="63" t="s">
        <v>248</v>
      </c>
      <c r="C175" s="64">
        <f t="shared" si="2"/>
        <v>167</v>
      </c>
      <c r="D175" s="65">
        <v>1</v>
      </c>
      <c r="E175" s="66" t="s">
        <v>54</v>
      </c>
      <c r="F175" s="67">
        <v>574.88</v>
      </c>
      <c r="G175" s="68">
        <v>574.88</v>
      </c>
      <c r="H175" s="68">
        <v>574.88</v>
      </c>
      <c r="I175" s="68">
        <v>574.88</v>
      </c>
      <c r="J175" s="68">
        <v>574.88</v>
      </c>
      <c r="K175" s="68">
        <v>574.88</v>
      </c>
      <c r="L175" s="69">
        <v>40544</v>
      </c>
      <c r="M175" s="72" t="s">
        <v>56</v>
      </c>
    </row>
    <row r="176" spans="1:13" ht="31.5" customHeight="1" thickBot="1" x14ac:dyDescent="0.3">
      <c r="A176" s="62">
        <v>1900240100</v>
      </c>
      <c r="B176" s="63" t="s">
        <v>249</v>
      </c>
      <c r="C176" s="64">
        <f t="shared" si="2"/>
        <v>168</v>
      </c>
      <c r="D176" s="65">
        <v>1</v>
      </c>
      <c r="E176" s="66" t="s">
        <v>70</v>
      </c>
      <c r="F176" s="67">
        <v>565.22</v>
      </c>
      <c r="G176" s="68">
        <v>565.22</v>
      </c>
      <c r="H176" s="68">
        <v>565.22</v>
      </c>
      <c r="I176" s="68">
        <v>565.22</v>
      </c>
      <c r="J176" s="68">
        <v>565.22</v>
      </c>
      <c r="K176" s="68">
        <v>565.22</v>
      </c>
      <c r="L176" s="69">
        <v>41640</v>
      </c>
      <c r="M176" s="72" t="s">
        <v>71</v>
      </c>
    </row>
    <row r="177" spans="1:13" ht="31.5" customHeight="1" thickBot="1" x14ac:dyDescent="0.3">
      <c r="A177" s="62">
        <v>1103992713</v>
      </c>
      <c r="B177" s="63" t="s">
        <v>250</v>
      </c>
      <c r="C177" s="64">
        <f t="shared" si="2"/>
        <v>169</v>
      </c>
      <c r="D177" s="65">
        <v>2</v>
      </c>
      <c r="E177" s="66" t="s">
        <v>141</v>
      </c>
      <c r="F177" s="67">
        <v>581.22</v>
      </c>
      <c r="G177" s="68">
        <v>581.22</v>
      </c>
      <c r="H177" s="68">
        <v>581.22</v>
      </c>
      <c r="I177" s="68">
        <v>581.22</v>
      </c>
      <c r="J177" s="68">
        <v>581.22</v>
      </c>
      <c r="K177" s="68">
        <v>581.22</v>
      </c>
      <c r="L177" s="69">
        <v>40725</v>
      </c>
      <c r="M177" s="72" t="s">
        <v>60</v>
      </c>
    </row>
    <row r="178" spans="1:13" ht="31.5" customHeight="1" thickBot="1" x14ac:dyDescent="0.3">
      <c r="A178" s="62">
        <v>1103409908</v>
      </c>
      <c r="B178" s="63" t="s">
        <v>251</v>
      </c>
      <c r="C178" s="64">
        <f t="shared" si="2"/>
        <v>170</v>
      </c>
      <c r="D178" s="65">
        <v>2</v>
      </c>
      <c r="E178" s="66" t="s">
        <v>141</v>
      </c>
      <c r="F178" s="67">
        <v>581.22</v>
      </c>
      <c r="G178" s="68">
        <v>581.22</v>
      </c>
      <c r="H178" s="68">
        <v>581.22</v>
      </c>
      <c r="I178" s="68">
        <v>581.22</v>
      </c>
      <c r="J178" s="68">
        <v>581.22</v>
      </c>
      <c r="K178" s="68">
        <v>581.22</v>
      </c>
      <c r="L178" s="69">
        <v>40544</v>
      </c>
      <c r="M178" s="72" t="s">
        <v>60</v>
      </c>
    </row>
    <row r="179" spans="1:13" ht="31.5" customHeight="1" thickBot="1" x14ac:dyDescent="0.3">
      <c r="A179" s="62">
        <v>1102332283</v>
      </c>
      <c r="B179" s="63" t="s">
        <v>252</v>
      </c>
      <c r="C179" s="64">
        <f t="shared" si="2"/>
        <v>171</v>
      </c>
      <c r="D179" s="65">
        <v>1</v>
      </c>
      <c r="E179" s="66" t="s">
        <v>64</v>
      </c>
      <c r="F179" s="67">
        <v>565.22</v>
      </c>
      <c r="G179" s="68">
        <v>565.22</v>
      </c>
      <c r="H179" s="68">
        <v>565.22</v>
      </c>
      <c r="I179" s="68">
        <v>565.22</v>
      </c>
      <c r="J179" s="68">
        <v>565.22</v>
      </c>
      <c r="K179" s="68">
        <v>565.22</v>
      </c>
      <c r="L179" s="69">
        <v>40544</v>
      </c>
      <c r="M179" s="72" t="s">
        <v>60</v>
      </c>
    </row>
    <row r="180" spans="1:13" ht="31.5" customHeight="1" thickBot="1" x14ac:dyDescent="0.3">
      <c r="A180" s="62" t="s">
        <v>466</v>
      </c>
      <c r="B180" s="63" t="s">
        <v>467</v>
      </c>
      <c r="C180" s="64">
        <f t="shared" si="2"/>
        <v>172</v>
      </c>
      <c r="D180" s="65">
        <v>2</v>
      </c>
      <c r="E180" s="66" t="s">
        <v>447</v>
      </c>
      <c r="F180" s="67"/>
      <c r="G180" s="68"/>
      <c r="H180" s="68"/>
      <c r="I180" s="68"/>
      <c r="J180" s="68"/>
      <c r="K180" s="68">
        <v>531</v>
      </c>
      <c r="L180" s="69">
        <v>43626</v>
      </c>
      <c r="M180" s="72" t="s">
        <v>448</v>
      </c>
    </row>
    <row r="181" spans="1:13" ht="31.5" customHeight="1" thickBot="1" x14ac:dyDescent="0.3">
      <c r="A181" s="62">
        <v>1102531389</v>
      </c>
      <c r="B181" s="63" t="s">
        <v>253</v>
      </c>
      <c r="C181" s="64">
        <f t="shared" si="2"/>
        <v>173</v>
      </c>
      <c r="D181" s="65">
        <v>2</v>
      </c>
      <c r="E181" s="66" t="s">
        <v>191</v>
      </c>
      <c r="F181" s="67">
        <v>581.22</v>
      </c>
      <c r="G181" s="68">
        <v>581.22</v>
      </c>
      <c r="H181" s="68">
        <v>581.22</v>
      </c>
      <c r="I181" s="68">
        <v>581.22</v>
      </c>
      <c r="J181" s="68">
        <v>581.22</v>
      </c>
      <c r="K181" s="68">
        <v>581.22</v>
      </c>
      <c r="L181" s="69">
        <v>39748</v>
      </c>
      <c r="M181" s="72" t="s">
        <v>56</v>
      </c>
    </row>
    <row r="182" spans="1:13" ht="31.5" customHeight="1" thickBot="1" x14ac:dyDescent="0.3">
      <c r="A182" s="62">
        <v>1100421310</v>
      </c>
      <c r="B182" s="63" t="s">
        <v>468</v>
      </c>
      <c r="C182" s="64">
        <f t="shared" si="2"/>
        <v>174</v>
      </c>
      <c r="D182" s="65">
        <v>4</v>
      </c>
      <c r="E182" s="66" t="s">
        <v>68</v>
      </c>
      <c r="F182" s="67">
        <v>876</v>
      </c>
      <c r="G182" s="67">
        <v>876</v>
      </c>
      <c r="H182" s="68"/>
      <c r="I182" s="68"/>
      <c r="J182" s="68"/>
      <c r="K182" s="68"/>
      <c r="L182" s="69">
        <v>36526</v>
      </c>
      <c r="M182" s="72" t="s">
        <v>469</v>
      </c>
    </row>
    <row r="183" spans="1:13" ht="31.5" customHeight="1" thickBot="1" x14ac:dyDescent="0.3">
      <c r="A183" s="62">
        <v>1103739544</v>
      </c>
      <c r="B183" s="63" t="s">
        <v>254</v>
      </c>
      <c r="C183" s="64">
        <f t="shared" si="2"/>
        <v>175</v>
      </c>
      <c r="D183" s="65">
        <v>1</v>
      </c>
      <c r="E183" s="66" t="s">
        <v>82</v>
      </c>
      <c r="F183" s="67">
        <v>565.22</v>
      </c>
      <c r="G183" s="68">
        <v>565.22</v>
      </c>
      <c r="H183" s="68">
        <v>565.22</v>
      </c>
      <c r="I183" s="68">
        <v>565.22</v>
      </c>
      <c r="J183" s="68">
        <v>565.22</v>
      </c>
      <c r="K183" s="68">
        <v>565.22</v>
      </c>
      <c r="L183" s="69">
        <v>40787</v>
      </c>
      <c r="M183" s="72" t="s">
        <v>56</v>
      </c>
    </row>
    <row r="184" spans="1:13" ht="31.5" customHeight="1" thickBot="1" x14ac:dyDescent="0.3">
      <c r="A184" s="62">
        <v>1101914461</v>
      </c>
      <c r="B184" s="63" t="s">
        <v>255</v>
      </c>
      <c r="C184" s="64">
        <f t="shared" si="2"/>
        <v>176</v>
      </c>
      <c r="D184" s="65">
        <v>4</v>
      </c>
      <c r="E184" s="66" t="s">
        <v>68</v>
      </c>
      <c r="F184" s="67">
        <v>615.22</v>
      </c>
      <c r="G184" s="68">
        <v>615.22</v>
      </c>
      <c r="H184" s="68">
        <v>615.22</v>
      </c>
      <c r="I184" s="68">
        <v>615.22</v>
      </c>
      <c r="J184" s="68">
        <v>615.22</v>
      </c>
      <c r="K184" s="68">
        <v>615.22</v>
      </c>
      <c r="L184" s="69">
        <v>40544</v>
      </c>
      <c r="M184" s="72" t="s">
        <v>56</v>
      </c>
    </row>
    <row r="185" spans="1:13" ht="31.5" customHeight="1" thickBot="1" x14ac:dyDescent="0.3">
      <c r="A185" s="62">
        <v>1102090774</v>
      </c>
      <c r="B185" s="63" t="s">
        <v>256</v>
      </c>
      <c r="C185" s="64">
        <f t="shared" si="2"/>
        <v>177</v>
      </c>
      <c r="D185" s="65">
        <v>1</v>
      </c>
      <c r="E185" s="66" t="s">
        <v>54</v>
      </c>
      <c r="F185" s="67">
        <v>565.22</v>
      </c>
      <c r="G185" s="68">
        <v>565.22</v>
      </c>
      <c r="H185" s="68">
        <v>565.22</v>
      </c>
      <c r="I185" s="68">
        <v>565.22</v>
      </c>
      <c r="J185" s="68">
        <v>565.22</v>
      </c>
      <c r="K185" s="68">
        <v>565.22</v>
      </c>
      <c r="L185" s="69">
        <v>40544</v>
      </c>
      <c r="M185" s="72" t="s">
        <v>435</v>
      </c>
    </row>
    <row r="186" spans="1:13" ht="31.5" customHeight="1" thickBot="1" x14ac:dyDescent="0.3">
      <c r="A186" s="62">
        <v>1101829800</v>
      </c>
      <c r="B186" s="63" t="s">
        <v>257</v>
      </c>
      <c r="C186" s="64">
        <f t="shared" si="2"/>
        <v>178</v>
      </c>
      <c r="D186" s="65">
        <v>1</v>
      </c>
      <c r="E186" s="66" t="s">
        <v>54</v>
      </c>
      <c r="F186" s="67"/>
      <c r="G186" s="68"/>
      <c r="H186" s="68">
        <v>582</v>
      </c>
      <c r="I186" s="68">
        <v>582</v>
      </c>
      <c r="J186" s="68">
        <v>582</v>
      </c>
      <c r="K186" s="68">
        <v>582</v>
      </c>
      <c r="L186" s="69">
        <v>39874</v>
      </c>
      <c r="M186" s="72" t="s">
        <v>455</v>
      </c>
    </row>
    <row r="187" spans="1:13" ht="31.5" customHeight="1" thickBot="1" x14ac:dyDescent="0.3">
      <c r="A187" s="62">
        <v>1102838909</v>
      </c>
      <c r="B187" s="63" t="s">
        <v>258</v>
      </c>
      <c r="C187" s="64">
        <f t="shared" si="2"/>
        <v>179</v>
      </c>
      <c r="D187" s="65">
        <v>1</v>
      </c>
      <c r="E187" s="66" t="s">
        <v>82</v>
      </c>
      <c r="F187" s="67">
        <v>565.22</v>
      </c>
      <c r="G187" s="68">
        <v>565.22</v>
      </c>
      <c r="H187" s="68">
        <v>565.22</v>
      </c>
      <c r="I187" s="68">
        <v>565.22</v>
      </c>
      <c r="J187" s="68">
        <v>565.22</v>
      </c>
      <c r="K187" s="68">
        <v>565.22</v>
      </c>
      <c r="L187" s="69">
        <v>40544</v>
      </c>
      <c r="M187" s="72" t="s">
        <v>71</v>
      </c>
    </row>
    <row r="188" spans="1:13" ht="31.5" customHeight="1" thickBot="1" x14ac:dyDescent="0.3">
      <c r="A188" s="62">
        <v>1103020572</v>
      </c>
      <c r="B188" s="63" t="s">
        <v>259</v>
      </c>
      <c r="C188" s="64">
        <f t="shared" si="2"/>
        <v>180</v>
      </c>
      <c r="D188" s="65">
        <v>4</v>
      </c>
      <c r="E188" s="66" t="s">
        <v>68</v>
      </c>
      <c r="F188" s="67">
        <v>615.22</v>
      </c>
      <c r="G188" s="68">
        <v>615.22</v>
      </c>
      <c r="H188" s="68">
        <v>615.22</v>
      </c>
      <c r="I188" s="68">
        <v>615.22</v>
      </c>
      <c r="J188" s="68">
        <v>615.22</v>
      </c>
      <c r="K188" s="68">
        <v>615.22</v>
      </c>
      <c r="L188" s="69">
        <v>40544</v>
      </c>
      <c r="M188" s="72" t="s">
        <v>56</v>
      </c>
    </row>
    <row r="189" spans="1:13" ht="31.5" customHeight="1" thickBot="1" x14ac:dyDescent="0.3">
      <c r="A189" s="62">
        <v>1101425039</v>
      </c>
      <c r="B189" s="63" t="s">
        <v>260</v>
      </c>
      <c r="C189" s="64">
        <f t="shared" si="2"/>
        <v>181</v>
      </c>
      <c r="D189" s="65">
        <v>4</v>
      </c>
      <c r="E189" s="66" t="s">
        <v>68</v>
      </c>
      <c r="F189" s="67">
        <v>615.22</v>
      </c>
      <c r="G189" s="68">
        <v>615.22</v>
      </c>
      <c r="H189" s="68">
        <v>615.22</v>
      </c>
      <c r="I189" s="68">
        <v>615.22</v>
      </c>
      <c r="J189" s="68">
        <v>615.22</v>
      </c>
      <c r="K189" s="68">
        <v>615.22</v>
      </c>
      <c r="L189" s="69">
        <v>40544</v>
      </c>
      <c r="M189" s="72" t="s">
        <v>435</v>
      </c>
    </row>
    <row r="190" spans="1:13" ht="31.5" customHeight="1" thickBot="1" x14ac:dyDescent="0.3">
      <c r="A190" s="62">
        <v>1104626641</v>
      </c>
      <c r="B190" s="63" t="s">
        <v>261</v>
      </c>
      <c r="C190" s="64">
        <f t="shared" si="2"/>
        <v>182</v>
      </c>
      <c r="D190" s="65">
        <v>1</v>
      </c>
      <c r="E190" s="66" t="s">
        <v>54</v>
      </c>
      <c r="F190" s="67">
        <v>565.22</v>
      </c>
      <c r="G190" s="68">
        <v>565.22</v>
      </c>
      <c r="H190" s="68">
        <v>565.22</v>
      </c>
      <c r="I190" s="68">
        <v>565.22</v>
      </c>
      <c r="J190" s="68">
        <v>565.22</v>
      </c>
      <c r="K190" s="68">
        <v>565.22</v>
      </c>
      <c r="L190" s="69">
        <v>40787</v>
      </c>
      <c r="M190" s="72" t="s">
        <v>56</v>
      </c>
    </row>
    <row r="191" spans="1:13" ht="31.5" customHeight="1" thickBot="1" x14ac:dyDescent="0.3">
      <c r="A191" s="62">
        <v>1103102420</v>
      </c>
      <c r="B191" s="63" t="s">
        <v>262</v>
      </c>
      <c r="C191" s="64">
        <f t="shared" si="2"/>
        <v>183</v>
      </c>
      <c r="D191" s="65">
        <v>2</v>
      </c>
      <c r="E191" s="66" t="s">
        <v>158</v>
      </c>
      <c r="F191" s="67">
        <v>581.22</v>
      </c>
      <c r="G191" s="68">
        <v>581.22</v>
      </c>
      <c r="H191" s="68">
        <v>581.22</v>
      </c>
      <c r="I191" s="68">
        <v>581.22</v>
      </c>
      <c r="J191" s="68">
        <v>581.22</v>
      </c>
      <c r="K191" s="68">
        <v>581.22</v>
      </c>
      <c r="L191" s="69">
        <v>40544</v>
      </c>
      <c r="M191" s="72" t="s">
        <v>60</v>
      </c>
    </row>
    <row r="192" spans="1:13" ht="31.5" customHeight="1" thickBot="1" x14ac:dyDescent="0.3">
      <c r="A192" s="62">
        <v>1102915590</v>
      </c>
      <c r="B192" s="63" t="s">
        <v>263</v>
      </c>
      <c r="C192" s="64">
        <f t="shared" si="2"/>
        <v>184</v>
      </c>
      <c r="D192" s="65">
        <v>1</v>
      </c>
      <c r="E192" s="66" t="s">
        <v>82</v>
      </c>
      <c r="F192" s="67">
        <v>565.22</v>
      </c>
      <c r="G192" s="68">
        <v>565.22</v>
      </c>
      <c r="H192" s="68">
        <v>565.22</v>
      </c>
      <c r="I192" s="68">
        <v>565.22</v>
      </c>
      <c r="J192" s="68">
        <v>565.22</v>
      </c>
      <c r="K192" s="68">
        <v>565.22</v>
      </c>
      <c r="L192" s="69">
        <v>40787</v>
      </c>
      <c r="M192" s="72" t="s">
        <v>56</v>
      </c>
    </row>
    <row r="193" spans="1:13" ht="31.5" customHeight="1" thickBot="1" x14ac:dyDescent="0.3">
      <c r="A193" s="62">
        <v>1102967526</v>
      </c>
      <c r="B193" s="63" t="s">
        <v>264</v>
      </c>
      <c r="C193" s="64">
        <f t="shared" si="2"/>
        <v>185</v>
      </c>
      <c r="D193" s="65">
        <v>4</v>
      </c>
      <c r="E193" s="66" t="s">
        <v>68</v>
      </c>
      <c r="F193" s="67">
        <v>711.22</v>
      </c>
      <c r="G193" s="68">
        <v>711.22</v>
      </c>
      <c r="H193" s="68">
        <v>711.22</v>
      </c>
      <c r="I193" s="68">
        <v>711.22</v>
      </c>
      <c r="J193" s="68">
        <v>711.22</v>
      </c>
      <c r="K193" s="68">
        <v>711.22</v>
      </c>
      <c r="L193" s="69">
        <v>35916</v>
      </c>
      <c r="M193" s="72" t="s">
        <v>56</v>
      </c>
    </row>
    <row r="194" spans="1:13" ht="31.5" customHeight="1" thickBot="1" x14ac:dyDescent="0.3">
      <c r="A194" s="62">
        <v>1103505200</v>
      </c>
      <c r="B194" s="63" t="s">
        <v>265</v>
      </c>
      <c r="C194" s="64">
        <f t="shared" si="2"/>
        <v>186</v>
      </c>
      <c r="D194" s="65">
        <v>1</v>
      </c>
      <c r="E194" s="66" t="s">
        <v>70</v>
      </c>
      <c r="F194" s="67">
        <v>615.22</v>
      </c>
      <c r="G194" s="68">
        <v>615.22</v>
      </c>
      <c r="H194" s="68">
        <v>615.22</v>
      </c>
      <c r="I194" s="68">
        <v>615.22</v>
      </c>
      <c r="J194" s="68">
        <v>615.22</v>
      </c>
      <c r="K194" s="68">
        <v>615.22</v>
      </c>
      <c r="L194" s="69">
        <v>40544</v>
      </c>
      <c r="M194" s="72" t="s">
        <v>71</v>
      </c>
    </row>
    <row r="195" spans="1:13" ht="31.5" customHeight="1" thickBot="1" x14ac:dyDescent="0.3">
      <c r="A195" s="62">
        <v>1104207459</v>
      </c>
      <c r="B195" s="63" t="s">
        <v>266</v>
      </c>
      <c r="C195" s="64">
        <f t="shared" si="2"/>
        <v>187</v>
      </c>
      <c r="D195" s="65">
        <v>2</v>
      </c>
      <c r="E195" s="66" t="s">
        <v>59</v>
      </c>
      <c r="F195" s="67">
        <v>581.22</v>
      </c>
      <c r="G195" s="68">
        <v>581.22</v>
      </c>
      <c r="H195" s="68">
        <v>581.22</v>
      </c>
      <c r="I195" s="68">
        <v>581.22</v>
      </c>
      <c r="J195" s="68">
        <v>581.22</v>
      </c>
      <c r="K195" s="68">
        <v>581.22</v>
      </c>
      <c r="L195" s="69">
        <v>40544</v>
      </c>
      <c r="M195" s="72" t="s">
        <v>60</v>
      </c>
    </row>
    <row r="196" spans="1:13" ht="31.5" customHeight="1" thickBot="1" x14ac:dyDescent="0.3">
      <c r="A196" s="62" t="s">
        <v>470</v>
      </c>
      <c r="B196" s="63" t="s">
        <v>471</v>
      </c>
      <c r="C196" s="64">
        <f t="shared" si="2"/>
        <v>188</v>
      </c>
      <c r="D196" s="65">
        <v>2</v>
      </c>
      <c r="E196" s="66" t="s">
        <v>447</v>
      </c>
      <c r="F196" s="67"/>
      <c r="G196" s="68"/>
      <c r="H196" s="68"/>
      <c r="I196" s="68"/>
      <c r="J196" s="68"/>
      <c r="K196" s="68">
        <v>531</v>
      </c>
      <c r="L196" s="69">
        <v>43626</v>
      </c>
      <c r="M196" s="72" t="s">
        <v>448</v>
      </c>
    </row>
    <row r="197" spans="1:13" ht="31.5" customHeight="1" thickBot="1" x14ac:dyDescent="0.3">
      <c r="A197" s="62">
        <v>1103520118</v>
      </c>
      <c r="B197" s="63" t="s">
        <v>267</v>
      </c>
      <c r="C197" s="64">
        <f t="shared" si="2"/>
        <v>189</v>
      </c>
      <c r="D197" s="65">
        <v>1</v>
      </c>
      <c r="E197" s="66" t="s">
        <v>64</v>
      </c>
      <c r="F197" s="67">
        <v>565.22</v>
      </c>
      <c r="G197" s="68">
        <v>565.22</v>
      </c>
      <c r="H197" s="68">
        <v>565.22</v>
      </c>
      <c r="I197" s="68">
        <v>565.22</v>
      </c>
      <c r="J197" s="68">
        <v>565.22</v>
      </c>
      <c r="K197" s="68">
        <v>565.22</v>
      </c>
      <c r="L197" s="69">
        <v>40544</v>
      </c>
      <c r="M197" s="72" t="s">
        <v>60</v>
      </c>
    </row>
    <row r="198" spans="1:13" ht="31.5" customHeight="1" thickBot="1" x14ac:dyDescent="0.3">
      <c r="A198" s="62">
        <v>1102529870</v>
      </c>
      <c r="B198" s="63" t="s">
        <v>268</v>
      </c>
      <c r="C198" s="64">
        <f t="shared" si="2"/>
        <v>190</v>
      </c>
      <c r="D198" s="65">
        <v>2</v>
      </c>
      <c r="E198" s="66" t="s">
        <v>158</v>
      </c>
      <c r="F198" s="67">
        <v>581.22</v>
      </c>
      <c r="G198" s="68">
        <v>581.22</v>
      </c>
      <c r="H198" s="68">
        <v>581.22</v>
      </c>
      <c r="I198" s="68">
        <v>581.22</v>
      </c>
      <c r="J198" s="68">
        <v>581.22</v>
      </c>
      <c r="K198" s="68">
        <v>581.22</v>
      </c>
      <c r="L198" s="69">
        <v>40544</v>
      </c>
      <c r="M198" s="72" t="s">
        <v>60</v>
      </c>
    </row>
    <row r="199" spans="1:13" ht="31.5" customHeight="1" thickBot="1" x14ac:dyDescent="0.3">
      <c r="A199" s="62">
        <v>1102122890</v>
      </c>
      <c r="B199" s="63" t="s">
        <v>269</v>
      </c>
      <c r="C199" s="64">
        <f t="shared" si="2"/>
        <v>191</v>
      </c>
      <c r="D199" s="65">
        <v>1</v>
      </c>
      <c r="E199" s="66" t="s">
        <v>64</v>
      </c>
      <c r="F199" s="67">
        <v>565.22</v>
      </c>
      <c r="G199" s="68">
        <v>565.22</v>
      </c>
      <c r="H199" s="68">
        <v>565.22</v>
      </c>
      <c r="I199" s="68">
        <v>565.22</v>
      </c>
      <c r="J199" s="68">
        <v>565.22</v>
      </c>
      <c r="K199" s="68">
        <v>565.22</v>
      </c>
      <c r="L199" s="69">
        <v>40725</v>
      </c>
      <c r="M199" s="72" t="s">
        <v>60</v>
      </c>
    </row>
    <row r="200" spans="1:13" ht="31.5" customHeight="1" thickBot="1" x14ac:dyDescent="0.3">
      <c r="A200" s="62">
        <v>1103186167</v>
      </c>
      <c r="B200" s="63" t="s">
        <v>270</v>
      </c>
      <c r="C200" s="64">
        <f t="shared" si="2"/>
        <v>192</v>
      </c>
      <c r="D200" s="65">
        <v>1</v>
      </c>
      <c r="E200" s="66" t="s">
        <v>82</v>
      </c>
      <c r="F200" s="67">
        <v>583.6</v>
      </c>
      <c r="G200" s="68">
        <v>583.6</v>
      </c>
      <c r="H200" s="68">
        <v>583.6</v>
      </c>
      <c r="I200" s="68">
        <v>583.6</v>
      </c>
      <c r="J200" s="68">
        <v>583.6</v>
      </c>
      <c r="K200" s="68">
        <v>583.6</v>
      </c>
      <c r="L200" s="69">
        <v>38078</v>
      </c>
      <c r="M200" s="72" t="s">
        <v>60</v>
      </c>
    </row>
    <row r="201" spans="1:13" ht="31.5" customHeight="1" thickBot="1" x14ac:dyDescent="0.3">
      <c r="A201" s="62">
        <v>1103838585</v>
      </c>
      <c r="B201" s="63" t="s">
        <v>271</v>
      </c>
      <c r="C201" s="64">
        <f t="shared" si="2"/>
        <v>193</v>
      </c>
      <c r="D201" s="65">
        <v>1</v>
      </c>
      <c r="E201" s="66" t="s">
        <v>82</v>
      </c>
      <c r="F201" s="67">
        <v>565.22</v>
      </c>
      <c r="G201" s="68">
        <v>565.22</v>
      </c>
      <c r="H201" s="68">
        <v>565.22</v>
      </c>
      <c r="I201" s="68">
        <v>565.22</v>
      </c>
      <c r="J201" s="68">
        <v>565.22</v>
      </c>
      <c r="K201" s="68">
        <v>565.22</v>
      </c>
      <c r="L201" s="69">
        <v>40544</v>
      </c>
      <c r="M201" s="72" t="s">
        <v>56</v>
      </c>
    </row>
    <row r="202" spans="1:13" ht="31.5" customHeight="1" thickBot="1" x14ac:dyDescent="0.3">
      <c r="A202" s="62">
        <v>1102820048</v>
      </c>
      <c r="B202" s="63" t="s">
        <v>272</v>
      </c>
      <c r="C202" s="64">
        <f t="shared" si="2"/>
        <v>194</v>
      </c>
      <c r="D202" s="65">
        <v>4</v>
      </c>
      <c r="E202" s="66" t="s">
        <v>68</v>
      </c>
      <c r="F202" s="67">
        <v>615.22</v>
      </c>
      <c r="G202" s="68">
        <v>615.22</v>
      </c>
      <c r="H202" s="68">
        <v>615.22</v>
      </c>
      <c r="I202" s="68">
        <v>615.22</v>
      </c>
      <c r="J202" s="68">
        <v>615.22</v>
      </c>
      <c r="K202" s="68">
        <v>615.22</v>
      </c>
      <c r="L202" s="69">
        <v>40544</v>
      </c>
      <c r="M202" s="72" t="s">
        <v>56</v>
      </c>
    </row>
    <row r="203" spans="1:13" ht="31.5" customHeight="1" thickBot="1" x14ac:dyDescent="0.3">
      <c r="A203" s="62">
        <v>1708435647</v>
      </c>
      <c r="B203" s="63" t="s">
        <v>472</v>
      </c>
      <c r="C203" s="64">
        <f t="shared" ref="C203:C256" si="3">C202+1</f>
        <v>195</v>
      </c>
      <c r="D203" s="65">
        <v>2</v>
      </c>
      <c r="E203" s="66" t="s">
        <v>59</v>
      </c>
      <c r="F203" s="67">
        <v>581.22</v>
      </c>
      <c r="G203" s="67">
        <v>581.22</v>
      </c>
      <c r="H203" s="67">
        <v>581.22</v>
      </c>
      <c r="I203" s="67">
        <v>581.22</v>
      </c>
      <c r="J203" s="67">
        <v>581.22</v>
      </c>
      <c r="K203" s="68"/>
      <c r="L203" s="69">
        <v>40544</v>
      </c>
      <c r="M203" s="72" t="s">
        <v>473</v>
      </c>
    </row>
    <row r="204" spans="1:13" ht="31.5" customHeight="1" thickBot="1" x14ac:dyDescent="0.3">
      <c r="A204" s="62">
        <v>1104558802</v>
      </c>
      <c r="B204" s="63" t="s">
        <v>273</v>
      </c>
      <c r="C204" s="64">
        <f t="shared" si="3"/>
        <v>196</v>
      </c>
      <c r="D204" s="65">
        <v>1</v>
      </c>
      <c r="E204" s="66" t="s">
        <v>70</v>
      </c>
      <c r="F204" s="67">
        <v>615.22</v>
      </c>
      <c r="G204" s="67">
        <v>615.22</v>
      </c>
      <c r="H204" s="67">
        <v>615.22</v>
      </c>
      <c r="I204" s="67">
        <v>615.22</v>
      </c>
      <c r="J204" s="67">
        <v>615.22</v>
      </c>
      <c r="K204" s="67">
        <v>615.22</v>
      </c>
      <c r="L204" s="77">
        <v>40544</v>
      </c>
      <c r="M204" s="72" t="s">
        <v>71</v>
      </c>
    </row>
    <row r="205" spans="1:13" ht="31.5" customHeight="1" thickBot="1" x14ac:dyDescent="0.3">
      <c r="A205" s="62" t="s">
        <v>274</v>
      </c>
      <c r="B205" s="63" t="s">
        <v>275</v>
      </c>
      <c r="C205" s="64">
        <f t="shared" si="3"/>
        <v>197</v>
      </c>
      <c r="D205" s="65">
        <v>1</v>
      </c>
      <c r="E205" s="66" t="s">
        <v>84</v>
      </c>
      <c r="F205" s="67">
        <v>565.22</v>
      </c>
      <c r="G205" s="68">
        <v>565.22</v>
      </c>
      <c r="H205" s="68">
        <v>565.22</v>
      </c>
      <c r="I205" s="68">
        <v>565.22</v>
      </c>
      <c r="J205" s="68">
        <v>565.22</v>
      </c>
      <c r="K205" s="68">
        <v>565.22</v>
      </c>
      <c r="L205" s="69">
        <v>41640</v>
      </c>
      <c r="M205" s="72" t="s">
        <v>87</v>
      </c>
    </row>
    <row r="206" spans="1:13" ht="31.5" customHeight="1" thickBot="1" x14ac:dyDescent="0.3">
      <c r="A206" s="62">
        <v>1103203277</v>
      </c>
      <c r="B206" s="63" t="s">
        <v>276</v>
      </c>
      <c r="C206" s="64">
        <f t="shared" si="3"/>
        <v>198</v>
      </c>
      <c r="D206" s="65">
        <v>4</v>
      </c>
      <c r="E206" s="66" t="s">
        <v>68</v>
      </c>
      <c r="F206" s="67">
        <v>615.22</v>
      </c>
      <c r="G206" s="68">
        <v>615.22</v>
      </c>
      <c r="H206" s="68">
        <v>615.22</v>
      </c>
      <c r="I206" s="68">
        <v>615.22</v>
      </c>
      <c r="J206" s="68">
        <v>615.22</v>
      </c>
      <c r="K206" s="68">
        <v>615.22</v>
      </c>
      <c r="L206" s="69">
        <v>40544</v>
      </c>
      <c r="M206" s="72" t="s">
        <v>60</v>
      </c>
    </row>
    <row r="207" spans="1:13" ht="31.5" customHeight="1" thickBot="1" x14ac:dyDescent="0.3">
      <c r="A207" s="62">
        <v>1100568482</v>
      </c>
      <c r="B207" s="63" t="s">
        <v>277</v>
      </c>
      <c r="C207" s="64">
        <f t="shared" si="3"/>
        <v>199</v>
      </c>
      <c r="D207" s="65">
        <v>4</v>
      </c>
      <c r="E207" s="66" t="s">
        <v>68</v>
      </c>
      <c r="F207" s="67">
        <v>615.22</v>
      </c>
      <c r="G207" s="68">
        <v>615.22</v>
      </c>
      <c r="H207" s="68">
        <v>615.22</v>
      </c>
      <c r="I207" s="68">
        <v>615.22</v>
      </c>
      <c r="J207" s="68">
        <v>615.22</v>
      </c>
      <c r="K207" s="68">
        <v>615.22</v>
      </c>
      <c r="L207" s="69">
        <v>40544</v>
      </c>
      <c r="M207" s="72" t="s">
        <v>56</v>
      </c>
    </row>
    <row r="208" spans="1:13" ht="31.5" customHeight="1" thickBot="1" x14ac:dyDescent="0.3">
      <c r="A208" s="62">
        <v>1103276794</v>
      </c>
      <c r="B208" s="63" t="s">
        <v>278</v>
      </c>
      <c r="C208" s="64">
        <f t="shared" si="3"/>
        <v>200</v>
      </c>
      <c r="D208" s="65">
        <v>2</v>
      </c>
      <c r="E208" s="66" t="s">
        <v>158</v>
      </c>
      <c r="F208" s="67">
        <v>581.22</v>
      </c>
      <c r="G208" s="68">
        <v>581.22</v>
      </c>
      <c r="H208" s="68">
        <v>581.22</v>
      </c>
      <c r="I208" s="68">
        <v>581.22</v>
      </c>
      <c r="J208" s="68">
        <v>581.22</v>
      </c>
      <c r="K208" s="68">
        <v>581.22</v>
      </c>
      <c r="L208" s="69">
        <v>40544</v>
      </c>
      <c r="M208" s="72" t="s">
        <v>60</v>
      </c>
    </row>
    <row r="209" spans="1:13" ht="31.5" customHeight="1" thickBot="1" x14ac:dyDescent="0.3">
      <c r="A209" s="62">
        <v>1101447348</v>
      </c>
      <c r="B209" s="63" t="s">
        <v>474</v>
      </c>
      <c r="C209" s="64">
        <f t="shared" si="3"/>
        <v>201</v>
      </c>
      <c r="D209" s="65">
        <v>1</v>
      </c>
      <c r="E209" s="66" t="s">
        <v>178</v>
      </c>
      <c r="F209" s="106">
        <v>876</v>
      </c>
      <c r="G209" s="106">
        <v>876</v>
      </c>
      <c r="H209" s="106">
        <v>876</v>
      </c>
      <c r="I209" s="68"/>
      <c r="J209" s="68"/>
      <c r="K209" s="68"/>
      <c r="L209" s="69">
        <v>28681</v>
      </c>
      <c r="M209" s="72" t="s">
        <v>475</v>
      </c>
    </row>
    <row r="210" spans="1:13" ht="31.5" customHeight="1" thickBot="1" x14ac:dyDescent="0.3">
      <c r="A210" s="62">
        <v>1101437901</v>
      </c>
      <c r="B210" s="63" t="s">
        <v>279</v>
      </c>
      <c r="C210" s="64">
        <f t="shared" si="3"/>
        <v>202</v>
      </c>
      <c r="D210" s="65">
        <v>1</v>
      </c>
      <c r="E210" s="66" t="s">
        <v>70</v>
      </c>
      <c r="F210" s="67">
        <v>621.46</v>
      </c>
      <c r="G210" s="68">
        <v>621.46</v>
      </c>
      <c r="H210" s="68">
        <v>621.46</v>
      </c>
      <c r="I210" s="68">
        <v>621.46</v>
      </c>
      <c r="J210" s="68">
        <v>621.46</v>
      </c>
      <c r="K210" s="68">
        <v>621.46</v>
      </c>
      <c r="L210" s="69">
        <v>37649</v>
      </c>
      <c r="M210" s="72" t="s">
        <v>71</v>
      </c>
    </row>
    <row r="211" spans="1:13" ht="31.5" customHeight="1" thickBot="1" x14ac:dyDescent="0.3">
      <c r="A211" s="62">
        <v>1102595822</v>
      </c>
      <c r="B211" s="63" t="s">
        <v>280</v>
      </c>
      <c r="C211" s="64">
        <f t="shared" si="3"/>
        <v>203</v>
      </c>
      <c r="D211" s="65">
        <v>1</v>
      </c>
      <c r="E211" s="66" t="s">
        <v>82</v>
      </c>
      <c r="F211" s="67">
        <v>639.55000000000007</v>
      </c>
      <c r="G211" s="68">
        <v>639.55000000000007</v>
      </c>
      <c r="H211" s="68">
        <v>639.55000000000007</v>
      </c>
      <c r="I211" s="68">
        <v>639.55000000000007</v>
      </c>
      <c r="J211" s="68">
        <v>639.55000000000007</v>
      </c>
      <c r="K211" s="68">
        <v>639.55000000000007</v>
      </c>
      <c r="L211" s="69">
        <v>36115</v>
      </c>
      <c r="M211" s="72" t="s">
        <v>60</v>
      </c>
    </row>
    <row r="212" spans="1:13" ht="31.5" customHeight="1" thickBot="1" x14ac:dyDescent="0.3">
      <c r="A212" s="62" t="s">
        <v>281</v>
      </c>
      <c r="B212" s="63" t="s">
        <v>282</v>
      </c>
      <c r="C212" s="64">
        <f t="shared" si="3"/>
        <v>204</v>
      </c>
      <c r="D212" s="65">
        <v>2</v>
      </c>
      <c r="E212" s="66" t="s">
        <v>59</v>
      </c>
      <c r="F212" s="67">
        <v>581.22</v>
      </c>
      <c r="G212" s="68">
        <v>581.22</v>
      </c>
      <c r="H212" s="68">
        <v>581.22</v>
      </c>
      <c r="I212" s="68">
        <v>581.22</v>
      </c>
      <c r="J212" s="68">
        <v>581.22</v>
      </c>
      <c r="K212" s="68">
        <v>581.22</v>
      </c>
      <c r="L212" s="69">
        <v>40544</v>
      </c>
      <c r="M212" s="72" t="s">
        <v>60</v>
      </c>
    </row>
    <row r="213" spans="1:13" ht="31.5" customHeight="1" thickBot="1" x14ac:dyDescent="0.3">
      <c r="A213" s="62">
        <v>1103504203</v>
      </c>
      <c r="B213" s="63" t="s">
        <v>283</v>
      </c>
      <c r="C213" s="64">
        <f t="shared" si="3"/>
        <v>205</v>
      </c>
      <c r="D213" s="65">
        <v>2</v>
      </c>
      <c r="E213" s="66" t="s">
        <v>59</v>
      </c>
      <c r="F213" s="67">
        <v>581.22</v>
      </c>
      <c r="G213" s="68">
        <v>581.22</v>
      </c>
      <c r="H213" s="68">
        <v>581.22</v>
      </c>
      <c r="I213" s="68">
        <v>581.22</v>
      </c>
      <c r="J213" s="68">
        <v>581.22</v>
      </c>
      <c r="K213" s="68">
        <v>581.22</v>
      </c>
      <c r="L213" s="69">
        <v>40544</v>
      </c>
      <c r="M213" s="72" t="s">
        <v>60</v>
      </c>
    </row>
    <row r="214" spans="1:13" ht="31.5" customHeight="1" thickBot="1" x14ac:dyDescent="0.3">
      <c r="A214" s="62">
        <v>1102621362</v>
      </c>
      <c r="B214" s="63" t="s">
        <v>284</v>
      </c>
      <c r="C214" s="64">
        <f t="shared" si="3"/>
        <v>206</v>
      </c>
      <c r="D214" s="65">
        <v>2</v>
      </c>
      <c r="E214" s="66" t="s">
        <v>191</v>
      </c>
      <c r="F214" s="67">
        <v>581.22</v>
      </c>
      <c r="G214" s="68">
        <v>581.22</v>
      </c>
      <c r="H214" s="68">
        <v>581.22</v>
      </c>
      <c r="I214" s="68">
        <v>581.22</v>
      </c>
      <c r="J214" s="68">
        <v>581.22</v>
      </c>
      <c r="K214" s="68">
        <v>581.22</v>
      </c>
      <c r="L214" s="69">
        <v>40544</v>
      </c>
      <c r="M214" s="72" t="s">
        <v>56</v>
      </c>
    </row>
    <row r="215" spans="1:13" ht="31.5" customHeight="1" thickBot="1" x14ac:dyDescent="0.3">
      <c r="A215" s="62">
        <v>1103932594</v>
      </c>
      <c r="B215" s="63" t="s">
        <v>285</v>
      </c>
      <c r="C215" s="64">
        <f t="shared" si="3"/>
        <v>207</v>
      </c>
      <c r="D215" s="65">
        <v>1</v>
      </c>
      <c r="E215" s="66" t="s">
        <v>64</v>
      </c>
      <c r="F215" s="67">
        <v>565.22</v>
      </c>
      <c r="G215" s="68">
        <v>565.22</v>
      </c>
      <c r="H215" s="68">
        <v>565.22</v>
      </c>
      <c r="I215" s="68">
        <v>565.22</v>
      </c>
      <c r="J215" s="68">
        <v>565.22</v>
      </c>
      <c r="K215" s="68">
        <v>565.22</v>
      </c>
      <c r="L215" s="69">
        <v>40544</v>
      </c>
      <c r="M215" s="72" t="s">
        <v>56</v>
      </c>
    </row>
    <row r="216" spans="1:13" ht="31.5" customHeight="1" thickBot="1" x14ac:dyDescent="0.3">
      <c r="A216" s="62">
        <v>1104819063</v>
      </c>
      <c r="B216" s="63" t="s">
        <v>286</v>
      </c>
      <c r="C216" s="64">
        <f t="shared" si="3"/>
        <v>208</v>
      </c>
      <c r="D216" s="65">
        <v>2</v>
      </c>
      <c r="E216" s="66" t="s">
        <v>59</v>
      </c>
      <c r="F216" s="67">
        <v>581.22</v>
      </c>
      <c r="G216" s="68">
        <v>581.22</v>
      </c>
      <c r="H216" s="68">
        <v>581.22</v>
      </c>
      <c r="I216" s="68">
        <v>581.22</v>
      </c>
      <c r="J216" s="68">
        <v>581.22</v>
      </c>
      <c r="K216" s="68">
        <v>581.22</v>
      </c>
      <c r="L216" s="69">
        <v>40725</v>
      </c>
      <c r="M216" s="72" t="s">
        <v>60</v>
      </c>
    </row>
    <row r="217" spans="1:13" ht="31.5" customHeight="1" thickBot="1" x14ac:dyDescent="0.3">
      <c r="A217" s="62" t="s">
        <v>287</v>
      </c>
      <c r="B217" s="63" t="s">
        <v>288</v>
      </c>
      <c r="C217" s="64">
        <f t="shared" si="3"/>
        <v>209</v>
      </c>
      <c r="D217" s="65">
        <v>1</v>
      </c>
      <c r="E217" s="66" t="s">
        <v>54</v>
      </c>
      <c r="F217" s="67"/>
      <c r="G217" s="68"/>
      <c r="H217" s="68">
        <v>582</v>
      </c>
      <c r="I217" s="68">
        <v>582</v>
      </c>
      <c r="J217" s="68">
        <v>582</v>
      </c>
      <c r="K217" s="68">
        <v>582</v>
      </c>
      <c r="L217" s="69">
        <v>39814</v>
      </c>
      <c r="M217" s="72" t="s">
        <v>476</v>
      </c>
    </row>
    <row r="218" spans="1:13" ht="31.5" customHeight="1" thickBot="1" x14ac:dyDescent="0.3">
      <c r="A218" s="62">
        <v>1104061906</v>
      </c>
      <c r="B218" s="63" t="s">
        <v>289</v>
      </c>
      <c r="C218" s="64">
        <f t="shared" si="3"/>
        <v>210</v>
      </c>
      <c r="D218" s="65">
        <v>1</v>
      </c>
      <c r="E218" s="66" t="s">
        <v>54</v>
      </c>
      <c r="F218" s="67">
        <v>565.22</v>
      </c>
      <c r="G218" s="68">
        <v>565.22</v>
      </c>
      <c r="H218" s="68">
        <v>565.22</v>
      </c>
      <c r="I218" s="68">
        <v>565.22</v>
      </c>
      <c r="J218" s="68">
        <v>565.22</v>
      </c>
      <c r="K218" s="68">
        <v>565.22</v>
      </c>
      <c r="L218" s="69">
        <v>40544</v>
      </c>
      <c r="M218" s="72" t="s">
        <v>56</v>
      </c>
    </row>
    <row r="219" spans="1:13" ht="31.5" customHeight="1" thickBot="1" x14ac:dyDescent="0.25">
      <c r="A219" s="62">
        <v>1101951661</v>
      </c>
      <c r="B219" s="63" t="s">
        <v>477</v>
      </c>
      <c r="C219" s="64">
        <f t="shared" si="3"/>
        <v>211</v>
      </c>
      <c r="D219" s="65">
        <v>6</v>
      </c>
      <c r="E219" s="66" t="s">
        <v>126</v>
      </c>
      <c r="F219" s="107">
        <v>849.23</v>
      </c>
      <c r="G219" s="107">
        <v>849.23</v>
      </c>
      <c r="H219" s="107">
        <v>849.23</v>
      </c>
      <c r="I219" s="107">
        <v>849.23</v>
      </c>
      <c r="J219" s="107">
        <v>849.23</v>
      </c>
      <c r="K219" s="68"/>
      <c r="L219" s="69">
        <v>36306</v>
      </c>
      <c r="M219" s="72" t="s">
        <v>478</v>
      </c>
    </row>
    <row r="220" spans="1:13" ht="31.5" customHeight="1" thickBot="1" x14ac:dyDescent="0.3">
      <c r="A220" s="62">
        <v>1101284105</v>
      </c>
      <c r="B220" s="63" t="s">
        <v>290</v>
      </c>
      <c r="C220" s="64">
        <f t="shared" si="3"/>
        <v>212</v>
      </c>
      <c r="D220" s="65">
        <v>4</v>
      </c>
      <c r="E220" s="66" t="s">
        <v>68</v>
      </c>
      <c r="F220" s="67">
        <v>707.75</v>
      </c>
      <c r="G220" s="68">
        <v>707.75</v>
      </c>
      <c r="H220" s="68">
        <v>707.75</v>
      </c>
      <c r="I220" s="68">
        <v>707.75</v>
      </c>
      <c r="J220" s="68">
        <v>707.75</v>
      </c>
      <c r="K220" s="68">
        <v>707.75</v>
      </c>
      <c r="L220" s="69">
        <v>36893</v>
      </c>
      <c r="M220" s="72" t="s">
        <v>435</v>
      </c>
    </row>
    <row r="221" spans="1:13" ht="31.5" customHeight="1" thickBot="1" x14ac:dyDescent="0.3">
      <c r="A221" s="62">
        <v>1101879359</v>
      </c>
      <c r="B221" s="63" t="s">
        <v>291</v>
      </c>
      <c r="C221" s="64">
        <f t="shared" si="3"/>
        <v>213</v>
      </c>
      <c r="D221" s="65">
        <v>4</v>
      </c>
      <c r="E221" s="66" t="s">
        <v>68</v>
      </c>
      <c r="F221" s="67">
        <v>615.22</v>
      </c>
      <c r="G221" s="68">
        <v>615.22</v>
      </c>
      <c r="H221" s="68">
        <v>615.22</v>
      </c>
      <c r="I221" s="68">
        <v>615.22</v>
      </c>
      <c r="J221" s="68">
        <v>615.22</v>
      </c>
      <c r="K221" s="68">
        <v>615.22</v>
      </c>
      <c r="L221" s="69">
        <v>40544</v>
      </c>
      <c r="M221" s="72" t="s">
        <v>56</v>
      </c>
    </row>
    <row r="222" spans="1:13" ht="31.5" customHeight="1" thickBot="1" x14ac:dyDescent="0.3">
      <c r="A222" s="62">
        <v>1102778576</v>
      </c>
      <c r="B222" s="63" t="s">
        <v>292</v>
      </c>
      <c r="C222" s="64">
        <f t="shared" si="3"/>
        <v>214</v>
      </c>
      <c r="D222" s="65">
        <v>2</v>
      </c>
      <c r="E222" s="66" t="s">
        <v>59</v>
      </c>
      <c r="F222" s="67">
        <v>581.22</v>
      </c>
      <c r="G222" s="68">
        <v>581.22</v>
      </c>
      <c r="H222" s="68">
        <v>581.22</v>
      </c>
      <c r="I222" s="68">
        <v>581.22</v>
      </c>
      <c r="J222" s="68">
        <v>581.22</v>
      </c>
      <c r="K222" s="68">
        <v>581.22</v>
      </c>
      <c r="L222" s="69">
        <v>40544</v>
      </c>
      <c r="M222" s="72" t="s">
        <v>60</v>
      </c>
    </row>
    <row r="223" spans="1:13" ht="31.5" customHeight="1" thickBot="1" x14ac:dyDescent="0.3">
      <c r="A223" s="62" t="s">
        <v>293</v>
      </c>
      <c r="B223" s="63" t="s">
        <v>294</v>
      </c>
      <c r="C223" s="64">
        <f t="shared" si="3"/>
        <v>215</v>
      </c>
      <c r="D223" s="65">
        <v>2</v>
      </c>
      <c r="E223" s="66" t="s">
        <v>59</v>
      </c>
      <c r="F223" s="67">
        <v>581.22</v>
      </c>
      <c r="G223" s="68">
        <v>581.22</v>
      </c>
      <c r="H223" s="68">
        <v>581.22</v>
      </c>
      <c r="I223" s="68">
        <v>581.22</v>
      </c>
      <c r="J223" s="68">
        <v>581.22</v>
      </c>
      <c r="K223" s="68">
        <v>581.22</v>
      </c>
      <c r="L223" s="69">
        <v>40725</v>
      </c>
      <c r="M223" s="72" t="s">
        <v>60</v>
      </c>
    </row>
    <row r="224" spans="1:13" ht="31.5" customHeight="1" thickBot="1" x14ac:dyDescent="0.3">
      <c r="A224" s="62">
        <v>1100253986</v>
      </c>
      <c r="B224" s="63" t="s">
        <v>295</v>
      </c>
      <c r="C224" s="64">
        <f t="shared" si="3"/>
        <v>216</v>
      </c>
      <c r="D224" s="65">
        <v>1</v>
      </c>
      <c r="E224" s="66" t="s">
        <v>70</v>
      </c>
      <c r="F224" s="67">
        <v>565.22</v>
      </c>
      <c r="G224" s="68">
        <v>565.22</v>
      </c>
      <c r="H224" s="68">
        <v>565.22</v>
      </c>
      <c r="I224" s="68">
        <v>565.22</v>
      </c>
      <c r="J224" s="68">
        <v>565.22</v>
      </c>
      <c r="K224" s="68">
        <v>565.22</v>
      </c>
      <c r="L224" s="69">
        <v>40544</v>
      </c>
      <c r="M224" s="72" t="s">
        <v>71</v>
      </c>
    </row>
    <row r="225" spans="1:13" ht="31.5" customHeight="1" thickBot="1" x14ac:dyDescent="0.3">
      <c r="A225" s="62">
        <v>1102389903</v>
      </c>
      <c r="B225" s="63" t="s">
        <v>296</v>
      </c>
      <c r="C225" s="64">
        <f t="shared" si="3"/>
        <v>217</v>
      </c>
      <c r="D225" s="65">
        <v>1</v>
      </c>
      <c r="E225" s="66" t="s">
        <v>297</v>
      </c>
      <c r="F225" s="67">
        <v>565.22</v>
      </c>
      <c r="G225" s="68">
        <v>565.22</v>
      </c>
      <c r="H225" s="68">
        <v>565.22</v>
      </c>
      <c r="I225" s="68">
        <v>565.22</v>
      </c>
      <c r="J225" s="68">
        <v>565.22</v>
      </c>
      <c r="K225" s="68">
        <v>565.22</v>
      </c>
      <c r="L225" s="69">
        <v>40544</v>
      </c>
      <c r="M225" s="72" t="s">
        <v>56</v>
      </c>
    </row>
    <row r="226" spans="1:13" ht="31.5" customHeight="1" thickBot="1" x14ac:dyDescent="0.3">
      <c r="A226" s="62">
        <v>1104401300</v>
      </c>
      <c r="B226" s="63" t="s">
        <v>298</v>
      </c>
      <c r="C226" s="64">
        <f t="shared" si="3"/>
        <v>218</v>
      </c>
      <c r="D226" s="65">
        <v>1</v>
      </c>
      <c r="E226" s="66" t="s">
        <v>84</v>
      </c>
      <c r="F226" s="67">
        <v>565.22</v>
      </c>
      <c r="G226" s="68">
        <v>565.22</v>
      </c>
      <c r="H226" s="68">
        <v>565.22</v>
      </c>
      <c r="I226" s="68">
        <v>565.22</v>
      </c>
      <c r="J226" s="68">
        <v>565.22</v>
      </c>
      <c r="K226" s="68">
        <v>565.22</v>
      </c>
      <c r="L226" s="69">
        <v>40544</v>
      </c>
      <c r="M226" s="72" t="s">
        <v>60</v>
      </c>
    </row>
    <row r="227" spans="1:13" ht="31.5" customHeight="1" thickBot="1" x14ac:dyDescent="0.3">
      <c r="A227" s="62">
        <v>1103987465</v>
      </c>
      <c r="B227" s="63" t="s">
        <v>299</v>
      </c>
      <c r="C227" s="64">
        <f t="shared" si="3"/>
        <v>219</v>
      </c>
      <c r="D227" s="65">
        <v>1</v>
      </c>
      <c r="E227" s="66" t="s">
        <v>54</v>
      </c>
      <c r="F227" s="67">
        <v>565.22</v>
      </c>
      <c r="G227" s="68">
        <v>565.22</v>
      </c>
      <c r="H227" s="68">
        <v>565.22</v>
      </c>
      <c r="I227" s="68">
        <v>565.22</v>
      </c>
      <c r="J227" s="68">
        <v>565.22</v>
      </c>
      <c r="K227" s="68">
        <v>565.22</v>
      </c>
      <c r="L227" s="69">
        <v>40695</v>
      </c>
      <c r="M227" s="72" t="s">
        <v>56</v>
      </c>
    </row>
    <row r="228" spans="1:13" ht="31.5" customHeight="1" thickBot="1" x14ac:dyDescent="0.3">
      <c r="A228" s="62">
        <v>1103611222</v>
      </c>
      <c r="B228" s="63" t="s">
        <v>300</v>
      </c>
      <c r="C228" s="64">
        <f t="shared" si="3"/>
        <v>220</v>
      </c>
      <c r="D228" s="65">
        <v>1</v>
      </c>
      <c r="E228" s="66" t="s">
        <v>70</v>
      </c>
      <c r="F228" s="67">
        <v>615.22</v>
      </c>
      <c r="G228" s="68">
        <v>615.22</v>
      </c>
      <c r="H228" s="68">
        <v>615.22</v>
      </c>
      <c r="I228" s="68">
        <v>615.22</v>
      </c>
      <c r="J228" s="68">
        <v>615.22</v>
      </c>
      <c r="K228" s="68">
        <v>615.22</v>
      </c>
      <c r="L228" s="69">
        <v>40544</v>
      </c>
      <c r="M228" s="72" t="s">
        <v>71</v>
      </c>
    </row>
    <row r="229" spans="1:13" ht="31.5" customHeight="1" thickBot="1" x14ac:dyDescent="0.3">
      <c r="A229" s="62">
        <v>1102060280</v>
      </c>
      <c r="B229" s="63" t="s">
        <v>301</v>
      </c>
      <c r="C229" s="64">
        <f t="shared" si="3"/>
        <v>221</v>
      </c>
      <c r="D229" s="65">
        <v>1</v>
      </c>
      <c r="E229" s="66" t="s">
        <v>64</v>
      </c>
      <c r="F229" s="67">
        <v>565.22</v>
      </c>
      <c r="G229" s="68">
        <v>565.22</v>
      </c>
      <c r="H229" s="68">
        <v>565.22</v>
      </c>
      <c r="I229" s="68">
        <v>565.22</v>
      </c>
      <c r="J229" s="68">
        <v>565.22</v>
      </c>
      <c r="K229" s="68">
        <v>565.22</v>
      </c>
      <c r="L229" s="69">
        <v>40544</v>
      </c>
      <c r="M229" s="72" t="s">
        <v>56</v>
      </c>
    </row>
    <row r="230" spans="1:13" ht="31.5" customHeight="1" thickBot="1" x14ac:dyDescent="0.3">
      <c r="A230" s="62">
        <v>1104380991</v>
      </c>
      <c r="B230" s="63" t="s">
        <v>302</v>
      </c>
      <c r="C230" s="64">
        <f t="shared" si="3"/>
        <v>222</v>
      </c>
      <c r="D230" s="65">
        <v>2</v>
      </c>
      <c r="E230" s="66" t="s">
        <v>59</v>
      </c>
      <c r="F230" s="67">
        <v>581.22</v>
      </c>
      <c r="G230" s="68">
        <v>581.22</v>
      </c>
      <c r="H230" s="68">
        <v>581.22</v>
      </c>
      <c r="I230" s="68">
        <v>581.22</v>
      </c>
      <c r="J230" s="68">
        <v>581.22</v>
      </c>
      <c r="K230" s="68">
        <v>581.22</v>
      </c>
      <c r="L230" s="69">
        <v>40544</v>
      </c>
      <c r="M230" s="72" t="s">
        <v>60</v>
      </c>
    </row>
    <row r="231" spans="1:13" ht="31.5" customHeight="1" thickBot="1" x14ac:dyDescent="0.3">
      <c r="A231" s="62" t="s">
        <v>303</v>
      </c>
      <c r="B231" s="63" t="s">
        <v>304</v>
      </c>
      <c r="C231" s="64">
        <f t="shared" si="3"/>
        <v>223</v>
      </c>
      <c r="D231" s="65">
        <v>1</v>
      </c>
      <c r="E231" s="66" t="s">
        <v>70</v>
      </c>
      <c r="F231" s="67">
        <v>565.22</v>
      </c>
      <c r="G231" s="68">
        <v>565.22</v>
      </c>
      <c r="H231" s="68">
        <v>565.22</v>
      </c>
      <c r="I231" s="68">
        <v>565.22</v>
      </c>
      <c r="J231" s="68">
        <v>565.22</v>
      </c>
      <c r="K231" s="68">
        <v>565.22</v>
      </c>
      <c r="L231" s="69">
        <v>40544</v>
      </c>
      <c r="M231" s="72" t="s">
        <v>71</v>
      </c>
    </row>
    <row r="232" spans="1:13" ht="31.5" customHeight="1" thickBot="1" x14ac:dyDescent="0.3">
      <c r="A232" s="62">
        <v>1101444261</v>
      </c>
      <c r="B232" s="63" t="s">
        <v>305</v>
      </c>
      <c r="C232" s="64">
        <f t="shared" si="3"/>
        <v>224</v>
      </c>
      <c r="D232" s="65">
        <v>4</v>
      </c>
      <c r="E232" s="66" t="s">
        <v>68</v>
      </c>
      <c r="F232" s="67"/>
      <c r="G232" s="68"/>
      <c r="H232" s="68">
        <v>598</v>
      </c>
      <c r="I232" s="68">
        <v>598</v>
      </c>
      <c r="J232" s="68">
        <v>598</v>
      </c>
      <c r="K232" s="68">
        <v>598</v>
      </c>
      <c r="L232" s="69">
        <v>41640</v>
      </c>
      <c r="M232" s="72" t="s">
        <v>479</v>
      </c>
    </row>
    <row r="233" spans="1:13" ht="31.5" customHeight="1" thickBot="1" x14ac:dyDescent="0.3">
      <c r="A233" s="62" t="s">
        <v>306</v>
      </c>
      <c r="B233" s="63" t="s">
        <v>307</v>
      </c>
      <c r="C233" s="64">
        <f t="shared" si="3"/>
        <v>225</v>
      </c>
      <c r="D233" s="65">
        <v>4</v>
      </c>
      <c r="E233" s="66" t="s">
        <v>68</v>
      </c>
      <c r="F233" s="67">
        <v>847.28</v>
      </c>
      <c r="G233" s="68">
        <v>847.28</v>
      </c>
      <c r="H233" s="68">
        <v>847.28</v>
      </c>
      <c r="I233" s="68">
        <v>847.28</v>
      </c>
      <c r="J233" s="68">
        <v>847.28</v>
      </c>
      <c r="K233" s="68">
        <v>847.28</v>
      </c>
      <c r="L233" s="69">
        <v>32946</v>
      </c>
      <c r="M233" s="72" t="s">
        <v>56</v>
      </c>
    </row>
    <row r="234" spans="1:13" ht="31.5" customHeight="1" thickBot="1" x14ac:dyDescent="0.3">
      <c r="A234" s="62">
        <v>1104066434</v>
      </c>
      <c r="B234" s="63" t="s">
        <v>308</v>
      </c>
      <c r="C234" s="64">
        <f t="shared" si="3"/>
        <v>226</v>
      </c>
      <c r="D234" s="65">
        <v>1</v>
      </c>
      <c r="E234" s="66" t="s">
        <v>82</v>
      </c>
      <c r="F234" s="67">
        <v>565.22</v>
      </c>
      <c r="G234" s="68">
        <v>565.22</v>
      </c>
      <c r="H234" s="68">
        <v>565.22</v>
      </c>
      <c r="I234" s="68">
        <v>565.22</v>
      </c>
      <c r="J234" s="68">
        <v>565.22</v>
      </c>
      <c r="K234" s="68">
        <v>565.22</v>
      </c>
      <c r="L234" s="69">
        <v>40544</v>
      </c>
      <c r="M234" s="72" t="s">
        <v>56</v>
      </c>
    </row>
    <row r="235" spans="1:13" ht="31.5" customHeight="1" thickBot="1" x14ac:dyDescent="0.3">
      <c r="A235" s="62">
        <v>1101582284</v>
      </c>
      <c r="B235" s="63" t="s">
        <v>309</v>
      </c>
      <c r="C235" s="64">
        <f t="shared" si="3"/>
        <v>227</v>
      </c>
      <c r="D235" s="65">
        <v>1</v>
      </c>
      <c r="E235" s="66" t="s">
        <v>70</v>
      </c>
      <c r="F235" s="67">
        <v>615.22</v>
      </c>
      <c r="G235" s="68">
        <v>615.22</v>
      </c>
      <c r="H235" s="68">
        <v>615.22</v>
      </c>
      <c r="I235" s="68">
        <v>615.22</v>
      </c>
      <c r="J235" s="68">
        <v>615.22</v>
      </c>
      <c r="K235" s="68">
        <v>615.22</v>
      </c>
      <c r="L235" s="69">
        <v>40544</v>
      </c>
      <c r="M235" s="72" t="s">
        <v>71</v>
      </c>
    </row>
    <row r="236" spans="1:13" ht="31.5" customHeight="1" thickBot="1" x14ac:dyDescent="0.3">
      <c r="A236" s="62">
        <v>1102375266</v>
      </c>
      <c r="B236" s="63" t="s">
        <v>310</v>
      </c>
      <c r="C236" s="64">
        <f t="shared" si="3"/>
        <v>228</v>
      </c>
      <c r="D236" s="65">
        <v>4</v>
      </c>
      <c r="E236" s="66" t="s">
        <v>68</v>
      </c>
      <c r="F236" s="67">
        <v>615.22</v>
      </c>
      <c r="G236" s="68">
        <v>615.22</v>
      </c>
      <c r="H236" s="68">
        <v>615.22</v>
      </c>
      <c r="I236" s="68">
        <v>615.22</v>
      </c>
      <c r="J236" s="68">
        <v>615.22</v>
      </c>
      <c r="K236" s="68">
        <v>615.22</v>
      </c>
      <c r="L236" s="69">
        <v>40544</v>
      </c>
      <c r="M236" s="72" t="s">
        <v>435</v>
      </c>
    </row>
    <row r="237" spans="1:13" ht="31.5" customHeight="1" thickBot="1" x14ac:dyDescent="0.3">
      <c r="A237" s="62">
        <v>1102841580</v>
      </c>
      <c r="B237" s="63" t="s">
        <v>311</v>
      </c>
      <c r="C237" s="64">
        <f t="shared" si="3"/>
        <v>229</v>
      </c>
      <c r="D237" s="65">
        <v>2</v>
      </c>
      <c r="E237" s="66" t="s">
        <v>191</v>
      </c>
      <c r="F237" s="67">
        <v>581.22</v>
      </c>
      <c r="G237" s="68">
        <v>581.22</v>
      </c>
      <c r="H237" s="68">
        <v>581.22</v>
      </c>
      <c r="I237" s="68">
        <v>581.22</v>
      </c>
      <c r="J237" s="68">
        <v>581.22</v>
      </c>
      <c r="K237" s="68">
        <v>581.22</v>
      </c>
      <c r="L237" s="69">
        <v>40544</v>
      </c>
      <c r="M237" s="72" t="s">
        <v>56</v>
      </c>
    </row>
    <row r="238" spans="1:13" ht="31.5" customHeight="1" thickBot="1" x14ac:dyDescent="0.3">
      <c r="A238" s="62">
        <v>1103754774</v>
      </c>
      <c r="B238" s="63" t="s">
        <v>312</v>
      </c>
      <c r="C238" s="64">
        <f t="shared" si="3"/>
        <v>230</v>
      </c>
      <c r="D238" s="65">
        <v>2</v>
      </c>
      <c r="E238" s="66" t="s">
        <v>59</v>
      </c>
      <c r="F238" s="67">
        <v>581.22</v>
      </c>
      <c r="G238" s="68">
        <v>581.22</v>
      </c>
      <c r="H238" s="68">
        <v>581.22</v>
      </c>
      <c r="I238" s="68">
        <v>581.22</v>
      </c>
      <c r="J238" s="68">
        <v>581.22</v>
      </c>
      <c r="K238" s="68">
        <v>581.22</v>
      </c>
      <c r="L238" s="69">
        <v>40544</v>
      </c>
      <c r="M238" s="72" t="s">
        <v>56</v>
      </c>
    </row>
    <row r="239" spans="1:13" ht="31.5" customHeight="1" thickBot="1" x14ac:dyDescent="0.3">
      <c r="A239" s="62">
        <v>1103942627</v>
      </c>
      <c r="B239" s="63" t="s">
        <v>313</v>
      </c>
      <c r="C239" s="64">
        <f t="shared" si="3"/>
        <v>231</v>
      </c>
      <c r="D239" s="65">
        <v>1</v>
      </c>
      <c r="E239" s="66" t="s">
        <v>70</v>
      </c>
      <c r="F239" s="67">
        <v>615.22</v>
      </c>
      <c r="G239" s="68">
        <v>615.22</v>
      </c>
      <c r="H239" s="68">
        <v>615.22</v>
      </c>
      <c r="I239" s="68">
        <v>615.22</v>
      </c>
      <c r="J239" s="68">
        <v>615.22</v>
      </c>
      <c r="K239" s="68">
        <v>615.22</v>
      </c>
      <c r="L239" s="69">
        <v>40544</v>
      </c>
      <c r="M239" s="72" t="s">
        <v>71</v>
      </c>
    </row>
    <row r="240" spans="1:13" ht="31.5" customHeight="1" thickBot="1" x14ac:dyDescent="0.3">
      <c r="A240" s="62">
        <v>1101738589</v>
      </c>
      <c r="B240" s="63" t="s">
        <v>314</v>
      </c>
      <c r="C240" s="64">
        <f t="shared" si="3"/>
        <v>232</v>
      </c>
      <c r="D240" s="65">
        <v>4</v>
      </c>
      <c r="E240" s="66" t="s">
        <v>68</v>
      </c>
      <c r="F240" s="67">
        <v>615.22</v>
      </c>
      <c r="G240" s="68">
        <v>615.22</v>
      </c>
      <c r="H240" s="68">
        <v>615.22</v>
      </c>
      <c r="I240" s="68">
        <v>615.22</v>
      </c>
      <c r="J240" s="68">
        <v>615.22</v>
      </c>
      <c r="K240" s="68">
        <v>615.22</v>
      </c>
      <c r="L240" s="69">
        <v>40544</v>
      </c>
      <c r="M240" s="72" t="s">
        <v>60</v>
      </c>
    </row>
    <row r="241" spans="1:13" ht="31.5" customHeight="1" thickBot="1" x14ac:dyDescent="0.3">
      <c r="A241" s="62">
        <v>1103297832</v>
      </c>
      <c r="B241" s="63" t="s">
        <v>315</v>
      </c>
      <c r="C241" s="64">
        <f t="shared" si="3"/>
        <v>233</v>
      </c>
      <c r="D241" s="65">
        <v>3</v>
      </c>
      <c r="E241" s="66" t="s">
        <v>116</v>
      </c>
      <c r="F241" s="67">
        <v>598.22</v>
      </c>
      <c r="G241" s="68">
        <v>598.22</v>
      </c>
      <c r="H241" s="68">
        <v>598.22</v>
      </c>
      <c r="I241" s="68">
        <v>598.22</v>
      </c>
      <c r="J241" s="68">
        <v>598.22</v>
      </c>
      <c r="K241" s="68">
        <v>598.22</v>
      </c>
      <c r="L241" s="69">
        <v>40544</v>
      </c>
      <c r="M241" s="72" t="s">
        <v>60</v>
      </c>
    </row>
    <row r="242" spans="1:13" ht="31.5" customHeight="1" thickBot="1" x14ac:dyDescent="0.3">
      <c r="A242" s="62">
        <v>2100267497</v>
      </c>
      <c r="B242" s="63" t="s">
        <v>316</v>
      </c>
      <c r="C242" s="64">
        <f t="shared" si="3"/>
        <v>234</v>
      </c>
      <c r="D242" s="65">
        <v>2</v>
      </c>
      <c r="E242" s="66" t="s">
        <v>59</v>
      </c>
      <c r="F242" s="67">
        <v>581.22</v>
      </c>
      <c r="G242" s="68">
        <v>581.22</v>
      </c>
      <c r="H242" s="68">
        <v>581.22</v>
      </c>
      <c r="I242" s="68">
        <v>581.22</v>
      </c>
      <c r="J242" s="68">
        <v>581.22</v>
      </c>
      <c r="K242" s="68">
        <v>581.22</v>
      </c>
      <c r="L242" s="69">
        <v>40544</v>
      </c>
      <c r="M242" s="72" t="s">
        <v>60</v>
      </c>
    </row>
    <row r="243" spans="1:13" ht="31.5" customHeight="1" thickBot="1" x14ac:dyDescent="0.3">
      <c r="A243" s="62">
        <v>1103156533</v>
      </c>
      <c r="B243" s="63" t="s">
        <v>317</v>
      </c>
      <c r="C243" s="64">
        <f t="shared" si="3"/>
        <v>235</v>
      </c>
      <c r="D243" s="65">
        <v>4</v>
      </c>
      <c r="E243" s="66" t="s">
        <v>68</v>
      </c>
      <c r="F243" s="67">
        <v>615.22</v>
      </c>
      <c r="G243" s="68">
        <v>615.22</v>
      </c>
      <c r="H243" s="68">
        <v>615.22</v>
      </c>
      <c r="I243" s="68">
        <v>615.22</v>
      </c>
      <c r="J243" s="68">
        <v>615.22</v>
      </c>
      <c r="K243" s="68">
        <v>615.22</v>
      </c>
      <c r="L243" s="69">
        <v>40544</v>
      </c>
      <c r="M243" s="72" t="s">
        <v>56</v>
      </c>
    </row>
    <row r="244" spans="1:13" ht="31.5" customHeight="1" thickBot="1" x14ac:dyDescent="0.3">
      <c r="A244" s="62">
        <v>1100278280</v>
      </c>
      <c r="B244" s="63" t="s">
        <v>480</v>
      </c>
      <c r="C244" s="64">
        <f t="shared" si="3"/>
        <v>236</v>
      </c>
      <c r="D244" s="65">
        <v>4</v>
      </c>
      <c r="E244" s="66" t="s">
        <v>68</v>
      </c>
      <c r="F244" s="67">
        <v>636.9</v>
      </c>
      <c r="G244" s="68"/>
      <c r="H244" s="68"/>
      <c r="I244" s="68"/>
      <c r="J244" s="68"/>
      <c r="K244" s="68"/>
      <c r="L244" s="69">
        <v>38322</v>
      </c>
      <c r="M244" s="72" t="s">
        <v>481</v>
      </c>
    </row>
    <row r="245" spans="1:13" ht="31.5" customHeight="1" thickBot="1" x14ac:dyDescent="0.3">
      <c r="A245" s="62">
        <v>1101469813</v>
      </c>
      <c r="B245" s="63" t="s">
        <v>318</v>
      </c>
      <c r="C245" s="64">
        <f t="shared" si="3"/>
        <v>237</v>
      </c>
      <c r="D245" s="65">
        <v>4</v>
      </c>
      <c r="E245" s="66" t="s">
        <v>68</v>
      </c>
      <c r="F245" s="67">
        <v>876</v>
      </c>
      <c r="G245" s="68">
        <v>876</v>
      </c>
      <c r="H245" s="68">
        <v>876</v>
      </c>
      <c r="I245" s="68">
        <v>876</v>
      </c>
      <c r="J245" s="68">
        <v>876</v>
      </c>
      <c r="K245" s="68">
        <v>876</v>
      </c>
      <c r="L245" s="69">
        <v>38322</v>
      </c>
      <c r="M245" s="72" t="s">
        <v>56</v>
      </c>
    </row>
    <row r="246" spans="1:13" ht="31.5" customHeight="1" thickBot="1" x14ac:dyDescent="0.3">
      <c r="A246" s="62">
        <v>1104017726</v>
      </c>
      <c r="B246" s="63" t="s">
        <v>319</v>
      </c>
      <c r="C246" s="64">
        <f t="shared" si="3"/>
        <v>238</v>
      </c>
      <c r="D246" s="65">
        <v>1</v>
      </c>
      <c r="E246" s="66" t="s">
        <v>70</v>
      </c>
      <c r="F246" s="67">
        <v>615.22</v>
      </c>
      <c r="G246" s="68">
        <v>615.22</v>
      </c>
      <c r="H246" s="68">
        <v>615.22</v>
      </c>
      <c r="I246" s="68">
        <v>615.22</v>
      </c>
      <c r="J246" s="68">
        <v>615.22</v>
      </c>
      <c r="K246" s="68">
        <v>615.22</v>
      </c>
      <c r="L246" s="69">
        <v>41640</v>
      </c>
      <c r="M246" s="72" t="s">
        <v>71</v>
      </c>
    </row>
    <row r="247" spans="1:13" ht="31.5" customHeight="1" thickBot="1" x14ac:dyDescent="0.3">
      <c r="A247" s="62">
        <v>1102286059</v>
      </c>
      <c r="B247" s="63" t="s">
        <v>320</v>
      </c>
      <c r="C247" s="64">
        <f t="shared" si="3"/>
        <v>239</v>
      </c>
      <c r="D247" s="65">
        <v>4</v>
      </c>
      <c r="E247" s="66" t="s">
        <v>68</v>
      </c>
      <c r="F247" s="73">
        <v>902.76</v>
      </c>
      <c r="G247" s="74">
        <v>902.76</v>
      </c>
      <c r="H247" s="74">
        <v>902.76</v>
      </c>
      <c r="I247" s="74">
        <v>902.76</v>
      </c>
      <c r="J247" s="74">
        <v>902.76</v>
      </c>
      <c r="K247" s="74">
        <v>902.76</v>
      </c>
      <c r="L247" s="69">
        <v>28734</v>
      </c>
      <c r="M247" s="72" t="s">
        <v>56</v>
      </c>
    </row>
    <row r="248" spans="1:13" ht="31.5" customHeight="1" thickBot="1" x14ac:dyDescent="0.3">
      <c r="A248" s="62">
        <v>1104370513</v>
      </c>
      <c r="B248" s="63" t="s">
        <v>321</v>
      </c>
      <c r="C248" s="64">
        <f t="shared" si="3"/>
        <v>240</v>
      </c>
      <c r="D248" s="65">
        <v>2</v>
      </c>
      <c r="E248" s="66" t="s">
        <v>59</v>
      </c>
      <c r="F248" s="67">
        <v>581.22</v>
      </c>
      <c r="G248" s="68">
        <v>581.22</v>
      </c>
      <c r="H248" s="68">
        <v>581.22</v>
      </c>
      <c r="I248" s="68">
        <v>581.22</v>
      </c>
      <c r="J248" s="68">
        <v>581.22</v>
      </c>
      <c r="K248" s="68">
        <v>581.22</v>
      </c>
      <c r="L248" s="69">
        <v>40544</v>
      </c>
      <c r="M248" s="72" t="s">
        <v>60</v>
      </c>
    </row>
    <row r="249" spans="1:13" ht="31.5" customHeight="1" thickBot="1" x14ac:dyDescent="0.3">
      <c r="A249" s="62">
        <v>1103670863</v>
      </c>
      <c r="B249" s="63" t="s">
        <v>322</v>
      </c>
      <c r="C249" s="64">
        <f t="shared" si="3"/>
        <v>241</v>
      </c>
      <c r="D249" s="65">
        <v>1</v>
      </c>
      <c r="E249" s="66" t="s">
        <v>70</v>
      </c>
      <c r="F249" s="67">
        <v>615.22</v>
      </c>
      <c r="G249" s="68">
        <v>615.22</v>
      </c>
      <c r="H249" s="68">
        <v>615.22</v>
      </c>
      <c r="I249" s="68">
        <v>615.22</v>
      </c>
      <c r="J249" s="68">
        <v>615.22</v>
      </c>
      <c r="K249" s="68">
        <v>615.22</v>
      </c>
      <c r="L249" s="69">
        <v>40544</v>
      </c>
      <c r="M249" s="72" t="s">
        <v>71</v>
      </c>
    </row>
    <row r="250" spans="1:13" ht="31.5" customHeight="1" thickBot="1" x14ac:dyDescent="0.3">
      <c r="A250" s="62">
        <v>1103326177</v>
      </c>
      <c r="B250" s="63" t="s">
        <v>323</v>
      </c>
      <c r="C250" s="64">
        <f t="shared" si="3"/>
        <v>242</v>
      </c>
      <c r="D250" s="65">
        <v>2</v>
      </c>
      <c r="E250" s="66" t="s">
        <v>109</v>
      </c>
      <c r="F250" s="67">
        <v>581.22</v>
      </c>
      <c r="G250" s="68">
        <v>581.22</v>
      </c>
      <c r="H250" s="68">
        <v>581.22</v>
      </c>
      <c r="I250" s="68">
        <v>581.22</v>
      </c>
      <c r="J250" s="68">
        <v>581.22</v>
      </c>
      <c r="K250" s="68">
        <v>581.22</v>
      </c>
      <c r="L250" s="69">
        <v>40544</v>
      </c>
      <c r="M250" s="72" t="s">
        <v>56</v>
      </c>
    </row>
    <row r="251" spans="1:13" ht="31.5" customHeight="1" thickBot="1" x14ac:dyDescent="0.3">
      <c r="A251" s="62">
        <v>1102860614</v>
      </c>
      <c r="B251" s="63" t="s">
        <v>324</v>
      </c>
      <c r="C251" s="64">
        <f t="shared" si="3"/>
        <v>243</v>
      </c>
      <c r="D251" s="65">
        <v>2</v>
      </c>
      <c r="E251" s="66" t="s">
        <v>141</v>
      </c>
      <c r="F251" s="67">
        <v>581.22</v>
      </c>
      <c r="G251" s="68">
        <v>581.22</v>
      </c>
      <c r="H251" s="68">
        <v>581.22</v>
      </c>
      <c r="I251" s="68">
        <v>581.22</v>
      </c>
      <c r="J251" s="68">
        <v>581.22</v>
      </c>
      <c r="K251" s="68">
        <v>581.22</v>
      </c>
      <c r="L251" s="69">
        <v>40544</v>
      </c>
      <c r="M251" s="72" t="s">
        <v>60</v>
      </c>
    </row>
    <row r="252" spans="1:13" ht="31.5" customHeight="1" thickBot="1" x14ac:dyDescent="0.3">
      <c r="A252" s="62">
        <v>1101866877</v>
      </c>
      <c r="B252" s="63" t="s">
        <v>325</v>
      </c>
      <c r="C252" s="64">
        <f t="shared" si="3"/>
        <v>244</v>
      </c>
      <c r="D252" s="65">
        <v>1</v>
      </c>
      <c r="E252" s="66" t="s">
        <v>54</v>
      </c>
      <c r="F252" s="67">
        <v>565.22</v>
      </c>
      <c r="G252" s="68">
        <v>565.22</v>
      </c>
      <c r="H252" s="68">
        <v>565.22</v>
      </c>
      <c r="I252" s="68">
        <v>565.22</v>
      </c>
      <c r="J252" s="68">
        <v>565.22</v>
      </c>
      <c r="K252" s="68">
        <v>565.22</v>
      </c>
      <c r="L252" s="69">
        <v>40544</v>
      </c>
      <c r="M252" s="72" t="s">
        <v>56</v>
      </c>
    </row>
    <row r="253" spans="1:13" ht="31.5" customHeight="1" thickBot="1" x14ac:dyDescent="0.3">
      <c r="A253" s="62">
        <v>1102704762</v>
      </c>
      <c r="B253" s="63" t="s">
        <v>326</v>
      </c>
      <c r="C253" s="64">
        <f t="shared" si="3"/>
        <v>245</v>
      </c>
      <c r="D253" s="65">
        <v>2</v>
      </c>
      <c r="E253" s="66" t="s">
        <v>191</v>
      </c>
      <c r="F253" s="67">
        <v>581.22</v>
      </c>
      <c r="G253" s="68">
        <v>581.22</v>
      </c>
      <c r="H253" s="68">
        <v>581.22</v>
      </c>
      <c r="I253" s="68">
        <v>581.22</v>
      </c>
      <c r="J253" s="68">
        <v>581.22</v>
      </c>
      <c r="K253" s="68">
        <v>581.22</v>
      </c>
      <c r="L253" s="69">
        <v>39995</v>
      </c>
      <c r="M253" s="72" t="s">
        <v>56</v>
      </c>
    </row>
    <row r="254" spans="1:13" ht="31.5" customHeight="1" thickBot="1" x14ac:dyDescent="0.3">
      <c r="A254" s="62">
        <v>1102366240</v>
      </c>
      <c r="B254" s="63" t="s">
        <v>327</v>
      </c>
      <c r="C254" s="64">
        <f t="shared" si="3"/>
        <v>246</v>
      </c>
      <c r="D254" s="65">
        <v>4</v>
      </c>
      <c r="E254" s="66" t="s">
        <v>68</v>
      </c>
      <c r="F254" s="67">
        <v>615.22</v>
      </c>
      <c r="G254" s="68">
        <v>615.22</v>
      </c>
      <c r="H254" s="68">
        <v>615.22</v>
      </c>
      <c r="I254" s="68">
        <v>615.22</v>
      </c>
      <c r="J254" s="68">
        <v>615.22</v>
      </c>
      <c r="K254" s="68">
        <v>615.22</v>
      </c>
      <c r="L254" s="69">
        <v>38322</v>
      </c>
      <c r="M254" s="72" t="s">
        <v>56</v>
      </c>
    </row>
    <row r="255" spans="1:13" ht="31.5" customHeight="1" thickBot="1" x14ac:dyDescent="0.3">
      <c r="A255" s="62">
        <v>1900099845</v>
      </c>
      <c r="B255" s="63" t="s">
        <v>328</v>
      </c>
      <c r="C255" s="64">
        <f t="shared" si="3"/>
        <v>247</v>
      </c>
      <c r="D255" s="65">
        <v>2</v>
      </c>
      <c r="E255" s="66" t="s">
        <v>158</v>
      </c>
      <c r="F255" s="67">
        <v>581.22</v>
      </c>
      <c r="G255" s="68">
        <v>581.22</v>
      </c>
      <c r="H255" s="68">
        <v>581.22</v>
      </c>
      <c r="I255" s="68">
        <v>581.22</v>
      </c>
      <c r="J255" s="68">
        <v>581.22</v>
      </c>
      <c r="K255" s="68">
        <v>581.22</v>
      </c>
      <c r="L255" s="69">
        <v>40544</v>
      </c>
      <c r="M255" s="72" t="s">
        <v>60</v>
      </c>
    </row>
    <row r="256" spans="1:13" ht="31.5" customHeight="1" thickBot="1" x14ac:dyDescent="0.3">
      <c r="A256" s="62">
        <v>1102087481</v>
      </c>
      <c r="B256" s="63" t="s">
        <v>329</v>
      </c>
      <c r="C256" s="64">
        <f t="shared" si="3"/>
        <v>248</v>
      </c>
      <c r="D256" s="65">
        <v>3</v>
      </c>
      <c r="E256" s="66" t="s">
        <v>66</v>
      </c>
      <c r="F256" s="67"/>
      <c r="G256" s="68"/>
      <c r="H256" s="68">
        <v>566</v>
      </c>
      <c r="I256" s="68">
        <v>566</v>
      </c>
      <c r="J256" s="68">
        <v>566</v>
      </c>
      <c r="K256" s="68">
        <v>566</v>
      </c>
      <c r="L256" s="69">
        <v>42009</v>
      </c>
      <c r="M256" s="72" t="s">
        <v>439</v>
      </c>
    </row>
    <row r="257" spans="1:13" ht="15.75" thickBot="1" x14ac:dyDescent="0.3">
      <c r="A257" s="78"/>
      <c r="B257" s="79"/>
      <c r="C257" s="78"/>
      <c r="D257" s="78"/>
      <c r="E257" s="78" t="s">
        <v>330</v>
      </c>
      <c r="F257" s="80">
        <f>SUM(F9:F256)</f>
        <v>131743.01000000018</v>
      </c>
      <c r="G257" s="80">
        <f t="shared" ref="G257:K257" si="4">SUM(G9:G256)</f>
        <v>130586.11000000019</v>
      </c>
      <c r="H257" s="80">
        <f t="shared" si="4"/>
        <v>139465.77000000019</v>
      </c>
      <c r="I257" s="80">
        <f t="shared" si="4"/>
        <v>147198.8700000002</v>
      </c>
      <c r="J257" s="80">
        <f t="shared" si="4"/>
        <v>146051.6500000002</v>
      </c>
      <c r="K257" s="80">
        <f t="shared" si="4"/>
        <v>143249.74000000019</v>
      </c>
      <c r="L257" s="81"/>
      <c r="M257" s="81"/>
    </row>
    <row r="258" spans="1:13" ht="15.75" thickBot="1" x14ac:dyDescent="0.3">
      <c r="A258" s="82"/>
      <c r="B258" s="83"/>
      <c r="C258" s="82"/>
      <c r="D258" s="82"/>
      <c r="E258" s="82" t="s">
        <v>331</v>
      </c>
      <c r="F258" s="84">
        <f>F257*12</f>
        <v>1580916.1200000022</v>
      </c>
      <c r="G258" s="84">
        <f t="shared" ref="G258:K258" si="5">G257*12</f>
        <v>1567033.3200000022</v>
      </c>
      <c r="H258" s="84">
        <f t="shared" si="5"/>
        <v>1673589.2400000023</v>
      </c>
      <c r="I258" s="84">
        <f t="shared" si="5"/>
        <v>1766386.4400000023</v>
      </c>
      <c r="J258" s="84">
        <f t="shared" si="5"/>
        <v>1752619.8000000024</v>
      </c>
      <c r="K258" s="84">
        <f t="shared" si="5"/>
        <v>1718996.8800000022</v>
      </c>
      <c r="L258" s="85"/>
      <c r="M258" s="85"/>
    </row>
    <row r="259" spans="1:13" x14ac:dyDescent="0.25">
      <c r="A259" s="132"/>
      <c r="B259" s="132"/>
      <c r="C259" s="132"/>
      <c r="D259" s="132"/>
      <c r="E259" s="132"/>
      <c r="F259" s="132"/>
      <c r="G259" s="132"/>
      <c r="H259" s="132"/>
      <c r="I259" s="132"/>
      <c r="J259" s="132"/>
      <c r="K259" s="132"/>
      <c r="L259" s="132"/>
      <c r="M259" s="132"/>
    </row>
    <row r="260" spans="1:13" x14ac:dyDescent="0.25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</row>
    <row r="261" spans="1:13" x14ac:dyDescent="0.25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</row>
    <row r="262" spans="1:13" x14ac:dyDescent="0.25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</row>
    <row r="263" spans="1:13" x14ac:dyDescent="0.25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</row>
    <row r="264" spans="1:13" s="51" customFormat="1" ht="12.75" x14ac:dyDescent="0.25">
      <c r="A264" s="136" t="s">
        <v>335</v>
      </c>
      <c r="B264" s="136"/>
      <c r="C264" s="136"/>
      <c r="D264" s="136"/>
      <c r="E264" s="136"/>
      <c r="F264" s="136" t="s">
        <v>336</v>
      </c>
      <c r="G264" s="136"/>
      <c r="H264" s="136"/>
      <c r="I264" s="136"/>
      <c r="J264" s="136"/>
      <c r="K264" s="136"/>
      <c r="L264" s="136"/>
      <c r="M264" s="136"/>
    </row>
    <row r="265" spans="1:13" s="51" customFormat="1" ht="12.75" x14ac:dyDescent="0.25">
      <c r="A265" s="116" t="s">
        <v>10</v>
      </c>
      <c r="B265" s="116"/>
      <c r="C265" s="116"/>
      <c r="D265" s="116"/>
      <c r="E265" s="116"/>
      <c r="F265" s="137" t="s">
        <v>332</v>
      </c>
      <c r="G265" s="137"/>
      <c r="H265" s="137"/>
      <c r="I265" s="137"/>
      <c r="J265" s="137"/>
      <c r="K265" s="137"/>
      <c r="L265" s="137"/>
      <c r="M265" s="137"/>
    </row>
    <row r="266" spans="1:13" s="51" customFormat="1" ht="12.75" x14ac:dyDescent="0.25">
      <c r="A266" s="108" t="s">
        <v>420</v>
      </c>
      <c r="B266" s="108"/>
      <c r="C266" s="108"/>
      <c r="D266" s="108"/>
      <c r="E266" s="108"/>
      <c r="F266" s="136" t="s">
        <v>333</v>
      </c>
      <c r="G266" s="136"/>
      <c r="H266" s="136"/>
      <c r="I266" s="136"/>
      <c r="J266" s="136"/>
      <c r="K266" s="136"/>
      <c r="L266" s="136"/>
      <c r="M266" s="136"/>
    </row>
    <row r="267" spans="1:13" s="51" customFormat="1" ht="12.75" x14ac:dyDescent="0.25">
      <c r="A267" s="134"/>
      <c r="B267" s="134"/>
      <c r="C267" s="134"/>
      <c r="D267" s="134"/>
      <c r="E267" s="134"/>
      <c r="F267" s="134"/>
      <c r="G267" s="134"/>
      <c r="H267" s="134"/>
      <c r="I267" s="134"/>
      <c r="J267" s="134"/>
      <c r="K267" s="134"/>
      <c r="L267" s="134"/>
      <c r="M267" s="134"/>
    </row>
    <row r="268" spans="1:13" s="51" customFormat="1" ht="12.75" x14ac:dyDescent="0.25">
      <c r="A268" s="135" t="s">
        <v>482</v>
      </c>
      <c r="B268" s="135"/>
      <c r="C268" s="135"/>
      <c r="D268" s="135"/>
      <c r="E268" s="135"/>
      <c r="F268" s="135"/>
      <c r="G268" s="135"/>
      <c r="H268" s="135"/>
      <c r="I268" s="135"/>
      <c r="J268" s="135"/>
      <c r="K268" s="135"/>
      <c r="L268" s="135"/>
      <c r="M268" s="135"/>
    </row>
  </sheetData>
  <mergeCells count="20">
    <mergeCell ref="A267:M267"/>
    <mergeCell ref="A268:M268"/>
    <mergeCell ref="A264:E264"/>
    <mergeCell ref="F264:M264"/>
    <mergeCell ref="A265:E265"/>
    <mergeCell ref="F265:M265"/>
    <mergeCell ref="A266:E266"/>
    <mergeCell ref="F266:M266"/>
    <mergeCell ref="A263:M263"/>
    <mergeCell ref="A1:M1"/>
    <mergeCell ref="A2:M2"/>
    <mergeCell ref="A3:M3"/>
    <mergeCell ref="A4:M4"/>
    <mergeCell ref="A5:M5"/>
    <mergeCell ref="A6:M6"/>
    <mergeCell ref="A7:M7"/>
    <mergeCell ref="A259:M259"/>
    <mergeCell ref="A260:M260"/>
    <mergeCell ref="A261:M261"/>
    <mergeCell ref="A262:M262"/>
  </mergeCells>
  <pageMargins left="0.31496062992125984" right="0.31496062992125984" top="0.35433070866141736" bottom="0.35433070866141736" header="0.11811023622047245" footer="0"/>
  <pageSetup paperSize="9" scale="55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5"/>
  <sheetViews>
    <sheetView tabSelected="1" topLeftCell="A49" workbookViewId="0">
      <selection activeCell="M86" sqref="M86"/>
    </sheetView>
  </sheetViews>
  <sheetFormatPr baseColWidth="10" defaultRowHeight="15" x14ac:dyDescent="0.25"/>
  <cols>
    <col min="1" max="1" width="8.42578125" style="32" bestFit="1" customWidth="1"/>
    <col min="2" max="2" width="56.85546875" style="32" bestFit="1" customWidth="1"/>
    <col min="3" max="6" width="12.28515625" style="32" customWidth="1"/>
    <col min="7" max="9" width="12.28515625" style="32" bestFit="1" customWidth="1"/>
    <col min="10" max="10" width="14" style="32" bestFit="1" customWidth="1"/>
    <col min="11" max="16384" width="11.42578125" style="32"/>
  </cols>
  <sheetData>
    <row r="1" spans="1:10" ht="21" x14ac:dyDescent="0.25">
      <c r="A1" s="138" t="s">
        <v>339</v>
      </c>
      <c r="B1" s="138"/>
      <c r="C1" s="138"/>
      <c r="D1" s="138"/>
      <c r="E1" s="138"/>
      <c r="F1" s="138"/>
      <c r="G1" s="138"/>
      <c r="H1" s="138"/>
      <c r="I1" s="138"/>
      <c r="J1" s="138"/>
    </row>
    <row r="2" spans="1:10" ht="15.75" x14ac:dyDescent="0.25">
      <c r="A2" s="155" t="s">
        <v>341</v>
      </c>
      <c r="B2" s="155"/>
      <c r="C2" s="155"/>
      <c r="D2" s="155"/>
      <c r="E2" s="155"/>
      <c r="F2" s="155"/>
      <c r="G2" s="155"/>
      <c r="H2" s="155"/>
      <c r="I2" s="155"/>
      <c r="J2" s="155"/>
    </row>
    <row r="3" spans="1:10" ht="15.75" x14ac:dyDescent="0.25">
      <c r="A3" s="155" t="s">
        <v>342</v>
      </c>
      <c r="B3" s="155"/>
      <c r="C3" s="155"/>
      <c r="D3" s="155"/>
      <c r="E3" s="155"/>
      <c r="F3" s="155"/>
      <c r="G3" s="155"/>
      <c r="H3" s="155"/>
      <c r="I3" s="155"/>
      <c r="J3" s="155"/>
    </row>
    <row r="4" spans="1:10" ht="15.75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</row>
    <row r="5" spans="1:10" s="10" customFormat="1" ht="12.75" x14ac:dyDescent="0.25">
      <c r="A5" s="156" t="s">
        <v>16</v>
      </c>
      <c r="B5" s="156"/>
      <c r="C5" s="156"/>
      <c r="D5" s="156"/>
      <c r="E5" s="156"/>
      <c r="F5" s="156"/>
      <c r="G5" s="156"/>
      <c r="H5" s="156"/>
      <c r="I5" s="156"/>
      <c r="J5" s="156"/>
    </row>
    <row r="6" spans="1:10" s="10" customFormat="1" ht="13.5" thickBot="1" x14ac:dyDescent="0.3">
      <c r="A6" s="116"/>
      <c r="B6" s="116"/>
      <c r="C6" s="116"/>
      <c r="D6" s="116"/>
      <c r="E6" s="116"/>
      <c r="F6" s="116"/>
      <c r="G6" s="116"/>
      <c r="H6" s="116"/>
      <c r="I6" s="116"/>
      <c r="J6" s="116"/>
    </row>
    <row r="7" spans="1:10" s="10" customFormat="1" ht="13.5" customHeight="1" thickBot="1" x14ac:dyDescent="0.3">
      <c r="A7" s="157" t="s">
        <v>343</v>
      </c>
      <c r="B7" s="157"/>
      <c r="C7" s="158" t="s">
        <v>344</v>
      </c>
      <c r="D7" s="159"/>
      <c r="E7" s="159"/>
      <c r="F7" s="159"/>
      <c r="G7" s="160"/>
      <c r="H7" s="158" t="s">
        <v>345</v>
      </c>
      <c r="I7" s="160"/>
      <c r="J7" s="57" t="s">
        <v>4</v>
      </c>
    </row>
    <row r="8" spans="1:10" s="10" customFormat="1" ht="26.25" thickBot="1" x14ac:dyDescent="0.3">
      <c r="A8" s="58" t="s">
        <v>346</v>
      </c>
      <c r="B8" s="59" t="s">
        <v>347</v>
      </c>
      <c r="C8" s="58">
        <v>2014</v>
      </c>
      <c r="D8" s="58">
        <v>2015</v>
      </c>
      <c r="E8" s="58">
        <v>2016</v>
      </c>
      <c r="F8" s="58">
        <v>2017</v>
      </c>
      <c r="G8" s="58">
        <v>2018</v>
      </c>
      <c r="H8" s="58">
        <v>2019</v>
      </c>
      <c r="I8" s="58">
        <v>2020</v>
      </c>
      <c r="J8" s="60"/>
    </row>
    <row r="9" spans="1:10" s="88" customFormat="1" ht="12" thickBot="1" x14ac:dyDescent="0.3">
      <c r="A9" s="150" t="s">
        <v>348</v>
      </c>
      <c r="B9" s="150"/>
      <c r="C9" s="86">
        <f>+C10+C15+C20+C23+C27+C30</f>
        <v>10536289.770000001</v>
      </c>
      <c r="D9" s="86">
        <f t="shared" ref="D9:I9" si="0">+D10+D15+D20+D23+D27+D30</f>
        <v>8827658.709999999</v>
      </c>
      <c r="E9" s="86">
        <f t="shared" si="0"/>
        <v>10185824.170000002</v>
      </c>
      <c r="F9" s="86">
        <f t="shared" si="0"/>
        <v>8802351.0999999996</v>
      </c>
      <c r="G9" s="86">
        <f t="shared" si="0"/>
        <v>10057106.799999999</v>
      </c>
      <c r="H9" s="86">
        <f t="shared" si="0"/>
        <v>11298695.949999999</v>
      </c>
      <c r="I9" s="86">
        <f t="shared" si="0"/>
        <v>11298695.949999999</v>
      </c>
      <c r="J9" s="87"/>
    </row>
    <row r="10" spans="1:10" s="88" customFormat="1" ht="12" thickBot="1" x14ac:dyDescent="0.3">
      <c r="A10" s="33">
        <v>11</v>
      </c>
      <c r="B10" s="34" t="s">
        <v>349</v>
      </c>
      <c r="C10" s="35">
        <f>SUM(C11:C14)</f>
        <v>15743.09</v>
      </c>
      <c r="D10" s="35">
        <f t="shared" ref="D10:I10" si="1">SUM(D11:D14)</f>
        <v>19479.48</v>
      </c>
      <c r="E10" s="35">
        <f t="shared" si="1"/>
        <v>17063.760000000002</v>
      </c>
      <c r="F10" s="35">
        <f t="shared" si="1"/>
        <v>21342.2</v>
      </c>
      <c r="G10" s="35">
        <f t="shared" si="1"/>
        <v>27624.720000000001</v>
      </c>
      <c r="H10" s="35">
        <f t="shared" si="1"/>
        <v>20865.41</v>
      </c>
      <c r="I10" s="35">
        <f t="shared" si="1"/>
        <v>20865.41</v>
      </c>
      <c r="J10" s="35"/>
    </row>
    <row r="11" spans="1:10" s="88" customFormat="1" ht="12" thickBot="1" x14ac:dyDescent="0.3">
      <c r="A11" s="36">
        <v>1101</v>
      </c>
      <c r="B11" s="37" t="s">
        <v>350</v>
      </c>
      <c r="C11" s="38">
        <v>0</v>
      </c>
      <c r="D11" s="38">
        <v>0</v>
      </c>
      <c r="E11" s="38">
        <v>0</v>
      </c>
      <c r="F11" s="38">
        <v>0</v>
      </c>
      <c r="G11" s="38">
        <v>0</v>
      </c>
      <c r="H11" s="38">
        <v>0</v>
      </c>
      <c r="I11" s="38">
        <v>0</v>
      </c>
      <c r="J11" s="38"/>
    </row>
    <row r="12" spans="1:10" s="88" customFormat="1" ht="12" thickBot="1" x14ac:dyDescent="0.3">
      <c r="A12" s="36">
        <v>1102</v>
      </c>
      <c r="B12" s="37" t="s">
        <v>351</v>
      </c>
      <c r="C12" s="38">
        <v>15743.09</v>
      </c>
      <c r="D12" s="38">
        <v>19479.48</v>
      </c>
      <c r="E12" s="38">
        <v>17063.760000000002</v>
      </c>
      <c r="F12" s="38">
        <v>21342.2</v>
      </c>
      <c r="G12" s="38">
        <v>27624.720000000001</v>
      </c>
      <c r="H12" s="38">
        <v>20865.41</v>
      </c>
      <c r="I12" s="38">
        <v>20865.41</v>
      </c>
      <c r="J12" s="38"/>
    </row>
    <row r="13" spans="1:10" s="88" customFormat="1" ht="12" thickBot="1" x14ac:dyDescent="0.3">
      <c r="A13" s="36">
        <v>1103</v>
      </c>
      <c r="B13" s="37" t="s">
        <v>352</v>
      </c>
      <c r="C13" s="38">
        <v>0</v>
      </c>
      <c r="D13" s="38">
        <v>0</v>
      </c>
      <c r="E13" s="38">
        <v>0</v>
      </c>
      <c r="F13" s="38">
        <v>0</v>
      </c>
      <c r="G13" s="38">
        <v>0</v>
      </c>
      <c r="H13" s="38">
        <v>0</v>
      </c>
      <c r="I13" s="38">
        <v>0</v>
      </c>
      <c r="J13" s="38"/>
    </row>
    <row r="14" spans="1:10" s="88" customFormat="1" ht="12" thickBot="1" x14ac:dyDescent="0.3">
      <c r="A14" s="36">
        <v>1107</v>
      </c>
      <c r="B14" s="37" t="s">
        <v>353</v>
      </c>
      <c r="C14" s="38">
        <v>0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38">
        <v>0</v>
      </c>
      <c r="J14" s="38"/>
    </row>
    <row r="15" spans="1:10" s="88" customFormat="1" ht="12" thickBot="1" x14ac:dyDescent="0.3">
      <c r="A15" s="33">
        <v>13</v>
      </c>
      <c r="B15" s="34" t="s">
        <v>354</v>
      </c>
      <c r="C15" s="35">
        <f>SUM(C16:C19)</f>
        <v>21915.88</v>
      </c>
      <c r="D15" s="35">
        <f t="shared" ref="D15:I15" si="2">SUM(D16:D19)</f>
        <v>34937.9</v>
      </c>
      <c r="E15" s="35">
        <f t="shared" si="2"/>
        <v>84158.7</v>
      </c>
      <c r="F15" s="35">
        <f t="shared" si="2"/>
        <v>56468</v>
      </c>
      <c r="G15" s="35">
        <f t="shared" si="2"/>
        <v>73442.990000000005</v>
      </c>
      <c r="H15" s="35">
        <f t="shared" si="2"/>
        <v>40255.300000000003</v>
      </c>
      <c r="I15" s="35">
        <f t="shared" si="2"/>
        <v>40255.300000000003</v>
      </c>
      <c r="J15" s="35"/>
    </row>
    <row r="16" spans="1:10" s="88" customFormat="1" ht="12" thickBot="1" x14ac:dyDescent="0.3">
      <c r="A16" s="36">
        <v>1301</v>
      </c>
      <c r="B16" s="37" t="s">
        <v>355</v>
      </c>
      <c r="C16" s="38">
        <v>21915.88</v>
      </c>
      <c r="D16" s="38">
        <v>34937.9</v>
      </c>
      <c r="E16" s="38">
        <v>84158.7</v>
      </c>
      <c r="F16" s="38">
        <v>56468</v>
      </c>
      <c r="G16" s="38">
        <v>73442.990000000005</v>
      </c>
      <c r="H16" s="38">
        <v>40255.300000000003</v>
      </c>
      <c r="I16" s="38">
        <v>40255.300000000003</v>
      </c>
      <c r="J16" s="38"/>
    </row>
    <row r="17" spans="1:10" s="88" customFormat="1" ht="12" thickBot="1" x14ac:dyDescent="0.3">
      <c r="A17" s="36">
        <v>1302</v>
      </c>
      <c r="B17" s="37" t="s">
        <v>356</v>
      </c>
      <c r="C17" s="38">
        <v>0</v>
      </c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38">
        <v>0</v>
      </c>
      <c r="J17" s="38"/>
    </row>
    <row r="18" spans="1:10" s="88" customFormat="1" ht="12" thickBot="1" x14ac:dyDescent="0.3">
      <c r="A18" s="36">
        <v>1303</v>
      </c>
      <c r="B18" s="37" t="s">
        <v>357</v>
      </c>
      <c r="C18" s="38">
        <v>0</v>
      </c>
      <c r="D18" s="38">
        <v>0</v>
      </c>
      <c r="E18" s="38">
        <v>0</v>
      </c>
      <c r="F18" s="38">
        <v>0</v>
      </c>
      <c r="G18" s="38">
        <v>0</v>
      </c>
      <c r="H18" s="38">
        <v>0</v>
      </c>
      <c r="I18" s="38">
        <v>0</v>
      </c>
      <c r="J18" s="38"/>
    </row>
    <row r="19" spans="1:10" s="88" customFormat="1" ht="12" thickBot="1" x14ac:dyDescent="0.3">
      <c r="A19" s="36">
        <v>1304</v>
      </c>
      <c r="B19" s="37" t="s">
        <v>358</v>
      </c>
      <c r="C19" s="38">
        <v>0</v>
      </c>
      <c r="D19" s="38">
        <v>0</v>
      </c>
      <c r="E19" s="38">
        <v>0</v>
      </c>
      <c r="F19" s="38">
        <v>0</v>
      </c>
      <c r="G19" s="38">
        <v>0</v>
      </c>
      <c r="H19" s="38">
        <v>0</v>
      </c>
      <c r="I19" s="38">
        <v>0</v>
      </c>
      <c r="J19" s="38"/>
    </row>
    <row r="20" spans="1:10" s="88" customFormat="1" ht="12" thickBot="1" x14ac:dyDescent="0.3">
      <c r="A20" s="33">
        <v>14</v>
      </c>
      <c r="B20" s="34" t="s">
        <v>359</v>
      </c>
      <c r="C20" s="35">
        <f>SUM(C21:C22)</f>
        <v>2352.8200000000002</v>
      </c>
      <c r="D20" s="35">
        <f t="shared" ref="D20:I20" si="3">SUM(D21:D22)</f>
        <v>0</v>
      </c>
      <c r="E20" s="35">
        <f t="shared" si="3"/>
        <v>166.21</v>
      </c>
      <c r="F20" s="35">
        <f t="shared" si="3"/>
        <v>58567.58</v>
      </c>
      <c r="G20" s="35">
        <f t="shared" si="3"/>
        <v>245707.00999999998</v>
      </c>
      <c r="H20" s="35">
        <f t="shared" si="3"/>
        <v>82999.31</v>
      </c>
      <c r="I20" s="35">
        <f t="shared" si="3"/>
        <v>82999.31</v>
      </c>
      <c r="J20" s="35"/>
    </row>
    <row r="21" spans="1:10" s="88" customFormat="1" ht="12" thickBot="1" x14ac:dyDescent="0.3">
      <c r="A21" s="36">
        <v>1402</v>
      </c>
      <c r="B21" s="37" t="s">
        <v>360</v>
      </c>
      <c r="C21" s="38">
        <v>2105.0700000000002</v>
      </c>
      <c r="D21" s="38">
        <v>0</v>
      </c>
      <c r="E21" s="38">
        <v>0</v>
      </c>
      <c r="F21" s="38">
        <v>58567.58</v>
      </c>
      <c r="G21" s="38">
        <v>21636.52</v>
      </c>
      <c r="H21" s="38">
        <v>75943.67</v>
      </c>
      <c r="I21" s="38">
        <v>75943.67</v>
      </c>
      <c r="J21" s="38"/>
    </row>
    <row r="22" spans="1:10" s="88" customFormat="1" ht="12" thickBot="1" x14ac:dyDescent="0.3">
      <c r="A22" s="36">
        <v>1403</v>
      </c>
      <c r="B22" s="37" t="s">
        <v>361</v>
      </c>
      <c r="C22" s="38">
        <v>247.75</v>
      </c>
      <c r="D22" s="38">
        <v>0</v>
      </c>
      <c r="E22" s="38">
        <v>166.21</v>
      </c>
      <c r="F22" s="38">
        <v>0</v>
      </c>
      <c r="G22" s="38">
        <v>224070.49</v>
      </c>
      <c r="H22" s="38">
        <v>7055.64</v>
      </c>
      <c r="I22" s="38">
        <v>7055.64</v>
      </c>
      <c r="J22" s="38"/>
    </row>
    <row r="23" spans="1:10" s="88" customFormat="1" ht="12" thickBot="1" x14ac:dyDescent="0.3">
      <c r="A23" s="33">
        <v>17</v>
      </c>
      <c r="B23" s="34" t="s">
        <v>362</v>
      </c>
      <c r="C23" s="35">
        <f>SUM(C24:C26)</f>
        <v>1686.76</v>
      </c>
      <c r="D23" s="35">
        <f t="shared" ref="D23:I23" si="4">SUM(D24:D26)</f>
        <v>2434.12</v>
      </c>
      <c r="E23" s="35">
        <f t="shared" si="4"/>
        <v>1160</v>
      </c>
      <c r="F23" s="35">
        <f t="shared" si="4"/>
        <v>22279.4</v>
      </c>
      <c r="G23" s="35">
        <f t="shared" si="4"/>
        <v>1489.3</v>
      </c>
      <c r="H23" s="35">
        <f t="shared" si="4"/>
        <v>1160</v>
      </c>
      <c r="I23" s="35">
        <f t="shared" si="4"/>
        <v>1160</v>
      </c>
      <c r="J23" s="35"/>
    </row>
    <row r="24" spans="1:10" s="88" customFormat="1" ht="12" thickBot="1" x14ac:dyDescent="0.3">
      <c r="A24" s="36">
        <v>1701</v>
      </c>
      <c r="B24" s="37" t="s">
        <v>363</v>
      </c>
      <c r="C24" s="38">
        <v>26.76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38">
        <v>0</v>
      </c>
      <c r="J24" s="38"/>
    </row>
    <row r="25" spans="1:10" s="88" customFormat="1" ht="12" thickBot="1" x14ac:dyDescent="0.3">
      <c r="A25" s="36">
        <v>1702</v>
      </c>
      <c r="B25" s="37" t="s">
        <v>364</v>
      </c>
      <c r="C25" s="38">
        <v>1660</v>
      </c>
      <c r="D25" s="38">
        <v>1520</v>
      </c>
      <c r="E25" s="38">
        <v>1160</v>
      </c>
      <c r="F25" s="38">
        <v>1517.2</v>
      </c>
      <c r="G25" s="38">
        <v>1489.3</v>
      </c>
      <c r="H25" s="38">
        <v>1160</v>
      </c>
      <c r="I25" s="38">
        <v>1160</v>
      </c>
      <c r="J25" s="38"/>
    </row>
    <row r="26" spans="1:10" s="88" customFormat="1" ht="12" thickBot="1" x14ac:dyDescent="0.3">
      <c r="A26" s="36">
        <v>1704</v>
      </c>
      <c r="B26" s="37" t="s">
        <v>365</v>
      </c>
      <c r="C26" s="38">
        <v>0</v>
      </c>
      <c r="D26" s="38">
        <v>914.12</v>
      </c>
      <c r="E26" s="38">
        <v>0</v>
      </c>
      <c r="F26" s="38">
        <v>20762.2</v>
      </c>
      <c r="G26" s="38">
        <v>0</v>
      </c>
      <c r="H26" s="38">
        <v>0</v>
      </c>
      <c r="I26" s="38">
        <v>0</v>
      </c>
      <c r="J26" s="38"/>
    </row>
    <row r="27" spans="1:10" s="88" customFormat="1" ht="12" thickBot="1" x14ac:dyDescent="0.3">
      <c r="A27" s="33">
        <v>18</v>
      </c>
      <c r="B27" s="34" t="s">
        <v>366</v>
      </c>
      <c r="C27" s="35">
        <f>SUM(C28:C29)</f>
        <v>10430443.710000001</v>
      </c>
      <c r="D27" s="35">
        <f t="shared" ref="D27:I27" si="5">SUM(D28:D29)</f>
        <v>8668729.9399999995</v>
      </c>
      <c r="E27" s="35">
        <f t="shared" si="5"/>
        <v>9939519.5200000014</v>
      </c>
      <c r="F27" s="35">
        <f t="shared" si="5"/>
        <v>8546360.2200000007</v>
      </c>
      <c r="G27" s="35">
        <f t="shared" si="5"/>
        <v>9424413.7899999991</v>
      </c>
      <c r="H27" s="35">
        <f t="shared" si="5"/>
        <v>11054499.99</v>
      </c>
      <c r="I27" s="35">
        <f t="shared" si="5"/>
        <v>11054499.99</v>
      </c>
      <c r="J27" s="35"/>
    </row>
    <row r="28" spans="1:10" s="88" customFormat="1" ht="12" thickBot="1" x14ac:dyDescent="0.3">
      <c r="A28" s="36">
        <v>1801</v>
      </c>
      <c r="B28" s="37" t="s">
        <v>367</v>
      </c>
      <c r="C28" s="38">
        <v>9798828.3300000001</v>
      </c>
      <c r="D28" s="38">
        <v>0</v>
      </c>
      <c r="E28" s="38">
        <v>0</v>
      </c>
      <c r="F28" s="38">
        <v>6417.01</v>
      </c>
      <c r="G28" s="38">
        <v>0</v>
      </c>
      <c r="H28" s="38">
        <v>0</v>
      </c>
      <c r="I28" s="38">
        <v>0</v>
      </c>
      <c r="J28" s="38"/>
    </row>
    <row r="29" spans="1:10" s="88" customFormat="1" ht="12" thickBot="1" x14ac:dyDescent="0.3">
      <c r="A29" s="36">
        <v>1806</v>
      </c>
      <c r="B29" s="37" t="s">
        <v>368</v>
      </c>
      <c r="C29" s="38">
        <v>631615.38</v>
      </c>
      <c r="D29" s="38">
        <v>8668729.9399999995</v>
      </c>
      <c r="E29" s="38">
        <v>9939519.5200000014</v>
      </c>
      <c r="F29" s="38">
        <v>8539943.2100000009</v>
      </c>
      <c r="G29" s="38">
        <v>9424413.7899999991</v>
      </c>
      <c r="H29" s="38">
        <v>11054499.99</v>
      </c>
      <c r="I29" s="38">
        <v>11054499.99</v>
      </c>
      <c r="J29" s="38"/>
    </row>
    <row r="30" spans="1:10" s="88" customFormat="1" ht="12" thickBot="1" x14ac:dyDescent="0.3">
      <c r="A30" s="33">
        <v>19</v>
      </c>
      <c r="B30" s="34" t="s">
        <v>369</v>
      </c>
      <c r="C30" s="35">
        <f>+C31</f>
        <v>64147.51</v>
      </c>
      <c r="D30" s="35">
        <f t="shared" ref="D30:I30" si="6">+D31</f>
        <v>102077.27</v>
      </c>
      <c r="E30" s="35">
        <f t="shared" si="6"/>
        <v>143755.98000000001</v>
      </c>
      <c r="F30" s="35">
        <f t="shared" si="6"/>
        <v>97333.7</v>
      </c>
      <c r="G30" s="35">
        <f t="shared" si="6"/>
        <v>284428.99</v>
      </c>
      <c r="H30" s="35">
        <f t="shared" si="6"/>
        <v>98915.94</v>
      </c>
      <c r="I30" s="35">
        <f t="shared" si="6"/>
        <v>98915.94</v>
      </c>
      <c r="J30" s="35"/>
    </row>
    <row r="31" spans="1:10" s="88" customFormat="1" ht="12" thickBot="1" x14ac:dyDescent="0.3">
      <c r="A31" s="36">
        <v>1904</v>
      </c>
      <c r="B31" s="37" t="s">
        <v>370</v>
      </c>
      <c r="C31" s="38">
        <v>64147.51</v>
      </c>
      <c r="D31" s="38">
        <v>102077.27</v>
      </c>
      <c r="E31" s="38">
        <v>143755.98000000001</v>
      </c>
      <c r="F31" s="38">
        <v>97333.7</v>
      </c>
      <c r="G31" s="38">
        <v>284428.99</v>
      </c>
      <c r="H31" s="38">
        <v>98915.94</v>
      </c>
      <c r="I31" s="38">
        <v>98915.94</v>
      </c>
      <c r="J31" s="38"/>
    </row>
    <row r="32" spans="1:10" s="88" customFormat="1" ht="12" thickBot="1" x14ac:dyDescent="0.3">
      <c r="A32" s="150" t="s">
        <v>371</v>
      </c>
      <c r="B32" s="150"/>
      <c r="C32" s="86">
        <f>+C33+C42+C43+C44+C45+C46</f>
        <v>4995776.8999999994</v>
      </c>
      <c r="D32" s="86">
        <f t="shared" ref="D32:I32" si="7">+D33+D42+D43+D44+D45+D46</f>
        <v>6920481.1500000004</v>
      </c>
      <c r="E32" s="86">
        <f t="shared" si="7"/>
        <v>5982372.7499999991</v>
      </c>
      <c r="F32" s="86">
        <f t="shared" si="7"/>
        <v>6051205.9500000011</v>
      </c>
      <c r="G32" s="86">
        <f t="shared" si="7"/>
        <v>6077631.8099999996</v>
      </c>
      <c r="H32" s="86">
        <f t="shared" si="7"/>
        <v>7718671.6199999992</v>
      </c>
      <c r="I32" s="86">
        <f t="shared" si="7"/>
        <v>7718671.6199999992</v>
      </c>
      <c r="J32" s="87"/>
    </row>
    <row r="33" spans="1:10" s="88" customFormat="1" ht="12" thickBot="1" x14ac:dyDescent="0.3">
      <c r="A33" s="33">
        <v>51</v>
      </c>
      <c r="B33" s="34" t="s">
        <v>372</v>
      </c>
      <c r="C33" s="38">
        <f>SUM(C34:C41)</f>
        <v>3605533.09</v>
      </c>
      <c r="D33" s="38">
        <f t="shared" ref="D33:H33" si="8">SUM(D34:D41)</f>
        <v>3794540.7</v>
      </c>
      <c r="E33" s="38">
        <f t="shared" si="8"/>
        <v>3487547.6799999997</v>
      </c>
      <c r="F33" s="38">
        <f t="shared" si="8"/>
        <v>3961263.66</v>
      </c>
      <c r="G33" s="38">
        <f t="shared" si="8"/>
        <v>3921803.9899999998</v>
      </c>
      <c r="H33" s="38">
        <f t="shared" si="8"/>
        <v>4951922.93</v>
      </c>
      <c r="I33" s="38">
        <f t="shared" ref="I33" si="9">SUM(I34:I41)</f>
        <v>4951922.93</v>
      </c>
      <c r="J33" s="38"/>
    </row>
    <row r="34" spans="1:10" s="88" customFormat="1" ht="12" thickBot="1" x14ac:dyDescent="0.3">
      <c r="A34" s="36">
        <v>5101</v>
      </c>
      <c r="B34" s="37" t="s">
        <v>373</v>
      </c>
      <c r="C34" s="38">
        <v>2566196.7400000002</v>
      </c>
      <c r="D34" s="38">
        <v>2587001.41</v>
      </c>
      <c r="E34" s="38">
        <v>2482429.65</v>
      </c>
      <c r="F34" s="38">
        <v>2841525.16</v>
      </c>
      <c r="G34" s="38">
        <v>2841180.09</v>
      </c>
      <c r="H34" s="38">
        <v>3452914.03</v>
      </c>
      <c r="I34" s="38">
        <v>3452914.03</v>
      </c>
      <c r="J34" s="38"/>
    </row>
    <row r="35" spans="1:10" s="88" customFormat="1" ht="12" thickBot="1" x14ac:dyDescent="0.3">
      <c r="A35" s="36">
        <v>5102</v>
      </c>
      <c r="B35" s="37" t="s">
        <v>374</v>
      </c>
      <c r="C35" s="38">
        <f>214892+55126.22</f>
        <v>270018.21999999997</v>
      </c>
      <c r="D35" s="38">
        <f>243284.26+67979.31</f>
        <v>311263.57</v>
      </c>
      <c r="E35" s="38">
        <f>221107.63+59517.46</f>
        <v>280625.09000000003</v>
      </c>
      <c r="F35" s="38">
        <f>251414.25+67256.05</f>
        <v>318670.3</v>
      </c>
      <c r="G35" s="38">
        <f>246733.57+70370.13</f>
        <v>317103.7</v>
      </c>
      <c r="H35" s="38">
        <f>297058.81+85357.98</f>
        <v>382416.79</v>
      </c>
      <c r="I35" s="38">
        <f>297058.81+85357.98</f>
        <v>382416.79</v>
      </c>
      <c r="J35" s="38"/>
    </row>
    <row r="36" spans="1:10" s="88" customFormat="1" ht="12" thickBot="1" x14ac:dyDescent="0.3">
      <c r="A36" s="36">
        <v>5103</v>
      </c>
      <c r="B36" s="37" t="s">
        <v>375</v>
      </c>
      <c r="C36" s="38">
        <v>0</v>
      </c>
      <c r="D36" s="38">
        <v>0</v>
      </c>
      <c r="E36" s="38">
        <v>0</v>
      </c>
      <c r="F36" s="38">
        <v>0</v>
      </c>
      <c r="G36" s="38">
        <v>0</v>
      </c>
      <c r="H36" s="38">
        <v>0</v>
      </c>
      <c r="I36" s="38">
        <v>0</v>
      </c>
      <c r="J36" s="38"/>
    </row>
    <row r="37" spans="1:10" s="88" customFormat="1" ht="12" thickBot="1" x14ac:dyDescent="0.3">
      <c r="A37" s="36">
        <v>5104</v>
      </c>
      <c r="B37" s="37" t="s">
        <v>376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38">
        <v>0</v>
      </c>
      <c r="J37" s="38"/>
    </row>
    <row r="38" spans="1:10" s="88" customFormat="1" ht="12" thickBot="1" x14ac:dyDescent="0.3">
      <c r="A38" s="36">
        <v>5105</v>
      </c>
      <c r="B38" s="37" t="s">
        <v>377</v>
      </c>
      <c r="C38" s="38">
        <f>18494.52+14013.33+23178.46</f>
        <v>55686.31</v>
      </c>
      <c r="D38" s="38">
        <f>9304.6+273298.55+13218.64+24894.97</f>
        <v>320716.76</v>
      </c>
      <c r="E38" s="38">
        <f>711.2+103320.03+9374.43+54401.99</f>
        <v>167807.65</v>
      </c>
      <c r="F38" s="38">
        <f>3783+129396.03+17207.53+18082.43</f>
        <v>168468.99</v>
      </c>
      <c r="G38" s="38">
        <f>4855.76+81033.87+9285.32+25078.16</f>
        <v>120253.10999999999</v>
      </c>
      <c r="H38" s="38">
        <f>72708+19462.44+13464.31</f>
        <v>105634.75</v>
      </c>
      <c r="I38" s="38">
        <f>72708+19462.44+13464.31</f>
        <v>105634.75</v>
      </c>
      <c r="J38" s="38"/>
    </row>
    <row r="39" spans="1:10" s="88" customFormat="1" ht="12" thickBot="1" x14ac:dyDescent="0.3">
      <c r="A39" s="36">
        <v>5106</v>
      </c>
      <c r="B39" s="37" t="s">
        <v>378</v>
      </c>
      <c r="C39" s="38">
        <f>302946.02+188416.05</f>
        <v>491362.07</v>
      </c>
      <c r="D39" s="38">
        <f>338757.03+212509.09</f>
        <v>551266.12</v>
      </c>
      <c r="E39" s="38">
        <f>308759.89+209446.5</f>
        <v>518206.39</v>
      </c>
      <c r="F39" s="38">
        <f>350671.1+243235.28</f>
        <v>593906.38</v>
      </c>
      <c r="G39" s="38">
        <f>345013.83+238780.61</f>
        <v>583794.43999999994</v>
      </c>
      <c r="H39" s="38">
        <f>415211.1+294787.35</f>
        <v>709998.45</v>
      </c>
      <c r="I39" s="38">
        <f>415211.1+294787.35</f>
        <v>709998.45</v>
      </c>
      <c r="J39" s="38"/>
    </row>
    <row r="40" spans="1:10" s="88" customFormat="1" ht="12" thickBot="1" x14ac:dyDescent="0.3">
      <c r="A40" s="36">
        <v>5107</v>
      </c>
      <c r="B40" s="37" t="s">
        <v>379</v>
      </c>
      <c r="C40" s="38">
        <f>81292.3+140977.45</f>
        <v>222269.75</v>
      </c>
      <c r="D40" s="38">
        <v>24292.84</v>
      </c>
      <c r="E40" s="38">
        <f>27168.12+11310.78</f>
        <v>38478.9</v>
      </c>
      <c r="F40" s="38">
        <f>13275+13889.48+11528.35</f>
        <v>38692.83</v>
      </c>
      <c r="G40" s="38">
        <f>29352.5+16923.82+13196.33</f>
        <v>59472.65</v>
      </c>
      <c r="H40" s="38">
        <f>103245.08+34893.5+162820.33</f>
        <v>300958.91000000003</v>
      </c>
      <c r="I40" s="38">
        <f>103245.08+34893.5+162820.33</f>
        <v>300958.91000000003</v>
      </c>
      <c r="J40" s="38"/>
    </row>
    <row r="41" spans="1:10" s="88" customFormat="1" ht="12" thickBot="1" x14ac:dyDescent="0.3">
      <c r="A41" s="36">
        <v>5199</v>
      </c>
      <c r="B41" s="37" t="s">
        <v>380</v>
      </c>
      <c r="C41" s="38">
        <v>0</v>
      </c>
      <c r="D41" s="38">
        <v>0</v>
      </c>
      <c r="E41" s="38">
        <v>0</v>
      </c>
      <c r="F41" s="38">
        <v>0</v>
      </c>
      <c r="G41" s="38">
        <v>0</v>
      </c>
      <c r="H41" s="38">
        <v>0</v>
      </c>
      <c r="I41" s="38">
        <v>0</v>
      </c>
      <c r="J41" s="38"/>
    </row>
    <row r="42" spans="1:10" s="88" customFormat="1" ht="12" thickBot="1" x14ac:dyDescent="0.3">
      <c r="A42" s="33">
        <v>53</v>
      </c>
      <c r="B42" s="34" t="s">
        <v>381</v>
      </c>
      <c r="C42" s="35">
        <v>0</v>
      </c>
      <c r="D42" s="35">
        <v>1017489.24</v>
      </c>
      <c r="E42" s="35">
        <v>808405.93</v>
      </c>
      <c r="F42" s="35">
        <v>681827.81</v>
      </c>
      <c r="G42" s="35">
        <v>790006.61</v>
      </c>
      <c r="H42" s="35">
        <v>874708.92</v>
      </c>
      <c r="I42" s="35">
        <v>874708.92</v>
      </c>
      <c r="J42" s="35"/>
    </row>
    <row r="43" spans="1:10" s="88" customFormat="1" ht="12" thickBot="1" x14ac:dyDescent="0.3">
      <c r="A43" s="33">
        <v>56</v>
      </c>
      <c r="B43" s="34" t="s">
        <v>382</v>
      </c>
      <c r="C43" s="35">
        <v>767323.39</v>
      </c>
      <c r="D43" s="35">
        <v>680700.67</v>
      </c>
      <c r="E43" s="35">
        <v>655743.89</v>
      </c>
      <c r="F43" s="35">
        <v>638207.38</v>
      </c>
      <c r="G43" s="35">
        <v>603431.93000000005</v>
      </c>
      <c r="H43" s="35">
        <v>980000</v>
      </c>
      <c r="I43" s="35">
        <v>980000</v>
      </c>
      <c r="J43" s="35"/>
    </row>
    <row r="44" spans="1:10" s="88" customFormat="1" ht="12" thickBot="1" x14ac:dyDescent="0.3">
      <c r="A44" s="33">
        <v>57</v>
      </c>
      <c r="B44" s="34" t="s">
        <v>383</v>
      </c>
      <c r="C44" s="35">
        <v>25200</v>
      </c>
      <c r="D44" s="35">
        <v>248849.97000000003</v>
      </c>
      <c r="E44" s="35">
        <v>184363.82</v>
      </c>
      <c r="F44" s="35">
        <v>160653.16</v>
      </c>
      <c r="G44" s="35">
        <v>168966.96</v>
      </c>
      <c r="H44" s="35">
        <v>309078.06</v>
      </c>
      <c r="I44" s="35">
        <v>309078.06</v>
      </c>
      <c r="J44" s="35"/>
    </row>
    <row r="45" spans="1:10" s="88" customFormat="1" ht="12" thickBot="1" x14ac:dyDescent="0.3">
      <c r="A45" s="33">
        <v>58</v>
      </c>
      <c r="B45" s="34" t="s">
        <v>384</v>
      </c>
      <c r="C45" s="35">
        <v>597720.41999999993</v>
      </c>
      <c r="D45" s="35">
        <v>1178900.57</v>
      </c>
      <c r="E45" s="35">
        <v>846311.43</v>
      </c>
      <c r="F45" s="35">
        <v>609253.93999999994</v>
      </c>
      <c r="G45" s="35">
        <v>593422.31999999995</v>
      </c>
      <c r="H45" s="35">
        <v>602961.71</v>
      </c>
      <c r="I45" s="35">
        <v>602961.71</v>
      </c>
      <c r="J45" s="35"/>
    </row>
    <row r="46" spans="1:10" s="88" customFormat="1" ht="12" thickBot="1" x14ac:dyDescent="0.3">
      <c r="A46" s="33">
        <v>59</v>
      </c>
      <c r="B46" s="34" t="s">
        <v>385</v>
      </c>
      <c r="C46" s="35">
        <v>0</v>
      </c>
      <c r="D46" s="35">
        <v>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/>
    </row>
    <row r="47" spans="1:10" s="88" customFormat="1" ht="12" thickBot="1" x14ac:dyDescent="0.3">
      <c r="A47" s="154" t="s">
        <v>386</v>
      </c>
      <c r="B47" s="154"/>
      <c r="C47" s="39">
        <f>+C9-C32</f>
        <v>5540512.870000002</v>
      </c>
      <c r="D47" s="39">
        <f t="shared" ref="D47:I47" si="10">+D9-D32</f>
        <v>1907177.5599999987</v>
      </c>
      <c r="E47" s="39">
        <f t="shared" si="10"/>
        <v>4203451.4200000027</v>
      </c>
      <c r="F47" s="39">
        <f t="shared" si="10"/>
        <v>2751145.1499999985</v>
      </c>
      <c r="G47" s="39">
        <f t="shared" si="10"/>
        <v>3979474.9899999993</v>
      </c>
      <c r="H47" s="39">
        <f t="shared" si="10"/>
        <v>3580024.33</v>
      </c>
      <c r="I47" s="39">
        <f t="shared" si="10"/>
        <v>3580024.33</v>
      </c>
      <c r="J47" s="40"/>
    </row>
    <row r="48" spans="1:10" s="88" customFormat="1" ht="12" thickBot="1" x14ac:dyDescent="0.3">
      <c r="A48" s="150" t="s">
        <v>387</v>
      </c>
      <c r="B48" s="150"/>
      <c r="C48" s="86">
        <f>+C49+C50+C51</f>
        <v>23640715.960000001</v>
      </c>
      <c r="D48" s="86">
        <f t="shared" ref="D48:I48" si="11">+D49+D50+D51</f>
        <v>24079592.060000002</v>
      </c>
      <c r="E48" s="86">
        <f t="shared" si="11"/>
        <v>26727362.149999999</v>
      </c>
      <c r="F48" s="86">
        <f t="shared" si="11"/>
        <v>25599962.539999999</v>
      </c>
      <c r="G48" s="86">
        <f t="shared" si="11"/>
        <v>25211753.109999999</v>
      </c>
      <c r="H48" s="86">
        <f t="shared" si="11"/>
        <v>40781983.75</v>
      </c>
      <c r="I48" s="86">
        <f t="shared" si="11"/>
        <v>20663373.829999998</v>
      </c>
      <c r="J48" s="87"/>
    </row>
    <row r="49" spans="1:10" s="88" customFormat="1" ht="12" thickBot="1" x14ac:dyDescent="0.3">
      <c r="A49" s="33">
        <v>24</v>
      </c>
      <c r="B49" s="34" t="s">
        <v>388</v>
      </c>
      <c r="C49" s="35">
        <v>0</v>
      </c>
      <c r="D49" s="35">
        <v>1273562.72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/>
    </row>
    <row r="50" spans="1:10" s="88" customFormat="1" ht="12" thickBot="1" x14ac:dyDescent="0.3">
      <c r="A50" s="33">
        <v>27</v>
      </c>
      <c r="B50" s="34" t="s">
        <v>389</v>
      </c>
      <c r="C50" s="35">
        <v>0</v>
      </c>
      <c r="D50" s="35">
        <v>0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/>
    </row>
    <row r="51" spans="1:10" s="88" customFormat="1" ht="12" thickBot="1" x14ac:dyDescent="0.3">
      <c r="A51" s="33">
        <v>28</v>
      </c>
      <c r="B51" s="34" t="s">
        <v>390</v>
      </c>
      <c r="C51" s="35">
        <v>23640715.960000001</v>
      </c>
      <c r="D51" s="35">
        <v>22806029.340000004</v>
      </c>
      <c r="E51" s="35">
        <v>26727362.149999999</v>
      </c>
      <c r="F51" s="35">
        <v>25599962.539999999</v>
      </c>
      <c r="G51" s="35">
        <v>25211753.109999999</v>
      </c>
      <c r="H51" s="35">
        <v>40781983.75</v>
      </c>
      <c r="I51" s="35">
        <v>20663373.829999998</v>
      </c>
      <c r="J51" s="35"/>
    </row>
    <row r="52" spans="1:10" s="88" customFormat="1" ht="12" thickBot="1" x14ac:dyDescent="0.3">
      <c r="A52" s="150" t="s">
        <v>391</v>
      </c>
      <c r="B52" s="150"/>
      <c r="C52" s="86">
        <f>+C53+C62+C63+C64+C65+C66</f>
        <v>25704926.959999997</v>
      </c>
      <c r="D52" s="86">
        <f t="shared" ref="D52:I52" si="12">+D53+D62+D63+D64+D65+D66</f>
        <v>24311784.739999998</v>
      </c>
      <c r="E52" s="86">
        <f t="shared" si="12"/>
        <v>31996084.169999998</v>
      </c>
      <c r="F52" s="86">
        <f t="shared" si="12"/>
        <v>30809369.199999999</v>
      </c>
      <c r="G52" s="86">
        <f t="shared" si="12"/>
        <v>36661343.079999998</v>
      </c>
      <c r="H52" s="86">
        <f t="shared" si="12"/>
        <v>54320993.43</v>
      </c>
      <c r="I52" s="86">
        <f t="shared" si="12"/>
        <v>30085895.399999999</v>
      </c>
      <c r="J52" s="86"/>
    </row>
    <row r="53" spans="1:10" s="88" customFormat="1" ht="12" thickBot="1" x14ac:dyDescent="0.3">
      <c r="A53" s="33">
        <v>71</v>
      </c>
      <c r="B53" s="34" t="s">
        <v>392</v>
      </c>
      <c r="C53" s="38">
        <f>SUM(C54:C61)</f>
        <v>3818018.2800000003</v>
      </c>
      <c r="D53" s="38">
        <f t="shared" ref="D53:H53" si="13">SUM(D54:D61)</f>
        <v>3255181</v>
      </c>
      <c r="E53" s="38">
        <f t="shared" si="13"/>
        <v>3631504.32</v>
      </c>
      <c r="F53" s="38">
        <f t="shared" si="13"/>
        <v>3920660.02</v>
      </c>
      <c r="G53" s="38">
        <f t="shared" si="13"/>
        <v>4176407.57</v>
      </c>
      <c r="H53" s="38">
        <f t="shared" si="13"/>
        <v>5076716.47</v>
      </c>
      <c r="I53" s="38">
        <f t="shared" ref="I53" si="14">SUM(I54:I61)</f>
        <v>5076716.47</v>
      </c>
      <c r="J53" s="38"/>
    </row>
    <row r="54" spans="1:10" s="88" customFormat="1" ht="12" thickBot="1" x14ac:dyDescent="0.3">
      <c r="A54" s="36">
        <v>7101</v>
      </c>
      <c r="B54" s="37" t="s">
        <v>373</v>
      </c>
      <c r="C54" s="38">
        <f>483661.92+1569724.14</f>
        <v>2053386.0599999998</v>
      </c>
      <c r="D54" s="38">
        <f>480107.92+1561788.2</f>
        <v>2041896.1199999999</v>
      </c>
      <c r="E54" s="38">
        <f>502614.96+1613600.52</f>
        <v>2116215.48</v>
      </c>
      <c r="F54" s="38">
        <f>516394.92+1745682.13</f>
        <v>2262077.0499999998</v>
      </c>
      <c r="G54" s="38">
        <f>464316+1727258.56</f>
        <v>2191574.56</v>
      </c>
      <c r="H54" s="38">
        <f>498468.55+1755613.08</f>
        <v>2254081.63</v>
      </c>
      <c r="I54" s="38">
        <f>498468.55+1755613.08</f>
        <v>2254081.63</v>
      </c>
      <c r="J54" s="38"/>
    </row>
    <row r="55" spans="1:10" s="88" customFormat="1" ht="12" thickBot="1" x14ac:dyDescent="0.3">
      <c r="A55" s="36">
        <v>7102</v>
      </c>
      <c r="B55" s="37" t="s">
        <v>374</v>
      </c>
      <c r="C55" s="38">
        <f>206697.29+98660.92</f>
        <v>305358.21000000002</v>
      </c>
      <c r="D55" s="38">
        <f>187050.97+97956.93</f>
        <v>285007.90000000002</v>
      </c>
      <c r="E55" s="38">
        <f>206150.69+103922.11</f>
        <v>310072.8</v>
      </c>
      <c r="F55" s="38">
        <f>228891.25+114025.49</f>
        <v>342916.74</v>
      </c>
      <c r="G55" s="38">
        <f>240849.93+124954.54</f>
        <v>365804.47</v>
      </c>
      <c r="H55" s="38">
        <f>249319.67+136089.57</f>
        <v>385409.24</v>
      </c>
      <c r="I55" s="38">
        <f>249319.67+136089.57</f>
        <v>385409.24</v>
      </c>
      <c r="J55" s="38"/>
    </row>
    <row r="56" spans="1:10" s="88" customFormat="1" ht="12" thickBot="1" x14ac:dyDescent="0.3">
      <c r="A56" s="36">
        <v>7103</v>
      </c>
      <c r="B56" s="37" t="s">
        <v>375</v>
      </c>
      <c r="C56" s="38">
        <f>24792+198336</f>
        <v>223128</v>
      </c>
      <c r="D56" s="38">
        <f>24665+197320</f>
        <v>221985</v>
      </c>
      <c r="E56" s="38">
        <f>25362.5+202900</f>
        <v>228262.5</v>
      </c>
      <c r="F56" s="38">
        <f>26445.5+211564</f>
        <v>238009.5</v>
      </c>
      <c r="G56" s="38">
        <f>26740.5+213924</f>
        <v>240664.5</v>
      </c>
      <c r="H56" s="38">
        <f>30855+246840</f>
        <v>277695</v>
      </c>
      <c r="I56" s="38">
        <f>30855+246840</f>
        <v>277695</v>
      </c>
      <c r="J56" s="38"/>
    </row>
    <row r="57" spans="1:10" s="88" customFormat="1" ht="12" thickBot="1" x14ac:dyDescent="0.3">
      <c r="A57" s="36">
        <v>7104</v>
      </c>
      <c r="B57" s="37" t="s">
        <v>376</v>
      </c>
      <c r="C57" s="38">
        <f>9274.75+14670.37</f>
        <v>23945.120000000003</v>
      </c>
      <c r="D57" s="38">
        <f>9258.49+18348.32</f>
        <v>27606.809999999998</v>
      </c>
      <c r="E57" s="38">
        <f>10811.64+22366.63</f>
        <v>33178.270000000004</v>
      </c>
      <c r="F57" s="38">
        <f>11186.43+27864.59</f>
        <v>39051.020000000004</v>
      </c>
      <c r="G57" s="38">
        <f>11282.76+31746.47</f>
        <v>43029.23</v>
      </c>
      <c r="H57" s="38">
        <f>11173.84+38498.22</f>
        <v>49672.06</v>
      </c>
      <c r="I57" s="38">
        <f>11173.84+38498.22</f>
        <v>49672.06</v>
      </c>
      <c r="J57" s="38"/>
    </row>
    <row r="58" spans="1:10" s="88" customFormat="1" ht="12" thickBot="1" x14ac:dyDescent="0.3">
      <c r="A58" s="36">
        <v>7105</v>
      </c>
      <c r="B58" s="37" t="s">
        <v>377</v>
      </c>
      <c r="C58" s="38">
        <f>427656.68+894.11+19526</f>
        <v>448076.79</v>
      </c>
      <c r="D58" s="38">
        <f>170384.84+53055.25</f>
        <v>223440.09</v>
      </c>
      <c r="E58" s="38">
        <f>318271.48+523.87+56454.7</f>
        <v>375250.05</v>
      </c>
      <c r="F58" s="38">
        <f>484566.86+4581.22+3105.65</f>
        <v>492253.73</v>
      </c>
      <c r="G58" s="38">
        <f>701916.26+120.48+3052.71</f>
        <v>705089.45</v>
      </c>
      <c r="H58" s="38">
        <f>3580+1305462.36+3214.45</f>
        <v>1312256.81</v>
      </c>
      <c r="I58" s="38">
        <f>3580+1305462.36+3214.45</f>
        <v>1312256.81</v>
      </c>
      <c r="J58" s="38"/>
    </row>
    <row r="59" spans="1:10" s="88" customFormat="1" ht="12" thickBot="1" x14ac:dyDescent="0.3">
      <c r="A59" s="36">
        <v>7106</v>
      </c>
      <c r="B59" s="37" t="s">
        <v>378</v>
      </c>
      <c r="C59" s="38">
        <f>299532.01+181029.9</f>
        <v>480561.91000000003</v>
      </c>
      <c r="D59" s="38">
        <f>272096.42+175077.19</f>
        <v>447173.61</v>
      </c>
      <c r="E59" s="38">
        <f>298343.59+194785.01</f>
        <v>493128.60000000003</v>
      </c>
      <c r="F59" s="38">
        <f>329619.37+210443.21</f>
        <v>540062.57999999996</v>
      </c>
      <c r="G59" s="38">
        <f>346002.07+216388.87</f>
        <v>562390.93999999994</v>
      </c>
      <c r="H59" s="38">
        <f>355481.96+241460.56</f>
        <v>596942.52</v>
      </c>
      <c r="I59" s="38">
        <f>355481.96+241460.56</f>
        <v>596942.52</v>
      </c>
      <c r="J59" s="38"/>
    </row>
    <row r="60" spans="1:10" s="88" customFormat="1" ht="12" thickBot="1" x14ac:dyDescent="0.3">
      <c r="A60" s="36">
        <v>7107</v>
      </c>
      <c r="B60" s="37" t="s">
        <v>379</v>
      </c>
      <c r="C60" s="38">
        <f>247746.67+35815.52</f>
        <v>283562.19</v>
      </c>
      <c r="D60" s="38">
        <v>8071.47</v>
      </c>
      <c r="E60" s="38">
        <f>57015.72+12725.17+1845.66+3810.07</f>
        <v>75396.62000000001</v>
      </c>
      <c r="F60" s="38">
        <f>4971.34+1318.06</f>
        <v>6289.4</v>
      </c>
      <c r="G60" s="38">
        <f>55348.56+12505.86</f>
        <v>67854.42</v>
      </c>
      <c r="H60" s="38">
        <f>162521.24+38137.97</f>
        <v>200659.21</v>
      </c>
      <c r="I60" s="38">
        <f>162521.24+38137.97</f>
        <v>200659.21</v>
      </c>
      <c r="J60" s="38"/>
    </row>
    <row r="61" spans="1:10" s="88" customFormat="1" ht="12" thickBot="1" x14ac:dyDescent="0.3">
      <c r="A61" s="36">
        <v>7199</v>
      </c>
      <c r="B61" s="37" t="s">
        <v>380</v>
      </c>
      <c r="C61" s="38">
        <v>0</v>
      </c>
      <c r="D61" s="38">
        <v>0</v>
      </c>
      <c r="E61" s="38">
        <v>0</v>
      </c>
      <c r="F61" s="38">
        <v>0</v>
      </c>
      <c r="G61" s="38">
        <v>0</v>
      </c>
      <c r="H61" s="38">
        <v>0</v>
      </c>
      <c r="I61" s="38">
        <v>0</v>
      </c>
      <c r="J61" s="38"/>
    </row>
    <row r="62" spans="1:10" s="88" customFormat="1" ht="12" thickBot="1" x14ac:dyDescent="0.3">
      <c r="A62" s="33">
        <v>73</v>
      </c>
      <c r="B62" s="34" t="s">
        <v>393</v>
      </c>
      <c r="C62" s="35">
        <v>3292963.01</v>
      </c>
      <c r="D62" s="35">
        <v>4465495.459999999</v>
      </c>
      <c r="E62" s="35">
        <v>2819690.75</v>
      </c>
      <c r="F62" s="35">
        <v>1927661.75</v>
      </c>
      <c r="G62" s="35">
        <v>3323524.35</v>
      </c>
      <c r="H62" s="35">
        <v>5481851.1100000003</v>
      </c>
      <c r="I62" s="35">
        <v>5481851.1100000003</v>
      </c>
      <c r="J62" s="35"/>
    </row>
    <row r="63" spans="1:10" s="88" customFormat="1" ht="12" thickBot="1" x14ac:dyDescent="0.3">
      <c r="A63" s="33">
        <v>75</v>
      </c>
      <c r="B63" s="34" t="s">
        <v>394</v>
      </c>
      <c r="C63" s="35">
        <v>1900958.21</v>
      </c>
      <c r="D63" s="35">
        <v>3055364.33</v>
      </c>
      <c r="E63" s="35">
        <v>15053766</v>
      </c>
      <c r="F63" s="35">
        <v>15805137.129999997</v>
      </c>
      <c r="G63" s="35">
        <v>19199809.699999999</v>
      </c>
      <c r="H63" s="35">
        <v>35080411.009999998</v>
      </c>
      <c r="I63" s="35">
        <f>14961801.09-4116488.11</f>
        <v>10845312.98</v>
      </c>
      <c r="J63" s="35"/>
    </row>
    <row r="64" spans="1:10" s="88" customFormat="1" ht="12" thickBot="1" x14ac:dyDescent="0.3">
      <c r="A64" s="33">
        <v>77</v>
      </c>
      <c r="B64" s="41" t="s">
        <v>395</v>
      </c>
      <c r="C64" s="35">
        <v>211902.88</v>
      </c>
      <c r="D64" s="35">
        <v>37637.910000000003</v>
      </c>
      <c r="E64" s="35">
        <v>2663.36</v>
      </c>
      <c r="F64" s="35">
        <v>2580.02</v>
      </c>
      <c r="G64" s="35">
        <v>2706.27</v>
      </c>
      <c r="H64" s="35">
        <v>33532.559999999998</v>
      </c>
      <c r="I64" s="35">
        <v>33532.559999999998</v>
      </c>
      <c r="J64" s="35"/>
    </row>
    <row r="65" spans="1:10" s="88" customFormat="1" ht="12" thickBot="1" x14ac:dyDescent="0.3">
      <c r="A65" s="33">
        <v>78</v>
      </c>
      <c r="B65" s="34" t="s">
        <v>396</v>
      </c>
      <c r="C65" s="35">
        <v>15747665.199999999</v>
      </c>
      <c r="D65" s="35">
        <v>11481732.890000001</v>
      </c>
      <c r="E65" s="35">
        <v>10132200.15</v>
      </c>
      <c r="F65" s="35">
        <v>8969291.9000000004</v>
      </c>
      <c r="G65" s="35">
        <v>9638635.5</v>
      </c>
      <c r="H65" s="35">
        <v>7446170.1299999999</v>
      </c>
      <c r="I65" s="35">
        <v>7446170.1299999999</v>
      </c>
      <c r="J65" s="35"/>
    </row>
    <row r="66" spans="1:10" s="88" customFormat="1" ht="12" thickBot="1" x14ac:dyDescent="0.3">
      <c r="A66" s="33">
        <v>84</v>
      </c>
      <c r="B66" s="34" t="s">
        <v>397</v>
      </c>
      <c r="C66" s="35">
        <v>733419.38</v>
      </c>
      <c r="D66" s="35">
        <v>2016373.1500000001</v>
      </c>
      <c r="E66" s="35">
        <v>356259.59</v>
      </c>
      <c r="F66" s="35">
        <v>184038.38</v>
      </c>
      <c r="G66" s="35">
        <v>320259.69</v>
      </c>
      <c r="H66" s="35">
        <v>1202312.1499999999</v>
      </c>
      <c r="I66" s="35">
        <v>1202312.1499999999</v>
      </c>
      <c r="J66" s="35"/>
    </row>
    <row r="67" spans="1:10" s="88" customFormat="1" ht="12" thickBot="1" x14ac:dyDescent="0.3">
      <c r="A67" s="154" t="s">
        <v>398</v>
      </c>
      <c r="B67" s="154"/>
      <c r="C67" s="42">
        <f>+C48-C52</f>
        <v>-2064210.9999999963</v>
      </c>
      <c r="D67" s="42">
        <f t="shared" ref="D67:I67" si="15">+D48-D52</f>
        <v>-232192.67999999598</v>
      </c>
      <c r="E67" s="42">
        <f t="shared" si="15"/>
        <v>-5268722.0199999996</v>
      </c>
      <c r="F67" s="42">
        <f t="shared" si="15"/>
        <v>-5209406.66</v>
      </c>
      <c r="G67" s="42">
        <f t="shared" si="15"/>
        <v>-11449589.969999999</v>
      </c>
      <c r="H67" s="42">
        <f t="shared" si="15"/>
        <v>-13539009.68</v>
      </c>
      <c r="I67" s="42">
        <f t="shared" si="15"/>
        <v>-9422521.5700000003</v>
      </c>
      <c r="J67" s="43"/>
    </row>
    <row r="68" spans="1:10" s="88" customFormat="1" ht="12" thickBot="1" x14ac:dyDescent="0.3">
      <c r="A68" s="149" t="s">
        <v>399</v>
      </c>
      <c r="B68" s="149"/>
      <c r="C68" s="89">
        <f>+C47+C67</f>
        <v>3476301.8700000057</v>
      </c>
      <c r="D68" s="89">
        <f t="shared" ref="D68:I68" si="16">+D47+D67</f>
        <v>1674984.8800000027</v>
      </c>
      <c r="E68" s="89">
        <f t="shared" si="16"/>
        <v>-1065270.5999999968</v>
      </c>
      <c r="F68" s="89">
        <f t="shared" si="16"/>
        <v>-2458261.5100000016</v>
      </c>
      <c r="G68" s="89">
        <f t="shared" si="16"/>
        <v>-7470114.9799999995</v>
      </c>
      <c r="H68" s="89">
        <f t="shared" si="16"/>
        <v>-9958985.3499999996</v>
      </c>
      <c r="I68" s="89">
        <f t="shared" si="16"/>
        <v>-5842497.2400000002</v>
      </c>
      <c r="J68" s="90"/>
    </row>
    <row r="69" spans="1:10" s="88" customFormat="1" ht="12" thickBot="1" x14ac:dyDescent="0.3">
      <c r="A69" s="150" t="s">
        <v>400</v>
      </c>
      <c r="B69" s="150"/>
      <c r="C69" s="86">
        <f>SUM(C70:C72)</f>
        <v>2469983.7799999998</v>
      </c>
      <c r="D69" s="86">
        <f t="shared" ref="D69:I69" si="17">SUM(D70:D72)</f>
        <v>3688836.2199999997</v>
      </c>
      <c r="E69" s="86">
        <f t="shared" si="17"/>
        <v>6417647.4800000004</v>
      </c>
      <c r="F69" s="86">
        <f t="shared" si="17"/>
        <v>5324262.05</v>
      </c>
      <c r="G69" s="86">
        <f t="shared" si="17"/>
        <v>8415454.5500000007</v>
      </c>
      <c r="H69" s="86">
        <f t="shared" si="17"/>
        <v>7505351.2300000004</v>
      </c>
      <c r="I69" s="86">
        <f t="shared" si="17"/>
        <v>3388863.12</v>
      </c>
      <c r="J69" s="87"/>
    </row>
    <row r="70" spans="1:10" s="88" customFormat="1" ht="12" thickBot="1" x14ac:dyDescent="0.3">
      <c r="A70" s="33">
        <v>36</v>
      </c>
      <c r="B70" s="34" t="s">
        <v>401</v>
      </c>
      <c r="C70" s="35">
        <v>1667386.68</v>
      </c>
      <c r="D70" s="35">
        <v>2201595.2999999998</v>
      </c>
      <c r="E70" s="35">
        <v>2568506.61</v>
      </c>
      <c r="F70" s="35">
        <v>810000</v>
      </c>
      <c r="G70" s="35">
        <v>2234101.7400000002</v>
      </c>
      <c r="H70" s="35">
        <v>4116488.11</v>
      </c>
      <c r="I70" s="35">
        <v>0</v>
      </c>
      <c r="J70" s="35"/>
    </row>
    <row r="71" spans="1:10" s="88" customFormat="1" ht="12" thickBot="1" x14ac:dyDescent="0.3">
      <c r="A71" s="33">
        <v>37</v>
      </c>
      <c r="B71" s="34" t="s">
        <v>402</v>
      </c>
      <c r="C71" s="35">
        <v>0</v>
      </c>
      <c r="D71" s="35">
        <v>0</v>
      </c>
      <c r="E71" s="35">
        <v>0</v>
      </c>
      <c r="F71" s="35">
        <v>0</v>
      </c>
      <c r="G71" s="35"/>
      <c r="H71" s="35">
        <v>0</v>
      </c>
      <c r="I71" s="35">
        <v>0</v>
      </c>
      <c r="J71" s="35"/>
    </row>
    <row r="72" spans="1:10" s="88" customFormat="1" ht="12" thickBot="1" x14ac:dyDescent="0.3">
      <c r="A72" s="33">
        <v>38</v>
      </c>
      <c r="B72" s="34" t="s">
        <v>403</v>
      </c>
      <c r="C72" s="35">
        <v>802597.1</v>
      </c>
      <c r="D72" s="35">
        <v>1487240.92</v>
      </c>
      <c r="E72" s="35">
        <v>3849140.87</v>
      </c>
      <c r="F72" s="35">
        <v>4514262.05</v>
      </c>
      <c r="G72" s="35">
        <v>6181352.8099999996</v>
      </c>
      <c r="H72" s="35">
        <v>3388863.12</v>
      </c>
      <c r="I72" s="35">
        <v>3388863.12</v>
      </c>
      <c r="J72" s="35"/>
    </row>
    <row r="73" spans="1:10" s="88" customFormat="1" ht="12" thickBot="1" x14ac:dyDescent="0.3">
      <c r="A73" s="150" t="s">
        <v>404</v>
      </c>
      <c r="B73" s="150"/>
      <c r="C73" s="86">
        <f>SUM(C74:C77)</f>
        <v>3425565.52</v>
      </c>
      <c r="D73" s="86">
        <f t="shared" ref="D73:I73" si="18">SUM(D74:D77)</f>
        <v>2117420.7399999998</v>
      </c>
      <c r="E73" s="86">
        <f t="shared" si="18"/>
        <v>1884863.05</v>
      </c>
      <c r="F73" s="86">
        <f t="shared" si="18"/>
        <v>2274156.8199999998</v>
      </c>
      <c r="G73" s="86">
        <f t="shared" si="18"/>
        <v>1957718</v>
      </c>
      <c r="H73" s="86">
        <f t="shared" si="18"/>
        <v>1293184.45</v>
      </c>
      <c r="I73" s="86">
        <f t="shared" si="18"/>
        <v>1293184.45</v>
      </c>
      <c r="J73" s="87"/>
    </row>
    <row r="74" spans="1:10" s="88" customFormat="1" ht="12" thickBot="1" x14ac:dyDescent="0.3">
      <c r="A74" s="33">
        <v>87</v>
      </c>
      <c r="B74" s="34" t="s">
        <v>405</v>
      </c>
      <c r="C74" s="35">
        <v>0</v>
      </c>
      <c r="D74" s="35">
        <v>0</v>
      </c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/>
    </row>
    <row r="75" spans="1:10" s="88" customFormat="1" ht="12" thickBot="1" x14ac:dyDescent="0.3">
      <c r="A75" s="33">
        <v>96</v>
      </c>
      <c r="B75" s="34" t="s">
        <v>406</v>
      </c>
      <c r="C75" s="35">
        <v>3040751.31</v>
      </c>
      <c r="D75" s="35">
        <v>2071059.22</v>
      </c>
      <c r="E75" s="35">
        <v>1872159.6400000001</v>
      </c>
      <c r="F75" s="35">
        <v>2200056.46</v>
      </c>
      <c r="G75" s="35">
        <v>1862139.49</v>
      </c>
      <c r="H75" s="35">
        <v>1120000</v>
      </c>
      <c r="I75" s="35">
        <v>1120000</v>
      </c>
      <c r="J75" s="35"/>
    </row>
    <row r="76" spans="1:10" s="88" customFormat="1" ht="12" thickBot="1" x14ac:dyDescent="0.3">
      <c r="A76" s="33">
        <v>97</v>
      </c>
      <c r="B76" s="34" t="s">
        <v>407</v>
      </c>
      <c r="C76" s="35">
        <v>0</v>
      </c>
      <c r="D76" s="35">
        <v>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/>
    </row>
    <row r="77" spans="1:10" s="88" customFormat="1" ht="12" thickBot="1" x14ac:dyDescent="0.3">
      <c r="A77" s="33">
        <v>99</v>
      </c>
      <c r="B77" s="34" t="s">
        <v>408</v>
      </c>
      <c r="C77" s="35">
        <v>384814.21</v>
      </c>
      <c r="D77" s="35">
        <v>46361.520000000004</v>
      </c>
      <c r="E77" s="35">
        <v>12703.41</v>
      </c>
      <c r="F77" s="35">
        <v>74100.36</v>
      </c>
      <c r="G77" s="35">
        <v>95578.51</v>
      </c>
      <c r="H77" s="35">
        <v>173184.45</v>
      </c>
      <c r="I77" s="35">
        <v>173184.45</v>
      </c>
      <c r="J77" s="35"/>
    </row>
    <row r="78" spans="1:10" s="88" customFormat="1" ht="12" thickBot="1" x14ac:dyDescent="0.3">
      <c r="A78" s="151" t="s">
        <v>409</v>
      </c>
      <c r="B78" s="151"/>
      <c r="C78" s="42">
        <f>+C69-C73</f>
        <v>-955581.74000000022</v>
      </c>
      <c r="D78" s="42">
        <f t="shared" ref="D78:I78" si="19">+D69-D73</f>
        <v>1571415.48</v>
      </c>
      <c r="E78" s="42">
        <f t="shared" si="19"/>
        <v>4532784.4300000006</v>
      </c>
      <c r="F78" s="42">
        <f t="shared" si="19"/>
        <v>3050105.23</v>
      </c>
      <c r="G78" s="42">
        <f t="shared" si="19"/>
        <v>6457736.5500000007</v>
      </c>
      <c r="H78" s="42">
        <f t="shared" si="19"/>
        <v>6212166.7800000003</v>
      </c>
      <c r="I78" s="42">
        <f t="shared" si="19"/>
        <v>2095678.6700000002</v>
      </c>
      <c r="J78" s="94"/>
    </row>
    <row r="79" spans="1:10" s="88" customFormat="1" ht="12" thickBot="1" x14ac:dyDescent="0.3">
      <c r="A79" s="152" t="s">
        <v>410</v>
      </c>
      <c r="B79" s="152"/>
      <c r="C79" s="91">
        <f>+C47+C67+C78</f>
        <v>2520720.1300000055</v>
      </c>
      <c r="D79" s="91">
        <f t="shared" ref="D79:I79" si="20">+D47+D67+D78</f>
        <v>3246400.3600000027</v>
      </c>
      <c r="E79" s="91">
        <f t="shared" si="20"/>
        <v>3467513.8300000038</v>
      </c>
      <c r="F79" s="91">
        <f t="shared" si="20"/>
        <v>591843.71999999834</v>
      </c>
      <c r="G79" s="91">
        <f t="shared" si="20"/>
        <v>-1012378.4299999988</v>
      </c>
      <c r="H79" s="91">
        <f t="shared" si="20"/>
        <v>-3746818.5699999994</v>
      </c>
      <c r="I79" s="91">
        <f t="shared" si="20"/>
        <v>-3746818.5700000003</v>
      </c>
      <c r="J79" s="92"/>
    </row>
    <row r="80" spans="1:10" s="10" customFormat="1" ht="13.5" thickBot="1" x14ac:dyDescent="0.3">
      <c r="A80" s="44"/>
      <c r="B80" s="44"/>
      <c r="C80" s="93"/>
      <c r="D80" s="45"/>
      <c r="E80" s="45"/>
      <c r="F80" s="45"/>
      <c r="G80" s="46"/>
      <c r="H80" s="46"/>
      <c r="I80" s="46"/>
      <c r="J80" s="47"/>
    </row>
    <row r="81" spans="1:10" s="10" customFormat="1" ht="13.5" thickBot="1" x14ac:dyDescent="0.3">
      <c r="A81" s="143" t="s">
        <v>411</v>
      </c>
      <c r="B81" s="144"/>
      <c r="C81" s="61">
        <v>2014</v>
      </c>
      <c r="D81" s="61">
        <v>2015</v>
      </c>
      <c r="E81" s="61">
        <v>2016</v>
      </c>
      <c r="F81" s="61">
        <v>2017</v>
      </c>
      <c r="G81" s="61">
        <v>2018</v>
      </c>
      <c r="H81" s="61">
        <v>2019</v>
      </c>
      <c r="I81" s="61">
        <v>2020</v>
      </c>
      <c r="J81" s="61"/>
    </row>
    <row r="82" spans="1:10" s="10" customFormat="1" ht="13.5" thickBot="1" x14ac:dyDescent="0.3">
      <c r="A82" s="145" t="s">
        <v>412</v>
      </c>
      <c r="B82" s="146"/>
      <c r="C82" s="48">
        <v>0.59609999999999996</v>
      </c>
      <c r="D82" s="48">
        <v>0.64539999999999997</v>
      </c>
      <c r="E82" s="48">
        <v>0.54935346935934737</v>
      </c>
      <c r="F82" s="48">
        <v>0.54759172441519544</v>
      </c>
      <c r="G82" s="48">
        <v>0.4</v>
      </c>
      <c r="H82" s="48">
        <v>0.27</v>
      </c>
      <c r="I82" s="48"/>
      <c r="J82" s="49"/>
    </row>
    <row r="83" spans="1:10" s="10" customFormat="1" ht="13.5" thickBot="1" x14ac:dyDescent="0.3">
      <c r="A83" s="145" t="s">
        <v>413</v>
      </c>
      <c r="B83" s="146"/>
      <c r="C83" s="48">
        <v>0.1089</v>
      </c>
      <c r="D83" s="48">
        <v>8.3621689008084824E-2</v>
      </c>
      <c r="E83" s="48">
        <v>6.8482398351787696E-2</v>
      </c>
      <c r="F83" s="48">
        <v>8.250212092421351E-2</v>
      </c>
      <c r="G83" s="48">
        <v>7.0000000000000007E-2</v>
      </c>
      <c r="H83" s="48">
        <v>0.04</v>
      </c>
      <c r="I83" s="48"/>
      <c r="J83" s="50"/>
    </row>
    <row r="84" spans="1:10" x14ac:dyDescent="0.25">
      <c r="A84" s="139"/>
      <c r="B84" s="139"/>
      <c r="C84" s="139"/>
      <c r="D84" s="139"/>
      <c r="E84" s="139"/>
      <c r="F84" s="139"/>
      <c r="G84" s="139"/>
      <c r="H84" s="139"/>
      <c r="I84" s="139"/>
      <c r="J84" s="139"/>
    </row>
    <row r="85" spans="1:10" x14ac:dyDescent="0.25">
      <c r="A85" s="153" t="s">
        <v>418</v>
      </c>
      <c r="B85" s="153"/>
      <c r="C85" s="153"/>
      <c r="D85" s="153"/>
      <c r="E85" s="153"/>
      <c r="F85" s="153"/>
      <c r="G85" s="153"/>
      <c r="H85" s="153"/>
      <c r="I85" s="153"/>
      <c r="J85" s="153"/>
    </row>
    <row r="86" spans="1:10" x14ac:dyDescent="0.25">
      <c r="A86" s="140"/>
      <c r="B86" s="140"/>
      <c r="C86" s="140"/>
      <c r="D86" s="140"/>
      <c r="E86" s="140"/>
      <c r="F86" s="140"/>
      <c r="G86" s="140"/>
      <c r="H86" s="140"/>
      <c r="I86" s="140"/>
      <c r="J86" s="140"/>
    </row>
    <row r="87" spans="1:10" x14ac:dyDescent="0.25">
      <c r="A87" s="140"/>
      <c r="B87" s="140"/>
      <c r="C87" s="140"/>
      <c r="D87" s="140"/>
      <c r="E87" s="140"/>
      <c r="F87" s="140"/>
      <c r="G87" s="140"/>
      <c r="H87" s="140"/>
      <c r="I87" s="140"/>
      <c r="J87" s="140"/>
    </row>
    <row r="88" spans="1:10" x14ac:dyDescent="0.25">
      <c r="A88" s="140"/>
      <c r="B88" s="140"/>
      <c r="C88" s="140"/>
      <c r="D88" s="140"/>
      <c r="E88" s="140"/>
      <c r="F88" s="140"/>
      <c r="G88" s="140"/>
      <c r="H88" s="140"/>
      <c r="I88" s="140"/>
      <c r="J88" s="140"/>
    </row>
    <row r="89" spans="1:10" x14ac:dyDescent="0.25">
      <c r="A89" s="141"/>
      <c r="B89" s="141"/>
      <c r="C89" s="141"/>
      <c r="D89" s="141"/>
      <c r="E89" s="141"/>
      <c r="F89" s="141"/>
      <c r="G89" s="141"/>
      <c r="H89" s="141"/>
      <c r="I89" s="141"/>
      <c r="J89" s="141"/>
    </row>
    <row r="90" spans="1:10" x14ac:dyDescent="0.25">
      <c r="A90" s="147"/>
      <c r="B90" s="147"/>
      <c r="C90" s="147"/>
      <c r="D90" s="147"/>
      <c r="E90" s="147"/>
      <c r="F90" s="147"/>
      <c r="G90" s="147"/>
      <c r="H90" s="147"/>
      <c r="I90" s="147"/>
      <c r="J90" s="147"/>
    </row>
    <row r="91" spans="1:10" s="51" customFormat="1" ht="12.75" x14ac:dyDescent="0.25">
      <c r="A91" s="52"/>
      <c r="B91" s="116" t="s">
        <v>416</v>
      </c>
      <c r="C91" s="116"/>
      <c r="D91" s="53"/>
      <c r="E91" s="148" t="s">
        <v>417</v>
      </c>
      <c r="F91" s="148"/>
      <c r="G91" s="148"/>
      <c r="H91" s="148"/>
      <c r="I91" s="148"/>
      <c r="J91" s="54"/>
    </row>
    <row r="92" spans="1:10" s="51" customFormat="1" ht="12.75" x14ac:dyDescent="0.25">
      <c r="A92" s="54"/>
      <c r="B92" s="116" t="s">
        <v>414</v>
      </c>
      <c r="C92" s="116"/>
      <c r="D92" s="55"/>
      <c r="E92" s="116" t="s">
        <v>10</v>
      </c>
      <c r="F92" s="116"/>
      <c r="G92" s="116"/>
      <c r="H92" s="116"/>
      <c r="I92" s="116"/>
      <c r="J92" s="54"/>
    </row>
    <row r="93" spans="1:10" s="51" customFormat="1" ht="12.75" x14ac:dyDescent="0.25">
      <c r="A93" s="54"/>
      <c r="B93" s="142" t="s">
        <v>415</v>
      </c>
      <c r="C93" s="142"/>
      <c r="D93" s="56"/>
      <c r="E93" s="108" t="s">
        <v>420</v>
      </c>
      <c r="F93" s="108"/>
      <c r="G93" s="108"/>
      <c r="H93" s="108"/>
      <c r="I93" s="108"/>
      <c r="J93" s="54"/>
    </row>
    <row r="94" spans="1:10" s="51" customFormat="1" ht="12.75" x14ac:dyDescent="0.25">
      <c r="A94" s="134"/>
      <c r="B94" s="134"/>
      <c r="C94" s="134"/>
      <c r="D94" s="134"/>
      <c r="E94" s="134"/>
      <c r="F94" s="134"/>
      <c r="G94" s="134"/>
      <c r="H94" s="134"/>
      <c r="I94" s="134"/>
      <c r="J94" s="134"/>
    </row>
    <row r="95" spans="1:10" s="51" customFormat="1" ht="12.75" x14ac:dyDescent="0.25">
      <c r="A95" s="135" t="s">
        <v>421</v>
      </c>
      <c r="B95" s="135"/>
      <c r="C95" s="135"/>
      <c r="D95" s="135"/>
      <c r="E95" s="135"/>
      <c r="F95" s="135"/>
      <c r="G95" s="135"/>
      <c r="H95" s="135"/>
      <c r="I95" s="135"/>
      <c r="J95" s="135"/>
    </row>
  </sheetData>
  <mergeCells count="38">
    <mergeCell ref="A67:B67"/>
    <mergeCell ref="A2:J2"/>
    <mergeCell ref="A3:J3"/>
    <mergeCell ref="A5:J5"/>
    <mergeCell ref="A6:J6"/>
    <mergeCell ref="A7:B7"/>
    <mergeCell ref="A4:J4"/>
    <mergeCell ref="A9:B9"/>
    <mergeCell ref="A32:B32"/>
    <mergeCell ref="A47:B47"/>
    <mergeCell ref="A48:B48"/>
    <mergeCell ref="A52:B52"/>
    <mergeCell ref="C7:G7"/>
    <mergeCell ref="H7:I7"/>
    <mergeCell ref="B91:C91"/>
    <mergeCell ref="E91:I91"/>
    <mergeCell ref="A68:B68"/>
    <mergeCell ref="A69:B69"/>
    <mergeCell ref="A73:B73"/>
    <mergeCell ref="A78:B78"/>
    <mergeCell ref="A79:B79"/>
    <mergeCell ref="A85:J85"/>
    <mergeCell ref="E92:I92"/>
    <mergeCell ref="E93:I93"/>
    <mergeCell ref="A94:J94"/>
    <mergeCell ref="A95:J95"/>
    <mergeCell ref="A1:J1"/>
    <mergeCell ref="A84:J84"/>
    <mergeCell ref="A86:J86"/>
    <mergeCell ref="A87:J87"/>
    <mergeCell ref="A88:J88"/>
    <mergeCell ref="A89:J89"/>
    <mergeCell ref="B92:C92"/>
    <mergeCell ref="B93:C93"/>
    <mergeCell ref="A81:B81"/>
    <mergeCell ref="A82:B82"/>
    <mergeCell ref="A83:B83"/>
    <mergeCell ref="A90:J90"/>
  </mergeCells>
  <pageMargins left="0.7" right="0.7" top="0.75" bottom="0.75" header="0.3" footer="0.3"/>
  <pageSetup scale="7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FORMULARIO 1</vt:lpstr>
      <vt:lpstr>FORMULARIO 2</vt:lpstr>
      <vt:lpstr>FORMULARIO 3 </vt:lpstr>
      <vt:lpstr>FORMULARIO 4</vt:lpstr>
      <vt:lpstr>'FORMULARIO 3 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PC</dc:creator>
  <cp:lastModifiedBy>Usuario</cp:lastModifiedBy>
  <cp:lastPrinted>2019-07-31T14:26:13Z</cp:lastPrinted>
  <dcterms:created xsi:type="dcterms:W3CDTF">2018-09-28T14:11:23Z</dcterms:created>
  <dcterms:modified xsi:type="dcterms:W3CDTF">2019-07-31T14:30:54Z</dcterms:modified>
</cp:coreProperties>
</file>