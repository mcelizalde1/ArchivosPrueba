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Y:\MINISTERIO TRABAJO\"/>
    </mc:Choice>
  </mc:AlternateContent>
  <bookViews>
    <workbookView xWindow="0" yWindow="0" windowWidth="20400" windowHeight="7755" tabRatio="685" activeTab="2"/>
  </bookViews>
  <sheets>
    <sheet name="FORMULARIO 1" sheetId="21" r:id="rId1"/>
    <sheet name="FORMULARIO 2" sheetId="20" r:id="rId2"/>
    <sheet name="FORMULARIO 3" sheetId="28" r:id="rId3"/>
    <sheet name="FORMULARIO 4." sheetId="25" r:id="rId4"/>
  </sheets>
  <definedNames>
    <definedName name="_xlnm.Print_Area" localSheetId="0">'FORMULARIO 1'!$A$1:$I$47</definedName>
    <definedName name="_xlnm.Print_Area" localSheetId="1">'FORMULARIO 2'!$A$1:$I$46</definedName>
  </definedNames>
  <calcPr calcId="152511"/>
</workbook>
</file>

<file path=xl/calcChain.xml><?xml version="1.0" encoding="utf-8"?>
<calcChain xmlns="http://schemas.openxmlformats.org/spreadsheetml/2006/main">
  <c r="H14" i="25" l="1"/>
  <c r="H22" i="25"/>
  <c r="H26" i="25"/>
  <c r="D59" i="25" l="1"/>
  <c r="E59" i="25"/>
  <c r="F59" i="25"/>
  <c r="C59" i="25"/>
  <c r="C45" i="25" s="1"/>
  <c r="D49" i="25"/>
  <c r="D45" i="25" s="1"/>
  <c r="E49" i="25"/>
  <c r="E45" i="25" s="1"/>
  <c r="F49" i="25"/>
  <c r="F45" i="25" s="1"/>
  <c r="G49" i="25"/>
  <c r="G45" i="25" s="1"/>
  <c r="H49" i="25"/>
  <c r="H45" i="25" s="1"/>
  <c r="C49" i="25"/>
  <c r="G264" i="28"/>
  <c r="H264" i="28"/>
  <c r="I264" i="28"/>
  <c r="J264" i="28"/>
  <c r="K264" i="28"/>
  <c r="F264" i="28"/>
  <c r="K263" i="28" l="1"/>
  <c r="J263" i="28"/>
  <c r="I263" i="28"/>
  <c r="H263" i="28"/>
  <c r="G263" i="28"/>
  <c r="F263" i="28"/>
  <c r="C16" i="28"/>
  <c r="C17" i="28" s="1"/>
  <c r="C18" i="28" s="1"/>
  <c r="C19" i="28" s="1"/>
  <c r="C20" i="28" s="1"/>
  <c r="C21" i="28" s="1"/>
  <c r="C22" i="28" s="1"/>
  <c r="C23" i="28" s="1"/>
  <c r="C24" i="28" s="1"/>
  <c r="C25" i="28" s="1"/>
  <c r="C26" i="28" s="1"/>
  <c r="C27" i="28" s="1"/>
  <c r="C28" i="28" s="1"/>
  <c r="C29" i="28" s="1"/>
  <c r="C30" i="28" s="1"/>
  <c r="C31" i="28" s="1"/>
  <c r="C32" i="28" s="1"/>
  <c r="C33" i="28" s="1"/>
  <c r="C34" i="28" s="1"/>
  <c r="C35" i="28" s="1"/>
  <c r="C36" i="28" s="1"/>
  <c r="C37" i="28" s="1"/>
  <c r="C38" i="28" s="1"/>
  <c r="C39" i="28" s="1"/>
  <c r="C40" i="28" s="1"/>
  <c r="C41" i="28" s="1"/>
  <c r="C42" i="28" s="1"/>
  <c r="C43" i="28" s="1"/>
  <c r="C44" i="28" s="1"/>
  <c r="C45" i="28" s="1"/>
  <c r="C46" i="28" s="1"/>
  <c r="C47" i="28" s="1"/>
  <c r="C48" i="28" s="1"/>
  <c r="C49" i="28" s="1"/>
  <c r="C50" i="28" s="1"/>
  <c r="C51" i="28" s="1"/>
  <c r="C52" i="28" s="1"/>
  <c r="C53" i="28" s="1"/>
  <c r="C54" i="28" s="1"/>
  <c r="C55" i="28" s="1"/>
  <c r="C56" i="28" s="1"/>
  <c r="C57" i="28" s="1"/>
  <c r="C58" i="28" s="1"/>
  <c r="C59" i="28" s="1"/>
  <c r="C60" i="28" s="1"/>
  <c r="C61" i="28" s="1"/>
  <c r="C62" i="28" s="1"/>
  <c r="C63" i="28" s="1"/>
  <c r="C64" i="28" s="1"/>
  <c r="C65" i="28" s="1"/>
  <c r="C66" i="28" s="1"/>
  <c r="C67" i="28" s="1"/>
  <c r="C68" i="28" s="1"/>
  <c r="C69" i="28" s="1"/>
  <c r="C70" i="28" s="1"/>
  <c r="C71" i="28" s="1"/>
  <c r="C72" i="28" s="1"/>
  <c r="C73" i="28" s="1"/>
  <c r="C74" i="28" s="1"/>
  <c r="C75" i="28" s="1"/>
  <c r="C76" i="28" s="1"/>
  <c r="C77" i="28" s="1"/>
  <c r="C78" i="28" s="1"/>
  <c r="C79" i="28" s="1"/>
  <c r="C80" i="28" s="1"/>
  <c r="C81" i="28" s="1"/>
  <c r="C82" i="28" s="1"/>
  <c r="C83" i="28" s="1"/>
  <c r="C84" i="28" s="1"/>
  <c r="C85" i="28" s="1"/>
  <c r="C86" i="28" s="1"/>
  <c r="C87" i="28" s="1"/>
  <c r="C88" i="28" s="1"/>
  <c r="C89" i="28" s="1"/>
  <c r="C90" i="28" s="1"/>
  <c r="C91" i="28" s="1"/>
  <c r="C92" i="28" s="1"/>
  <c r="C93" i="28" s="1"/>
  <c r="C94" i="28" s="1"/>
  <c r="C95" i="28" s="1"/>
  <c r="C96" i="28" s="1"/>
  <c r="C97" i="28" s="1"/>
  <c r="C98" i="28" s="1"/>
  <c r="C99" i="28" s="1"/>
  <c r="C100" i="28" s="1"/>
  <c r="C101" i="28" s="1"/>
  <c r="C102" i="28" s="1"/>
  <c r="C103" i="28" s="1"/>
  <c r="C104" i="28" s="1"/>
  <c r="C105" i="28" s="1"/>
  <c r="C106" i="28" s="1"/>
  <c r="C107" i="28" s="1"/>
  <c r="C108" i="28" s="1"/>
  <c r="C109" i="28" s="1"/>
  <c r="C110" i="28" s="1"/>
  <c r="C111" i="28" s="1"/>
  <c r="C112" i="28" s="1"/>
  <c r="C113" i="28" s="1"/>
  <c r="C114" i="28" s="1"/>
  <c r="C115" i="28" s="1"/>
  <c r="C116" i="28" s="1"/>
  <c r="C117" i="28" s="1"/>
  <c r="C118" i="28" s="1"/>
  <c r="C119" i="28" s="1"/>
  <c r="C120" i="28" s="1"/>
  <c r="C121" i="28" s="1"/>
  <c r="C122" i="28" s="1"/>
  <c r="C123" i="28" s="1"/>
  <c r="C124" i="28" s="1"/>
  <c r="C125" i="28" s="1"/>
  <c r="C126" i="28" s="1"/>
  <c r="C127" i="28" s="1"/>
  <c r="C128" i="28" s="1"/>
  <c r="C129" i="28" s="1"/>
  <c r="C130" i="28" s="1"/>
  <c r="C131" i="28" s="1"/>
  <c r="C132" i="28" s="1"/>
  <c r="C133" i="28" s="1"/>
  <c r="C134" i="28" s="1"/>
  <c r="C135" i="28" s="1"/>
  <c r="C136" i="28" s="1"/>
  <c r="C137" i="28" s="1"/>
  <c r="C138" i="28" s="1"/>
  <c r="C139" i="28" s="1"/>
  <c r="C140" i="28" s="1"/>
  <c r="C141" i="28" s="1"/>
  <c r="C142" i="28" s="1"/>
  <c r="C143" i="28" s="1"/>
  <c r="C144" i="28" s="1"/>
  <c r="C145" i="28" s="1"/>
  <c r="C146" i="28" s="1"/>
  <c r="C147" i="28" s="1"/>
  <c r="C148" i="28" s="1"/>
  <c r="C149" i="28" s="1"/>
  <c r="C150" i="28" s="1"/>
  <c r="C151" i="28" s="1"/>
  <c r="C152" i="28" s="1"/>
  <c r="C153" i="28" s="1"/>
  <c r="C154" i="28" s="1"/>
  <c r="C155" i="28" s="1"/>
  <c r="C156" i="28" s="1"/>
  <c r="C157" i="28" s="1"/>
  <c r="C158" i="28" s="1"/>
  <c r="C159" i="28" s="1"/>
  <c r="C160" i="28" s="1"/>
  <c r="C161" i="28" s="1"/>
  <c r="C162" i="28" s="1"/>
  <c r="C163" i="28" s="1"/>
  <c r="C164" i="28" s="1"/>
  <c r="C165" i="28" s="1"/>
  <c r="C166" i="28" s="1"/>
  <c r="C167" i="28" s="1"/>
  <c r="C168" i="28" s="1"/>
  <c r="C169" i="28" s="1"/>
  <c r="C170" i="28" s="1"/>
  <c r="C171" i="28" s="1"/>
  <c r="C172" i="28" s="1"/>
  <c r="C173" i="28" s="1"/>
  <c r="C174" i="28" s="1"/>
  <c r="C175" i="28" s="1"/>
  <c r="C176" i="28" s="1"/>
  <c r="C177" i="28" s="1"/>
  <c r="C178" i="28" s="1"/>
  <c r="C179" i="28" s="1"/>
  <c r="C180" i="28" s="1"/>
  <c r="C181" i="28" s="1"/>
  <c r="C182" i="28" s="1"/>
  <c r="C183" i="28" s="1"/>
  <c r="C184" i="28" s="1"/>
  <c r="C185" i="28" s="1"/>
  <c r="C186" i="28" s="1"/>
  <c r="C187" i="28" s="1"/>
  <c r="C188" i="28" s="1"/>
  <c r="C189" i="28" s="1"/>
  <c r="C190" i="28" s="1"/>
  <c r="C191" i="28" s="1"/>
  <c r="C192" i="28" s="1"/>
  <c r="C193" i="28" s="1"/>
  <c r="C194" i="28" s="1"/>
  <c r="C195" i="28" s="1"/>
  <c r="C196" i="28" s="1"/>
  <c r="C197" i="28" s="1"/>
  <c r="C198" i="28" s="1"/>
  <c r="C199" i="28" s="1"/>
  <c r="C200" i="28" s="1"/>
  <c r="C201" i="28" s="1"/>
  <c r="C202" i="28" s="1"/>
  <c r="C203" i="28" s="1"/>
  <c r="C204" i="28" s="1"/>
  <c r="C205" i="28" s="1"/>
  <c r="C206" i="28" s="1"/>
  <c r="C207" i="28" s="1"/>
  <c r="C208" i="28" s="1"/>
  <c r="C209" i="28" s="1"/>
  <c r="C210" i="28" s="1"/>
  <c r="C211" i="28" s="1"/>
  <c r="C212" i="28" s="1"/>
  <c r="C213" i="28" s="1"/>
  <c r="C214" i="28" s="1"/>
  <c r="C215" i="28" s="1"/>
  <c r="C216" i="28" s="1"/>
  <c r="C217" i="28" s="1"/>
  <c r="C218" i="28" s="1"/>
  <c r="C219" i="28" s="1"/>
  <c r="C220" i="28" s="1"/>
  <c r="C221" i="28" s="1"/>
  <c r="C222" i="28" s="1"/>
  <c r="C223" i="28" s="1"/>
  <c r="C224" i="28" s="1"/>
  <c r="C225" i="28" s="1"/>
  <c r="C226" i="28" s="1"/>
  <c r="C227" i="28" s="1"/>
  <c r="C228" i="28" s="1"/>
  <c r="C229" i="28" s="1"/>
  <c r="C230" i="28" s="1"/>
  <c r="C231" i="28" s="1"/>
  <c r="C232" i="28" s="1"/>
  <c r="C233" i="28" s="1"/>
  <c r="C234" i="28" s="1"/>
  <c r="C235" i="28" s="1"/>
  <c r="C236" i="28" s="1"/>
  <c r="C237" i="28" s="1"/>
  <c r="C238" i="28" s="1"/>
  <c r="C239" i="28" s="1"/>
  <c r="C240" i="28" s="1"/>
  <c r="C241" i="28" s="1"/>
  <c r="C242" i="28" s="1"/>
  <c r="C243" i="28" s="1"/>
  <c r="C244" i="28" s="1"/>
  <c r="C245" i="28" s="1"/>
  <c r="C246" i="28" s="1"/>
  <c r="C247" i="28" s="1"/>
  <c r="C248" i="28" s="1"/>
  <c r="C249" i="28" s="1"/>
  <c r="C250" i="28" s="1"/>
  <c r="C251" i="28" s="1"/>
  <c r="C252" i="28" s="1"/>
  <c r="C253" i="28" s="1"/>
  <c r="C254" i="28" s="1"/>
  <c r="C255" i="28" s="1"/>
  <c r="C256" i="28" s="1"/>
  <c r="C257" i="28" s="1"/>
  <c r="C258" i="28" s="1"/>
  <c r="C259" i="28" s="1"/>
  <c r="C260" i="28" s="1"/>
  <c r="C261" i="28" s="1"/>
  <c r="C262" i="28" s="1"/>
  <c r="C15" i="28"/>
  <c r="C13" i="28"/>
  <c r="C14" i="28" s="1"/>
  <c r="E76" i="25" l="1"/>
  <c r="H72" i="25"/>
  <c r="G72" i="25"/>
  <c r="F72" i="25"/>
  <c r="E72" i="25"/>
  <c r="D72" i="25"/>
  <c r="H42" i="25"/>
  <c r="G42" i="25"/>
  <c r="F42" i="25"/>
  <c r="E42" i="25"/>
  <c r="D42" i="25"/>
  <c r="G26" i="25"/>
  <c r="F26" i="25"/>
  <c r="E26" i="25"/>
  <c r="D26" i="25"/>
  <c r="G22" i="25"/>
  <c r="F22" i="25"/>
  <c r="E22" i="25"/>
  <c r="D22" i="25"/>
  <c r="C22" i="25"/>
  <c r="G14" i="25"/>
  <c r="F14" i="25"/>
  <c r="E14" i="25"/>
  <c r="E8" i="25" s="1"/>
  <c r="D14" i="25"/>
  <c r="C14" i="25"/>
  <c r="F8" i="25" l="1"/>
  <c r="G8" i="25"/>
  <c r="D8" i="25"/>
  <c r="H8" i="25"/>
  <c r="C75" i="25"/>
  <c r="C72" i="25" l="1"/>
  <c r="H70" i="25"/>
  <c r="G70" i="25"/>
  <c r="F70" i="25"/>
  <c r="E70" i="25"/>
  <c r="D70" i="25"/>
  <c r="C42" i="25"/>
  <c r="C70" i="25" s="1"/>
  <c r="H35" i="20" l="1"/>
  <c r="H28" i="21" s="1"/>
  <c r="H33" i="21" s="1"/>
  <c r="G35" i="20" l="1"/>
  <c r="G28" i="21" s="1"/>
  <c r="G33" i="21" s="1"/>
  <c r="F35" i="20"/>
  <c r="F28" i="21" s="1"/>
  <c r="F33" i="21" s="1"/>
  <c r="C26" i="25" l="1"/>
  <c r="C8" i="25"/>
  <c r="H82" i="25"/>
  <c r="G82" i="25"/>
  <c r="F82" i="25"/>
  <c r="E82" i="25"/>
  <c r="D82" i="25"/>
  <c r="C82" i="25"/>
  <c r="G41" i="25"/>
  <c r="G71" i="25" s="1"/>
  <c r="E41" i="25" l="1"/>
  <c r="E71" i="25" s="1"/>
  <c r="C41" i="25"/>
  <c r="C71" i="25" s="1"/>
  <c r="D41" i="25"/>
  <c r="D71" i="25" s="1"/>
  <c r="F41" i="25"/>
  <c r="F71" i="25" s="1"/>
  <c r="H41" i="25"/>
  <c r="H71" i="25" s="1"/>
  <c r="D35" i="20" l="1"/>
  <c r="D28" i="21" s="1"/>
  <c r="D33" i="21" s="1"/>
  <c r="E35" i="20" l="1"/>
  <c r="E28" i="21" s="1"/>
  <c r="E33" i="21" s="1"/>
  <c r="C35" i="20"/>
  <c r="C28" i="21" s="1"/>
  <c r="C33" i="21" s="1"/>
</calcChain>
</file>

<file path=xl/comments1.xml><?xml version="1.0" encoding="utf-8"?>
<comments xmlns="http://schemas.openxmlformats.org/spreadsheetml/2006/main">
  <authors>
    <author>avillareal</author>
  </authors>
  <commentList>
    <comment ref="C9" authorId="0" shapeId="0">
      <text>
        <r>
          <rPr>
            <sz val="10"/>
            <color indexed="81"/>
            <rFont val="Tahoma"/>
            <family val="2"/>
          </rPr>
          <t xml:space="preserve">Se refiere al detalle de ingresos con los cuales se financiaron los salarios de los trabajadores correspondientes al año anterior de la solicitud del contrato colectivo.
</t>
        </r>
      </text>
    </comment>
    <comment ref="D9" authorId="0" shapeId="0">
      <text>
        <r>
          <rPr>
            <sz val="10"/>
            <color indexed="81"/>
            <rFont val="Tahoma"/>
            <family val="2"/>
          </rPr>
          <t xml:space="preserve">Se refiere al detalle de ingresos con los cuales se financiaron los salarios de los trabajadores correspondientes al año anterior de la solicitud del contrato colectivo.
</t>
        </r>
      </text>
    </comment>
    <comment ref="E9" authorId="0" shapeId="0">
      <text>
        <r>
          <rPr>
            <sz val="10"/>
            <color indexed="81"/>
            <rFont val="Tahoma"/>
            <family val="2"/>
          </rPr>
          <t xml:space="preserve">Se refiere detalle de ingresos con los cuales se financiarán los salarios de los trabajadores del contrato colectivo que se está negociando.
</t>
        </r>
      </text>
    </comment>
    <comment ref="F9" authorId="0" shapeId="0">
      <text>
        <r>
          <rPr>
            <sz val="10"/>
            <color indexed="81"/>
            <rFont val="Tahoma"/>
            <family val="2"/>
          </rPr>
          <t xml:space="preserve">Se refiere detalle de ingresos con los cuales se financiarán los salarios de los trabajadores del contrato colectivo que se está negociando.
</t>
        </r>
      </text>
    </comment>
    <comment ref="G9" authorId="0" shapeId="0">
      <text>
        <r>
          <rPr>
            <sz val="10"/>
            <color indexed="81"/>
            <rFont val="Tahoma"/>
            <family val="2"/>
          </rPr>
          <t xml:space="preserve">Se refiere detalle de ingresos con los cuales se financiarán los salarios de los trabajadores del contrato colectivo que se está negociando.
</t>
        </r>
      </text>
    </comment>
    <comment ref="H9" authorId="0" shapeId="0">
      <text>
        <r>
          <rPr>
            <sz val="10"/>
            <color indexed="81"/>
            <rFont val="Tahoma"/>
            <family val="2"/>
          </rPr>
          <t xml:space="preserve">Se refiere detalle de ingresos con los cuales se financiarán los salarios de los trabajadores del contrato colectivo que se está negociando.
</t>
        </r>
      </text>
    </comment>
  </commentList>
</comments>
</file>

<file path=xl/comments2.xml><?xml version="1.0" encoding="utf-8"?>
<comments xmlns="http://schemas.openxmlformats.org/spreadsheetml/2006/main">
  <authors>
    <author>avillareal</author>
  </authors>
  <commentList>
    <comment ref="C6" authorId="0" shapeId="0">
      <text>
        <r>
          <rPr>
            <sz val="10"/>
            <color indexed="81"/>
            <rFont val="Tahoma"/>
            <family val="2"/>
          </rPr>
          <t xml:space="preserve">Se refiere al detalle de gastos de personal correspondientes al año anterior de la solicitud del contrato colectivo.
</t>
        </r>
      </text>
    </comment>
    <comment ref="E6" authorId="0" shapeId="0">
      <text>
        <r>
          <rPr>
            <sz val="10"/>
            <color indexed="81"/>
            <rFont val="Tahoma"/>
            <family val="2"/>
          </rPr>
          <t xml:space="preserve">
Se refiere detalle de gastos de los salarios de los trabajadores del contrato colectivo que se está negociando.</t>
        </r>
      </text>
    </comment>
    <comment ref="F6" authorId="0" shapeId="0">
      <text>
        <r>
          <rPr>
            <sz val="10"/>
            <color indexed="81"/>
            <rFont val="Tahoma"/>
            <family val="2"/>
          </rPr>
          <t xml:space="preserve">
Se refiere detalle de gastos de los salarios de los trabajadores del contrato colectivo que se está negociando.</t>
        </r>
      </text>
    </comment>
    <comment ref="G6" authorId="0" shapeId="0">
      <text>
        <r>
          <rPr>
            <sz val="10"/>
            <color indexed="81"/>
            <rFont val="Tahoma"/>
            <family val="2"/>
          </rPr>
          <t xml:space="preserve">
Se refiere detalle de gastos de los salarios de los trabajadores del contrato colectivo que se está negociando.</t>
        </r>
      </text>
    </comment>
    <comment ref="H6" authorId="0" shapeId="0">
      <text>
        <r>
          <rPr>
            <sz val="10"/>
            <color indexed="81"/>
            <rFont val="Tahoma"/>
            <family val="2"/>
          </rPr>
          <t xml:space="preserve">
Se refiere detalle de gastos de los salarios de los trabajadores del contrato colectivo que se está negociando.</t>
        </r>
      </text>
    </comment>
  </commentList>
</comments>
</file>

<file path=xl/comments3.xml><?xml version="1.0" encoding="utf-8"?>
<comments xmlns="http://schemas.openxmlformats.org/spreadsheetml/2006/main">
  <authors>
    <author>avillareal</author>
  </authors>
  <commentList>
    <comment ref="C9" authorId="0" shapeId="0">
      <text>
        <r>
          <rPr>
            <sz val="10"/>
            <color indexed="81"/>
            <rFont val="Tahoma"/>
            <family val="2"/>
          </rPr>
          <t>Es una numeración secuencial</t>
        </r>
      </text>
    </comment>
    <comment ref="D9" authorId="0" shapeId="0">
      <text>
        <r>
          <rPr>
            <sz val="10"/>
            <color indexed="81"/>
            <rFont val="Tahoma"/>
            <family val="2"/>
          </rPr>
          <t xml:space="preserve">
Son los niveles que están en el acuerdo de MRL.</t>
        </r>
      </text>
    </comment>
    <comment ref="E9" authorId="0" shapeId="0">
      <text>
        <r>
          <rPr>
            <sz val="10"/>
            <color indexed="81"/>
            <rFont val="Tahoma"/>
            <family val="2"/>
          </rPr>
          <t xml:space="preserve">
Denominación del cargo tal cual cómo menciona el acuerdo de MRL.
</t>
        </r>
      </text>
    </comment>
    <comment ref="G9" authorId="0" shapeId="0">
      <text>
        <r>
          <rPr>
            <sz val="10"/>
            <color indexed="81"/>
            <rFont val="Tahoma"/>
            <family val="2"/>
          </rPr>
          <t xml:space="preserve">
Se refiere a la remuneración del personal correspondiente al año anterior de la solicitud del contrato colectivo.</t>
        </r>
      </text>
    </comment>
    <comment ref="H9" authorId="0" shapeId="0">
      <text>
        <r>
          <rPr>
            <sz val="10"/>
            <color indexed="81"/>
            <rFont val="Tahoma"/>
            <family val="2"/>
          </rPr>
          <t>Se refiere a la remuneración del personal correspondiente al año del cual se está negociando el contrato colectivo.</t>
        </r>
      </text>
    </comment>
    <comment ref="I9" authorId="0" shapeId="0">
      <text>
        <r>
          <rPr>
            <sz val="10"/>
            <color indexed="81"/>
            <rFont val="Tahoma"/>
            <family val="2"/>
          </rPr>
          <t>Se refiere a la remuneración del personal correspondiente al año del cual se está negociando el contrato colectivo.</t>
        </r>
      </text>
    </comment>
    <comment ref="J9" authorId="0" shapeId="0">
      <text>
        <r>
          <rPr>
            <sz val="10"/>
            <color indexed="81"/>
            <rFont val="Tahoma"/>
            <family val="2"/>
          </rPr>
          <t>Se refiere a la remuneración del personal correspondiente al año del cual se está negociando el contrato colectivo.</t>
        </r>
      </text>
    </comment>
    <comment ref="K9" authorId="0" shapeId="0">
      <text>
        <r>
          <rPr>
            <sz val="10"/>
            <color indexed="81"/>
            <rFont val="Tahoma"/>
            <family val="2"/>
          </rPr>
          <t>Se refiere a la remuneración del personal correspondiente al año del cual se está negociando el contrato colectivo.</t>
        </r>
      </text>
    </comment>
  </commentList>
</comments>
</file>

<file path=xl/sharedStrings.xml><?xml version="1.0" encoding="utf-8"?>
<sst xmlns="http://schemas.openxmlformats.org/spreadsheetml/2006/main" count="1008" uniqueCount="532">
  <si>
    <t>APELLIDOS Y NOMBRES</t>
  </si>
  <si>
    <t>FUENTES DE FINANCIAMIENTO</t>
  </si>
  <si>
    <t>POR IMPUESTOS</t>
  </si>
  <si>
    <t xml:space="preserve">TASAS Y CONTRIBUCIONES </t>
  </si>
  <si>
    <t xml:space="preserve">VENTA DE BIENES Y SERVICIOS </t>
  </si>
  <si>
    <t>RENTAS DE INVERSIONES Y MULTAS</t>
  </si>
  <si>
    <t xml:space="preserve">TOTAL </t>
  </si>
  <si>
    <t>REMUNERACIONES BASICAS</t>
  </si>
  <si>
    <t xml:space="preserve">REMUNERACIONES COMPLEMENTARIAS </t>
  </si>
  <si>
    <t>REMUNERACIONES TEMPORALES</t>
  </si>
  <si>
    <t>HORAS EXTRAORDINARIAS Y SUPLEMENTARIAS</t>
  </si>
  <si>
    <t>APORTES A LA SEGURIDAD SOCIAL</t>
  </si>
  <si>
    <t xml:space="preserve">APORTE PATRONAL </t>
  </si>
  <si>
    <t xml:space="preserve">FONDO DE RESERVA </t>
  </si>
  <si>
    <t xml:space="preserve">INDEMNIZACIONES </t>
  </si>
  <si>
    <t>GASTO DEL PERSONAL</t>
  </si>
  <si>
    <t>FONDO DE JUBILACION PATRONAL</t>
  </si>
  <si>
    <t>SUBSIDIOS</t>
  </si>
  <si>
    <t>SUMAN</t>
  </si>
  <si>
    <t>CLASIFICADOR PRESUPUESTARIO</t>
  </si>
  <si>
    <t>MINISTERIO DE FINANZAS</t>
  </si>
  <si>
    <t>DISTRIBUTIVO DE SALARIO UNIFICADO DESAGREGADO POR TRABAJADOR</t>
  </si>
  <si>
    <t>CEDULA</t>
  </si>
  <si>
    <t>No. TRABAJADOR</t>
  </si>
  <si>
    <t>GRADO DEL CARGO O PUESTO</t>
  </si>
  <si>
    <t>SALARIOS UNIFICADOS</t>
  </si>
  <si>
    <t>DECIMOTERCER SUELDO</t>
  </si>
  <si>
    <t>DECIMOCUARTO SUELDO</t>
  </si>
  <si>
    <t>REMUNERACIONES COMPENSATORIAS</t>
  </si>
  <si>
    <t>COMPENSACION POR TRANSPORTE</t>
  </si>
  <si>
    <t xml:space="preserve">TRANSFERENCIAS Y DONACIONES CORRIENTES  </t>
  </si>
  <si>
    <t>DETALLE DE INGRESOS</t>
  </si>
  <si>
    <t>COMPENSACION POR DESAHUCIO</t>
  </si>
  <si>
    <t>DENOMINACIÓN DEL PUESTO O CARGO DE OCUPACIÓN</t>
  </si>
  <si>
    <t>REMUNERACIÓN UNIFICADA CONTRATO COLECTIVO VIGENTE USD $</t>
  </si>
  <si>
    <t>REMUNERACIÓN UNIFICADA CONTRATO COLECTIVO PROPUESTO USD $</t>
  </si>
  <si>
    <t>FLUJO PRESUPUESTARIO DE INGRESOS Y GASTOS</t>
  </si>
  <si>
    <t>DETALLE DE GRUPOS Y SUBGRUPOS</t>
  </si>
  <si>
    <t>FLUJO HISTÓRICO (USD)</t>
  </si>
  <si>
    <t>FLUJO PROYECTADO (USD)</t>
  </si>
  <si>
    <t>Grupo y Subgrupo</t>
  </si>
  <si>
    <t xml:space="preserve">Descripción </t>
  </si>
  <si>
    <t>TOTAL INGRESOS CORRIENTES (1)</t>
  </si>
  <si>
    <t>Impuestos</t>
  </si>
  <si>
    <t>Sobre la Renta, Utilidades y Ganancias de Capital</t>
  </si>
  <si>
    <t>Sobre la propiedad</t>
  </si>
  <si>
    <t>Al consumo de Bienes y Servicios</t>
  </si>
  <si>
    <t>Impuestos Diversos</t>
  </si>
  <si>
    <t xml:space="preserve">Tasas y contribuciones </t>
  </si>
  <si>
    <t>Tasas generales</t>
  </si>
  <si>
    <t>Tasas portuarias y aeroportuarias</t>
  </si>
  <si>
    <t>Tasas diversas</t>
  </si>
  <si>
    <t>Contribuciones</t>
  </si>
  <si>
    <t>Venta de Bienes y Servicios</t>
  </si>
  <si>
    <t>Rentas de Invesiones y Multas</t>
  </si>
  <si>
    <t>Transferencias y Donaciones Corrientes</t>
  </si>
  <si>
    <t>Otros ingresos</t>
  </si>
  <si>
    <t>Garantías y Fianzas</t>
  </si>
  <si>
    <t>Indemnizaciones y valores no reclamados</t>
  </si>
  <si>
    <t>Otros no Operacionales</t>
  </si>
  <si>
    <t>TOTAL GASTOS CORRIENTES (2)</t>
  </si>
  <si>
    <t>Gastos en personal</t>
  </si>
  <si>
    <t>Remuneraciones Básicas</t>
  </si>
  <si>
    <t>Remuneraciones Complementarias</t>
  </si>
  <si>
    <t>Remuneraciones Compensatorias</t>
  </si>
  <si>
    <t>Subsidios</t>
  </si>
  <si>
    <t>Remuneraciones Temporales</t>
  </si>
  <si>
    <t>Aportes Patronales a la Seguridad Social</t>
  </si>
  <si>
    <t>Indemnizaciones</t>
  </si>
  <si>
    <t>Asignaciones a distribuir</t>
  </si>
  <si>
    <t>Bienes y servicios de consumo</t>
  </si>
  <si>
    <t>Gastos Financieros</t>
  </si>
  <si>
    <t>Otros gastos corrientes</t>
  </si>
  <si>
    <t>Transferencias y donaciones corrientes</t>
  </si>
  <si>
    <t>Previsiones para reasignaciones</t>
  </si>
  <si>
    <t>SUPERAVIT/DEFICIT CORRIENTE (1) - (2) = (3)</t>
  </si>
  <si>
    <t>INGRESOS DE CAPITAL E INVERSIÓN (4)</t>
  </si>
  <si>
    <t>Venta de activos no financieros</t>
  </si>
  <si>
    <t>Transferencias y donaciones de capital e inversión</t>
  </si>
  <si>
    <t>GASTOS DE CAPITAL E INVERSIÓN (5)</t>
  </si>
  <si>
    <t>61</t>
  </si>
  <si>
    <t>Gastos en personal para producción</t>
  </si>
  <si>
    <t>63</t>
  </si>
  <si>
    <t>Bienes y servicios para producción</t>
  </si>
  <si>
    <t>67</t>
  </si>
  <si>
    <t>Otros gastos de producción</t>
  </si>
  <si>
    <t>Gastos en personal para Inversión</t>
  </si>
  <si>
    <t>Bienes y servicios para inversión</t>
  </si>
  <si>
    <t>Obras públicas</t>
  </si>
  <si>
    <t>Obras de Infraestructura</t>
  </si>
  <si>
    <t>Obras para generación de energía</t>
  </si>
  <si>
    <t>Obras Hidrocarburíferas y Mineras</t>
  </si>
  <si>
    <t>Obras en líneas, redes, e intalaciones eléctricas y de telecomunicaciones</t>
  </si>
  <si>
    <t>Mantenimiento y repaciones</t>
  </si>
  <si>
    <t>Otros Gastos de Inversión</t>
  </si>
  <si>
    <t>Transferencias y donaciones para inversión</t>
  </si>
  <si>
    <t>Bienes de larga duración</t>
  </si>
  <si>
    <t>Transferencias y donaciones de capital</t>
  </si>
  <si>
    <t>SUPERAVIT/DEFICIT DE CAPITAL E INVERSIÓN (4) - (5) = (6)</t>
  </si>
  <si>
    <t>SUPERAVIT/DEFICIT FISCAL  (3) + (6)</t>
  </si>
  <si>
    <t>FUENTES FINANCIERAS (7)</t>
  </si>
  <si>
    <t>Recuperación de inversiones</t>
  </si>
  <si>
    <t>Financiamiento Público</t>
  </si>
  <si>
    <t>Saldos disponibles</t>
  </si>
  <si>
    <t>Cuenta Pendientes por Cobrar</t>
  </si>
  <si>
    <t>USOS FINANCIEROS (8)</t>
  </si>
  <si>
    <t>Inversiones financieras</t>
  </si>
  <si>
    <t>Amortización de la deuda</t>
  </si>
  <si>
    <t>Pasivo Circulante</t>
  </si>
  <si>
    <t>Otros Pasivos</t>
  </si>
  <si>
    <t>SUPERAVIT/DEFICIT DE FINANCIAMIENTO (7) - (8)</t>
  </si>
  <si>
    <t xml:space="preserve"> CÁLCULO DE LÍMITES DE ENDEUDAMIENTO </t>
  </si>
  <si>
    <t>*La información histórica presentada en este anexo deberá corresponder a la que el GAD cargó a través del Módulo de Consolidación del E-sigef del Ministerio de Finanzas.</t>
  </si>
  <si>
    <t>FORMULARIO 1: "FUENTES DE FINANCIAMIENTO DEL PROYECTO DE CONTRATO COLECTIVO"</t>
  </si>
  <si>
    <t>FORMULARIO 4</t>
  </si>
  <si>
    <t>FORMULARIO 2: "COSTOS DEL PROYECTO DE CONTRATO COLECTIVO"</t>
  </si>
  <si>
    <r>
      <t>FORMULARIO 3:</t>
    </r>
    <r>
      <rPr>
        <sz val="12"/>
        <color indexed="8"/>
        <rFont val="Calibri"/>
        <family val="2"/>
      </rPr>
      <t xml:space="preserve"> </t>
    </r>
    <r>
      <rPr>
        <b/>
        <sz val="12"/>
        <color indexed="8"/>
        <rFont val="Calibri"/>
        <family val="2"/>
      </rPr>
      <t xml:space="preserve">"COMPARATIVO ENTRE REMUNERACIÓN UNIFICADA Y PROPUESTA" </t>
    </r>
  </si>
  <si>
    <t xml:space="preserve"> Nº ACTA TRANSACCIONAL ___________________________</t>
  </si>
  <si>
    <t>* En caso de que en el contrato colectivo se negocie algún beneficio adicional a los expuestos favor incluir el item correspondiente.</t>
  </si>
  <si>
    <t>Sello Institucional</t>
  </si>
  <si>
    <t>* De ser el caso,  se deberá incluir filas adicionales, para detallar los subgrupos o items correspondientes.</t>
  </si>
  <si>
    <t>* La información de los formularios deberá remitirse en medio magnético (Excel) e impreso con las respectivas firmas de responsabilidad.</t>
  </si>
  <si>
    <r>
      <t>* Se requiere d</t>
    </r>
    <r>
      <rPr>
        <sz val="8"/>
        <color indexed="8"/>
        <rFont val="Calibri"/>
        <family val="2"/>
      </rPr>
      <t>etallar claramente qué partida o partidas presupuestarias de ingresos y gastos sustentaran el egreso del contrato colectivo o acta transaccional (Si es necesario desglosando los datos en filas adicionales a nivel de item)</t>
    </r>
  </si>
  <si>
    <t>GASTO PERSONAL</t>
  </si>
  <si>
    <t>INGRESOS CORRIENTES  Y PERMANENTES</t>
  </si>
  <si>
    <t>OTROS INGRESOS</t>
  </si>
  <si>
    <t>POR CARGAS FAMILIARES</t>
  </si>
  <si>
    <t xml:space="preserve">POR JUBILACIÓN </t>
  </si>
  <si>
    <t>OBSERVACIONES</t>
  </si>
  <si>
    <t>* Se requiere incluir el cálculo de los límites de endeudamiento establecidos en el artículo 125 del Código Orgánico de Planificación y Finanzas Públicas - COPLAFIP y el artículo 136 al Reglamento al COPLAFIP.</t>
  </si>
  <si>
    <t xml:space="preserve">Nombre: </t>
  </si>
  <si>
    <t>GOBIERNO PROVINCIAL DE LOJA</t>
  </si>
  <si>
    <t>SUBSIDIO POR ANTIGÜEDAD</t>
  </si>
  <si>
    <t>710509</t>
  </si>
  <si>
    <t>710601</t>
  </si>
  <si>
    <t>710602</t>
  </si>
  <si>
    <t>710603</t>
  </si>
  <si>
    <t>ALIMENTACION</t>
  </si>
  <si>
    <t>ABRIGO DIAZ MARCO  ALBERTO</t>
  </si>
  <si>
    <t>GUARDIAN</t>
  </si>
  <si>
    <t>OPERADOR DE MOTONIVELADORA</t>
  </si>
  <si>
    <t>AGILA VASQUEZ JOSE ARMANDO</t>
  </si>
  <si>
    <t>AYUDANTE DE OPERADOR DE EQUIPOS Y/O MAQUINARIA</t>
  </si>
  <si>
    <t>AGUIRRE GUZMAN JORGE ROLANDO</t>
  </si>
  <si>
    <t>OPERADOR DE MAQUINARIA</t>
  </si>
  <si>
    <t>AGUIRRE PAZ RAMIRO GABRIEL</t>
  </si>
  <si>
    <t>AGURTO ERIQUE VICTOR VICENTE</t>
  </si>
  <si>
    <t>CHOFER DE VEHÍCULO LIVIANO Y PESADO</t>
  </si>
  <si>
    <t>0101325512</t>
  </si>
  <si>
    <t>ALARCON HUGO ANIBAL</t>
  </si>
  <si>
    <t>SUPERVISOR MECÁNICO DE EQUIPOS Y MOTORES A DIESEL</t>
  </si>
  <si>
    <t>ALBERCA ARMIJOS  CESARIO AGUSTIN</t>
  </si>
  <si>
    <t>CADENERO</t>
  </si>
  <si>
    <t>1101740460</t>
  </si>
  <si>
    <t>ALVARADO ALVARADO MANUEL IGNACIO</t>
  </si>
  <si>
    <t>OPERADOR DE DISTRIBUIDOR DE ASFALTO</t>
  </si>
  <si>
    <t>ALVARADO JARAMILLO JUAN CARLOS</t>
  </si>
  <si>
    <t>ALVARADO LEON ELEUTERIO</t>
  </si>
  <si>
    <t>OPERADOR DE EXCAVADORA</t>
  </si>
  <si>
    <t>ALVAREZ CHAVEZ JUAN PABLO</t>
  </si>
  <si>
    <t>AYUDANTE DE MECÁNICA DE VEHICULOS Y/O MAQUINARIA</t>
  </si>
  <si>
    <t>APOLO PINZA ELSA</t>
  </si>
  <si>
    <t>COCINERO-PROVEEDORA</t>
  </si>
  <si>
    <t>DESPACHADOR DE MATERIALES</t>
  </si>
  <si>
    <t>AREVALO  SUCUNUTA VICTOR ALFREDO</t>
  </si>
  <si>
    <t>AREVALO VALDIVIESO RICHARD SONY</t>
  </si>
  <si>
    <t>AYUDANTE DE MECÁNICA</t>
  </si>
  <si>
    <t>ARIAS VIVANCO ESTEBAN MANUEL</t>
  </si>
  <si>
    <t>ARMIJOS CABRERA JUNIOR ONOFRE</t>
  </si>
  <si>
    <t>0701074031</t>
  </si>
  <si>
    <t>ARMIJOS TORO HARALDO ONOFRE</t>
  </si>
  <si>
    <t>BALLESTEROS CAIZA ALVARO RENATO</t>
  </si>
  <si>
    <t>VULCANIZADOR</t>
  </si>
  <si>
    <t>BANEGAS CARAGUAY LORGIO EDLIDER</t>
  </si>
  <si>
    <t>TÉCNICO MECÁNICO DE EQUIPOS Y MOTORES A GASOLINA</t>
  </si>
  <si>
    <t>BARBA GORDILLO ESTEBAN NOE</t>
  </si>
  <si>
    <t>BECERRA LOPEZ LUIS MIGUEL</t>
  </si>
  <si>
    <t>BECERRA SANCHEZ HECTOR GENARO</t>
  </si>
  <si>
    <t>BENALCAZAR CASTILLO WILSON PATRICIO</t>
  </si>
  <si>
    <t>TOPÓGRAFO</t>
  </si>
  <si>
    <t>BENITEZ QUEZADA VINICIO LEONARDO</t>
  </si>
  <si>
    <t>BERMEO YAGUACHE CARLOS VICENTE</t>
  </si>
  <si>
    <t>BRAVO SANMARTIN STALIN ARMANDO</t>
  </si>
  <si>
    <t>AYUDANTE DE MECANICA</t>
  </si>
  <si>
    <t>BRAVO YANANGOMEZ CRISTOBAL FERNANDO</t>
  </si>
  <si>
    <t>AUXILIAR DE LABORATORIO DE SUELOS</t>
  </si>
  <si>
    <t>BRICEÑO CALVA FREDY WILLAN</t>
  </si>
  <si>
    <t xml:space="preserve">BUSTAMANTE MOROCHO JORGE </t>
  </si>
  <si>
    <t>CABRERA MACANCHI HOLBER BERNARDO</t>
  </si>
  <si>
    <t>MAQUINISTA-OPERADOR AUXILIAR</t>
  </si>
  <si>
    <t>CABRERA NEIRA FLORESMILO</t>
  </si>
  <si>
    <t>CANGO AGUIRRE MARIA DEL CARMEN</t>
  </si>
  <si>
    <t>CAPA CHAPA FRANGIL ALFREDO</t>
  </si>
  <si>
    <t>CARCHI FLORES CARLOS ENRIQUE</t>
  </si>
  <si>
    <t>0704099712</t>
  </si>
  <si>
    <t>OPERADOR DE CARGADORA</t>
  </si>
  <si>
    <t>CARPIO QUISHPE JOSE MAXIMILIANO</t>
  </si>
  <si>
    <t>CARRION ANGEL MELECIO</t>
  </si>
  <si>
    <t>CARRION CARRION FRANCISCO ROBERTO</t>
  </si>
  <si>
    <t>OPERADOR DE TRACTOR</t>
  </si>
  <si>
    <t>CARTUCHE MUNOZ LUIS PATRICIO</t>
  </si>
  <si>
    <t>CASTILLO TOLEDO MARCO ALBERTO</t>
  </si>
  <si>
    <t>CASTILLO VICENTE BOLIVAR</t>
  </si>
  <si>
    <t>CHALAN LIVISACA ANGEL GUILLERMO</t>
  </si>
  <si>
    <t>CHAMBA CAÑAR JOSE FABIAN</t>
  </si>
  <si>
    <t>CHAMBA TUQUERES VICTOR IVAN</t>
  </si>
  <si>
    <t>CHAMBA VEINTIMILLA MIGUEL EDUARDO</t>
  </si>
  <si>
    <t>0502422785</t>
  </si>
  <si>
    <t>CHICAIZA CHILUISA JUAN CARLOS</t>
  </si>
  <si>
    <t>1102438197</t>
  </si>
  <si>
    <t>CHUQUIMARCA CHUQUIMARCA MARIA CARMITA</t>
  </si>
  <si>
    <t xml:space="preserve">CORDOVA PALADINES JUAN CARLOS </t>
  </si>
  <si>
    <t>CORDOVA PASACA CRISTIAN AUGUSTO</t>
  </si>
  <si>
    <t>OPERDOR DE CARGADORA</t>
  </si>
  <si>
    <t>CORDOVA SOCOLA VICTOR HERNALDO</t>
  </si>
  <si>
    <t>CORONEL CORONEL ANGEL RAMIRO</t>
  </si>
  <si>
    <t>CRIOLLO SALINAS EDWIN FABIAN</t>
  </si>
  <si>
    <t>CRUZ CUEVA DEYSI ADMIRIAN</t>
  </si>
  <si>
    <t>CUENCA BAHO HENRRY RAFAEL</t>
  </si>
  <si>
    <t xml:space="preserve">CUENCA MINGA JUAN HUMBERTO </t>
  </si>
  <si>
    <t>CUENCA TOAPANTA EDGAR EFREN</t>
  </si>
  <si>
    <t>AYUDANTE DE TOPOGRAFÍA</t>
  </si>
  <si>
    <t>1103069082</t>
  </si>
  <si>
    <t xml:space="preserve">CURIMILMA PAUTE JUAN RAMON  </t>
  </si>
  <si>
    <t>AYUDANTE DE CUADRILLA</t>
  </si>
  <si>
    <t>DELGADO CUENCA ERNESTO AMABLE</t>
  </si>
  <si>
    <t>CHOFER VEHÌCULO LIVIANO</t>
  </si>
  <si>
    <t>ERAS JIMENEZ ANGEL AUGUSTO</t>
  </si>
  <si>
    <t>ERRAEZ VEINTIMILLA JOSE RICARDO</t>
  </si>
  <si>
    <t>ERREYES GUALAN VICTOR ROBER</t>
  </si>
  <si>
    <t>ESPARZA SINCHIRI VICTOR HUGO</t>
  </si>
  <si>
    <t xml:space="preserve">SOLDADOR ELECTRICO </t>
  </si>
  <si>
    <t>ESPINOZA JIMENEZ LUIS EDUARDO</t>
  </si>
  <si>
    <t>FEBRES ORDONEZ MAX  ARTURO</t>
  </si>
  <si>
    <t>FERNANDEZ FREIRE DANIEL VICTORIANO</t>
  </si>
  <si>
    <t>INSPECTOR SOBRESTANTE</t>
  </si>
  <si>
    <t>0701764672</t>
  </si>
  <si>
    <t>GALVEZ CHUQUIMARCA LUIS ALFREDO</t>
  </si>
  <si>
    <t>ALBAÑIL</t>
  </si>
  <si>
    <t>GALVEZ OCHOA MIGUEL ANGEL</t>
  </si>
  <si>
    <t>GANAZHAPA PLACENCIA MARIA CONSOLACION</t>
  </si>
  <si>
    <t>GAONA CHAMBA MILTON ESTUARDO</t>
  </si>
  <si>
    <t>GAONA JIMENEZ JOSE VICENTE</t>
  </si>
  <si>
    <t xml:space="preserve">GARCIA SALAZAR DIEGO ROBERTO </t>
  </si>
  <si>
    <t xml:space="preserve">OPERADOR DE MAQUINA </t>
  </si>
  <si>
    <t>GIRON LOAIZA JHONATAN ALEXANDER</t>
  </si>
  <si>
    <t>GONZAGA JARAMILLO CARLOS GERMAN</t>
  </si>
  <si>
    <t>GONZALEZ CORREA JULIO CESAR</t>
  </si>
  <si>
    <t>GORDILLO AREVALO YOLANDA NARCIZA</t>
  </si>
  <si>
    <t>GRANDA INIGUEZ JOSE AUGUSTO</t>
  </si>
  <si>
    <t>GRANDA PATIÑO FREDY AGUSTIN</t>
  </si>
  <si>
    <t>GUAICHA JARAMILLO JULIO CESAR</t>
  </si>
  <si>
    <t>GUAMAN ALVARADO ANGEL MODESTO</t>
  </si>
  <si>
    <t>OPERADOR DE RODILLO</t>
  </si>
  <si>
    <t>GUAMAN CABRERA SEGUNDO EMILIANO</t>
  </si>
  <si>
    <t>GUAMAN CHAMBA MANUEL ANTONIO</t>
  </si>
  <si>
    <t>GUAMAN REYES HERMÁN ANIBAL</t>
  </si>
  <si>
    <t>GUERRERO ABAD JOSE EDILBERTO</t>
  </si>
  <si>
    <t>OPERDOR DE TRACTOR</t>
  </si>
  <si>
    <t>GUERRERO BERMEO HENRY STALIN</t>
  </si>
  <si>
    <t>GUERRERO CAMPOS ROBERTO FERNANDO</t>
  </si>
  <si>
    <t>GUERRERO PILCO OSCAR WALTER</t>
  </si>
  <si>
    <t>GUERRERO PILCO PEDRO VITALIANO</t>
  </si>
  <si>
    <t>JAPON VIÑAMAGUA MIGUEL ARCENIO</t>
  </si>
  <si>
    <t>TÉCNICO MECÁNICO DE EQUIPOS Y MOTORES A DIESEL</t>
  </si>
  <si>
    <t>JARA SANCHEZ ALCIDES</t>
  </si>
  <si>
    <t>1102750278</t>
  </si>
  <si>
    <t>JARAMILLO BARRERA SANTOS AMABLE</t>
  </si>
  <si>
    <t>JARAMILLO ORDOÑEZ FREDDY AUGUSTO</t>
  </si>
  <si>
    <t>JARAMILLO PERALTA VICTOR HUGO</t>
  </si>
  <si>
    <t>TÉCNICO MECÁNICO DE EQUIPO MOTORES A GASOLINA</t>
  </si>
  <si>
    <t>JARAMILLO ROMERO FRANCO TULIO</t>
  </si>
  <si>
    <t>JARAMILLO SIZALIMA JOSE ALBERTO</t>
  </si>
  <si>
    <t>1102228838</t>
  </si>
  <si>
    <t>JIMENEZ JIMENEZ MELECIO</t>
  </si>
  <si>
    <t>JIMENEZ MANUEL DE JESUS</t>
  </si>
  <si>
    <t>JIMENEZ TORRES WILSON ALEJANDRO</t>
  </si>
  <si>
    <t>1900451764</t>
  </si>
  <si>
    <t>JUMBO JIMENEZ SERGIO ADALBERTO</t>
  </si>
  <si>
    <t>JUMBO PASICHE JOSE SERVILIO</t>
  </si>
  <si>
    <t>JUNCAY AMAY CRISTOBAL</t>
  </si>
  <si>
    <t>LAFEBRE CORDOVA MILTON ERWIN</t>
  </si>
  <si>
    <t>LANCHE LANCHE EDGAR LEONARDO</t>
  </si>
  <si>
    <t>LANCHE TANDAZO OSCAR ALBERTANO</t>
  </si>
  <si>
    <t>LARA OCHOA ANGEL ERNESTO EDMUNDO</t>
  </si>
  <si>
    <t>LEON OCHOA LUIS ANTONIO</t>
  </si>
  <si>
    <t>LEON PEREZ WASHINGTON ROBERTO</t>
  </si>
  <si>
    <t>LIMA MIRANDA JOSE MARIA</t>
  </si>
  <si>
    <t>1103807986</t>
  </si>
  <si>
    <t>LIVISACA LOJAN HOLGER MANOLO</t>
  </si>
  <si>
    <t>LOAIZA HERRERA BYRON EFRAIN</t>
  </si>
  <si>
    <t>LOJAN CALLE FERNANDO PATRICIO</t>
  </si>
  <si>
    <t>ELECTRICISTA</t>
  </si>
  <si>
    <t>LOPEZ POMA BAYRON ANIBAL</t>
  </si>
  <si>
    <t>MACANCHI PEÑA JULIO ROBIN</t>
  </si>
  <si>
    <t>MALDONADO JULIO EDUARDO</t>
  </si>
  <si>
    <t>OPERADOR DE RETROEXCAVADORA</t>
  </si>
  <si>
    <t>MALDONADO ROJAS MARLENIY CUMANDA</t>
  </si>
  <si>
    <t>MALDONADO ROJAS VICENTE</t>
  </si>
  <si>
    <t>MAYO PATINO PEDRO</t>
  </si>
  <si>
    <t>1102641733</t>
  </si>
  <si>
    <t>MAZA JOSE VINICIO</t>
  </si>
  <si>
    <t>SOLDADOR ELECTRICO</t>
  </si>
  <si>
    <t>MEDINA ARMIJOS MIGUEL ANGEL</t>
  </si>
  <si>
    <t>MEDINA MEDINA LUZ EDELMIRA</t>
  </si>
  <si>
    <t>MEDINA MEDINA MERCY OLIVIA</t>
  </si>
  <si>
    <t>CONSERJE EXTERNO</t>
  </si>
  <si>
    <t>MENDIETA LUDEÑA HENRY ARTURO</t>
  </si>
  <si>
    <t>TÉCNICO MECÁNICO DE EQUIPO MOTORES A DIESEL</t>
  </si>
  <si>
    <t>MENDOZA TORRES WALTER HUGO</t>
  </si>
  <si>
    <t>MERINO GUARNIZO JORGE WASHINGTON</t>
  </si>
  <si>
    <t>AYUDANTE DE SOLDADOR</t>
  </si>
  <si>
    <t>MERINO HEREDIA GONZALO</t>
  </si>
  <si>
    <t>MERINO JIMENEZ MIGUEL FRANCO</t>
  </si>
  <si>
    <t>MERINO ROSILLO ALBERTO</t>
  </si>
  <si>
    <t>MICHAY GUAYA LUIS ALBERTO</t>
  </si>
  <si>
    <t>MINGA DIAZ HERIBERTO</t>
  </si>
  <si>
    <t>MIRANDA ZAPATA JORGE EDUARDO</t>
  </si>
  <si>
    <t>MONTAÑO LABANDA ANGEL MEDARDO</t>
  </si>
  <si>
    <t>OPERADOR DE DISTRIBUIDOR DE ASFALTO, (AGREGADOS)</t>
  </si>
  <si>
    <t>MONTOYA PUCHAICELA MANUEL DE JESUS</t>
  </si>
  <si>
    <t>MOROCHO CARCHI MANUEL EFRAIN</t>
  </si>
  <si>
    <t>MOROCHO JARAMILLO WILMER LEONARDO</t>
  </si>
  <si>
    <t>0101291227</t>
  </si>
  <si>
    <t>MOROCHO JOSE DARIO</t>
  </si>
  <si>
    <t>MOROCHO LITUMA ROSA MARGARITA</t>
  </si>
  <si>
    <t>MOROCHO QUEZADA YODER LUIS</t>
  </si>
  <si>
    <t>NAMICELA GUALAN JOSE HUMBERTO</t>
  </si>
  <si>
    <t>NEIRA SOLANO OSMAR</t>
  </si>
  <si>
    <t>NIVELO MARTINEZ LUIS  ENRIQUE</t>
  </si>
  <si>
    <t>OCHOA VALDIVIESO IGNACIO TARQUINO</t>
  </si>
  <si>
    <t>OCHOA VILLA MANUEL MARIN</t>
  </si>
  <si>
    <t>OPERADOR DE EQUIPO Y/O MAQUINARIA</t>
  </si>
  <si>
    <t>ORDOÑEZ CRUZ MARIA JANETH</t>
  </si>
  <si>
    <t>ORDOÑEZ GORDILLO ANGEL ALFONSO</t>
  </si>
  <si>
    <t>SOLDADOR</t>
  </si>
  <si>
    <t>ORDOÑEZ JUMBO WILMAN ADAN</t>
  </si>
  <si>
    <t>1103561260</t>
  </si>
  <si>
    <t>ORDOÑEZ RAMON NELSON VICENTE</t>
  </si>
  <si>
    <t>ORTEGA CAPA JOSE ORLANDO</t>
  </si>
  <si>
    <t>0701902173</t>
  </si>
  <si>
    <t>ORTEGA CASTRO JUAN FRANCISCO</t>
  </si>
  <si>
    <t>ORTIZ OCAMPO ANGEL BENIGNO</t>
  </si>
  <si>
    <t>AYUDANTE DE OPERADOR DE EQUIPO Y/O MAQUINARIA</t>
  </si>
  <si>
    <t xml:space="preserve">ORTIZ OCAMPO HECTOR HUGO </t>
  </si>
  <si>
    <t>ORTIZ SILVA CRISTIAN ISRAEL</t>
  </si>
  <si>
    <t>0703707091</t>
  </si>
  <si>
    <t>OVIEDO OCHOA CLAUDIO ANTERO</t>
  </si>
  <si>
    <t>0703708248</t>
  </si>
  <si>
    <t>OVIEDO OCHOA PABLO YHOVANY</t>
  </si>
  <si>
    <t>OVIEDO VALDEZ SANTOS MARINO</t>
  </si>
  <si>
    <t>PACCHA VIÑAMAGUA FELIPE</t>
  </si>
  <si>
    <t>PACHECO CARPIO LEONIDAS HUMBERTO</t>
  </si>
  <si>
    <t>PALACIOS JIMENEZ VICTOR EDUARDO</t>
  </si>
  <si>
    <t>PALADINES BRAVO GILBERTH GEOVANY</t>
  </si>
  <si>
    <t>0704004514</t>
  </si>
  <si>
    <t>PALADINES BRAVO JIOVER RAMIRO</t>
  </si>
  <si>
    <t>1102951496</t>
  </si>
  <si>
    <t>PALADINES MEDINA FRANKLIN ORLANDO</t>
  </si>
  <si>
    <t>PAUTE MALLA JOSE ONIAS</t>
  </si>
  <si>
    <t>PAUTE PUCHAICELA CARLOS ENRIQUE</t>
  </si>
  <si>
    <t>PESANTEZ LEON PATRICIO GEOVANNY</t>
  </si>
  <si>
    <t>PICOITA OCHOA LEONCIO</t>
  </si>
  <si>
    <t>PICUITA ABRIGO JULIO CESAR</t>
  </si>
  <si>
    <t>PINEDA LUDEÑA ANGEL EDUARDO</t>
  </si>
  <si>
    <t>PINTADO CUMBICUS CARLOS ANTONIO</t>
  </si>
  <si>
    <t>PINTADO GAONA JOSE DANILO</t>
  </si>
  <si>
    <t>AYUDANTE DEOPERADOR DE EQUIPOS Y/O MAQUINARIA</t>
  </si>
  <si>
    <t>POGO SARANGO BAYRON VINICIO</t>
  </si>
  <si>
    <t>POMA BERMEO MARIA ESPERANZA</t>
  </si>
  <si>
    <t>POMA VALVERDE VICTOR MANUEL</t>
  </si>
  <si>
    <t xml:space="preserve">OPERADOR DE EXCAVADORA </t>
  </si>
  <si>
    <t>PONTON QUEVEDO SIMON BOLIVAR</t>
  </si>
  <si>
    <t>TÉCNICO MECÁNICODE EQUIPOS Y MOTORES A GASOLINA</t>
  </si>
  <si>
    <t>1103146724</t>
  </si>
  <si>
    <t>PUCHAICELA ARMIJOS SEGUNDO MANUEL</t>
  </si>
  <si>
    <t xml:space="preserve">QUEZADA GONZALEZ ROBERTO SEGUNDO </t>
  </si>
  <si>
    <t xml:space="preserve">QUEZADA GORDILLO JUAN CARLOS </t>
  </si>
  <si>
    <t>OPERADOR DE MAQUINARIA (MOTONIVELADORA)</t>
  </si>
  <si>
    <t>QUEZADA ORDOÑEZ MARCO VINICIO</t>
  </si>
  <si>
    <t>QUEZADA VICENTE GERARDO</t>
  </si>
  <si>
    <t>0702572330</t>
  </si>
  <si>
    <t>QUISHPE CUEVA PEDRO ECUADOR</t>
  </si>
  <si>
    <t>0916657463</t>
  </si>
  <si>
    <t>QUITUISACA URGILES JACINTO PATRICIO</t>
  </si>
  <si>
    <t xml:space="preserve">OPERADOR DE RETROEXCAVADORA </t>
  </si>
  <si>
    <t>RAMIREZ MATAILO TANYA ELIZABETH</t>
  </si>
  <si>
    <t>RAMIREZ PERALTA CARLOS NIVARDO</t>
  </si>
  <si>
    <t>AUXILIAR DE ELECTRICIDAD</t>
  </si>
  <si>
    <t>RAMON PICOITA VICTOR ALFREDO</t>
  </si>
  <si>
    <t>REBILLA SINCHE TULIO CLOTARIO</t>
  </si>
  <si>
    <t xml:space="preserve">AYUDANTE DE OPERADOR DE EQUIPO Y/O MAQUINARIA </t>
  </si>
  <si>
    <t>REYES MERINO ANGEL GABRIEL</t>
  </si>
  <si>
    <t>RIOFRIO MARIN STALIN VICENTE</t>
  </si>
  <si>
    <t>1101751442</t>
  </si>
  <si>
    <t>RIOS SANCHEZ CARLOS MARIA</t>
  </si>
  <si>
    <t>RIVERA CUEVA  JOSE AMABLE</t>
  </si>
  <si>
    <t>RIVERA ORELLANA CELSO RAUL</t>
  </si>
  <si>
    <t>ROGEL CASTILLO JOSÉ MANUEL</t>
  </si>
  <si>
    <t>ROHODEN PUGLLA WILSON YOVANNI</t>
  </si>
  <si>
    <t>1703662674</t>
  </si>
  <si>
    <t>ROJAS ANDRADE FREDIN EDUARDO</t>
  </si>
  <si>
    <t>1104396658</t>
  </si>
  <si>
    <t>ROJAS MEJIA ANGEL GONZALO</t>
  </si>
  <si>
    <t>1104168453</t>
  </si>
  <si>
    <t>ROMAN CASTILLO EDWIN FABIAN</t>
  </si>
  <si>
    <t>ROMAN ELVIA MARIA</t>
  </si>
  <si>
    <t>ROMAN HIDALGO ROQUE ANTONIO</t>
  </si>
  <si>
    <t>TÉCNICO DE ELECTRICIDAD</t>
  </si>
  <si>
    <t>ROMAN ROMAN PAQUITO MELO</t>
  </si>
  <si>
    <t>ROMERO AVILA MOISES AGUSTIN</t>
  </si>
  <si>
    <t>ROMERO CORDOVA JOSE LUIS</t>
  </si>
  <si>
    <t>ROMERO TAPIA KLEVER AUGUSTO</t>
  </si>
  <si>
    <t>RUIZ JOSE MARCOLINO</t>
  </si>
  <si>
    <t>RUIZ JUELA JULIO RIGOBERTO</t>
  </si>
  <si>
    <t>RUIZ SALINAS SEGUNDO ALBERTO</t>
  </si>
  <si>
    <t>PINTOR - ROTULADOR</t>
  </si>
  <si>
    <t>RUIZ SARMIENTO MARCO PATRICIO</t>
  </si>
  <si>
    <t>RUQUE MOROCHO EDWIN MARCONI</t>
  </si>
  <si>
    <t>SALINAS GUTIERREZ JOSE ENRIQUE</t>
  </si>
  <si>
    <t>SALINAS PEREZ MANUEL AGUSTIN</t>
  </si>
  <si>
    <t>SAMANIEGO CABRERA LUIS ALBERTO</t>
  </si>
  <si>
    <t>SANCHEZ CUEVA MARLON ESTUARDO</t>
  </si>
  <si>
    <t>SANCHEZ HIDALGO CARLOS EDUARDO</t>
  </si>
  <si>
    <t>SANCHEZ NORGE ANTONIO</t>
  </si>
  <si>
    <t xml:space="preserve">OPERADOR DE CARGADORA </t>
  </si>
  <si>
    <t>SANTIN BEJARANO MODESTO AGUSTIN</t>
  </si>
  <si>
    <t>SANTIN CARRION RODRIGO</t>
  </si>
  <si>
    <t>SARMIENTO ORTIZ LEONARDO MAURICIO</t>
  </si>
  <si>
    <t>SISALIMA ARIAS WALTER RODRIGO</t>
  </si>
  <si>
    <t>SISALIMA ORELLANA HECTOR HUGO</t>
  </si>
  <si>
    <t>SOLORZANO AREVALO FREDY AGUSTIN</t>
  </si>
  <si>
    <t>SOTO TACURI VICTOR MANUEL</t>
  </si>
  <si>
    <t>1101509634</t>
  </si>
  <si>
    <t>SOTOMAYOR CASTRO GALO EDILGIO</t>
  </si>
  <si>
    <t>SUAREZ ADOLFO DE JESUS</t>
  </si>
  <si>
    <t>1104020308</t>
  </si>
  <si>
    <t>SUQUILANDA PINEDA  WILMAN  OSWALDO</t>
  </si>
  <si>
    <t>TORRES CAMPOVERDE JORGE VICENTE</t>
  </si>
  <si>
    <t>TORRES GUARNIZO VICTOR MANUEL</t>
  </si>
  <si>
    <t>VALDIVIESO JIMENEZ CARLOS YOVANY</t>
  </si>
  <si>
    <t>VALDIVIESO JIMENEZ VICTOR</t>
  </si>
  <si>
    <t>VERDUGA FARFÁN JORGE HEXMAN ANTONIO</t>
  </si>
  <si>
    <t>VILLALBA MORALES MANUEL MESIAS</t>
  </si>
  <si>
    <t>VILLALTA CRUZ</t>
  </si>
  <si>
    <t>VILLAVICENCIO GUAMAN GORKI DUMAN</t>
  </si>
  <si>
    <t>VILLAVICENCIO OJEDA VICENTE OSWALDO</t>
  </si>
  <si>
    <t>SUPERVISOR MECÁNICO DE EQUIPOS Y MOTORES A GASOLINA</t>
  </si>
  <si>
    <t>VIVANCO CORDOVA ANGEL SALVADOR</t>
  </si>
  <si>
    <t>TÉCNICO MECÁNICO DE EQUIPO Y MOTORES A DIESEL</t>
  </si>
  <si>
    <t>ZHUNAULA CASTRO EDGAR PATRICIO</t>
  </si>
  <si>
    <t>GUERRERO BERMO DIEGO ESTUARDO</t>
  </si>
  <si>
    <t>EMPRESA PUBLICA DE VIALIDAD DEL SUR</t>
  </si>
  <si>
    <t>Ing. Fabian Villamagua Aguirre</t>
  </si>
  <si>
    <t xml:space="preserve"> </t>
  </si>
  <si>
    <t>COSTO REAL DEL CONTRATO COLECTIVO VIGENTE USD 2014</t>
  </si>
  <si>
    <t>COSTO REAL DEL CONTRATO COLECTIVO VIGENTE USD 2015</t>
  </si>
  <si>
    <t>COSTO ESTIMADO DEL CONTRATO COLECTIVO PROPUESTO USD 2016</t>
  </si>
  <si>
    <t>FINANCIAMIENTO REAL DEL CONTRATO COLECTIVO VIGENTE USD 2015</t>
  </si>
  <si>
    <t>FINANCIAMIENTO REAL DEL CONTRATO COLECTIVO VIGENTE USD 2014</t>
  </si>
  <si>
    <t>REMUNERACIÓN UNIFICADA 2014</t>
  </si>
  <si>
    <t>SOBREVALORADO</t>
  </si>
  <si>
    <t>FIRMA DIRECTOR (A) FINANCIERO (A)</t>
  </si>
  <si>
    <t xml:space="preserve">FIRMA DIRECTOR (A) FINANCIERO (A) </t>
  </si>
  <si>
    <t>FIRMA AUTORIDAD</t>
  </si>
  <si>
    <t>EMPRESA PÚBLICA DE VIALIDAD DEL SUR</t>
  </si>
  <si>
    <t>VESTUARIO, LENCERIA Y PRENDAS DE PROTECCION</t>
  </si>
  <si>
    <t>FECHA DE INGRESO A VIALSUR E.P.</t>
  </si>
  <si>
    <t>ABRIGO ORTEGA ANGEL BOLIVAR</t>
  </si>
  <si>
    <t>AYUDANTE DE ALBAÑIL</t>
  </si>
  <si>
    <t>* De ser el caso,  se deberá incluir filas adicionales para detallar a todos los trabajadores del contrato colectivo.</t>
  </si>
  <si>
    <t>* La información deberá estar acorde a los techos presupuestarios establecidos por el MRL correspondiente a cada periodo.</t>
  </si>
  <si>
    <r>
      <rPr>
        <b/>
        <sz val="8"/>
        <rFont val="Calibri"/>
        <family val="2"/>
        <scheme val="minor"/>
      </rPr>
      <t>OBSERVACIÓN</t>
    </r>
    <r>
      <rPr>
        <sz val="8"/>
        <rFont val="Calibri"/>
        <family val="2"/>
        <scheme val="minor"/>
      </rPr>
      <t>: Debe considerarse que adicional a la remuneración mensual unificada detallada, los trabajadores permanentes reciben un aproximado de $110 mensuales por concepto de alimentación, transporte, subsidio por antigüedad y cargas familiares</t>
    </r>
  </si>
  <si>
    <t>Nombre: Lic. Viviana Macas Toledo</t>
  </si>
  <si>
    <t>FIRMA DIRECTOR (A) TALENTO HUMANO (A) DEL GAD</t>
  </si>
  <si>
    <t>Nº PROYECTO CONTRATO COLECTIVO PROYECTO DECIMO NOVENO</t>
  </si>
  <si>
    <t>Nº PROYECTO CONTRATO COLECTIVO DECIMO NOVENO</t>
  </si>
  <si>
    <t>Nº PROYECTO CONTRATO COLECTIVO: DECIMO NOVENO</t>
  </si>
  <si>
    <t>Nombre: Ing. Roberto Astudillo Medina</t>
  </si>
  <si>
    <t>Nombre:  Ing. Roberto Astudillo</t>
  </si>
  <si>
    <t>AÑO  (2018)</t>
  </si>
  <si>
    <t>AÑO 1 (2019)</t>
  </si>
  <si>
    <t>AÑO 2 (2020)</t>
  </si>
  <si>
    <t>PROGRAMA MANTENIMIENTO Y MEJORAMIENTO VIAL</t>
  </si>
  <si>
    <t>NO HAY COMO CALCULAR LIMITE DE ENDEUDAMIENTO POR CUENTO LA EMPRESA NO CUENTA CON DEUDA PUBLICA.</t>
  </si>
  <si>
    <t>COSTO ESTIMADO DEL CONTRATO COLECTIVO PROPUESTO USD 2017</t>
  </si>
  <si>
    <t>COSTO ESTIMADO DEL CONTRATO COLECTIVO PROPUESTO USD 2018</t>
  </si>
  <si>
    <t>COSTO ESTIMADO DEL CONTRATO COLECTIVO PROPUESTO USD 2019</t>
  </si>
  <si>
    <t>ARBOLEDA ORDOÑEZ MODESTO LOSTICO</t>
  </si>
  <si>
    <t>RETIRO VOLUNTARIO PARA ACOGERSE A LA JUBILACION</t>
  </si>
  <si>
    <t>ARMIJOS VICENTE ARIELITO</t>
  </si>
  <si>
    <t>TRASPASADO AL GPL</t>
  </si>
  <si>
    <t>BARAJA JOSÉ HOMERO</t>
  </si>
  <si>
    <t>RENUNCIA VOLUNTARIA</t>
  </si>
  <si>
    <t>BURI ANGAMARCA SERGIO AGUSTIN</t>
  </si>
  <si>
    <t xml:space="preserve">JUBILACION POR ENFERMEDAD- </t>
  </si>
  <si>
    <t xml:space="preserve">CANO ABAD MANUEL AGUSTIN </t>
  </si>
  <si>
    <t>TRASPASO AL GPL.</t>
  </si>
  <si>
    <t>SANCHEZ PAUTE CRISTIAN MANUEL</t>
  </si>
  <si>
    <t>CARRERA RODRIGUEZ JOSE MANUEL</t>
  </si>
  <si>
    <t>SOLDADOR Y/O ACETILENO</t>
  </si>
  <si>
    <t>FALLECIMIENTO</t>
  </si>
  <si>
    <t>CORDOVA ROMAN ERALDIO AUGUSTO</t>
  </si>
  <si>
    <t>ESTRELLA SILVA GERMANIA JANETH</t>
  </si>
  <si>
    <t>GUALAN GUALAN JULIA FERNANDA</t>
  </si>
  <si>
    <t>GUAMAN CARLOS WASHINGTON</t>
  </si>
  <si>
    <t>CHOFER DE VEHÍCULOS LIVIANO Y PESADO</t>
  </si>
  <si>
    <t>GUARNIZO DELGADO HUGO ANIBAL</t>
  </si>
  <si>
    <t>VISTO BUENO</t>
  </si>
  <si>
    <t>MARIN JUAN PAUL</t>
  </si>
  <si>
    <t>TRASPASO GPL.</t>
  </si>
  <si>
    <t>MORA PALADINEZ WALTER GONZALO</t>
  </si>
  <si>
    <t>PEÑA PEÑA VICTOR MANUEL</t>
  </si>
  <si>
    <t>SOLDADOR ELECTRICO Y/O ACETILENO</t>
  </si>
  <si>
    <t>RAMIREZ ENCALADA CELINA MARIA</t>
  </si>
  <si>
    <t>ROJAS ANDRADE MANUEL ANTONIO</t>
  </si>
  <si>
    <t>TORO RODRIGUEZ JAIME EDUARDO</t>
  </si>
  <si>
    <t>CHOFER DE VEHÍCULO LIVIANOS Y PESADO</t>
  </si>
  <si>
    <t>VALAREZO VASQUEZ GALO EDUARDO</t>
  </si>
  <si>
    <t>VINCES  CARLOS ALFREDO</t>
  </si>
  <si>
    <t>VIVANCO  BERYDDY NOVARINO</t>
  </si>
  <si>
    <t>O700001035</t>
  </si>
  <si>
    <t>VIVANCO TACURI VICTORIANO JACOB</t>
  </si>
  <si>
    <t>TOTAL</t>
  </si>
  <si>
    <t>Lugar y Fecha: 27 Junio 2019</t>
  </si>
  <si>
    <t>Lugar y Fecha: 24 Junio 2019</t>
  </si>
  <si>
    <t>FINANCIAMIENTO ESTIMADO DEL CONTRATO COLECTIVO PROPUESTO USD 2017</t>
  </si>
  <si>
    <t>FINANCIAMIENTO ESTIMADO DEL CONTRATO COLECTIVO PROPUESTO USD 2016</t>
  </si>
  <si>
    <t>FINANCIAMIENTO ESTIMADO DEL   CONTRATO COLECTIVO PROPUESTO USD 2018</t>
  </si>
  <si>
    <t>FINANCIAMIENTO ESTIMADO DEL CONTRATO COLECTIVO PROPUESTO USD 2019</t>
  </si>
  <si>
    <t>Lugar y Fecha: 24 Junio del 2019</t>
  </si>
  <si>
    <t>Lugar y Fecha: Loja, 24 Junio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</si>
</sst>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[$€]* #,##0.00_);_([$€]* \(#,##0.00\);_([$€]* &quot;-&quot;??_);_(@_)"/>
    <numFmt numFmtId="165" formatCode="_ * #,##0.00_ ;_ * \-#,##0.00_ ;_ * &quot;-&quot;??_ ;_ @_ "/>
  </numFmts>
  <fonts count="4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Times New Roman"/>
      <family val="1"/>
    </font>
    <font>
      <b/>
      <sz val="10"/>
      <color indexed="8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8"/>
      <color indexed="8"/>
      <name val="Calibri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sz val="10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10"/>
      <name val="Calibri"/>
      <family val="2"/>
    </font>
    <font>
      <sz val="8"/>
      <color indexed="8"/>
      <name val="Calibri"/>
      <family val="2"/>
      <scheme val="minor"/>
    </font>
    <font>
      <sz val="6"/>
      <color rgb="FFFF0000"/>
      <name val="Times New Roman"/>
      <family val="1"/>
    </font>
    <font>
      <b/>
      <sz val="8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9"/>
      <color indexed="8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5">
    <xf numFmtId="0" fontId="0" fillId="0" borderId="0"/>
    <xf numFmtId="164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14" fillId="0" borderId="0"/>
    <xf numFmtId="0" fontId="4" fillId="0" borderId="0"/>
    <xf numFmtId="0" fontId="4" fillId="0" borderId="0"/>
    <xf numFmtId="0" fontId="8" fillId="0" borderId="0"/>
    <xf numFmtId="0" fontId="9" fillId="0" borderId="0"/>
    <xf numFmtId="0" fontId="9" fillId="0" borderId="0"/>
    <xf numFmtId="165" fontId="4" fillId="0" borderId="0" applyFont="0" applyFill="0" applyBorder="0" applyAlignment="0" applyProtection="0"/>
    <xf numFmtId="0" fontId="3" fillId="0" borderId="0"/>
    <xf numFmtId="0" fontId="1" fillId="0" borderId="0"/>
  </cellStyleXfs>
  <cellXfs count="254">
    <xf numFmtId="0" fontId="0" fillId="0" borderId="0" xfId="0"/>
    <xf numFmtId="0" fontId="5" fillId="0" borderId="0" xfId="0" applyFont="1"/>
    <xf numFmtId="0" fontId="8" fillId="0" borderId="0" xfId="0" applyFont="1"/>
    <xf numFmtId="0" fontId="8" fillId="0" borderId="0" xfId="0" applyFont="1" applyBorder="1"/>
    <xf numFmtId="0" fontId="6" fillId="0" borderId="0" xfId="0" applyFont="1" applyFill="1" applyBorder="1" applyAlignment="1"/>
    <xf numFmtId="0" fontId="6" fillId="0" borderId="0" xfId="0" applyFont="1" applyBorder="1" applyAlignment="1"/>
    <xf numFmtId="0" fontId="14" fillId="0" borderId="0" xfId="6"/>
    <xf numFmtId="0" fontId="18" fillId="2" borderId="1" xfId="6" applyFont="1" applyFill="1" applyBorder="1" applyAlignment="1">
      <alignment horizontal="center" vertical="center" wrapText="1"/>
    </xf>
    <xf numFmtId="0" fontId="19" fillId="2" borderId="2" xfId="6" applyFont="1" applyFill="1" applyBorder="1" applyAlignment="1">
      <alignment horizontal="center" vertical="center"/>
    </xf>
    <xf numFmtId="0" fontId="19" fillId="2" borderId="3" xfId="6" applyFont="1" applyFill="1" applyBorder="1" applyAlignment="1">
      <alignment horizontal="center" vertical="center"/>
    </xf>
    <xf numFmtId="0" fontId="19" fillId="2" borderId="4" xfId="6" applyFont="1" applyFill="1" applyBorder="1" applyAlignment="1">
      <alignment horizontal="center" vertical="center"/>
    </xf>
    <xf numFmtId="0" fontId="19" fillId="2" borderId="5" xfId="6" applyFont="1" applyFill="1" applyBorder="1" applyAlignment="1">
      <alignment horizontal="center" vertical="center"/>
    </xf>
    <xf numFmtId="0" fontId="15" fillId="2" borderId="6" xfId="6" applyFont="1" applyFill="1" applyBorder="1" applyAlignment="1">
      <alignment horizontal="center" vertical="center" wrapText="1"/>
    </xf>
    <xf numFmtId="0" fontId="15" fillId="2" borderId="3" xfId="6" applyFont="1" applyFill="1" applyBorder="1" applyAlignment="1">
      <alignment horizontal="center" vertical="center" wrapText="1"/>
    </xf>
    <xf numFmtId="0" fontId="20" fillId="3" borderId="7" xfId="6" applyFont="1" applyFill="1" applyBorder="1"/>
    <xf numFmtId="0" fontId="21" fillId="0" borderId="8" xfId="6" applyFont="1" applyBorder="1" applyAlignment="1">
      <alignment horizontal="left"/>
    </xf>
    <xf numFmtId="0" fontId="21" fillId="0" borderId="9" xfId="6" applyFont="1" applyBorder="1"/>
    <xf numFmtId="0" fontId="20" fillId="0" borderId="10" xfId="6" applyFont="1" applyBorder="1"/>
    <xf numFmtId="0" fontId="20" fillId="0" borderId="8" xfId="6" applyFont="1" applyBorder="1" applyAlignment="1">
      <alignment horizontal="center"/>
    </xf>
    <xf numFmtId="0" fontId="20" fillId="0" borderId="10" xfId="6" applyFont="1" applyBorder="1" applyAlignment="1">
      <alignment horizontal="left" indent="2"/>
    </xf>
    <xf numFmtId="0" fontId="20" fillId="0" borderId="11" xfId="6" applyFont="1" applyBorder="1"/>
    <xf numFmtId="0" fontId="20" fillId="0" borderId="12" xfId="6" applyFont="1" applyBorder="1"/>
    <xf numFmtId="0" fontId="14" fillId="0" borderId="13" xfId="6" applyBorder="1"/>
    <xf numFmtId="0" fontId="14" fillId="0" borderId="12" xfId="6" applyBorder="1"/>
    <xf numFmtId="0" fontId="21" fillId="0" borderId="10" xfId="6" applyFont="1" applyBorder="1"/>
    <xf numFmtId="0" fontId="20" fillId="0" borderId="15" xfId="6" applyFont="1" applyBorder="1" applyAlignment="1">
      <alignment horizontal="left" indent="2"/>
    </xf>
    <xf numFmtId="0" fontId="20" fillId="3" borderId="10" xfId="6" applyFont="1" applyFill="1" applyBorder="1"/>
    <xf numFmtId="0" fontId="21" fillId="0" borderId="15" xfId="6" applyFont="1" applyBorder="1"/>
    <xf numFmtId="0" fontId="22" fillId="4" borderId="10" xfId="6" applyFont="1" applyFill="1" applyBorder="1"/>
    <xf numFmtId="0" fontId="14" fillId="3" borderId="12" xfId="6" applyFill="1" applyBorder="1"/>
    <xf numFmtId="0" fontId="21" fillId="0" borderId="13" xfId="6" applyFont="1" applyBorder="1" applyAlignment="1">
      <alignment horizontal="left"/>
    </xf>
    <xf numFmtId="0" fontId="21" fillId="0" borderId="16" xfId="6" applyFont="1" applyBorder="1"/>
    <xf numFmtId="0" fontId="21" fillId="0" borderId="10" xfId="6" applyFont="1" applyBorder="1" applyAlignment="1">
      <alignment horizontal="left"/>
    </xf>
    <xf numFmtId="0" fontId="23" fillId="2" borderId="10" xfId="6" applyFont="1" applyFill="1" applyBorder="1"/>
    <xf numFmtId="0" fontId="21" fillId="0" borderId="14" xfId="6" applyFont="1" applyBorder="1" applyAlignment="1">
      <alignment horizontal="left"/>
    </xf>
    <xf numFmtId="0" fontId="21" fillId="0" borderId="18" xfId="6" applyFont="1" applyBorder="1" applyAlignment="1">
      <alignment horizontal="left"/>
    </xf>
    <xf numFmtId="0" fontId="21" fillId="0" borderId="19" xfId="6" applyFont="1" applyBorder="1"/>
    <xf numFmtId="0" fontId="21" fillId="0" borderId="20" xfId="6" applyFont="1" applyBorder="1" applyAlignment="1">
      <alignment horizontal="left"/>
    </xf>
    <xf numFmtId="0" fontId="21" fillId="0" borderId="21" xfId="6" applyFont="1" applyBorder="1"/>
    <xf numFmtId="0" fontId="23" fillId="2" borderId="15" xfId="6" applyFont="1" applyFill="1" applyBorder="1"/>
    <xf numFmtId="0" fontId="23" fillId="0" borderId="0" xfId="6" applyFont="1" applyFill="1" applyBorder="1" applyAlignment="1">
      <alignment horizontal="center"/>
    </xf>
    <xf numFmtId="0" fontId="23" fillId="0" borderId="0" xfId="6" applyFont="1" applyFill="1" applyBorder="1"/>
    <xf numFmtId="0" fontId="14" fillId="0" borderId="0" xfId="6" applyFill="1"/>
    <xf numFmtId="0" fontId="16" fillId="0" borderId="25" xfId="6" applyFont="1" applyFill="1" applyBorder="1" applyAlignment="1">
      <alignment horizontal="center"/>
    </xf>
    <xf numFmtId="0" fontId="16" fillId="0" borderId="26" xfId="6" applyFont="1" applyFill="1" applyBorder="1" applyAlignment="1">
      <alignment horizontal="center"/>
    </xf>
    <xf numFmtId="0" fontId="23" fillId="0" borderId="26" xfId="6" applyFont="1" applyFill="1" applyBorder="1"/>
    <xf numFmtId="0" fontId="20" fillId="0" borderId="0" xfId="6" applyFont="1" applyFill="1" applyBorder="1"/>
    <xf numFmtId="0" fontId="16" fillId="0" borderId="0" xfId="6" applyFont="1"/>
    <xf numFmtId="0" fontId="24" fillId="0" borderId="0" xfId="0" applyFont="1" applyFill="1" applyBorder="1" applyAlignment="1"/>
    <xf numFmtId="0" fontId="24" fillId="0" borderId="0" xfId="0" applyFont="1" applyBorder="1" applyAlignment="1"/>
    <xf numFmtId="0" fontId="25" fillId="0" borderId="0" xfId="0" applyFont="1" applyBorder="1"/>
    <xf numFmtId="0" fontId="26" fillId="0" borderId="0" xfId="0" applyFont="1" applyBorder="1" applyAlignment="1">
      <alignment horizontal="center"/>
    </xf>
    <xf numFmtId="4" fontId="25" fillId="0" borderId="0" xfId="0" applyNumberFormat="1" applyFont="1" applyBorder="1"/>
    <xf numFmtId="0" fontId="25" fillId="0" borderId="27" xfId="0" applyFont="1" applyBorder="1"/>
    <xf numFmtId="0" fontId="25" fillId="0" borderId="0" xfId="0" applyFont="1"/>
    <xf numFmtId="0" fontId="27" fillId="0" borderId="0" xfId="0" applyFont="1" applyFill="1" applyBorder="1" applyAlignment="1"/>
    <xf numFmtId="0" fontId="27" fillId="0" borderId="0" xfId="0" applyFont="1" applyFill="1" applyBorder="1" applyAlignment="1">
      <alignment horizontal="center"/>
    </xf>
    <xf numFmtId="0" fontId="27" fillId="0" borderId="0" xfId="0" applyFont="1" applyBorder="1" applyAlignment="1"/>
    <xf numFmtId="0" fontId="24" fillId="0" borderId="0" xfId="0" applyFont="1" applyFill="1" applyBorder="1" applyAlignment="1">
      <alignment horizontal="left"/>
    </xf>
    <xf numFmtId="0" fontId="28" fillId="0" borderId="0" xfId="0" applyFont="1" applyFill="1" applyBorder="1" applyAlignment="1"/>
    <xf numFmtId="0" fontId="29" fillId="0" borderId="0" xfId="0" applyFont="1" applyBorder="1"/>
    <xf numFmtId="0" fontId="16" fillId="0" borderId="30" xfId="6" applyFont="1" applyBorder="1" applyAlignment="1">
      <alignment horizontal="center"/>
    </xf>
    <xf numFmtId="4" fontId="28" fillId="0" borderId="31" xfId="0" applyNumberFormat="1" applyFont="1" applyFill="1" applyBorder="1" applyAlignment="1">
      <alignment horizontal="center"/>
    </xf>
    <xf numFmtId="4" fontId="28" fillId="0" borderId="32" xfId="0" applyNumberFormat="1" applyFont="1" applyFill="1" applyBorder="1" applyAlignment="1">
      <alignment horizontal="center"/>
    </xf>
    <xf numFmtId="4" fontId="24" fillId="0" borderId="32" xfId="0" applyNumberFormat="1" applyFont="1" applyFill="1" applyBorder="1" applyAlignment="1">
      <alignment horizontal="center"/>
    </xf>
    <xf numFmtId="4" fontId="30" fillId="0" borderId="32" xfId="2" applyNumberFormat="1" applyFont="1" applyBorder="1" applyAlignment="1">
      <alignment horizontal="center"/>
    </xf>
    <xf numFmtId="0" fontId="25" fillId="0" borderId="32" xfId="0" applyFont="1" applyBorder="1"/>
    <xf numFmtId="4" fontId="25" fillId="0" borderId="32" xfId="0" applyNumberFormat="1" applyFont="1" applyBorder="1"/>
    <xf numFmtId="4" fontId="24" fillId="0" borderId="9" xfId="0" applyNumberFormat="1" applyFont="1" applyFill="1" applyBorder="1" applyAlignment="1">
      <alignment horizontal="center"/>
    </xf>
    <xf numFmtId="4" fontId="28" fillId="0" borderId="10" xfId="0" applyNumberFormat="1" applyFont="1" applyFill="1" applyBorder="1" applyAlignment="1">
      <alignment horizontal="center"/>
    </xf>
    <xf numFmtId="4" fontId="24" fillId="0" borderId="10" xfId="0" applyNumberFormat="1" applyFont="1" applyFill="1" applyBorder="1" applyAlignment="1">
      <alignment horizontal="center"/>
    </xf>
    <xf numFmtId="4" fontId="30" fillId="0" borderId="10" xfId="2" applyNumberFormat="1" applyFont="1" applyBorder="1" applyAlignment="1">
      <alignment horizontal="center"/>
    </xf>
    <xf numFmtId="0" fontId="25" fillId="0" borderId="10" xfId="0" applyFont="1" applyBorder="1"/>
    <xf numFmtId="4" fontId="25" fillId="0" borderId="10" xfId="0" applyNumberFormat="1" applyFont="1" applyBorder="1"/>
    <xf numFmtId="0" fontId="28" fillId="0" borderId="34" xfId="0" applyFont="1" applyBorder="1" applyAlignment="1">
      <alignment horizontal="left"/>
    </xf>
    <xf numFmtId="0" fontId="24" fillId="0" borderId="34" xfId="0" applyFont="1" applyBorder="1" applyAlignment="1">
      <alignment horizontal="left"/>
    </xf>
    <xf numFmtId="0" fontId="24" fillId="0" borderId="9" xfId="0" applyFont="1" applyBorder="1" applyAlignment="1">
      <alignment horizontal="center"/>
    </xf>
    <xf numFmtId="0" fontId="20" fillId="0" borderId="10" xfId="6" applyFont="1" applyBorder="1" applyAlignment="1">
      <alignment horizontal="center"/>
    </xf>
    <xf numFmtId="0" fontId="28" fillId="0" borderId="10" xfId="0" applyFont="1" applyBorder="1" applyAlignment="1">
      <alignment horizontal="center"/>
    </xf>
    <xf numFmtId="0" fontId="24" fillId="0" borderId="10" xfId="0" applyFont="1" applyBorder="1" applyAlignment="1">
      <alignment horizontal="center"/>
    </xf>
    <xf numFmtId="49" fontId="28" fillId="0" borderId="10" xfId="0" applyNumberFormat="1" applyFont="1" applyBorder="1" applyAlignment="1">
      <alignment horizontal="center"/>
    </xf>
    <xf numFmtId="0" fontId="20" fillId="0" borderId="17" xfId="6" applyFont="1" applyBorder="1" applyAlignment="1">
      <alignment horizontal="center"/>
    </xf>
    <xf numFmtId="0" fontId="25" fillId="0" borderId="17" xfId="0" applyFont="1" applyBorder="1"/>
    <xf numFmtId="0" fontId="25" fillId="0" borderId="35" xfId="0" applyFont="1" applyBorder="1" applyAlignment="1">
      <alignment horizontal="center"/>
    </xf>
    <xf numFmtId="0" fontId="16" fillId="0" borderId="0" xfId="6" applyFont="1" applyBorder="1" applyAlignment="1">
      <alignment horizontal="center"/>
    </xf>
    <xf numFmtId="0" fontId="28" fillId="0" borderId="7" xfId="0" applyFont="1" applyBorder="1" applyAlignment="1">
      <alignment horizontal="center"/>
    </xf>
    <xf numFmtId="0" fontId="24" fillId="0" borderId="7" xfId="0" applyFont="1" applyBorder="1" applyAlignment="1">
      <alignment horizontal="center"/>
    </xf>
    <xf numFmtId="49" fontId="28" fillId="0" borderId="7" xfId="0" applyNumberFormat="1" applyFont="1" applyBorder="1" applyAlignment="1">
      <alignment horizontal="center"/>
    </xf>
    <xf numFmtId="0" fontId="28" fillId="0" borderId="40" xfId="0" applyFont="1" applyBorder="1" applyAlignment="1">
      <alignment horizontal="center"/>
    </xf>
    <xf numFmtId="2" fontId="24" fillId="0" borderId="7" xfId="0" applyNumberFormat="1" applyFont="1" applyFill="1" applyBorder="1" applyAlignment="1">
      <alignment horizontal="center"/>
    </xf>
    <xf numFmtId="0" fontId="15" fillId="2" borderId="25" xfId="6" applyFont="1" applyFill="1" applyBorder="1" applyAlignment="1"/>
    <xf numFmtId="0" fontId="15" fillId="2" borderId="26" xfId="6" applyFont="1" applyFill="1" applyBorder="1" applyAlignment="1"/>
    <xf numFmtId="0" fontId="20" fillId="0" borderId="13" xfId="6" applyFont="1" applyBorder="1"/>
    <xf numFmtId="1" fontId="25" fillId="5" borderId="18" xfId="9" applyNumberFormat="1" applyFont="1" applyFill="1" applyBorder="1" applyAlignment="1">
      <alignment horizontal="center" vertical="center"/>
    </xf>
    <xf numFmtId="2" fontId="25" fillId="5" borderId="19" xfId="10" applyNumberFormat="1" applyFont="1" applyFill="1" applyBorder="1" applyAlignment="1">
      <alignment horizontal="center" vertical="center"/>
    </xf>
    <xf numFmtId="1" fontId="25" fillId="5" borderId="13" xfId="9" applyNumberFormat="1" applyFont="1" applyFill="1" applyBorder="1" applyAlignment="1">
      <alignment horizontal="center" vertical="center"/>
    </xf>
    <xf numFmtId="2" fontId="25" fillId="5" borderId="16" xfId="8" applyNumberFormat="1" applyFont="1" applyFill="1" applyBorder="1" applyAlignment="1">
      <alignment horizontal="center" vertical="center"/>
    </xf>
    <xf numFmtId="2" fontId="25" fillId="5" borderId="16" xfId="10" applyNumberFormat="1" applyFont="1" applyFill="1" applyBorder="1" applyAlignment="1">
      <alignment horizontal="center" vertical="center"/>
    </xf>
    <xf numFmtId="2" fontId="25" fillId="5" borderId="16" xfId="12" applyNumberFormat="1" applyFont="1" applyFill="1" applyBorder="1" applyAlignment="1">
      <alignment horizontal="center" vertical="center"/>
    </xf>
    <xf numFmtId="2" fontId="25" fillId="5" borderId="44" xfId="10" applyNumberFormat="1" applyFont="1" applyFill="1" applyBorder="1" applyAlignment="1">
      <alignment horizontal="center" vertical="center"/>
    </xf>
    <xf numFmtId="2" fontId="25" fillId="5" borderId="14" xfId="10" applyNumberFormat="1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center"/>
    </xf>
    <xf numFmtId="49" fontId="25" fillId="5" borderId="14" xfId="8" applyNumberFormat="1" applyFont="1" applyFill="1" applyBorder="1" applyAlignment="1">
      <alignment vertical="center" wrapText="1"/>
    </xf>
    <xf numFmtId="0" fontId="29" fillId="5" borderId="14" xfId="0" applyFont="1" applyFill="1" applyBorder="1" applyAlignment="1">
      <alignment horizontal="center" wrapText="1"/>
    </xf>
    <xf numFmtId="0" fontId="25" fillId="0" borderId="0" xfId="0" applyFont="1" applyBorder="1" applyAlignment="1">
      <alignment horizontal="center"/>
    </xf>
    <xf numFmtId="0" fontId="25" fillId="0" borderId="0" xfId="0" applyFont="1" applyBorder="1" applyAlignment="1"/>
    <xf numFmtId="0" fontId="25" fillId="0" borderId="0" xfId="0" applyFont="1" applyBorder="1" applyAlignment="1">
      <alignment horizontal="center" wrapText="1"/>
    </xf>
    <xf numFmtId="0" fontId="26" fillId="0" borderId="0" xfId="0" applyFont="1" applyBorder="1" applyAlignment="1"/>
    <xf numFmtId="2" fontId="24" fillId="0" borderId="27" xfId="0" applyNumberFormat="1" applyFont="1" applyFill="1" applyBorder="1" applyAlignment="1">
      <alignment horizontal="center"/>
    </xf>
    <xf numFmtId="4" fontId="28" fillId="0" borderId="10" xfId="3" applyNumberFormat="1" applyFont="1" applyFill="1" applyBorder="1" applyAlignment="1">
      <alignment horizontal="center"/>
    </xf>
    <xf numFmtId="1" fontId="25" fillId="5" borderId="14" xfId="9" applyNumberFormat="1" applyFont="1" applyFill="1" applyBorder="1" applyAlignment="1">
      <alignment horizontal="center" vertical="center"/>
    </xf>
    <xf numFmtId="4" fontId="28" fillId="5" borderId="10" xfId="3" applyNumberFormat="1" applyFont="1" applyFill="1" applyBorder="1" applyAlignment="1">
      <alignment horizontal="center"/>
    </xf>
    <xf numFmtId="2" fontId="25" fillId="0" borderId="10" xfId="0" applyNumberFormat="1" applyFont="1" applyBorder="1" applyAlignment="1">
      <alignment horizontal="right"/>
    </xf>
    <xf numFmtId="2" fontId="25" fillId="0" borderId="15" xfId="0" applyNumberFormat="1" applyFont="1" applyBorder="1" applyAlignment="1">
      <alignment horizontal="right"/>
    </xf>
    <xf numFmtId="2" fontId="25" fillId="0" borderId="7" xfId="0" applyNumberFormat="1" applyFont="1" applyBorder="1" applyAlignment="1">
      <alignment horizontal="right"/>
    </xf>
    <xf numFmtId="4" fontId="24" fillId="0" borderId="48" xfId="0" applyNumberFormat="1" applyFont="1" applyFill="1" applyBorder="1" applyAlignment="1">
      <alignment horizontal="center"/>
    </xf>
    <xf numFmtId="4" fontId="28" fillId="0" borderId="8" xfId="0" applyNumberFormat="1" applyFont="1" applyFill="1" applyBorder="1" applyAlignment="1">
      <alignment horizontal="center"/>
    </xf>
    <xf numFmtId="4" fontId="24" fillId="0" borderId="8" xfId="0" applyNumberFormat="1" applyFont="1" applyFill="1" applyBorder="1" applyAlignment="1">
      <alignment horizontal="center"/>
    </xf>
    <xf numFmtId="4" fontId="30" fillId="0" borderId="8" xfId="2" applyNumberFormat="1" applyFont="1" applyBorder="1" applyAlignment="1">
      <alignment horizontal="center"/>
    </xf>
    <xf numFmtId="0" fontId="25" fillId="0" borderId="8" xfId="0" applyFont="1" applyBorder="1"/>
    <xf numFmtId="4" fontId="25" fillId="0" borderId="8" xfId="0" applyNumberFormat="1" applyFont="1" applyBorder="1"/>
    <xf numFmtId="0" fontId="25" fillId="0" borderId="49" xfId="0" applyFont="1" applyBorder="1"/>
    <xf numFmtId="2" fontId="25" fillId="0" borderId="50" xfId="0" applyNumberFormat="1" applyFont="1" applyBorder="1" applyAlignment="1">
      <alignment horizontal="right"/>
    </xf>
    <xf numFmtId="2" fontId="25" fillId="0" borderId="8" xfId="0" applyNumberFormat="1" applyFont="1" applyBorder="1" applyAlignment="1">
      <alignment horizontal="right"/>
    </xf>
    <xf numFmtId="2" fontId="25" fillId="0" borderId="51" xfId="0" applyNumberFormat="1" applyFont="1" applyBorder="1" applyAlignment="1">
      <alignment horizontal="right"/>
    </xf>
    <xf numFmtId="4" fontId="28" fillId="0" borderId="9" xfId="0" applyNumberFormat="1" applyFont="1" applyFill="1" applyBorder="1" applyAlignment="1">
      <alignment horizontal="center"/>
    </xf>
    <xf numFmtId="4" fontId="25" fillId="0" borderId="17" xfId="0" applyNumberFormat="1" applyFont="1" applyBorder="1"/>
    <xf numFmtId="0" fontId="24" fillId="0" borderId="27" xfId="0" applyFont="1" applyBorder="1" applyAlignment="1">
      <alignment horizontal="left"/>
    </xf>
    <xf numFmtId="0" fontId="28" fillId="0" borderId="27" xfId="0" applyFont="1" applyBorder="1" applyAlignment="1">
      <alignment horizontal="left"/>
    </xf>
    <xf numFmtId="0" fontId="28" fillId="0" borderId="0" xfId="0" applyFont="1" applyBorder="1" applyAlignment="1">
      <alignment horizontal="left"/>
    </xf>
    <xf numFmtId="4" fontId="28" fillId="0" borderId="34" xfId="3" applyNumberFormat="1" applyFont="1" applyFill="1" applyBorder="1" applyAlignment="1">
      <alignment horizontal="center"/>
    </xf>
    <xf numFmtId="4" fontId="28" fillId="0" borderId="0" xfId="0" applyNumberFormat="1" applyFont="1" applyBorder="1" applyAlignment="1">
      <alignment horizontal="center"/>
    </xf>
    <xf numFmtId="2" fontId="24" fillId="0" borderId="9" xfId="0" applyNumberFormat="1" applyFont="1" applyFill="1" applyBorder="1" applyAlignment="1">
      <alignment horizontal="center"/>
    </xf>
    <xf numFmtId="4" fontId="28" fillId="0" borderId="41" xfId="0" applyNumberFormat="1" applyFont="1" applyBorder="1" applyAlignment="1">
      <alignment horizontal="center"/>
    </xf>
    <xf numFmtId="0" fontId="25" fillId="0" borderId="40" xfId="0" applyFont="1" applyBorder="1"/>
    <xf numFmtId="49" fontId="19" fillId="2" borderId="3" xfId="0" applyNumberFormat="1" applyFont="1" applyFill="1" applyBorder="1" applyAlignment="1">
      <alignment horizontal="center" vertical="center" wrapText="1"/>
    </xf>
    <xf numFmtId="0" fontId="24" fillId="0" borderId="0" xfId="0" applyFont="1" applyBorder="1" applyAlignment="1">
      <alignment horizontal="center"/>
    </xf>
    <xf numFmtId="0" fontId="24" fillId="0" borderId="0" xfId="0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right" vertical="center" wrapText="1"/>
    </xf>
    <xf numFmtId="0" fontId="34" fillId="0" borderId="0" xfId="0" applyFont="1" applyBorder="1"/>
    <xf numFmtId="0" fontId="36" fillId="2" borderId="29" xfId="0" applyFont="1" applyFill="1" applyBorder="1" applyAlignment="1">
      <alignment horizontal="center" vertical="center" wrapText="1"/>
    </xf>
    <xf numFmtId="0" fontId="36" fillId="2" borderId="1" xfId="0" applyFont="1" applyFill="1" applyBorder="1" applyAlignment="1">
      <alignment horizontal="center" vertical="center" wrapText="1"/>
    </xf>
    <xf numFmtId="0" fontId="36" fillId="2" borderId="5" xfId="0" applyFont="1" applyFill="1" applyBorder="1" applyAlignment="1">
      <alignment horizontal="center" vertical="center" wrapText="1"/>
    </xf>
    <xf numFmtId="0" fontId="36" fillId="2" borderId="52" xfId="0" applyFont="1" applyFill="1" applyBorder="1" applyAlignment="1">
      <alignment horizontal="center" vertical="center" wrapText="1"/>
    </xf>
    <xf numFmtId="1" fontId="32" fillId="5" borderId="14" xfId="8" applyNumberFormat="1" applyFont="1" applyFill="1" applyBorder="1" applyAlignment="1">
      <alignment horizontal="right" vertical="center" wrapText="1"/>
    </xf>
    <xf numFmtId="4" fontId="28" fillId="5" borderId="28" xfId="0" applyNumberFormat="1" applyFont="1" applyFill="1" applyBorder="1" applyAlignment="1">
      <alignment horizontal="left"/>
    </xf>
    <xf numFmtId="14" fontId="8" fillId="5" borderId="14" xfId="0" applyNumberFormat="1" applyFont="1" applyFill="1" applyBorder="1"/>
    <xf numFmtId="1" fontId="25" fillId="5" borderId="14" xfId="8" applyNumberFormat="1" applyFont="1" applyFill="1" applyBorder="1" applyAlignment="1">
      <alignment horizontal="right" vertical="center" wrapText="1"/>
    </xf>
    <xf numFmtId="0" fontId="32" fillId="5" borderId="14" xfId="11" applyFont="1" applyFill="1" applyBorder="1" applyAlignment="1">
      <alignment horizontal="right" vertical="center"/>
    </xf>
    <xf numFmtId="0" fontId="32" fillId="5" borderId="14" xfId="8" applyFont="1" applyFill="1" applyBorder="1" applyAlignment="1">
      <alignment horizontal="right" vertical="center"/>
    </xf>
    <xf numFmtId="1" fontId="32" fillId="5" borderId="14" xfId="8" applyNumberFormat="1" applyFont="1" applyFill="1" applyBorder="1" applyAlignment="1">
      <alignment horizontal="right" vertical="center"/>
    </xf>
    <xf numFmtId="0" fontId="25" fillId="5" borderId="14" xfId="11" applyFont="1" applyFill="1" applyBorder="1" applyAlignment="1">
      <alignment horizontal="right" vertical="center"/>
    </xf>
    <xf numFmtId="1" fontId="32" fillId="5" borderId="14" xfId="11" applyNumberFormat="1" applyFont="1" applyFill="1" applyBorder="1" applyAlignment="1">
      <alignment horizontal="right" vertical="center"/>
    </xf>
    <xf numFmtId="0" fontId="32" fillId="5" borderId="14" xfId="8" applyFont="1" applyFill="1" applyBorder="1" applyAlignment="1">
      <alignment horizontal="right" vertical="center" wrapText="1"/>
    </xf>
    <xf numFmtId="4" fontId="28" fillId="5" borderId="14" xfId="0" applyNumberFormat="1" applyFont="1" applyFill="1" applyBorder="1" applyAlignment="1">
      <alignment horizontal="left"/>
    </xf>
    <xf numFmtId="1" fontId="25" fillId="5" borderId="14" xfId="8" applyNumberFormat="1" applyFont="1" applyFill="1" applyBorder="1" applyAlignment="1">
      <alignment horizontal="right" vertical="center"/>
    </xf>
    <xf numFmtId="1" fontId="25" fillId="5" borderId="14" xfId="11" applyNumberFormat="1" applyFont="1" applyFill="1" applyBorder="1" applyAlignment="1">
      <alignment horizontal="right" vertical="center"/>
    </xf>
    <xf numFmtId="0" fontId="27" fillId="0" borderId="0" xfId="0" applyFont="1" applyFill="1" applyBorder="1" applyAlignment="1">
      <alignment horizontal="center" wrapText="1"/>
    </xf>
    <xf numFmtId="0" fontId="24" fillId="0" borderId="0" xfId="0" applyFont="1" applyFill="1" applyBorder="1" applyAlignment="1">
      <alignment horizontal="left" wrapText="1"/>
    </xf>
    <xf numFmtId="0" fontId="24" fillId="0" borderId="0" xfId="0" applyFont="1" applyBorder="1" applyAlignment="1">
      <alignment wrapText="1"/>
    </xf>
    <xf numFmtId="0" fontId="24" fillId="0" borderId="0" xfId="0" applyFont="1" applyBorder="1" applyAlignment="1">
      <alignment horizontal="center" wrapText="1"/>
    </xf>
    <xf numFmtId="0" fontId="25" fillId="0" borderId="0" xfId="0" applyFont="1" applyBorder="1" applyAlignment="1">
      <alignment wrapText="1"/>
    </xf>
    <xf numFmtId="0" fontId="25" fillId="0" borderId="0" xfId="0" applyFont="1" applyAlignment="1">
      <alignment wrapText="1"/>
    </xf>
    <xf numFmtId="0" fontId="32" fillId="5" borderId="14" xfId="8" applyNumberFormat="1" applyFont="1" applyFill="1" applyBorder="1" applyAlignment="1">
      <alignment horizontal="right" vertical="center" wrapText="1"/>
    </xf>
    <xf numFmtId="0" fontId="29" fillId="5" borderId="0" xfId="0" applyFont="1" applyFill="1" applyBorder="1" applyAlignment="1">
      <alignment horizontal="center" wrapText="1"/>
    </xf>
    <xf numFmtId="49" fontId="15" fillId="2" borderId="3" xfId="0" applyNumberFormat="1" applyFont="1" applyFill="1" applyBorder="1" applyAlignment="1">
      <alignment horizontal="center" vertical="center" wrapText="1"/>
    </xf>
    <xf numFmtId="0" fontId="22" fillId="0" borderId="34" xfId="6" applyFont="1" applyBorder="1" applyAlignment="1">
      <alignment horizontal="left" indent="2"/>
    </xf>
    <xf numFmtId="0" fontId="30" fillId="0" borderId="33" xfId="0" applyFont="1" applyBorder="1" applyAlignment="1">
      <alignment horizontal="left"/>
    </xf>
    <xf numFmtId="0" fontId="22" fillId="0" borderId="34" xfId="6" applyFont="1" applyBorder="1" applyAlignment="1">
      <alignment horizontal="left" vertical="center" indent="2"/>
    </xf>
    <xf numFmtId="0" fontId="22" fillId="0" borderId="30" xfId="6" applyFont="1" applyBorder="1" applyAlignment="1">
      <alignment horizontal="left" vertical="center" indent="2"/>
    </xf>
    <xf numFmtId="0" fontId="28" fillId="5" borderId="28" xfId="0" applyFont="1" applyFill="1" applyBorder="1" applyAlignment="1">
      <alignment horizontal="center" vertical="center"/>
    </xf>
    <xf numFmtId="0" fontId="28" fillId="5" borderId="14" xfId="0" applyFont="1" applyFill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28" fillId="0" borderId="27" xfId="0" applyFont="1" applyBorder="1" applyAlignment="1">
      <alignment horizontal="left" vertical="center"/>
    </xf>
    <xf numFmtId="4" fontId="28" fillId="0" borderId="10" xfId="3" applyNumberFormat="1" applyFont="1" applyFill="1" applyBorder="1" applyAlignment="1">
      <alignment horizontal="center" vertical="center"/>
    </xf>
    <xf numFmtId="4" fontId="28" fillId="0" borderId="34" xfId="3" applyNumberFormat="1" applyFont="1" applyFill="1" applyBorder="1" applyAlignment="1">
      <alignment horizontal="center" vertical="center"/>
    </xf>
    <xf numFmtId="0" fontId="14" fillId="0" borderId="10" xfId="6" applyBorder="1"/>
    <xf numFmtId="0" fontId="20" fillId="0" borderId="8" xfId="6" applyFont="1" applyBorder="1"/>
    <xf numFmtId="0" fontId="31" fillId="0" borderId="0" xfId="0" applyFont="1" applyFill="1" applyBorder="1" applyAlignment="1">
      <alignment horizontal="center"/>
    </xf>
    <xf numFmtId="0" fontId="27" fillId="0" borderId="0" xfId="0" applyFont="1" applyFill="1" applyBorder="1" applyAlignment="1">
      <alignment horizontal="center"/>
    </xf>
    <xf numFmtId="4" fontId="25" fillId="0" borderId="35" xfId="0" applyNumberFormat="1" applyFont="1" applyBorder="1"/>
    <xf numFmtId="2" fontId="25" fillId="0" borderId="53" xfId="0" applyNumberFormat="1" applyFont="1" applyBorder="1" applyAlignment="1">
      <alignment horizontal="right"/>
    </xf>
    <xf numFmtId="2" fontId="25" fillId="0" borderId="32" xfId="0" applyNumberFormat="1" applyFont="1" applyBorder="1" applyAlignment="1">
      <alignment horizontal="right"/>
    </xf>
    <xf numFmtId="2" fontId="25" fillId="0" borderId="35" xfId="0" applyNumberFormat="1" applyFont="1" applyBorder="1" applyAlignment="1">
      <alignment horizontal="right"/>
    </xf>
    <xf numFmtId="0" fontId="2" fillId="0" borderId="34" xfId="6" applyFont="1" applyBorder="1" applyAlignment="1">
      <alignment horizontal="center" vertical="center"/>
    </xf>
    <xf numFmtId="4" fontId="28" fillId="3" borderId="10" xfId="3" applyNumberFormat="1" applyFont="1" applyFill="1" applyBorder="1" applyAlignment="1">
      <alignment horizontal="center" vertical="center"/>
    </xf>
    <xf numFmtId="0" fontId="20" fillId="0" borderId="10" xfId="6" applyFont="1" applyBorder="1" applyAlignment="1">
      <alignment horizontal="left" wrapText="1" indent="2"/>
    </xf>
    <xf numFmtId="4" fontId="18" fillId="2" borderId="10" xfId="3" applyNumberFormat="1" applyFont="1" applyFill="1" applyBorder="1" applyAlignment="1">
      <alignment horizontal="center" vertical="center"/>
    </xf>
    <xf numFmtId="4" fontId="37" fillId="0" borderId="8" xfId="2" applyNumberFormat="1" applyFont="1" applyBorder="1" applyAlignment="1">
      <alignment horizontal="center" vertical="center"/>
    </xf>
    <xf numFmtId="4" fontId="37" fillId="0" borderId="10" xfId="2" applyNumberFormat="1" applyFont="1" applyBorder="1" applyAlignment="1">
      <alignment horizontal="center" vertical="center"/>
    </xf>
    <xf numFmtId="4" fontId="38" fillId="0" borderId="10" xfId="2" applyNumberFormat="1" applyFont="1" applyBorder="1" applyAlignment="1">
      <alignment horizontal="left" vertical="center" wrapText="1"/>
    </xf>
    <xf numFmtId="0" fontId="27" fillId="0" borderId="0" xfId="0" applyFont="1" applyFill="1" applyBorder="1" applyAlignment="1">
      <alignment horizontal="center"/>
    </xf>
    <xf numFmtId="0" fontId="31" fillId="0" borderId="0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center" vertical="center"/>
    </xf>
    <xf numFmtId="0" fontId="39" fillId="4" borderId="12" xfId="6" applyFont="1" applyFill="1" applyBorder="1"/>
    <xf numFmtId="4" fontId="24" fillId="0" borderId="10" xfId="3" applyNumberFormat="1" applyFont="1" applyFill="1" applyBorder="1" applyAlignment="1">
      <alignment horizontal="center" vertical="center"/>
    </xf>
    <xf numFmtId="4" fontId="24" fillId="3" borderId="10" xfId="3" applyNumberFormat="1" applyFont="1" applyFill="1" applyBorder="1" applyAlignment="1">
      <alignment horizontal="center" vertical="center"/>
    </xf>
    <xf numFmtId="4" fontId="24" fillId="4" borderId="10" xfId="3" applyNumberFormat="1" applyFont="1" applyFill="1" applyBorder="1" applyAlignment="1">
      <alignment horizontal="center" vertical="center"/>
    </xf>
    <xf numFmtId="4" fontId="28" fillId="5" borderId="28" xfId="0" applyNumberFormat="1" applyFont="1" applyFill="1" applyBorder="1" applyAlignment="1">
      <alignment horizontal="center" wrapText="1"/>
    </xf>
    <xf numFmtId="43" fontId="25" fillId="0" borderId="0" xfId="3" applyFont="1" applyBorder="1"/>
    <xf numFmtId="0" fontId="16" fillId="0" borderId="30" xfId="14" applyFont="1" applyBorder="1" applyAlignment="1"/>
    <xf numFmtId="0" fontId="16" fillId="0" borderId="0" xfId="14" applyFont="1" applyAlignment="1">
      <alignment wrapText="1"/>
    </xf>
    <xf numFmtId="0" fontId="31" fillId="0" borderId="0" xfId="0" applyFont="1" applyFill="1" applyBorder="1" applyAlignment="1">
      <alignment horizontal="center"/>
    </xf>
    <xf numFmtId="0" fontId="27" fillId="0" borderId="0" xfId="0" applyFont="1" applyFill="1" applyBorder="1" applyAlignment="1">
      <alignment horizontal="center"/>
    </xf>
    <xf numFmtId="0" fontId="30" fillId="3" borderId="6" xfId="0" applyFont="1" applyFill="1" applyBorder="1" applyAlignment="1">
      <alignment horizontal="center"/>
    </xf>
    <xf numFmtId="0" fontId="30" fillId="3" borderId="42" xfId="0" applyFont="1" applyFill="1" applyBorder="1" applyAlignment="1">
      <alignment horizontal="center"/>
    </xf>
    <xf numFmtId="0" fontId="30" fillId="3" borderId="37" xfId="0" applyFont="1" applyFill="1" applyBorder="1" applyAlignment="1">
      <alignment horizontal="center"/>
    </xf>
    <xf numFmtId="0" fontId="16" fillId="0" borderId="30" xfId="6" applyFont="1" applyBorder="1" applyAlignment="1">
      <alignment horizontal="center"/>
    </xf>
    <xf numFmtId="4" fontId="33" fillId="0" borderId="17" xfId="2" applyNumberFormat="1" applyFont="1" applyFill="1" applyBorder="1" applyAlignment="1">
      <alignment horizontal="center" vertical="center" wrapText="1"/>
    </xf>
    <xf numFmtId="4" fontId="33" fillId="0" borderId="40" xfId="2" applyNumberFormat="1" applyFont="1" applyFill="1" applyBorder="1" applyAlignment="1">
      <alignment horizontal="center" vertical="center" wrapText="1"/>
    </xf>
    <xf numFmtId="4" fontId="33" fillId="0" borderId="41" xfId="2" applyNumberFormat="1" applyFont="1" applyFill="1" applyBorder="1" applyAlignment="1">
      <alignment horizontal="center" vertical="center" wrapText="1"/>
    </xf>
    <xf numFmtId="0" fontId="31" fillId="0" borderId="0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center" vertical="center"/>
    </xf>
    <xf numFmtId="0" fontId="29" fillId="6" borderId="0" xfId="0" applyFont="1" applyFill="1" applyBorder="1" applyAlignment="1">
      <alignment horizontal="left" wrapText="1"/>
    </xf>
    <xf numFmtId="0" fontId="16" fillId="0" borderId="0" xfId="14" applyFont="1" applyAlignment="1">
      <alignment horizontal="left" wrapText="1"/>
    </xf>
    <xf numFmtId="0" fontId="21" fillId="3" borderId="13" xfId="6" applyFont="1" applyFill="1" applyBorder="1" applyAlignment="1">
      <alignment horizontal="left"/>
    </xf>
    <xf numFmtId="0" fontId="21" fillId="3" borderId="44" xfId="6" applyFont="1" applyFill="1" applyBorder="1" applyAlignment="1">
      <alignment horizontal="left"/>
    </xf>
    <xf numFmtId="0" fontId="17" fillId="0" borderId="0" xfId="6" applyFont="1" applyAlignment="1">
      <alignment horizontal="center"/>
    </xf>
    <xf numFmtId="0" fontId="16" fillId="0" borderId="0" xfId="6" applyFont="1" applyAlignment="1">
      <alignment horizontal="center"/>
    </xf>
    <xf numFmtId="0" fontId="15" fillId="2" borderId="22" xfId="6" applyFont="1" applyFill="1" applyBorder="1" applyAlignment="1">
      <alignment horizontal="center" vertical="center" wrapText="1"/>
    </xf>
    <xf numFmtId="0" fontId="15" fillId="2" borderId="23" xfId="6" applyFont="1" applyFill="1" applyBorder="1" applyAlignment="1">
      <alignment horizontal="center" vertical="center" wrapText="1"/>
    </xf>
    <xf numFmtId="0" fontId="15" fillId="2" borderId="46" xfId="6" applyFont="1" applyFill="1" applyBorder="1" applyAlignment="1">
      <alignment horizontal="center" vertical="center" wrapText="1"/>
    </xf>
    <xf numFmtId="0" fontId="15" fillId="2" borderId="0" xfId="6" applyFont="1" applyFill="1" applyBorder="1" applyAlignment="1">
      <alignment horizontal="center" vertical="center" wrapText="1"/>
    </xf>
    <xf numFmtId="0" fontId="15" fillId="2" borderId="24" xfId="6" applyFont="1" applyFill="1" applyBorder="1" applyAlignment="1">
      <alignment horizontal="center" vertical="center" wrapText="1"/>
    </xf>
    <xf numFmtId="0" fontId="15" fillId="2" borderId="47" xfId="6" applyFont="1" applyFill="1" applyBorder="1" applyAlignment="1">
      <alignment horizontal="center" vertical="center" wrapText="1"/>
    </xf>
    <xf numFmtId="0" fontId="15" fillId="2" borderId="36" xfId="6" applyFont="1" applyFill="1" applyBorder="1" applyAlignment="1">
      <alignment horizontal="center" vertical="center" wrapText="1"/>
    </xf>
    <xf numFmtId="0" fontId="15" fillId="2" borderId="40" xfId="6" applyFont="1" applyFill="1" applyBorder="1" applyAlignment="1">
      <alignment horizontal="center" vertical="center" wrapText="1"/>
    </xf>
    <xf numFmtId="0" fontId="15" fillId="2" borderId="41" xfId="6" applyFont="1" applyFill="1" applyBorder="1" applyAlignment="1">
      <alignment horizontal="center" vertical="center" wrapText="1"/>
    </xf>
    <xf numFmtId="0" fontId="21" fillId="3" borderId="38" xfId="6" applyFont="1" applyFill="1" applyBorder="1" applyAlignment="1">
      <alignment horizontal="left"/>
    </xf>
    <xf numFmtId="0" fontId="21" fillId="4" borderId="13" xfId="6" applyFont="1" applyFill="1" applyBorder="1" applyAlignment="1">
      <alignment horizontal="center"/>
    </xf>
    <xf numFmtId="0" fontId="21" fillId="4" borderId="19" xfId="6" applyFont="1" applyFill="1" applyBorder="1" applyAlignment="1">
      <alignment horizontal="center"/>
    </xf>
    <xf numFmtId="0" fontId="21" fillId="3" borderId="16" xfId="6" applyFont="1" applyFill="1" applyBorder="1" applyAlignment="1">
      <alignment horizontal="left"/>
    </xf>
    <xf numFmtId="0" fontId="16" fillId="0" borderId="22" xfId="6" applyFont="1" applyFill="1" applyBorder="1" applyAlignment="1">
      <alignment horizontal="left"/>
    </xf>
    <xf numFmtId="0" fontId="16" fillId="0" borderId="23" xfId="6" applyFont="1" applyFill="1" applyBorder="1" applyAlignment="1">
      <alignment horizontal="left"/>
    </xf>
    <xf numFmtId="0" fontId="23" fillId="2" borderId="13" xfId="6" applyFont="1" applyFill="1" applyBorder="1" applyAlignment="1">
      <alignment horizontal="center"/>
    </xf>
    <xf numFmtId="0" fontId="23" fillId="2" borderId="16" xfId="6" applyFont="1" applyFill="1" applyBorder="1" applyAlignment="1">
      <alignment horizontal="center"/>
    </xf>
    <xf numFmtId="0" fontId="21" fillId="3" borderId="43" xfId="6" applyFont="1" applyFill="1" applyBorder="1" applyAlignment="1">
      <alignment horizontal="left"/>
    </xf>
    <xf numFmtId="0" fontId="23" fillId="2" borderId="45" xfId="6" applyFont="1" applyFill="1" applyBorder="1" applyAlignment="1">
      <alignment horizontal="center"/>
    </xf>
    <xf numFmtId="0" fontId="23" fillId="2" borderId="39" xfId="6" applyFont="1" applyFill="1" applyBorder="1" applyAlignment="1">
      <alignment horizontal="center"/>
    </xf>
    <xf numFmtId="4" fontId="28" fillId="0" borderId="8" xfId="3" applyNumberFormat="1" applyFont="1" applyFill="1" applyBorder="1" applyAlignment="1">
      <alignment horizontal="center" vertical="center"/>
    </xf>
    <xf numFmtId="0" fontId="8" fillId="5" borderId="0" xfId="0" applyFont="1" applyFill="1"/>
    <xf numFmtId="4" fontId="28" fillId="5" borderId="28" xfId="0" applyNumberFormat="1" applyFont="1" applyFill="1" applyBorder="1" applyAlignment="1">
      <alignment horizontal="left" wrapText="1"/>
    </xf>
    <xf numFmtId="2" fontId="25" fillId="5" borderId="14" xfId="8" applyNumberFormat="1" applyFont="1" applyFill="1" applyBorder="1" applyAlignment="1">
      <alignment horizontal="center" vertical="center"/>
    </xf>
    <xf numFmtId="1" fontId="25" fillId="5" borderId="11" xfId="9" applyNumberFormat="1" applyFont="1" applyFill="1" applyBorder="1" applyAlignment="1">
      <alignment horizontal="center" vertical="center"/>
    </xf>
    <xf numFmtId="2" fontId="25" fillId="5" borderId="14" xfId="9" applyNumberFormat="1" applyFont="1" applyFill="1" applyBorder="1" applyAlignment="1">
      <alignment horizontal="center" vertical="center"/>
    </xf>
    <xf numFmtId="4" fontId="19" fillId="2" borderId="3" xfId="0" applyNumberFormat="1" applyFont="1" applyFill="1" applyBorder="1" applyAlignment="1">
      <alignment horizontal="center" vertical="center" wrapText="1"/>
    </xf>
    <xf numFmtId="4" fontId="15" fillId="2" borderId="3" xfId="0" applyNumberFormat="1" applyFont="1" applyFill="1" applyBorder="1" applyAlignment="1">
      <alignment horizontal="center" vertical="center" wrapText="1"/>
    </xf>
    <xf numFmtId="49" fontId="18" fillId="2" borderId="6" xfId="0" applyNumberFormat="1" applyFont="1" applyFill="1" applyBorder="1" applyAlignment="1">
      <alignment horizontal="center" vertical="center" wrapText="1"/>
    </xf>
    <xf numFmtId="49" fontId="18" fillId="2" borderId="37" xfId="0" applyNumberFormat="1" applyFont="1" applyFill="1" applyBorder="1" applyAlignment="1">
      <alignment horizontal="center" vertical="center" wrapText="1"/>
    </xf>
    <xf numFmtId="49" fontId="18" fillId="2" borderId="3" xfId="0" applyNumberFormat="1" applyFont="1" applyFill="1" applyBorder="1" applyAlignment="1">
      <alignment horizontal="center" vertical="center" wrapText="1"/>
    </xf>
    <xf numFmtId="0" fontId="18" fillId="2" borderId="42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37" xfId="0" applyFont="1" applyFill="1" applyBorder="1" applyAlignment="1">
      <alignment horizontal="center" vertical="center" wrapText="1"/>
    </xf>
    <xf numFmtId="0" fontId="18" fillId="2" borderId="24" xfId="0" applyFont="1" applyFill="1" applyBorder="1" applyAlignment="1">
      <alignment horizontal="center" vertical="center" wrapText="1"/>
    </xf>
  </cellXfs>
  <cellStyles count="15">
    <cellStyle name="Euro" xfId="1"/>
    <cellStyle name="Millares" xfId="2" builtinId="3"/>
    <cellStyle name="Millares 2" xfId="3"/>
    <cellStyle name="Millares 2_INCIDENCIA RMU. RESOL.MRL.2012" xfId="12"/>
    <cellStyle name="Normal" xfId="0" builtinId="0"/>
    <cellStyle name="Normal 14" xfId="4"/>
    <cellStyle name="Normal 15" xfId="5"/>
    <cellStyle name="Normal 2" xfId="6"/>
    <cellStyle name="Normal 2 2" xfId="14"/>
    <cellStyle name="Normal 4 3" xfId="13"/>
    <cellStyle name="Normal 4 4" xfId="10"/>
    <cellStyle name="Normal 7" xfId="7"/>
    <cellStyle name="Normal 8 2" xfId="11"/>
    <cellStyle name="Normal_CUADRO MARITZA ultimo" xfId="8"/>
    <cellStyle name="Normal_DISTRIB.SUELDOS Y SALARIOS P' Presup. 2007-ENERO-07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I130"/>
  <sheetViews>
    <sheetView zoomScale="70" zoomScaleNormal="70" zoomScalePageLayoutView="70" workbookViewId="0">
      <selection activeCell="I9" sqref="I9"/>
    </sheetView>
  </sheetViews>
  <sheetFormatPr baseColWidth="10" defaultRowHeight="20.100000000000001" customHeight="1" x14ac:dyDescent="0.2"/>
  <cols>
    <col min="1" max="1" width="13.140625" style="54" customWidth="1"/>
    <col min="2" max="2" width="41.140625" style="54" customWidth="1"/>
    <col min="3" max="4" width="22.5703125" style="54" customWidth="1"/>
    <col min="5" max="8" width="23.85546875" style="54" customWidth="1"/>
    <col min="9" max="9" width="27.42578125" style="2" customWidth="1"/>
    <col min="10" max="16384" width="11.42578125" style="2"/>
  </cols>
  <sheetData>
    <row r="1" spans="1:9" ht="20.100000000000001" customHeight="1" x14ac:dyDescent="0.3">
      <c r="A1" s="202" t="s">
        <v>20</v>
      </c>
      <c r="B1" s="202"/>
      <c r="C1" s="202"/>
      <c r="D1" s="202"/>
      <c r="E1" s="202"/>
      <c r="F1" s="178"/>
      <c r="G1" s="178"/>
      <c r="H1" s="178"/>
    </row>
    <row r="2" spans="1:9" ht="27.75" customHeight="1" x14ac:dyDescent="0.25">
      <c r="A2" s="55" t="s">
        <v>113</v>
      </c>
      <c r="B2" s="55"/>
      <c r="C2" s="55"/>
      <c r="D2" s="55"/>
      <c r="E2" s="55"/>
      <c r="F2" s="55"/>
      <c r="G2" s="55"/>
      <c r="H2" s="55"/>
    </row>
    <row r="3" spans="1:9" ht="27" customHeight="1" x14ac:dyDescent="0.25">
      <c r="A3" s="203" t="s">
        <v>31</v>
      </c>
      <c r="B3" s="203"/>
      <c r="C3" s="203"/>
      <c r="D3" s="203"/>
      <c r="E3" s="203"/>
      <c r="F3" s="179"/>
      <c r="G3" s="179"/>
      <c r="H3" s="179"/>
    </row>
    <row r="4" spans="1:9" ht="20.100000000000001" customHeight="1" x14ac:dyDescent="0.25">
      <c r="A4" s="56"/>
      <c r="B4" s="56"/>
      <c r="C4" s="56"/>
      <c r="D4" s="101"/>
      <c r="E4" s="56"/>
      <c r="F4" s="179"/>
      <c r="G4" s="179"/>
      <c r="H4" s="179"/>
    </row>
    <row r="5" spans="1:9" ht="20.100000000000001" customHeight="1" x14ac:dyDescent="0.25">
      <c r="A5" s="55" t="s">
        <v>452</v>
      </c>
      <c r="B5" s="56"/>
      <c r="C5" s="2"/>
      <c r="D5" s="2"/>
      <c r="E5" s="55"/>
      <c r="F5" s="55"/>
      <c r="G5" s="55"/>
      <c r="H5" s="55"/>
    </row>
    <row r="6" spans="1:9" ht="20.100000000000001" customHeight="1" x14ac:dyDescent="0.25">
      <c r="A6" s="55" t="s">
        <v>475</v>
      </c>
      <c r="B6" s="56"/>
      <c r="C6" s="2"/>
      <c r="D6" s="2"/>
      <c r="E6" s="55"/>
      <c r="F6" s="55"/>
      <c r="G6" s="55"/>
      <c r="H6" s="55"/>
    </row>
    <row r="7" spans="1:9" ht="20.100000000000001" customHeight="1" x14ac:dyDescent="0.25">
      <c r="A7" s="57" t="s">
        <v>117</v>
      </c>
      <c r="B7" s="57"/>
      <c r="C7" s="2"/>
      <c r="D7" s="2"/>
      <c r="E7" s="57"/>
      <c r="F7" s="57"/>
      <c r="G7" s="57"/>
      <c r="H7" s="57"/>
    </row>
    <row r="8" spans="1:9" ht="20.100000000000001" customHeight="1" thickBot="1" x14ac:dyDescent="0.3">
      <c r="A8" s="57"/>
      <c r="B8" s="57"/>
      <c r="C8" s="2"/>
      <c r="D8" s="2"/>
      <c r="E8" s="57"/>
      <c r="F8" s="57"/>
      <c r="G8" s="57"/>
      <c r="H8" s="57"/>
    </row>
    <row r="9" spans="1:9" ht="90.75" customHeight="1" thickBot="1" x14ac:dyDescent="0.25">
      <c r="A9" s="247" t="s">
        <v>1</v>
      </c>
      <c r="B9" s="248"/>
      <c r="C9" s="249" t="s">
        <v>459</v>
      </c>
      <c r="D9" s="249" t="s">
        <v>458</v>
      </c>
      <c r="E9" s="249" t="s">
        <v>527</v>
      </c>
      <c r="F9" s="249" t="s">
        <v>526</v>
      </c>
      <c r="G9" s="249" t="s">
        <v>528</v>
      </c>
      <c r="H9" s="249" t="s">
        <v>529</v>
      </c>
      <c r="I9" s="249" t="s">
        <v>128</v>
      </c>
    </row>
    <row r="10" spans="1:9" ht="20.100000000000001" customHeight="1" thickBot="1" x14ac:dyDescent="0.3">
      <c r="A10" s="204" t="s">
        <v>124</v>
      </c>
      <c r="B10" s="205"/>
      <c r="C10" s="205"/>
      <c r="D10" s="205"/>
      <c r="E10" s="205"/>
      <c r="F10" s="205"/>
      <c r="G10" s="205"/>
      <c r="H10" s="205"/>
      <c r="I10" s="206"/>
    </row>
    <row r="11" spans="1:9" ht="20.100000000000001" hidden="1" customHeight="1" x14ac:dyDescent="0.25">
      <c r="A11" s="76">
        <v>11</v>
      </c>
      <c r="B11" s="167" t="s">
        <v>2</v>
      </c>
      <c r="C11" s="115"/>
      <c r="D11" s="68"/>
      <c r="E11" s="125"/>
      <c r="F11" s="62"/>
      <c r="G11" s="62"/>
      <c r="H11" s="62"/>
      <c r="I11" s="62"/>
    </row>
    <row r="12" spans="1:9" ht="20.100000000000001" hidden="1" customHeight="1" x14ac:dyDescent="0.2">
      <c r="A12" s="77">
        <v>1101</v>
      </c>
      <c r="B12" s="166" t="s">
        <v>44</v>
      </c>
      <c r="C12" s="116"/>
      <c r="D12" s="69"/>
      <c r="E12" s="69"/>
      <c r="F12" s="63"/>
      <c r="G12" s="63"/>
      <c r="H12" s="63"/>
      <c r="I12" s="63"/>
    </row>
    <row r="13" spans="1:9" ht="20.100000000000001" hidden="1" customHeight="1" x14ac:dyDescent="0.2">
      <c r="A13" s="77">
        <v>1102</v>
      </c>
      <c r="B13" s="166" t="s">
        <v>45</v>
      </c>
      <c r="C13" s="116"/>
      <c r="D13" s="69"/>
      <c r="E13" s="69"/>
      <c r="F13" s="63"/>
      <c r="G13" s="63"/>
      <c r="H13" s="63"/>
      <c r="I13" s="63"/>
    </row>
    <row r="14" spans="1:9" ht="20.100000000000001" hidden="1" customHeight="1" x14ac:dyDescent="0.2">
      <c r="A14" s="77">
        <v>1103</v>
      </c>
      <c r="B14" s="166" t="s">
        <v>46</v>
      </c>
      <c r="C14" s="116"/>
      <c r="D14" s="69"/>
      <c r="E14" s="69"/>
      <c r="F14" s="63"/>
      <c r="G14" s="63"/>
      <c r="H14" s="63"/>
      <c r="I14" s="63"/>
    </row>
    <row r="15" spans="1:9" ht="20.100000000000001" hidden="1" customHeight="1" x14ac:dyDescent="0.2">
      <c r="A15" s="77">
        <v>1107</v>
      </c>
      <c r="B15" s="166" t="s">
        <v>47</v>
      </c>
      <c r="C15" s="116"/>
      <c r="D15" s="69"/>
      <c r="E15" s="69"/>
      <c r="F15" s="63"/>
      <c r="G15" s="63"/>
      <c r="H15" s="63"/>
      <c r="I15" s="63"/>
    </row>
    <row r="16" spans="1:9" ht="20.100000000000001" hidden="1" customHeight="1" x14ac:dyDescent="0.2">
      <c r="A16" s="78"/>
      <c r="B16" s="74"/>
      <c r="C16" s="117"/>
      <c r="D16" s="70"/>
      <c r="E16" s="70"/>
      <c r="F16" s="64"/>
      <c r="G16" s="64"/>
      <c r="H16" s="64"/>
      <c r="I16" s="64"/>
    </row>
    <row r="17" spans="1:9" ht="20.100000000000001" hidden="1" customHeight="1" x14ac:dyDescent="0.2">
      <c r="A17" s="79">
        <v>13</v>
      </c>
      <c r="B17" s="75" t="s">
        <v>3</v>
      </c>
      <c r="C17" s="116"/>
      <c r="D17" s="69"/>
      <c r="E17" s="69"/>
      <c r="F17" s="63"/>
      <c r="G17" s="63"/>
      <c r="H17" s="63"/>
      <c r="I17" s="63"/>
    </row>
    <row r="18" spans="1:9" ht="20.100000000000001" hidden="1" customHeight="1" x14ac:dyDescent="0.2">
      <c r="A18" s="77">
        <v>1301</v>
      </c>
      <c r="B18" s="166" t="s">
        <v>49</v>
      </c>
      <c r="C18" s="116"/>
      <c r="D18" s="69"/>
      <c r="E18" s="69"/>
      <c r="F18" s="63"/>
      <c r="G18" s="63"/>
      <c r="H18" s="63"/>
      <c r="I18" s="63"/>
    </row>
    <row r="19" spans="1:9" ht="20.100000000000001" hidden="1" customHeight="1" x14ac:dyDescent="0.2">
      <c r="A19" s="77">
        <v>1302</v>
      </c>
      <c r="B19" s="166" t="s">
        <v>50</v>
      </c>
      <c r="C19" s="116"/>
      <c r="D19" s="69"/>
      <c r="E19" s="69"/>
      <c r="F19" s="63"/>
      <c r="G19" s="63"/>
      <c r="H19" s="63"/>
      <c r="I19" s="63"/>
    </row>
    <row r="20" spans="1:9" ht="20.100000000000001" hidden="1" customHeight="1" x14ac:dyDescent="0.2">
      <c r="A20" s="77">
        <v>1303</v>
      </c>
      <c r="B20" s="166" t="s">
        <v>51</v>
      </c>
      <c r="C20" s="117"/>
      <c r="D20" s="70"/>
      <c r="E20" s="70"/>
      <c r="F20" s="64"/>
      <c r="G20" s="64"/>
      <c r="H20" s="64"/>
      <c r="I20" s="64"/>
    </row>
    <row r="21" spans="1:9" ht="20.100000000000001" hidden="1" customHeight="1" x14ac:dyDescent="0.2">
      <c r="A21" s="77">
        <v>1304</v>
      </c>
      <c r="B21" s="166" t="s">
        <v>52</v>
      </c>
      <c r="C21" s="117"/>
      <c r="D21" s="70"/>
      <c r="E21" s="70"/>
      <c r="F21" s="64"/>
      <c r="G21" s="64"/>
      <c r="H21" s="64"/>
      <c r="I21" s="64"/>
    </row>
    <row r="22" spans="1:9" ht="20.100000000000001" hidden="1" customHeight="1" x14ac:dyDescent="0.2">
      <c r="A22" s="78"/>
      <c r="B22" s="74"/>
      <c r="C22" s="117"/>
      <c r="D22" s="70"/>
      <c r="E22" s="69"/>
      <c r="F22" s="63"/>
      <c r="G22" s="63"/>
      <c r="H22" s="63"/>
      <c r="I22" s="63"/>
    </row>
    <row r="23" spans="1:9" ht="20.100000000000001" hidden="1" customHeight="1" x14ac:dyDescent="0.25">
      <c r="A23" s="79">
        <v>14</v>
      </c>
      <c r="B23" s="75" t="s">
        <v>4</v>
      </c>
      <c r="C23" s="118"/>
      <c r="D23" s="71"/>
      <c r="E23" s="71"/>
      <c r="F23" s="65"/>
      <c r="G23" s="65"/>
      <c r="H23" s="65"/>
      <c r="I23" s="65"/>
    </row>
    <row r="24" spans="1:9" ht="20.100000000000001" hidden="1" customHeight="1" x14ac:dyDescent="0.2">
      <c r="A24" s="80"/>
      <c r="B24" s="74"/>
      <c r="C24" s="119"/>
      <c r="D24" s="72"/>
      <c r="E24" s="72"/>
      <c r="F24" s="66"/>
      <c r="G24" s="66"/>
      <c r="H24" s="66"/>
      <c r="I24" s="66"/>
    </row>
    <row r="25" spans="1:9" ht="20.100000000000001" hidden="1" customHeight="1" x14ac:dyDescent="0.2">
      <c r="A25" s="79">
        <v>17</v>
      </c>
      <c r="B25" s="75" t="s">
        <v>5</v>
      </c>
      <c r="C25" s="119"/>
      <c r="D25" s="72"/>
      <c r="E25" s="72"/>
      <c r="F25" s="66"/>
      <c r="G25" s="66"/>
      <c r="H25" s="66"/>
      <c r="I25" s="66"/>
    </row>
    <row r="26" spans="1:9" ht="20.100000000000001" customHeight="1" x14ac:dyDescent="0.2">
      <c r="A26" s="78"/>
      <c r="B26" s="74"/>
      <c r="C26" s="120"/>
      <c r="D26" s="73"/>
      <c r="E26" s="73"/>
      <c r="F26" s="67"/>
      <c r="G26" s="67"/>
      <c r="H26" s="67"/>
      <c r="I26" s="67"/>
    </row>
    <row r="27" spans="1:9" ht="15" customHeight="1" x14ac:dyDescent="0.2">
      <c r="A27" s="79">
        <v>18</v>
      </c>
      <c r="B27" s="75" t="s">
        <v>30</v>
      </c>
      <c r="C27" s="121"/>
      <c r="D27" s="82"/>
      <c r="E27" s="126"/>
      <c r="F27" s="180"/>
      <c r="G27" s="180"/>
      <c r="H27" s="180"/>
      <c r="I27" s="67"/>
    </row>
    <row r="28" spans="1:9" ht="24" x14ac:dyDescent="0.2">
      <c r="A28" s="78"/>
      <c r="B28" s="184" t="s">
        <v>131</v>
      </c>
      <c r="C28" s="188">
        <f>'FORMULARIO 2'!C35</f>
        <v>3899350.6700000018</v>
      </c>
      <c r="D28" s="189">
        <f>'FORMULARIO 2'!D35</f>
        <v>4046569.9300000011</v>
      </c>
      <c r="E28" s="189">
        <f>'FORMULARIO 2'!E35</f>
        <v>3742696.0160800009</v>
      </c>
      <c r="F28" s="189">
        <f>'FORMULARIO 2'!F35</f>
        <v>3011213.8815964442</v>
      </c>
      <c r="G28" s="189">
        <f>'FORMULARIO 2'!G35</f>
        <v>3053903.3335614176</v>
      </c>
      <c r="H28" s="189">
        <f>'FORMULARIO 2'!H35</f>
        <v>3140318.9532179059</v>
      </c>
      <c r="I28" s="190" t="s">
        <v>483</v>
      </c>
    </row>
    <row r="29" spans="1:9" ht="20.100000000000001" customHeight="1" x14ac:dyDescent="0.2">
      <c r="A29" s="79">
        <v>19</v>
      </c>
      <c r="B29" s="75" t="s">
        <v>125</v>
      </c>
      <c r="C29" s="122"/>
      <c r="D29" s="114"/>
      <c r="E29" s="114"/>
      <c r="F29" s="181"/>
      <c r="G29" s="181"/>
      <c r="H29" s="181"/>
      <c r="I29" s="67"/>
    </row>
    <row r="30" spans="1:9" ht="22.5" customHeight="1" x14ac:dyDescent="0.2">
      <c r="A30" s="77">
        <v>1901</v>
      </c>
      <c r="B30" s="168" t="s">
        <v>57</v>
      </c>
      <c r="C30" s="123"/>
      <c r="D30" s="112"/>
      <c r="E30" s="112"/>
      <c r="F30" s="182"/>
      <c r="G30" s="182"/>
      <c r="H30" s="182"/>
      <c r="I30" s="67"/>
    </row>
    <row r="31" spans="1:9" ht="20.100000000000001" customHeight="1" x14ac:dyDescent="0.2">
      <c r="A31" s="77">
        <v>1902</v>
      </c>
      <c r="B31" s="168" t="s">
        <v>58</v>
      </c>
      <c r="C31" s="123"/>
      <c r="D31" s="112"/>
      <c r="E31" s="112"/>
      <c r="F31" s="182"/>
      <c r="G31" s="182"/>
      <c r="H31" s="182"/>
      <c r="I31" s="66"/>
    </row>
    <row r="32" spans="1:9" ht="20.100000000000001" customHeight="1" thickBot="1" x14ac:dyDescent="0.25">
      <c r="A32" s="81">
        <v>1904</v>
      </c>
      <c r="B32" s="169" t="s">
        <v>59</v>
      </c>
      <c r="C32" s="124"/>
      <c r="D32" s="113"/>
      <c r="E32" s="113"/>
      <c r="F32" s="183"/>
      <c r="G32" s="183"/>
      <c r="H32" s="183"/>
      <c r="I32" s="83"/>
    </row>
    <row r="33" spans="1:9" ht="20.100000000000001" customHeight="1" thickBot="1" x14ac:dyDescent="0.25">
      <c r="A33" s="165"/>
      <c r="B33" s="165" t="s">
        <v>6</v>
      </c>
      <c r="C33" s="246">
        <f>C28</f>
        <v>3899350.6700000018</v>
      </c>
      <c r="D33" s="246">
        <f>D28</f>
        <v>4046569.9300000011</v>
      </c>
      <c r="E33" s="246">
        <f>E28</f>
        <v>3742696.0160800009</v>
      </c>
      <c r="F33" s="246">
        <f t="shared" ref="F33:H33" si="0">F28</f>
        <v>3011213.8815964442</v>
      </c>
      <c r="G33" s="246">
        <f t="shared" si="0"/>
        <v>3053903.3335614176</v>
      </c>
      <c r="H33" s="246">
        <f t="shared" si="0"/>
        <v>3140318.9532179059</v>
      </c>
      <c r="I33" s="165"/>
    </row>
    <row r="34" spans="1:9" ht="20.100000000000001" customHeight="1" x14ac:dyDescent="0.2">
      <c r="A34" s="50"/>
      <c r="B34" s="51"/>
      <c r="C34" s="50"/>
      <c r="D34" s="50"/>
      <c r="E34" s="50"/>
      <c r="F34" s="50"/>
      <c r="G34" s="50"/>
      <c r="H34" s="50"/>
    </row>
    <row r="35" spans="1:9" ht="20.100000000000001" customHeight="1" x14ac:dyDescent="0.2">
      <c r="A35" s="60" t="s">
        <v>120</v>
      </c>
      <c r="B35" s="51"/>
      <c r="C35" s="50"/>
      <c r="D35" s="50"/>
      <c r="E35" s="50"/>
      <c r="F35" s="50"/>
      <c r="G35" s="50"/>
      <c r="H35" s="50"/>
    </row>
    <row r="36" spans="1:9" ht="20.100000000000001" customHeight="1" x14ac:dyDescent="0.2">
      <c r="A36" s="60" t="s">
        <v>118</v>
      </c>
      <c r="B36" s="51"/>
      <c r="C36" s="50"/>
      <c r="D36" s="50"/>
      <c r="E36" s="50"/>
      <c r="F36" s="50"/>
      <c r="G36" s="50"/>
      <c r="H36" s="50"/>
    </row>
    <row r="37" spans="1:9" ht="20.100000000000001" customHeight="1" x14ac:dyDescent="0.2">
      <c r="A37" s="60" t="s">
        <v>121</v>
      </c>
      <c r="B37" s="50"/>
      <c r="C37" s="50"/>
      <c r="D37" s="50"/>
      <c r="E37" s="50"/>
      <c r="F37" s="50"/>
      <c r="G37" s="50"/>
      <c r="H37" s="50"/>
    </row>
    <row r="38" spans="1:9" ht="20.100000000000001" customHeight="1" x14ac:dyDescent="0.2">
      <c r="A38" s="50"/>
      <c r="B38" s="51"/>
      <c r="C38" s="50"/>
      <c r="D38" s="50"/>
      <c r="E38" s="50"/>
      <c r="F38" s="50"/>
      <c r="G38" s="50"/>
      <c r="H38" s="50"/>
    </row>
    <row r="39" spans="1:9" ht="20.100000000000001" customHeight="1" x14ac:dyDescent="0.2">
      <c r="A39" s="50"/>
      <c r="B39" s="51"/>
      <c r="C39" s="50"/>
      <c r="D39" s="50"/>
      <c r="E39" s="50"/>
      <c r="F39" s="50"/>
      <c r="G39" s="50"/>
      <c r="H39" s="50"/>
    </row>
    <row r="40" spans="1:9" ht="20.100000000000001" customHeight="1" x14ac:dyDescent="0.2">
      <c r="A40" s="50"/>
      <c r="B40" s="50"/>
      <c r="C40" s="50"/>
      <c r="D40" s="50"/>
      <c r="E40" s="50"/>
      <c r="F40" s="50"/>
      <c r="G40" s="50"/>
      <c r="H40" s="50"/>
    </row>
    <row r="41" spans="1:9" ht="20.100000000000001" customHeight="1" x14ac:dyDescent="0.2">
      <c r="A41" s="50"/>
      <c r="B41" s="53"/>
      <c r="C41" s="50"/>
      <c r="D41" s="50"/>
      <c r="E41" s="50"/>
      <c r="F41" s="50"/>
      <c r="G41" s="50"/>
      <c r="H41" s="50"/>
    </row>
    <row r="42" spans="1:9" ht="20.100000000000001" customHeight="1" x14ac:dyDescent="0.25">
      <c r="A42" s="2"/>
      <c r="B42" s="61" t="s">
        <v>463</v>
      </c>
      <c r="C42" s="61"/>
      <c r="D42" s="84"/>
      <c r="E42" s="50"/>
      <c r="F42" s="50"/>
      <c r="G42" s="50"/>
      <c r="H42" s="50"/>
    </row>
    <row r="43" spans="1:9" ht="20.100000000000001" customHeight="1" x14ac:dyDescent="0.25">
      <c r="A43" s="2"/>
      <c r="B43" s="84"/>
      <c r="C43" s="84"/>
      <c r="D43" s="84"/>
      <c r="E43" s="50"/>
      <c r="F43" s="50"/>
      <c r="G43" s="50"/>
      <c r="H43" s="50"/>
    </row>
    <row r="44" spans="1:9" ht="20.100000000000001" customHeight="1" x14ac:dyDescent="0.25">
      <c r="A44" s="2"/>
      <c r="B44" s="47" t="s">
        <v>478</v>
      </c>
      <c r="C44" s="50"/>
      <c r="D44" s="50"/>
      <c r="E44" s="50"/>
      <c r="F44" s="50"/>
      <c r="G44" s="50"/>
      <c r="H44" s="50"/>
    </row>
    <row r="45" spans="1:9" ht="20.100000000000001" customHeight="1" x14ac:dyDescent="0.2">
      <c r="A45" s="2"/>
      <c r="B45" s="50"/>
      <c r="C45" s="50"/>
      <c r="D45" s="50"/>
      <c r="E45" s="50"/>
      <c r="F45" s="50"/>
      <c r="G45" s="50"/>
      <c r="H45" s="50"/>
    </row>
    <row r="46" spans="1:9" ht="20.100000000000001" customHeight="1" x14ac:dyDescent="0.25">
      <c r="A46" s="2"/>
      <c r="B46" s="47" t="s">
        <v>525</v>
      </c>
      <c r="C46" s="50"/>
      <c r="D46" s="50"/>
      <c r="E46" s="50"/>
      <c r="F46" s="50"/>
      <c r="G46" s="50"/>
      <c r="H46" s="50"/>
    </row>
    <row r="47" spans="1:9" ht="20.100000000000001" customHeight="1" x14ac:dyDescent="0.25">
      <c r="A47" s="2"/>
      <c r="B47" s="47" t="s">
        <v>119</v>
      </c>
      <c r="C47" s="50"/>
      <c r="D47" s="50"/>
      <c r="E47" s="50"/>
      <c r="F47" s="50"/>
      <c r="G47" s="50"/>
      <c r="H47" s="50"/>
    </row>
    <row r="48" spans="1:9" ht="20.100000000000001" customHeight="1" x14ac:dyDescent="0.2">
      <c r="A48" s="50"/>
      <c r="B48" s="50"/>
    </row>
    <row r="49" spans="1:2" ht="20.100000000000001" customHeight="1" x14ac:dyDescent="0.2">
      <c r="A49" s="50"/>
      <c r="B49" s="50"/>
    </row>
    <row r="50" spans="1:2" ht="20.100000000000001" customHeight="1" x14ac:dyDescent="0.2">
      <c r="A50" s="50"/>
      <c r="B50" s="50"/>
    </row>
    <row r="51" spans="1:2" ht="20.100000000000001" customHeight="1" x14ac:dyDescent="0.2">
      <c r="A51" s="50"/>
      <c r="B51" s="50"/>
    </row>
    <row r="52" spans="1:2" ht="20.100000000000001" customHeight="1" x14ac:dyDescent="0.2">
      <c r="A52" s="50"/>
      <c r="B52" s="50"/>
    </row>
    <row r="53" spans="1:2" ht="45.75" customHeight="1" x14ac:dyDescent="0.2">
      <c r="A53" s="50"/>
      <c r="B53" s="50"/>
    </row>
    <row r="54" spans="1:2" ht="20.100000000000001" customHeight="1" x14ac:dyDescent="0.2">
      <c r="A54" s="50"/>
      <c r="B54" s="50"/>
    </row>
    <row r="55" spans="1:2" ht="20.100000000000001" customHeight="1" x14ac:dyDescent="0.2">
      <c r="A55" s="50"/>
      <c r="B55" s="50"/>
    </row>
    <row r="56" spans="1:2" ht="20.100000000000001" customHeight="1" x14ac:dyDescent="0.2">
      <c r="A56" s="50"/>
      <c r="B56" s="50"/>
    </row>
    <row r="57" spans="1:2" ht="20.100000000000001" customHeight="1" x14ac:dyDescent="0.2">
      <c r="A57" s="50"/>
      <c r="B57" s="50"/>
    </row>
    <row r="58" spans="1:2" ht="20.100000000000001" customHeight="1" x14ac:dyDescent="0.2">
      <c r="A58" s="50"/>
      <c r="B58" s="50"/>
    </row>
    <row r="59" spans="1:2" ht="20.100000000000001" customHeight="1" x14ac:dyDescent="0.2">
      <c r="A59" s="50"/>
      <c r="B59" s="50"/>
    </row>
    <row r="130" ht="27.75" customHeight="1" x14ac:dyDescent="0.2"/>
  </sheetData>
  <mergeCells count="4">
    <mergeCell ref="A1:E1"/>
    <mergeCell ref="A9:B9"/>
    <mergeCell ref="A3:E3"/>
    <mergeCell ref="A10:I10"/>
  </mergeCells>
  <phoneticPr fontId="0" type="noConversion"/>
  <printOptions horizontalCentered="1" verticalCentered="1"/>
  <pageMargins left="0.7" right="0.7" top="0.73" bottom="0.75" header="0.3" footer="0.3"/>
  <pageSetup paperSize="9" scale="59" fitToHeight="0" orientation="landscape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46"/>
  <sheetViews>
    <sheetView topLeftCell="A5" zoomScale="80" zoomScaleNormal="80" zoomScalePageLayoutView="60" workbookViewId="0">
      <selection activeCell="H33" sqref="H9:H33"/>
    </sheetView>
  </sheetViews>
  <sheetFormatPr baseColWidth="10" defaultRowHeight="20.100000000000001" customHeight="1" x14ac:dyDescent="0.2"/>
  <cols>
    <col min="1" max="1" width="18.28515625" style="54" customWidth="1"/>
    <col min="2" max="2" width="47.42578125" style="54" customWidth="1"/>
    <col min="3" max="3" width="18.7109375" style="54" customWidth="1"/>
    <col min="4" max="4" width="20.5703125" style="54" customWidth="1"/>
    <col min="5" max="8" width="20.140625" style="54" customWidth="1"/>
    <col min="9" max="9" width="19.140625" style="2" customWidth="1"/>
    <col min="10" max="16384" width="11.42578125" style="2"/>
  </cols>
  <sheetData>
    <row r="1" spans="1:12" ht="20.100000000000001" customHeight="1" x14ac:dyDescent="0.25">
      <c r="A1" s="203" t="s">
        <v>115</v>
      </c>
      <c r="B1" s="203"/>
      <c r="C1" s="203"/>
      <c r="D1" s="203"/>
      <c r="E1" s="203"/>
      <c r="F1" s="179"/>
      <c r="G1" s="179"/>
      <c r="H1" s="179"/>
      <c r="I1" s="4"/>
      <c r="J1" s="4"/>
      <c r="K1" s="4"/>
    </row>
    <row r="2" spans="1:12" ht="20.100000000000001" customHeight="1" x14ac:dyDescent="0.25">
      <c r="A2" s="55" t="s">
        <v>452</v>
      </c>
      <c r="B2" s="56"/>
      <c r="C2" s="56"/>
      <c r="D2" s="101"/>
      <c r="E2" s="56"/>
      <c r="F2" s="179"/>
      <c r="G2" s="179"/>
      <c r="H2" s="179"/>
      <c r="I2" s="56"/>
      <c r="J2" s="4"/>
      <c r="K2" s="4"/>
    </row>
    <row r="3" spans="1:12" ht="20.100000000000001" customHeight="1" x14ac:dyDescent="0.25">
      <c r="A3" s="55" t="s">
        <v>476</v>
      </c>
      <c r="B3" s="58"/>
      <c r="C3" s="59"/>
      <c r="D3" s="59"/>
      <c r="E3" s="59"/>
      <c r="F3" s="59"/>
      <c r="G3" s="59"/>
      <c r="H3" s="59"/>
      <c r="I3" s="48"/>
      <c r="J3" s="4"/>
      <c r="K3" s="4"/>
    </row>
    <row r="4" spans="1:12" ht="20.100000000000001" customHeight="1" x14ac:dyDescent="0.25">
      <c r="A4" s="57" t="s">
        <v>117</v>
      </c>
      <c r="B4" s="49"/>
      <c r="C4" s="49"/>
      <c r="D4" s="49"/>
      <c r="E4" s="49"/>
      <c r="F4" s="49"/>
      <c r="G4" s="49"/>
      <c r="H4" s="49"/>
      <c r="I4" s="49"/>
      <c r="J4" s="5"/>
      <c r="K4" s="5"/>
      <c r="L4" s="3"/>
    </row>
    <row r="5" spans="1:12" ht="20.100000000000001" customHeight="1" thickBot="1" x14ac:dyDescent="0.3">
      <c r="A5" s="57"/>
      <c r="B5" s="49"/>
      <c r="C5" s="49"/>
      <c r="D5" s="49"/>
      <c r="E5" s="49"/>
      <c r="F5" s="49"/>
      <c r="G5" s="49"/>
      <c r="H5" s="49"/>
      <c r="I5" s="49"/>
      <c r="J5" s="5"/>
      <c r="K5" s="5"/>
      <c r="L5" s="3"/>
    </row>
    <row r="6" spans="1:12" ht="81.75" customHeight="1" thickBot="1" x14ac:dyDescent="0.25">
      <c r="A6" s="249" t="s">
        <v>19</v>
      </c>
      <c r="B6" s="249" t="s">
        <v>15</v>
      </c>
      <c r="C6" s="250" t="s">
        <v>455</v>
      </c>
      <c r="D6" s="251" t="s">
        <v>456</v>
      </c>
      <c r="E6" s="252" t="s">
        <v>457</v>
      </c>
      <c r="F6" s="252" t="s">
        <v>485</v>
      </c>
      <c r="G6" s="252" t="s">
        <v>486</v>
      </c>
      <c r="H6" s="252" t="s">
        <v>487</v>
      </c>
      <c r="I6" s="253" t="s">
        <v>128</v>
      </c>
    </row>
    <row r="7" spans="1:12" ht="20.100000000000001" customHeight="1" thickBot="1" x14ac:dyDescent="0.3">
      <c r="A7" s="204" t="s">
        <v>123</v>
      </c>
      <c r="B7" s="205"/>
      <c r="C7" s="205"/>
      <c r="D7" s="205"/>
      <c r="E7" s="205"/>
      <c r="F7" s="205"/>
      <c r="G7" s="205"/>
      <c r="H7" s="205"/>
      <c r="I7" s="206"/>
    </row>
    <row r="8" spans="1:12" ht="20.100000000000001" customHeight="1" x14ac:dyDescent="0.2">
      <c r="A8" s="86">
        <v>7101</v>
      </c>
      <c r="B8" s="127" t="s">
        <v>7</v>
      </c>
      <c r="C8" s="132"/>
      <c r="D8" s="108"/>
      <c r="E8" s="132"/>
      <c r="F8" s="108"/>
      <c r="G8" s="132"/>
      <c r="H8" s="108"/>
      <c r="I8" s="89"/>
    </row>
    <row r="9" spans="1:12" ht="17.25" customHeight="1" x14ac:dyDescent="0.2">
      <c r="A9" s="172">
        <v>710106</v>
      </c>
      <c r="B9" s="173" t="s">
        <v>25</v>
      </c>
      <c r="C9" s="174">
        <v>1988598.0000000014</v>
      </c>
      <c r="D9" s="175">
        <v>1953895.4400000013</v>
      </c>
      <c r="E9" s="174">
        <v>1948134.2400000012</v>
      </c>
      <c r="F9" s="175">
        <v>1906754.8800000013</v>
      </c>
      <c r="G9" s="174">
        <v>1899780.2400000012</v>
      </c>
      <c r="H9" s="174">
        <v>1801683.9600000009</v>
      </c>
      <c r="I9" s="208" t="s">
        <v>483</v>
      </c>
      <c r="J9" s="3"/>
      <c r="K9" s="3"/>
    </row>
    <row r="10" spans="1:12" ht="15" customHeight="1" x14ac:dyDescent="0.2">
      <c r="A10" s="85"/>
      <c r="B10" s="128"/>
      <c r="C10" s="109"/>
      <c r="D10" s="130"/>
      <c r="E10" s="109"/>
      <c r="F10" s="130"/>
      <c r="G10" s="109"/>
      <c r="H10" s="130"/>
      <c r="I10" s="209"/>
    </row>
    <row r="11" spans="1:12" ht="20.100000000000001" customHeight="1" x14ac:dyDescent="0.2">
      <c r="A11" s="86">
        <v>7102</v>
      </c>
      <c r="B11" s="127" t="s">
        <v>8</v>
      </c>
      <c r="C11" s="109"/>
      <c r="D11" s="130"/>
      <c r="E11" s="109"/>
      <c r="F11" s="130"/>
      <c r="G11" s="109"/>
      <c r="H11" s="130"/>
      <c r="I11" s="209"/>
    </row>
    <row r="12" spans="1:12" ht="20.100000000000001" customHeight="1" x14ac:dyDescent="0.2">
      <c r="A12" s="85">
        <v>710203</v>
      </c>
      <c r="B12" s="128" t="s">
        <v>26</v>
      </c>
      <c r="C12" s="109">
        <v>165716.50000000012</v>
      </c>
      <c r="D12" s="130">
        <v>162824.62000000011</v>
      </c>
      <c r="E12" s="109">
        <v>162344.52000000011</v>
      </c>
      <c r="F12" s="130">
        <v>158896.24000000011</v>
      </c>
      <c r="G12" s="109">
        <v>158315.02000000011</v>
      </c>
      <c r="H12" s="130">
        <v>150140.33000000007</v>
      </c>
      <c r="I12" s="209"/>
    </row>
    <row r="13" spans="1:12" ht="20.100000000000001" customHeight="1" x14ac:dyDescent="0.2">
      <c r="A13" s="85">
        <v>710204</v>
      </c>
      <c r="B13" s="128" t="s">
        <v>27</v>
      </c>
      <c r="C13" s="109">
        <v>86020</v>
      </c>
      <c r="D13" s="130">
        <v>89562</v>
      </c>
      <c r="E13" s="109">
        <v>90036</v>
      </c>
      <c r="F13" s="130">
        <v>93375</v>
      </c>
      <c r="G13" s="109">
        <v>95480</v>
      </c>
      <c r="H13" s="130">
        <v>97712</v>
      </c>
      <c r="I13" s="209"/>
    </row>
    <row r="14" spans="1:12" ht="20.100000000000001" customHeight="1" x14ac:dyDescent="0.2">
      <c r="A14" s="85"/>
      <c r="B14" s="128"/>
      <c r="C14" s="109"/>
      <c r="D14" s="130"/>
      <c r="E14" s="109"/>
      <c r="F14" s="130"/>
      <c r="G14" s="109"/>
      <c r="H14" s="130"/>
      <c r="I14" s="209"/>
    </row>
    <row r="15" spans="1:12" ht="20.100000000000001" customHeight="1" x14ac:dyDescent="0.2">
      <c r="A15" s="86">
        <v>7103</v>
      </c>
      <c r="B15" s="127" t="s">
        <v>28</v>
      </c>
      <c r="C15" s="109"/>
      <c r="D15" s="130"/>
      <c r="E15" s="109"/>
      <c r="F15" s="130"/>
      <c r="G15" s="109"/>
      <c r="H15" s="130"/>
      <c r="I15" s="209"/>
    </row>
    <row r="16" spans="1:12" ht="20.100000000000001" customHeight="1" x14ac:dyDescent="0.2">
      <c r="A16" s="85">
        <v>710304</v>
      </c>
      <c r="B16" s="128" t="s">
        <v>29</v>
      </c>
      <c r="C16" s="109">
        <v>33396</v>
      </c>
      <c r="D16" s="130">
        <v>33187</v>
      </c>
      <c r="E16" s="109">
        <v>32472</v>
      </c>
      <c r="F16" s="130">
        <v>32868</v>
      </c>
      <c r="G16" s="109">
        <v>32736</v>
      </c>
      <c r="H16" s="130">
        <v>32736</v>
      </c>
      <c r="I16" s="209"/>
    </row>
    <row r="17" spans="1:9" ht="20.100000000000001" customHeight="1" x14ac:dyDescent="0.2">
      <c r="A17" s="85">
        <v>710306</v>
      </c>
      <c r="B17" s="128" t="s">
        <v>137</v>
      </c>
      <c r="C17" s="109">
        <v>267168</v>
      </c>
      <c r="D17" s="130">
        <v>265496</v>
      </c>
      <c r="E17" s="109">
        <v>259776</v>
      </c>
      <c r="F17" s="130">
        <v>262944</v>
      </c>
      <c r="G17" s="109">
        <v>261888</v>
      </c>
      <c r="H17" s="130">
        <v>261888</v>
      </c>
      <c r="I17" s="209"/>
    </row>
    <row r="18" spans="1:9" ht="20.100000000000001" customHeight="1" x14ac:dyDescent="0.2">
      <c r="A18" s="85"/>
      <c r="B18" s="128"/>
      <c r="C18" s="109"/>
      <c r="D18" s="130"/>
      <c r="E18" s="134"/>
      <c r="F18" s="130"/>
      <c r="G18" s="109"/>
      <c r="H18" s="130"/>
      <c r="I18" s="209"/>
    </row>
    <row r="19" spans="1:9" ht="20.100000000000001" customHeight="1" x14ac:dyDescent="0.2">
      <c r="A19" s="86">
        <v>7104</v>
      </c>
      <c r="B19" s="127" t="s">
        <v>17</v>
      </c>
      <c r="C19" s="109"/>
      <c r="D19" s="130"/>
      <c r="E19" s="109"/>
      <c r="F19" s="130"/>
      <c r="G19" s="109"/>
      <c r="H19" s="130"/>
      <c r="I19" s="209"/>
    </row>
    <row r="20" spans="1:9" ht="20.100000000000001" customHeight="1" x14ac:dyDescent="0.2">
      <c r="A20" s="85">
        <v>710401</v>
      </c>
      <c r="B20" s="128" t="s">
        <v>126</v>
      </c>
      <c r="C20" s="109">
        <v>8690.4</v>
      </c>
      <c r="D20" s="130">
        <v>13211</v>
      </c>
      <c r="E20" s="109">
        <v>13395.600000000017</v>
      </c>
      <c r="F20" s="130">
        <v>13606.919999999995</v>
      </c>
      <c r="G20" s="109">
        <v>13305.600000000008</v>
      </c>
      <c r="H20" s="130">
        <v>11873.400000000007</v>
      </c>
      <c r="I20" s="209"/>
    </row>
    <row r="21" spans="1:9" ht="20.100000000000001" customHeight="1" x14ac:dyDescent="0.2">
      <c r="A21" s="85">
        <v>710408</v>
      </c>
      <c r="B21" s="128" t="s">
        <v>132</v>
      </c>
      <c r="C21" s="109">
        <v>19818.72</v>
      </c>
      <c r="D21" s="130">
        <v>23006.52</v>
      </c>
      <c r="E21" s="109">
        <v>27226.199999999975</v>
      </c>
      <c r="F21" s="130">
        <v>32561.529299999936</v>
      </c>
      <c r="G21" s="109">
        <v>38146.485600000029</v>
      </c>
      <c r="H21" s="130">
        <v>40515.892500000125</v>
      </c>
      <c r="I21" s="209"/>
    </row>
    <row r="22" spans="1:9" ht="20.100000000000001" hidden="1" customHeight="1" x14ac:dyDescent="0.2">
      <c r="A22" s="86">
        <v>7105</v>
      </c>
      <c r="B22" s="127" t="s">
        <v>9</v>
      </c>
      <c r="C22" s="109"/>
      <c r="D22" s="130"/>
      <c r="E22" s="109"/>
      <c r="F22" s="130"/>
      <c r="G22" s="109"/>
      <c r="H22" s="130"/>
      <c r="I22" s="209"/>
    </row>
    <row r="23" spans="1:9" ht="20.100000000000001" hidden="1" customHeight="1" x14ac:dyDescent="0.2">
      <c r="A23" s="87" t="s">
        <v>133</v>
      </c>
      <c r="B23" s="128" t="s">
        <v>10</v>
      </c>
      <c r="C23" s="109">
        <v>0</v>
      </c>
      <c r="D23" s="130">
        <v>0</v>
      </c>
      <c r="E23" s="109">
        <v>0</v>
      </c>
      <c r="F23" s="130"/>
      <c r="G23" s="109"/>
      <c r="H23" s="130"/>
      <c r="I23" s="209"/>
    </row>
    <row r="24" spans="1:9" ht="20.100000000000001" hidden="1" customHeight="1" x14ac:dyDescent="0.2">
      <c r="A24" s="85"/>
      <c r="B24" s="128"/>
      <c r="C24" s="109"/>
      <c r="D24" s="130"/>
      <c r="E24" s="109"/>
      <c r="F24" s="130"/>
      <c r="G24" s="109"/>
      <c r="H24" s="130"/>
      <c r="I24" s="209"/>
    </row>
    <row r="25" spans="1:9" ht="20.100000000000001" customHeight="1" x14ac:dyDescent="0.2">
      <c r="A25" s="86">
        <v>7106</v>
      </c>
      <c r="B25" s="127" t="s">
        <v>11</v>
      </c>
      <c r="C25" s="109"/>
      <c r="D25" s="130"/>
      <c r="E25" s="109"/>
      <c r="F25" s="130"/>
      <c r="G25" s="109"/>
      <c r="H25" s="130"/>
      <c r="I25" s="209"/>
    </row>
    <row r="26" spans="1:9" ht="20.100000000000001" customHeight="1" x14ac:dyDescent="0.2">
      <c r="A26" s="87" t="s">
        <v>134</v>
      </c>
      <c r="B26" s="128" t="s">
        <v>12</v>
      </c>
      <c r="C26" s="109">
        <v>240854.31</v>
      </c>
      <c r="D26" s="130">
        <v>240149.82</v>
      </c>
      <c r="E26" s="109">
        <v>235850.89139999976</v>
      </c>
      <c r="F26" s="130">
        <v>239226.20513999971</v>
      </c>
      <c r="G26" s="109">
        <v>238378.78637999974</v>
      </c>
      <c r="H26" s="130">
        <v>238575.61637999973</v>
      </c>
      <c r="I26" s="209"/>
    </row>
    <row r="27" spans="1:9" ht="20.100000000000001" customHeight="1" x14ac:dyDescent="0.2">
      <c r="A27" s="87" t="s">
        <v>135</v>
      </c>
      <c r="B27" s="128" t="s">
        <v>13</v>
      </c>
      <c r="C27" s="109">
        <v>165128.92000000001</v>
      </c>
      <c r="D27" s="130">
        <v>164645.42000000001</v>
      </c>
      <c r="E27" s="109">
        <v>161698.59468000018</v>
      </c>
      <c r="F27" s="130">
        <v>164012.69866800014</v>
      </c>
      <c r="G27" s="109">
        <v>163431.71115600018</v>
      </c>
      <c r="H27" s="130">
        <v>163566.65715600015</v>
      </c>
      <c r="I27" s="209"/>
    </row>
    <row r="28" spans="1:9" ht="20.100000000000001" customHeight="1" x14ac:dyDescent="0.2">
      <c r="A28" s="87" t="s">
        <v>136</v>
      </c>
      <c r="B28" s="128" t="s">
        <v>16</v>
      </c>
      <c r="C28" s="109">
        <v>39230.65</v>
      </c>
      <c r="D28" s="130">
        <v>46911.25</v>
      </c>
      <c r="E28" s="111">
        <v>44318.96</v>
      </c>
      <c r="F28" s="130">
        <v>11828.941821776032</v>
      </c>
      <c r="G28" s="109">
        <v>11010.820425415903</v>
      </c>
      <c r="H28" s="130">
        <v>62506.006070793919</v>
      </c>
      <c r="I28" s="209"/>
    </row>
    <row r="29" spans="1:9" ht="20.100000000000001" customHeight="1" x14ac:dyDescent="0.2">
      <c r="A29" s="85"/>
      <c r="B29" s="128"/>
      <c r="C29" s="109"/>
      <c r="D29" s="130"/>
      <c r="E29" s="111"/>
      <c r="F29" s="130"/>
      <c r="G29" s="109"/>
      <c r="H29" s="130"/>
      <c r="I29" s="209"/>
    </row>
    <row r="30" spans="1:9" ht="20.100000000000001" customHeight="1" x14ac:dyDescent="0.2">
      <c r="A30" s="86">
        <v>7107</v>
      </c>
      <c r="B30" s="127" t="s">
        <v>14</v>
      </c>
      <c r="C30" s="109"/>
      <c r="D30" s="130"/>
      <c r="E30" s="111"/>
      <c r="F30" s="130"/>
      <c r="G30" s="109"/>
      <c r="H30" s="130"/>
      <c r="I30" s="209"/>
    </row>
    <row r="31" spans="1:9" ht="20.100000000000001" customHeight="1" x14ac:dyDescent="0.2">
      <c r="A31" s="85">
        <v>710704</v>
      </c>
      <c r="B31" s="128" t="s">
        <v>32</v>
      </c>
      <c r="C31" s="109">
        <v>0</v>
      </c>
      <c r="D31" s="130">
        <v>0</v>
      </c>
      <c r="E31" s="111">
        <v>0</v>
      </c>
      <c r="F31" s="130"/>
      <c r="G31" s="109"/>
      <c r="H31" s="130"/>
      <c r="I31" s="209"/>
    </row>
    <row r="32" spans="1:9" ht="20.100000000000001" customHeight="1" x14ac:dyDescent="0.2">
      <c r="A32" s="85">
        <v>710705</v>
      </c>
      <c r="B32" s="128" t="s">
        <v>127</v>
      </c>
      <c r="C32" s="109">
        <v>716036.22</v>
      </c>
      <c r="D32" s="130">
        <v>851819.38</v>
      </c>
      <c r="E32" s="111">
        <v>736502.9</v>
      </c>
      <c r="F32" s="130">
        <v>95139.466666666674</v>
      </c>
      <c r="G32" s="109">
        <v>141430.67000000001</v>
      </c>
      <c r="H32" s="130">
        <v>258344.61111111109</v>
      </c>
      <c r="I32" s="209"/>
    </row>
    <row r="33" spans="1:9" ht="20.100000000000001" customHeight="1" x14ac:dyDescent="0.2">
      <c r="A33" s="85">
        <v>730802</v>
      </c>
      <c r="B33" s="128" t="s">
        <v>466</v>
      </c>
      <c r="C33" s="69">
        <v>168692.95</v>
      </c>
      <c r="D33" s="69">
        <v>201861.48</v>
      </c>
      <c r="E33" s="69">
        <v>30940.11</v>
      </c>
      <c r="F33" s="116">
        <v>0</v>
      </c>
      <c r="G33" s="69">
        <v>0</v>
      </c>
      <c r="H33" s="63">
        <v>20776.48</v>
      </c>
      <c r="I33" s="209"/>
    </row>
    <row r="34" spans="1:9" ht="20.100000000000001" customHeight="1" thickBot="1" x14ac:dyDescent="0.25">
      <c r="A34" s="88"/>
      <c r="B34" s="129"/>
      <c r="C34" s="133"/>
      <c r="D34" s="131" t="s">
        <v>454</v>
      </c>
      <c r="E34" s="133"/>
      <c r="F34" s="131"/>
      <c r="G34" s="133"/>
      <c r="H34" s="131"/>
      <c r="I34" s="210"/>
    </row>
    <row r="35" spans="1:9" ht="20.100000000000001" customHeight="1" thickBot="1" x14ac:dyDescent="0.25">
      <c r="A35" s="135"/>
      <c r="B35" s="135" t="s">
        <v>6</v>
      </c>
      <c r="C35" s="245">
        <f>SUM(C8:C34)</f>
        <v>3899350.6700000018</v>
      </c>
      <c r="D35" s="245">
        <f>SUM(D9:D34)</f>
        <v>4046569.9300000011</v>
      </c>
      <c r="E35" s="245">
        <f>SUM(E8:E34)</f>
        <v>3742696.0160800009</v>
      </c>
      <c r="F35" s="245">
        <f t="shared" ref="F35:H35" si="0">SUM(F9:F34)</f>
        <v>3011213.8815964442</v>
      </c>
      <c r="G35" s="245">
        <f t="shared" si="0"/>
        <v>3053903.3335614176</v>
      </c>
      <c r="H35" s="245">
        <f t="shared" si="0"/>
        <v>3140318.9532179059</v>
      </c>
      <c r="I35" s="135"/>
    </row>
    <row r="36" spans="1:9" ht="20.100000000000001" customHeight="1" x14ac:dyDescent="0.2">
      <c r="A36" s="60" t="s">
        <v>120</v>
      </c>
      <c r="B36" s="51"/>
      <c r="C36" s="50"/>
      <c r="D36" s="50"/>
      <c r="E36" s="50"/>
      <c r="F36" s="50"/>
      <c r="G36" s="50"/>
      <c r="H36" s="50"/>
      <c r="I36" s="3"/>
    </row>
    <row r="37" spans="1:9" ht="20.100000000000001" customHeight="1" x14ac:dyDescent="0.2">
      <c r="A37" s="60" t="s">
        <v>118</v>
      </c>
      <c r="B37" s="50"/>
      <c r="C37" s="50"/>
      <c r="D37" s="50"/>
      <c r="E37" s="52"/>
      <c r="F37" s="52"/>
      <c r="G37" s="52"/>
      <c r="H37" s="52"/>
      <c r="I37" s="3"/>
    </row>
    <row r="38" spans="1:9" ht="20.100000000000001" customHeight="1" x14ac:dyDescent="0.2">
      <c r="A38" s="60" t="s">
        <v>121</v>
      </c>
      <c r="B38" s="50"/>
      <c r="C38" s="50"/>
      <c r="D38" s="50"/>
      <c r="E38" s="52"/>
      <c r="F38" s="52"/>
      <c r="G38" s="52"/>
      <c r="H38" s="52"/>
      <c r="I38" s="3"/>
    </row>
    <row r="39" spans="1:9" ht="20.100000000000001" customHeight="1" x14ac:dyDescent="0.2">
      <c r="A39" s="60"/>
      <c r="B39" s="50"/>
      <c r="C39" s="50"/>
      <c r="D39" s="50"/>
      <c r="E39" s="52"/>
      <c r="F39" s="52"/>
      <c r="G39" s="52"/>
      <c r="H39" s="52"/>
      <c r="I39" s="3"/>
    </row>
    <row r="40" spans="1:9" ht="20.100000000000001" customHeight="1" x14ac:dyDescent="0.2">
      <c r="A40" s="50"/>
      <c r="B40" s="50"/>
      <c r="C40" s="50"/>
      <c r="D40" s="50"/>
      <c r="E40" s="52"/>
      <c r="F40" s="52"/>
      <c r="G40" s="52"/>
      <c r="H40" s="52"/>
      <c r="I40" s="3"/>
    </row>
    <row r="41" spans="1:9" ht="20.100000000000001" customHeight="1" x14ac:dyDescent="0.2">
      <c r="A41" s="2"/>
      <c r="B41" s="50"/>
      <c r="C41" s="50"/>
      <c r="D41" s="50"/>
      <c r="E41" s="50"/>
      <c r="F41" s="50"/>
      <c r="G41" s="50"/>
      <c r="H41" s="50"/>
      <c r="I41" s="3"/>
    </row>
    <row r="42" spans="1:9" ht="20.100000000000001" customHeight="1" x14ac:dyDescent="0.25">
      <c r="A42" s="2"/>
      <c r="B42" s="207" t="s">
        <v>462</v>
      </c>
      <c r="C42" s="207"/>
      <c r="D42" s="84"/>
      <c r="E42" s="84"/>
      <c r="F42" s="84"/>
      <c r="G42" s="84"/>
      <c r="H42" s="84"/>
      <c r="I42" s="3"/>
    </row>
    <row r="43" spans="1:9" ht="20.100000000000001" customHeight="1" x14ac:dyDescent="0.25">
      <c r="A43" s="2"/>
      <c r="B43" s="84"/>
      <c r="C43" s="84"/>
      <c r="D43" s="84"/>
      <c r="E43" s="84"/>
      <c r="F43" s="84"/>
      <c r="G43" s="84"/>
      <c r="H43" s="84"/>
      <c r="I43" s="3"/>
    </row>
    <row r="44" spans="1:9" ht="15" x14ac:dyDescent="0.25">
      <c r="A44" s="2"/>
      <c r="B44" s="47" t="s">
        <v>478</v>
      </c>
      <c r="C44" s="6"/>
      <c r="D44" s="6"/>
      <c r="E44" s="6"/>
      <c r="F44" s="6"/>
      <c r="G44" s="6"/>
      <c r="H44" s="6"/>
      <c r="I44" s="3"/>
    </row>
    <row r="45" spans="1:9" ht="20.100000000000001" customHeight="1" x14ac:dyDescent="0.25">
      <c r="A45" s="2"/>
      <c r="B45" s="47" t="s">
        <v>530</v>
      </c>
      <c r="C45" s="50"/>
      <c r="D45" s="50"/>
      <c r="E45" s="50"/>
      <c r="F45" s="50"/>
      <c r="G45" s="50"/>
      <c r="H45" s="50"/>
    </row>
    <row r="46" spans="1:9" ht="20.100000000000001" customHeight="1" x14ac:dyDescent="0.25">
      <c r="A46" s="2"/>
      <c r="B46" s="47" t="s">
        <v>119</v>
      </c>
      <c r="C46" s="50"/>
      <c r="D46" s="50"/>
      <c r="E46" s="50"/>
      <c r="F46" s="50"/>
      <c r="G46" s="50"/>
      <c r="H46" s="50"/>
    </row>
  </sheetData>
  <mergeCells count="4">
    <mergeCell ref="A1:E1"/>
    <mergeCell ref="B42:C42"/>
    <mergeCell ref="A7:I7"/>
    <mergeCell ref="I9:I34"/>
  </mergeCells>
  <phoneticPr fontId="0" type="noConversion"/>
  <pageMargins left="0.7" right="0.7" top="0.43" bottom="0.4" header="0.3" footer="0.3"/>
  <pageSetup scale="60" orientation="landscape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283"/>
  <sheetViews>
    <sheetView tabSelected="1" showWhiteSpace="0" view="pageLayout" topLeftCell="A8" zoomScale="70" zoomScaleNormal="100" zoomScalePageLayoutView="70" workbookViewId="0">
      <pane ySplit="3225" topLeftCell="A261" activePane="bottomLeft"/>
      <selection activeCell="C4" sqref="C1:C1048576"/>
      <selection pane="bottomLeft" activeCell="L265" sqref="L265"/>
    </sheetView>
  </sheetViews>
  <sheetFormatPr baseColWidth="10" defaultRowHeight="12.75" x14ac:dyDescent="0.2"/>
  <cols>
    <col min="1" max="1" width="11.42578125" style="54" customWidth="1"/>
    <col min="2" max="2" width="23.85546875" style="162" customWidth="1"/>
    <col min="3" max="3" width="8" style="54" customWidth="1"/>
    <col min="4" max="4" width="9.28515625" style="54" customWidth="1"/>
    <col min="5" max="5" width="24.140625" style="54" customWidth="1"/>
    <col min="6" max="6" width="15.140625" style="54" customWidth="1"/>
    <col min="7" max="11" width="17.140625" style="54" customWidth="1"/>
    <col min="12" max="12" width="18.85546875" style="2" customWidth="1"/>
    <col min="13" max="13" width="13.140625" style="2" customWidth="1"/>
    <col min="14" max="259" width="11.42578125" style="2"/>
    <col min="260" max="260" width="13.85546875" style="2" customWidth="1"/>
    <col min="261" max="261" width="37.28515625" style="2" bestFit="1" customWidth="1"/>
    <col min="262" max="262" width="12.5703125" style="2" customWidth="1"/>
    <col min="263" max="263" width="9.28515625" style="2" customWidth="1"/>
    <col min="264" max="264" width="36" style="2" bestFit="1" customWidth="1"/>
    <col min="265" max="266" width="15.7109375" style="2" customWidth="1"/>
    <col min="267" max="267" width="25" style="2" customWidth="1"/>
    <col min="268" max="515" width="11.42578125" style="2"/>
    <col min="516" max="516" width="13.85546875" style="2" customWidth="1"/>
    <col min="517" max="517" width="37.28515625" style="2" bestFit="1" customWidth="1"/>
    <col min="518" max="518" width="12.5703125" style="2" customWidth="1"/>
    <col min="519" max="519" width="9.28515625" style="2" customWidth="1"/>
    <col min="520" max="520" width="36" style="2" bestFit="1" customWidth="1"/>
    <col min="521" max="522" width="15.7109375" style="2" customWidth="1"/>
    <col min="523" max="523" width="25" style="2" customWidth="1"/>
    <col min="524" max="771" width="11.42578125" style="2"/>
    <col min="772" max="772" width="13.85546875" style="2" customWidth="1"/>
    <col min="773" max="773" width="37.28515625" style="2" bestFit="1" customWidth="1"/>
    <col min="774" max="774" width="12.5703125" style="2" customWidth="1"/>
    <col min="775" max="775" width="9.28515625" style="2" customWidth="1"/>
    <col min="776" max="776" width="36" style="2" bestFit="1" customWidth="1"/>
    <col min="777" max="778" width="15.7109375" style="2" customWidth="1"/>
    <col min="779" max="779" width="25" style="2" customWidth="1"/>
    <col min="780" max="1027" width="11.42578125" style="2"/>
    <col min="1028" max="1028" width="13.85546875" style="2" customWidth="1"/>
    <col min="1029" max="1029" width="37.28515625" style="2" bestFit="1" customWidth="1"/>
    <col min="1030" max="1030" width="12.5703125" style="2" customWidth="1"/>
    <col min="1031" max="1031" width="9.28515625" style="2" customWidth="1"/>
    <col min="1032" max="1032" width="36" style="2" bestFit="1" customWidth="1"/>
    <col min="1033" max="1034" width="15.7109375" style="2" customWidth="1"/>
    <col min="1035" max="1035" width="25" style="2" customWidth="1"/>
    <col min="1036" max="1283" width="11.42578125" style="2"/>
    <col min="1284" max="1284" width="13.85546875" style="2" customWidth="1"/>
    <col min="1285" max="1285" width="37.28515625" style="2" bestFit="1" customWidth="1"/>
    <col min="1286" max="1286" width="12.5703125" style="2" customWidth="1"/>
    <col min="1287" max="1287" width="9.28515625" style="2" customWidth="1"/>
    <col min="1288" max="1288" width="36" style="2" bestFit="1" customWidth="1"/>
    <col min="1289" max="1290" width="15.7109375" style="2" customWidth="1"/>
    <col min="1291" max="1291" width="25" style="2" customWidth="1"/>
    <col min="1292" max="1539" width="11.42578125" style="2"/>
    <col min="1540" max="1540" width="13.85546875" style="2" customWidth="1"/>
    <col min="1541" max="1541" width="37.28515625" style="2" bestFit="1" customWidth="1"/>
    <col min="1542" max="1542" width="12.5703125" style="2" customWidth="1"/>
    <col min="1543" max="1543" width="9.28515625" style="2" customWidth="1"/>
    <col min="1544" max="1544" width="36" style="2" bestFit="1" customWidth="1"/>
    <col min="1545" max="1546" width="15.7109375" style="2" customWidth="1"/>
    <col min="1547" max="1547" width="25" style="2" customWidth="1"/>
    <col min="1548" max="1795" width="11.42578125" style="2"/>
    <col min="1796" max="1796" width="13.85546875" style="2" customWidth="1"/>
    <col min="1797" max="1797" width="37.28515625" style="2" bestFit="1" customWidth="1"/>
    <col min="1798" max="1798" width="12.5703125" style="2" customWidth="1"/>
    <col min="1799" max="1799" width="9.28515625" style="2" customWidth="1"/>
    <col min="1800" max="1800" width="36" style="2" bestFit="1" customWidth="1"/>
    <col min="1801" max="1802" width="15.7109375" style="2" customWidth="1"/>
    <col min="1803" max="1803" width="25" style="2" customWidth="1"/>
    <col min="1804" max="2051" width="11.42578125" style="2"/>
    <col min="2052" max="2052" width="13.85546875" style="2" customWidth="1"/>
    <col min="2053" max="2053" width="37.28515625" style="2" bestFit="1" customWidth="1"/>
    <col min="2054" max="2054" width="12.5703125" style="2" customWidth="1"/>
    <col min="2055" max="2055" width="9.28515625" style="2" customWidth="1"/>
    <col min="2056" max="2056" width="36" style="2" bestFit="1" customWidth="1"/>
    <col min="2057" max="2058" width="15.7109375" style="2" customWidth="1"/>
    <col min="2059" max="2059" width="25" style="2" customWidth="1"/>
    <col min="2060" max="2307" width="11.42578125" style="2"/>
    <col min="2308" max="2308" width="13.85546875" style="2" customWidth="1"/>
    <col min="2309" max="2309" width="37.28515625" style="2" bestFit="1" customWidth="1"/>
    <col min="2310" max="2310" width="12.5703125" style="2" customWidth="1"/>
    <col min="2311" max="2311" width="9.28515625" style="2" customWidth="1"/>
    <col min="2312" max="2312" width="36" style="2" bestFit="1" customWidth="1"/>
    <col min="2313" max="2314" width="15.7109375" style="2" customWidth="1"/>
    <col min="2315" max="2315" width="25" style="2" customWidth="1"/>
    <col min="2316" max="2563" width="11.42578125" style="2"/>
    <col min="2564" max="2564" width="13.85546875" style="2" customWidth="1"/>
    <col min="2565" max="2565" width="37.28515625" style="2" bestFit="1" customWidth="1"/>
    <col min="2566" max="2566" width="12.5703125" style="2" customWidth="1"/>
    <col min="2567" max="2567" width="9.28515625" style="2" customWidth="1"/>
    <col min="2568" max="2568" width="36" style="2" bestFit="1" customWidth="1"/>
    <col min="2569" max="2570" width="15.7109375" style="2" customWidth="1"/>
    <col min="2571" max="2571" width="25" style="2" customWidth="1"/>
    <col min="2572" max="2819" width="11.42578125" style="2"/>
    <col min="2820" max="2820" width="13.85546875" style="2" customWidth="1"/>
    <col min="2821" max="2821" width="37.28515625" style="2" bestFit="1" customWidth="1"/>
    <col min="2822" max="2822" width="12.5703125" style="2" customWidth="1"/>
    <col min="2823" max="2823" width="9.28515625" style="2" customWidth="1"/>
    <col min="2824" max="2824" width="36" style="2" bestFit="1" customWidth="1"/>
    <col min="2825" max="2826" width="15.7109375" style="2" customWidth="1"/>
    <col min="2827" max="2827" width="25" style="2" customWidth="1"/>
    <col min="2828" max="3075" width="11.42578125" style="2"/>
    <col min="3076" max="3076" width="13.85546875" style="2" customWidth="1"/>
    <col min="3077" max="3077" width="37.28515625" style="2" bestFit="1" customWidth="1"/>
    <col min="3078" max="3078" width="12.5703125" style="2" customWidth="1"/>
    <col min="3079" max="3079" width="9.28515625" style="2" customWidth="1"/>
    <col min="3080" max="3080" width="36" style="2" bestFit="1" customWidth="1"/>
    <col min="3081" max="3082" width="15.7109375" style="2" customWidth="1"/>
    <col min="3083" max="3083" width="25" style="2" customWidth="1"/>
    <col min="3084" max="3331" width="11.42578125" style="2"/>
    <col min="3332" max="3332" width="13.85546875" style="2" customWidth="1"/>
    <col min="3333" max="3333" width="37.28515625" style="2" bestFit="1" customWidth="1"/>
    <col min="3334" max="3334" width="12.5703125" style="2" customWidth="1"/>
    <col min="3335" max="3335" width="9.28515625" style="2" customWidth="1"/>
    <col min="3336" max="3336" width="36" style="2" bestFit="1" customWidth="1"/>
    <col min="3337" max="3338" width="15.7109375" style="2" customWidth="1"/>
    <col min="3339" max="3339" width="25" style="2" customWidth="1"/>
    <col min="3340" max="3587" width="11.42578125" style="2"/>
    <col min="3588" max="3588" width="13.85546875" style="2" customWidth="1"/>
    <col min="3589" max="3589" width="37.28515625" style="2" bestFit="1" customWidth="1"/>
    <col min="3590" max="3590" width="12.5703125" style="2" customWidth="1"/>
    <col min="3591" max="3591" width="9.28515625" style="2" customWidth="1"/>
    <col min="3592" max="3592" width="36" style="2" bestFit="1" customWidth="1"/>
    <col min="3593" max="3594" width="15.7109375" style="2" customWidth="1"/>
    <col min="3595" max="3595" width="25" style="2" customWidth="1"/>
    <col min="3596" max="3843" width="11.42578125" style="2"/>
    <col min="3844" max="3844" width="13.85546875" style="2" customWidth="1"/>
    <col min="3845" max="3845" width="37.28515625" style="2" bestFit="1" customWidth="1"/>
    <col min="3846" max="3846" width="12.5703125" style="2" customWidth="1"/>
    <col min="3847" max="3847" width="9.28515625" style="2" customWidth="1"/>
    <col min="3848" max="3848" width="36" style="2" bestFit="1" customWidth="1"/>
    <col min="3849" max="3850" width="15.7109375" style="2" customWidth="1"/>
    <col min="3851" max="3851" width="25" style="2" customWidth="1"/>
    <col min="3852" max="4099" width="11.42578125" style="2"/>
    <col min="4100" max="4100" width="13.85546875" style="2" customWidth="1"/>
    <col min="4101" max="4101" width="37.28515625" style="2" bestFit="1" customWidth="1"/>
    <col min="4102" max="4102" width="12.5703125" style="2" customWidth="1"/>
    <col min="4103" max="4103" width="9.28515625" style="2" customWidth="1"/>
    <col min="4104" max="4104" width="36" style="2" bestFit="1" customWidth="1"/>
    <col min="4105" max="4106" width="15.7109375" style="2" customWidth="1"/>
    <col min="4107" max="4107" width="25" style="2" customWidth="1"/>
    <col min="4108" max="4355" width="11.42578125" style="2"/>
    <col min="4356" max="4356" width="13.85546875" style="2" customWidth="1"/>
    <col min="4357" max="4357" width="37.28515625" style="2" bestFit="1" customWidth="1"/>
    <col min="4358" max="4358" width="12.5703125" style="2" customWidth="1"/>
    <col min="4359" max="4359" width="9.28515625" style="2" customWidth="1"/>
    <col min="4360" max="4360" width="36" style="2" bestFit="1" customWidth="1"/>
    <col min="4361" max="4362" width="15.7109375" style="2" customWidth="1"/>
    <col min="4363" max="4363" width="25" style="2" customWidth="1"/>
    <col min="4364" max="4611" width="11.42578125" style="2"/>
    <col min="4612" max="4612" width="13.85546875" style="2" customWidth="1"/>
    <col min="4613" max="4613" width="37.28515625" style="2" bestFit="1" customWidth="1"/>
    <col min="4614" max="4614" width="12.5703125" style="2" customWidth="1"/>
    <col min="4615" max="4615" width="9.28515625" style="2" customWidth="1"/>
    <col min="4616" max="4616" width="36" style="2" bestFit="1" customWidth="1"/>
    <col min="4617" max="4618" width="15.7109375" style="2" customWidth="1"/>
    <col min="4619" max="4619" width="25" style="2" customWidth="1"/>
    <col min="4620" max="4867" width="11.42578125" style="2"/>
    <col min="4868" max="4868" width="13.85546875" style="2" customWidth="1"/>
    <col min="4869" max="4869" width="37.28515625" style="2" bestFit="1" customWidth="1"/>
    <col min="4870" max="4870" width="12.5703125" style="2" customWidth="1"/>
    <col min="4871" max="4871" width="9.28515625" style="2" customWidth="1"/>
    <col min="4872" max="4872" width="36" style="2" bestFit="1" customWidth="1"/>
    <col min="4873" max="4874" width="15.7109375" style="2" customWidth="1"/>
    <col min="4875" max="4875" width="25" style="2" customWidth="1"/>
    <col min="4876" max="5123" width="11.42578125" style="2"/>
    <col min="5124" max="5124" width="13.85546875" style="2" customWidth="1"/>
    <col min="5125" max="5125" width="37.28515625" style="2" bestFit="1" customWidth="1"/>
    <col min="5126" max="5126" width="12.5703125" style="2" customWidth="1"/>
    <col min="5127" max="5127" width="9.28515625" style="2" customWidth="1"/>
    <col min="5128" max="5128" width="36" style="2" bestFit="1" customWidth="1"/>
    <col min="5129" max="5130" width="15.7109375" style="2" customWidth="1"/>
    <col min="5131" max="5131" width="25" style="2" customWidth="1"/>
    <col min="5132" max="5379" width="11.42578125" style="2"/>
    <col min="5380" max="5380" width="13.85546875" style="2" customWidth="1"/>
    <col min="5381" max="5381" width="37.28515625" style="2" bestFit="1" customWidth="1"/>
    <col min="5382" max="5382" width="12.5703125" style="2" customWidth="1"/>
    <col min="5383" max="5383" width="9.28515625" style="2" customWidth="1"/>
    <col min="5384" max="5384" width="36" style="2" bestFit="1" customWidth="1"/>
    <col min="5385" max="5386" width="15.7109375" style="2" customWidth="1"/>
    <col min="5387" max="5387" width="25" style="2" customWidth="1"/>
    <col min="5388" max="5635" width="11.42578125" style="2"/>
    <col min="5636" max="5636" width="13.85546875" style="2" customWidth="1"/>
    <col min="5637" max="5637" width="37.28515625" style="2" bestFit="1" customWidth="1"/>
    <col min="5638" max="5638" width="12.5703125" style="2" customWidth="1"/>
    <col min="5639" max="5639" width="9.28515625" style="2" customWidth="1"/>
    <col min="5640" max="5640" width="36" style="2" bestFit="1" customWidth="1"/>
    <col min="5641" max="5642" width="15.7109375" style="2" customWidth="1"/>
    <col min="5643" max="5643" width="25" style="2" customWidth="1"/>
    <col min="5644" max="5891" width="11.42578125" style="2"/>
    <col min="5892" max="5892" width="13.85546875" style="2" customWidth="1"/>
    <col min="5893" max="5893" width="37.28515625" style="2" bestFit="1" customWidth="1"/>
    <col min="5894" max="5894" width="12.5703125" style="2" customWidth="1"/>
    <col min="5895" max="5895" width="9.28515625" style="2" customWidth="1"/>
    <col min="5896" max="5896" width="36" style="2" bestFit="1" customWidth="1"/>
    <col min="5897" max="5898" width="15.7109375" style="2" customWidth="1"/>
    <col min="5899" max="5899" width="25" style="2" customWidth="1"/>
    <col min="5900" max="6147" width="11.42578125" style="2"/>
    <col min="6148" max="6148" width="13.85546875" style="2" customWidth="1"/>
    <col min="6149" max="6149" width="37.28515625" style="2" bestFit="1" customWidth="1"/>
    <col min="6150" max="6150" width="12.5703125" style="2" customWidth="1"/>
    <col min="6151" max="6151" width="9.28515625" style="2" customWidth="1"/>
    <col min="6152" max="6152" width="36" style="2" bestFit="1" customWidth="1"/>
    <col min="6153" max="6154" width="15.7109375" style="2" customWidth="1"/>
    <col min="6155" max="6155" width="25" style="2" customWidth="1"/>
    <col min="6156" max="6403" width="11.42578125" style="2"/>
    <col min="6404" max="6404" width="13.85546875" style="2" customWidth="1"/>
    <col min="6405" max="6405" width="37.28515625" style="2" bestFit="1" customWidth="1"/>
    <col min="6406" max="6406" width="12.5703125" style="2" customWidth="1"/>
    <col min="6407" max="6407" width="9.28515625" style="2" customWidth="1"/>
    <col min="6408" max="6408" width="36" style="2" bestFit="1" customWidth="1"/>
    <col min="6409" max="6410" width="15.7109375" style="2" customWidth="1"/>
    <col min="6411" max="6411" width="25" style="2" customWidth="1"/>
    <col min="6412" max="6659" width="11.42578125" style="2"/>
    <col min="6660" max="6660" width="13.85546875" style="2" customWidth="1"/>
    <col min="6661" max="6661" width="37.28515625" style="2" bestFit="1" customWidth="1"/>
    <col min="6662" max="6662" width="12.5703125" style="2" customWidth="1"/>
    <col min="6663" max="6663" width="9.28515625" style="2" customWidth="1"/>
    <col min="6664" max="6664" width="36" style="2" bestFit="1" customWidth="1"/>
    <col min="6665" max="6666" width="15.7109375" style="2" customWidth="1"/>
    <col min="6667" max="6667" width="25" style="2" customWidth="1"/>
    <col min="6668" max="6915" width="11.42578125" style="2"/>
    <col min="6916" max="6916" width="13.85546875" style="2" customWidth="1"/>
    <col min="6917" max="6917" width="37.28515625" style="2" bestFit="1" customWidth="1"/>
    <col min="6918" max="6918" width="12.5703125" style="2" customWidth="1"/>
    <col min="6919" max="6919" width="9.28515625" style="2" customWidth="1"/>
    <col min="6920" max="6920" width="36" style="2" bestFit="1" customWidth="1"/>
    <col min="6921" max="6922" width="15.7109375" style="2" customWidth="1"/>
    <col min="6923" max="6923" width="25" style="2" customWidth="1"/>
    <col min="6924" max="7171" width="11.42578125" style="2"/>
    <col min="7172" max="7172" width="13.85546875" style="2" customWidth="1"/>
    <col min="7173" max="7173" width="37.28515625" style="2" bestFit="1" customWidth="1"/>
    <col min="7174" max="7174" width="12.5703125" style="2" customWidth="1"/>
    <col min="7175" max="7175" width="9.28515625" style="2" customWidth="1"/>
    <col min="7176" max="7176" width="36" style="2" bestFit="1" customWidth="1"/>
    <col min="7177" max="7178" width="15.7109375" style="2" customWidth="1"/>
    <col min="7179" max="7179" width="25" style="2" customWidth="1"/>
    <col min="7180" max="7427" width="11.42578125" style="2"/>
    <col min="7428" max="7428" width="13.85546875" style="2" customWidth="1"/>
    <col min="7429" max="7429" width="37.28515625" style="2" bestFit="1" customWidth="1"/>
    <col min="7430" max="7430" width="12.5703125" style="2" customWidth="1"/>
    <col min="7431" max="7431" width="9.28515625" style="2" customWidth="1"/>
    <col min="7432" max="7432" width="36" style="2" bestFit="1" customWidth="1"/>
    <col min="7433" max="7434" width="15.7109375" style="2" customWidth="1"/>
    <col min="7435" max="7435" width="25" style="2" customWidth="1"/>
    <col min="7436" max="7683" width="11.42578125" style="2"/>
    <col min="7684" max="7684" width="13.85546875" style="2" customWidth="1"/>
    <col min="7685" max="7685" width="37.28515625" style="2" bestFit="1" customWidth="1"/>
    <col min="7686" max="7686" width="12.5703125" style="2" customWidth="1"/>
    <col min="7687" max="7687" width="9.28515625" style="2" customWidth="1"/>
    <col min="7688" max="7688" width="36" style="2" bestFit="1" customWidth="1"/>
    <col min="7689" max="7690" width="15.7109375" style="2" customWidth="1"/>
    <col min="7691" max="7691" width="25" style="2" customWidth="1"/>
    <col min="7692" max="7939" width="11.42578125" style="2"/>
    <col min="7940" max="7940" width="13.85546875" style="2" customWidth="1"/>
    <col min="7941" max="7941" width="37.28515625" style="2" bestFit="1" customWidth="1"/>
    <col min="7942" max="7942" width="12.5703125" style="2" customWidth="1"/>
    <col min="7943" max="7943" width="9.28515625" style="2" customWidth="1"/>
    <col min="7944" max="7944" width="36" style="2" bestFit="1" customWidth="1"/>
    <col min="7945" max="7946" width="15.7109375" style="2" customWidth="1"/>
    <col min="7947" max="7947" width="25" style="2" customWidth="1"/>
    <col min="7948" max="8195" width="11.42578125" style="2"/>
    <col min="8196" max="8196" width="13.85546875" style="2" customWidth="1"/>
    <col min="8197" max="8197" width="37.28515625" style="2" bestFit="1" customWidth="1"/>
    <col min="8198" max="8198" width="12.5703125" style="2" customWidth="1"/>
    <col min="8199" max="8199" width="9.28515625" style="2" customWidth="1"/>
    <col min="8200" max="8200" width="36" style="2" bestFit="1" customWidth="1"/>
    <col min="8201" max="8202" width="15.7109375" style="2" customWidth="1"/>
    <col min="8203" max="8203" width="25" style="2" customWidth="1"/>
    <col min="8204" max="8451" width="11.42578125" style="2"/>
    <col min="8452" max="8452" width="13.85546875" style="2" customWidth="1"/>
    <col min="8453" max="8453" width="37.28515625" style="2" bestFit="1" customWidth="1"/>
    <col min="8454" max="8454" width="12.5703125" style="2" customWidth="1"/>
    <col min="8455" max="8455" width="9.28515625" style="2" customWidth="1"/>
    <col min="8456" max="8456" width="36" style="2" bestFit="1" customWidth="1"/>
    <col min="8457" max="8458" width="15.7109375" style="2" customWidth="1"/>
    <col min="8459" max="8459" width="25" style="2" customWidth="1"/>
    <col min="8460" max="8707" width="11.42578125" style="2"/>
    <col min="8708" max="8708" width="13.85546875" style="2" customWidth="1"/>
    <col min="8709" max="8709" width="37.28515625" style="2" bestFit="1" customWidth="1"/>
    <col min="8710" max="8710" width="12.5703125" style="2" customWidth="1"/>
    <col min="8711" max="8711" width="9.28515625" style="2" customWidth="1"/>
    <col min="8712" max="8712" width="36" style="2" bestFit="1" customWidth="1"/>
    <col min="8713" max="8714" width="15.7109375" style="2" customWidth="1"/>
    <col min="8715" max="8715" width="25" style="2" customWidth="1"/>
    <col min="8716" max="8963" width="11.42578125" style="2"/>
    <col min="8964" max="8964" width="13.85546875" style="2" customWidth="1"/>
    <col min="8965" max="8965" width="37.28515625" style="2" bestFit="1" customWidth="1"/>
    <col min="8966" max="8966" width="12.5703125" style="2" customWidth="1"/>
    <col min="8967" max="8967" width="9.28515625" style="2" customWidth="1"/>
    <col min="8968" max="8968" width="36" style="2" bestFit="1" customWidth="1"/>
    <col min="8969" max="8970" width="15.7109375" style="2" customWidth="1"/>
    <col min="8971" max="8971" width="25" style="2" customWidth="1"/>
    <col min="8972" max="9219" width="11.42578125" style="2"/>
    <col min="9220" max="9220" width="13.85546875" style="2" customWidth="1"/>
    <col min="9221" max="9221" width="37.28515625" style="2" bestFit="1" customWidth="1"/>
    <col min="9222" max="9222" width="12.5703125" style="2" customWidth="1"/>
    <col min="9223" max="9223" width="9.28515625" style="2" customWidth="1"/>
    <col min="9224" max="9224" width="36" style="2" bestFit="1" customWidth="1"/>
    <col min="9225" max="9226" width="15.7109375" style="2" customWidth="1"/>
    <col min="9227" max="9227" width="25" style="2" customWidth="1"/>
    <col min="9228" max="9475" width="11.42578125" style="2"/>
    <col min="9476" max="9476" width="13.85546875" style="2" customWidth="1"/>
    <col min="9477" max="9477" width="37.28515625" style="2" bestFit="1" customWidth="1"/>
    <col min="9478" max="9478" width="12.5703125" style="2" customWidth="1"/>
    <col min="9479" max="9479" width="9.28515625" style="2" customWidth="1"/>
    <col min="9480" max="9480" width="36" style="2" bestFit="1" customWidth="1"/>
    <col min="9481" max="9482" width="15.7109375" style="2" customWidth="1"/>
    <col min="9483" max="9483" width="25" style="2" customWidth="1"/>
    <col min="9484" max="9731" width="11.42578125" style="2"/>
    <col min="9732" max="9732" width="13.85546875" style="2" customWidth="1"/>
    <col min="9733" max="9733" width="37.28515625" style="2" bestFit="1" customWidth="1"/>
    <col min="9734" max="9734" width="12.5703125" style="2" customWidth="1"/>
    <col min="9735" max="9735" width="9.28515625" style="2" customWidth="1"/>
    <col min="9736" max="9736" width="36" style="2" bestFit="1" customWidth="1"/>
    <col min="9737" max="9738" width="15.7109375" style="2" customWidth="1"/>
    <col min="9739" max="9739" width="25" style="2" customWidth="1"/>
    <col min="9740" max="9987" width="11.42578125" style="2"/>
    <col min="9988" max="9988" width="13.85546875" style="2" customWidth="1"/>
    <col min="9989" max="9989" width="37.28515625" style="2" bestFit="1" customWidth="1"/>
    <col min="9990" max="9990" width="12.5703125" style="2" customWidth="1"/>
    <col min="9991" max="9991" width="9.28515625" style="2" customWidth="1"/>
    <col min="9992" max="9992" width="36" style="2" bestFit="1" customWidth="1"/>
    <col min="9993" max="9994" width="15.7109375" style="2" customWidth="1"/>
    <col min="9995" max="9995" width="25" style="2" customWidth="1"/>
    <col min="9996" max="10243" width="11.42578125" style="2"/>
    <col min="10244" max="10244" width="13.85546875" style="2" customWidth="1"/>
    <col min="10245" max="10245" width="37.28515625" style="2" bestFit="1" customWidth="1"/>
    <col min="10246" max="10246" width="12.5703125" style="2" customWidth="1"/>
    <col min="10247" max="10247" width="9.28515625" style="2" customWidth="1"/>
    <col min="10248" max="10248" width="36" style="2" bestFit="1" customWidth="1"/>
    <col min="10249" max="10250" width="15.7109375" style="2" customWidth="1"/>
    <col min="10251" max="10251" width="25" style="2" customWidth="1"/>
    <col min="10252" max="10499" width="11.42578125" style="2"/>
    <col min="10500" max="10500" width="13.85546875" style="2" customWidth="1"/>
    <col min="10501" max="10501" width="37.28515625" style="2" bestFit="1" customWidth="1"/>
    <col min="10502" max="10502" width="12.5703125" style="2" customWidth="1"/>
    <col min="10503" max="10503" width="9.28515625" style="2" customWidth="1"/>
    <col min="10504" max="10504" width="36" style="2" bestFit="1" customWidth="1"/>
    <col min="10505" max="10506" width="15.7109375" style="2" customWidth="1"/>
    <col min="10507" max="10507" width="25" style="2" customWidth="1"/>
    <col min="10508" max="10755" width="11.42578125" style="2"/>
    <col min="10756" max="10756" width="13.85546875" style="2" customWidth="1"/>
    <col min="10757" max="10757" width="37.28515625" style="2" bestFit="1" customWidth="1"/>
    <col min="10758" max="10758" width="12.5703125" style="2" customWidth="1"/>
    <col min="10759" max="10759" width="9.28515625" style="2" customWidth="1"/>
    <col min="10760" max="10760" width="36" style="2" bestFit="1" customWidth="1"/>
    <col min="10761" max="10762" width="15.7109375" style="2" customWidth="1"/>
    <col min="10763" max="10763" width="25" style="2" customWidth="1"/>
    <col min="10764" max="11011" width="11.42578125" style="2"/>
    <col min="11012" max="11012" width="13.85546875" style="2" customWidth="1"/>
    <col min="11013" max="11013" width="37.28515625" style="2" bestFit="1" customWidth="1"/>
    <col min="11014" max="11014" width="12.5703125" style="2" customWidth="1"/>
    <col min="11015" max="11015" width="9.28515625" style="2" customWidth="1"/>
    <col min="11016" max="11016" width="36" style="2" bestFit="1" customWidth="1"/>
    <col min="11017" max="11018" width="15.7109375" style="2" customWidth="1"/>
    <col min="11019" max="11019" width="25" style="2" customWidth="1"/>
    <col min="11020" max="11267" width="11.42578125" style="2"/>
    <col min="11268" max="11268" width="13.85546875" style="2" customWidth="1"/>
    <col min="11269" max="11269" width="37.28515625" style="2" bestFit="1" customWidth="1"/>
    <col min="11270" max="11270" width="12.5703125" style="2" customWidth="1"/>
    <col min="11271" max="11271" width="9.28515625" style="2" customWidth="1"/>
    <col min="11272" max="11272" width="36" style="2" bestFit="1" customWidth="1"/>
    <col min="11273" max="11274" width="15.7109375" style="2" customWidth="1"/>
    <col min="11275" max="11275" width="25" style="2" customWidth="1"/>
    <col min="11276" max="11523" width="11.42578125" style="2"/>
    <col min="11524" max="11524" width="13.85546875" style="2" customWidth="1"/>
    <col min="11525" max="11525" width="37.28515625" style="2" bestFit="1" customWidth="1"/>
    <col min="11526" max="11526" width="12.5703125" style="2" customWidth="1"/>
    <col min="11527" max="11527" width="9.28515625" style="2" customWidth="1"/>
    <col min="11528" max="11528" width="36" style="2" bestFit="1" customWidth="1"/>
    <col min="11529" max="11530" width="15.7109375" style="2" customWidth="1"/>
    <col min="11531" max="11531" width="25" style="2" customWidth="1"/>
    <col min="11532" max="11779" width="11.42578125" style="2"/>
    <col min="11780" max="11780" width="13.85546875" style="2" customWidth="1"/>
    <col min="11781" max="11781" width="37.28515625" style="2" bestFit="1" customWidth="1"/>
    <col min="11782" max="11782" width="12.5703125" style="2" customWidth="1"/>
    <col min="11783" max="11783" width="9.28515625" style="2" customWidth="1"/>
    <col min="11784" max="11784" width="36" style="2" bestFit="1" customWidth="1"/>
    <col min="11785" max="11786" width="15.7109375" style="2" customWidth="1"/>
    <col min="11787" max="11787" width="25" style="2" customWidth="1"/>
    <col min="11788" max="12035" width="11.42578125" style="2"/>
    <col min="12036" max="12036" width="13.85546875" style="2" customWidth="1"/>
    <col min="12037" max="12037" width="37.28515625" style="2" bestFit="1" customWidth="1"/>
    <col min="12038" max="12038" width="12.5703125" style="2" customWidth="1"/>
    <col min="12039" max="12039" width="9.28515625" style="2" customWidth="1"/>
    <col min="12040" max="12040" width="36" style="2" bestFit="1" customWidth="1"/>
    <col min="12041" max="12042" width="15.7109375" style="2" customWidth="1"/>
    <col min="12043" max="12043" width="25" style="2" customWidth="1"/>
    <col min="12044" max="12291" width="11.42578125" style="2"/>
    <col min="12292" max="12292" width="13.85546875" style="2" customWidth="1"/>
    <col min="12293" max="12293" width="37.28515625" style="2" bestFit="1" customWidth="1"/>
    <col min="12294" max="12294" width="12.5703125" style="2" customWidth="1"/>
    <col min="12295" max="12295" width="9.28515625" style="2" customWidth="1"/>
    <col min="12296" max="12296" width="36" style="2" bestFit="1" customWidth="1"/>
    <col min="12297" max="12298" width="15.7109375" style="2" customWidth="1"/>
    <col min="12299" max="12299" width="25" style="2" customWidth="1"/>
    <col min="12300" max="12547" width="11.42578125" style="2"/>
    <col min="12548" max="12548" width="13.85546875" style="2" customWidth="1"/>
    <col min="12549" max="12549" width="37.28515625" style="2" bestFit="1" customWidth="1"/>
    <col min="12550" max="12550" width="12.5703125" style="2" customWidth="1"/>
    <col min="12551" max="12551" width="9.28515625" style="2" customWidth="1"/>
    <col min="12552" max="12552" width="36" style="2" bestFit="1" customWidth="1"/>
    <col min="12553" max="12554" width="15.7109375" style="2" customWidth="1"/>
    <col min="12555" max="12555" width="25" style="2" customWidth="1"/>
    <col min="12556" max="12803" width="11.42578125" style="2"/>
    <col min="12804" max="12804" width="13.85546875" style="2" customWidth="1"/>
    <col min="12805" max="12805" width="37.28515625" style="2" bestFit="1" customWidth="1"/>
    <col min="12806" max="12806" width="12.5703125" style="2" customWidth="1"/>
    <col min="12807" max="12807" width="9.28515625" style="2" customWidth="1"/>
    <col min="12808" max="12808" width="36" style="2" bestFit="1" customWidth="1"/>
    <col min="12809" max="12810" width="15.7109375" style="2" customWidth="1"/>
    <col min="12811" max="12811" width="25" style="2" customWidth="1"/>
    <col min="12812" max="13059" width="11.42578125" style="2"/>
    <col min="13060" max="13060" width="13.85546875" style="2" customWidth="1"/>
    <col min="13061" max="13061" width="37.28515625" style="2" bestFit="1" customWidth="1"/>
    <col min="13062" max="13062" width="12.5703125" style="2" customWidth="1"/>
    <col min="13063" max="13063" width="9.28515625" style="2" customWidth="1"/>
    <col min="13064" max="13064" width="36" style="2" bestFit="1" customWidth="1"/>
    <col min="13065" max="13066" width="15.7109375" style="2" customWidth="1"/>
    <col min="13067" max="13067" width="25" style="2" customWidth="1"/>
    <col min="13068" max="13315" width="11.42578125" style="2"/>
    <col min="13316" max="13316" width="13.85546875" style="2" customWidth="1"/>
    <col min="13317" max="13317" width="37.28515625" style="2" bestFit="1" customWidth="1"/>
    <col min="13318" max="13318" width="12.5703125" style="2" customWidth="1"/>
    <col min="13319" max="13319" width="9.28515625" style="2" customWidth="1"/>
    <col min="13320" max="13320" width="36" style="2" bestFit="1" customWidth="1"/>
    <col min="13321" max="13322" width="15.7109375" style="2" customWidth="1"/>
    <col min="13323" max="13323" width="25" style="2" customWidth="1"/>
    <col min="13324" max="13571" width="11.42578125" style="2"/>
    <col min="13572" max="13572" width="13.85546875" style="2" customWidth="1"/>
    <col min="13573" max="13573" width="37.28515625" style="2" bestFit="1" customWidth="1"/>
    <col min="13574" max="13574" width="12.5703125" style="2" customWidth="1"/>
    <col min="13575" max="13575" width="9.28515625" style="2" customWidth="1"/>
    <col min="13576" max="13576" width="36" style="2" bestFit="1" customWidth="1"/>
    <col min="13577" max="13578" width="15.7109375" style="2" customWidth="1"/>
    <col min="13579" max="13579" width="25" style="2" customWidth="1"/>
    <col min="13580" max="13827" width="11.42578125" style="2"/>
    <col min="13828" max="13828" width="13.85546875" style="2" customWidth="1"/>
    <col min="13829" max="13829" width="37.28515625" style="2" bestFit="1" customWidth="1"/>
    <col min="13830" max="13830" width="12.5703125" style="2" customWidth="1"/>
    <col min="13831" max="13831" width="9.28515625" style="2" customWidth="1"/>
    <col min="13832" max="13832" width="36" style="2" bestFit="1" customWidth="1"/>
    <col min="13833" max="13834" width="15.7109375" style="2" customWidth="1"/>
    <col min="13835" max="13835" width="25" style="2" customWidth="1"/>
    <col min="13836" max="14083" width="11.42578125" style="2"/>
    <col min="14084" max="14084" width="13.85546875" style="2" customWidth="1"/>
    <col min="14085" max="14085" width="37.28515625" style="2" bestFit="1" customWidth="1"/>
    <col min="14086" max="14086" width="12.5703125" style="2" customWidth="1"/>
    <col min="14087" max="14087" width="9.28515625" style="2" customWidth="1"/>
    <col min="14088" max="14088" width="36" style="2" bestFit="1" customWidth="1"/>
    <col min="14089" max="14090" width="15.7109375" style="2" customWidth="1"/>
    <col min="14091" max="14091" width="25" style="2" customWidth="1"/>
    <col min="14092" max="14339" width="11.42578125" style="2"/>
    <col min="14340" max="14340" width="13.85546875" style="2" customWidth="1"/>
    <col min="14341" max="14341" width="37.28515625" style="2" bestFit="1" customWidth="1"/>
    <col min="14342" max="14342" width="12.5703125" style="2" customWidth="1"/>
    <col min="14343" max="14343" width="9.28515625" style="2" customWidth="1"/>
    <col min="14344" max="14344" width="36" style="2" bestFit="1" customWidth="1"/>
    <col min="14345" max="14346" width="15.7109375" style="2" customWidth="1"/>
    <col min="14347" max="14347" width="25" style="2" customWidth="1"/>
    <col min="14348" max="14595" width="11.42578125" style="2"/>
    <col min="14596" max="14596" width="13.85546875" style="2" customWidth="1"/>
    <col min="14597" max="14597" width="37.28515625" style="2" bestFit="1" customWidth="1"/>
    <col min="14598" max="14598" width="12.5703125" style="2" customWidth="1"/>
    <col min="14599" max="14599" width="9.28515625" style="2" customWidth="1"/>
    <col min="14600" max="14600" width="36" style="2" bestFit="1" customWidth="1"/>
    <col min="14601" max="14602" width="15.7109375" style="2" customWidth="1"/>
    <col min="14603" max="14603" width="25" style="2" customWidth="1"/>
    <col min="14604" max="14851" width="11.42578125" style="2"/>
    <col min="14852" max="14852" width="13.85546875" style="2" customWidth="1"/>
    <col min="14853" max="14853" width="37.28515625" style="2" bestFit="1" customWidth="1"/>
    <col min="14854" max="14854" width="12.5703125" style="2" customWidth="1"/>
    <col min="14855" max="14855" width="9.28515625" style="2" customWidth="1"/>
    <col min="14856" max="14856" width="36" style="2" bestFit="1" customWidth="1"/>
    <col min="14857" max="14858" width="15.7109375" style="2" customWidth="1"/>
    <col min="14859" max="14859" width="25" style="2" customWidth="1"/>
    <col min="14860" max="15107" width="11.42578125" style="2"/>
    <col min="15108" max="15108" width="13.85546875" style="2" customWidth="1"/>
    <col min="15109" max="15109" width="37.28515625" style="2" bestFit="1" customWidth="1"/>
    <col min="15110" max="15110" width="12.5703125" style="2" customWidth="1"/>
    <col min="15111" max="15111" width="9.28515625" style="2" customWidth="1"/>
    <col min="15112" max="15112" width="36" style="2" bestFit="1" customWidth="1"/>
    <col min="15113" max="15114" width="15.7109375" style="2" customWidth="1"/>
    <col min="15115" max="15115" width="25" style="2" customWidth="1"/>
    <col min="15116" max="15363" width="11.42578125" style="2"/>
    <col min="15364" max="15364" width="13.85546875" style="2" customWidth="1"/>
    <col min="15365" max="15365" width="37.28515625" style="2" bestFit="1" customWidth="1"/>
    <col min="15366" max="15366" width="12.5703125" style="2" customWidth="1"/>
    <col min="15367" max="15367" width="9.28515625" style="2" customWidth="1"/>
    <col min="15368" max="15368" width="36" style="2" bestFit="1" customWidth="1"/>
    <col min="15369" max="15370" width="15.7109375" style="2" customWidth="1"/>
    <col min="15371" max="15371" width="25" style="2" customWidth="1"/>
    <col min="15372" max="15619" width="11.42578125" style="2"/>
    <col min="15620" max="15620" width="13.85546875" style="2" customWidth="1"/>
    <col min="15621" max="15621" width="37.28515625" style="2" bestFit="1" customWidth="1"/>
    <col min="15622" max="15622" width="12.5703125" style="2" customWidth="1"/>
    <col min="15623" max="15623" width="9.28515625" style="2" customWidth="1"/>
    <col min="15624" max="15624" width="36" style="2" bestFit="1" customWidth="1"/>
    <col min="15625" max="15626" width="15.7109375" style="2" customWidth="1"/>
    <col min="15627" max="15627" width="25" style="2" customWidth="1"/>
    <col min="15628" max="15875" width="11.42578125" style="2"/>
    <col min="15876" max="15876" width="13.85546875" style="2" customWidth="1"/>
    <col min="15877" max="15877" width="37.28515625" style="2" bestFit="1" customWidth="1"/>
    <col min="15878" max="15878" width="12.5703125" style="2" customWidth="1"/>
    <col min="15879" max="15879" width="9.28515625" style="2" customWidth="1"/>
    <col min="15880" max="15880" width="36" style="2" bestFit="1" customWidth="1"/>
    <col min="15881" max="15882" width="15.7109375" style="2" customWidth="1"/>
    <col min="15883" max="15883" width="25" style="2" customWidth="1"/>
    <col min="15884" max="16131" width="11.42578125" style="2"/>
    <col min="16132" max="16132" width="13.85546875" style="2" customWidth="1"/>
    <col min="16133" max="16133" width="37.28515625" style="2" bestFit="1" customWidth="1"/>
    <col min="16134" max="16134" width="12.5703125" style="2" customWidth="1"/>
    <col min="16135" max="16135" width="9.28515625" style="2" customWidth="1"/>
    <col min="16136" max="16136" width="36" style="2" bestFit="1" customWidth="1"/>
    <col min="16137" max="16138" width="15.7109375" style="2" customWidth="1"/>
    <col min="16139" max="16139" width="25" style="2" customWidth="1"/>
    <col min="16140" max="16384" width="11.42578125" style="2"/>
  </cols>
  <sheetData>
    <row r="1" spans="1:13" ht="19.5" customHeight="1" x14ac:dyDescent="0.2">
      <c r="A1" s="211" t="s">
        <v>20</v>
      </c>
      <c r="B1" s="211"/>
      <c r="C1" s="211"/>
      <c r="D1" s="211"/>
      <c r="E1" s="211"/>
      <c r="F1" s="211"/>
      <c r="G1" s="211"/>
      <c r="H1" s="211"/>
      <c r="I1" s="192"/>
      <c r="J1" s="192"/>
      <c r="K1" s="192"/>
    </row>
    <row r="2" spans="1:13" ht="23.25" customHeight="1" x14ac:dyDescent="0.2">
      <c r="A2" s="212" t="s">
        <v>116</v>
      </c>
      <c r="B2" s="212"/>
      <c r="C2" s="212"/>
      <c r="D2" s="212"/>
      <c r="E2" s="212"/>
      <c r="F2" s="212"/>
      <c r="G2" s="212"/>
      <c r="H2" s="212"/>
      <c r="I2" s="193"/>
      <c r="J2" s="193"/>
      <c r="K2" s="193"/>
    </row>
    <row r="3" spans="1:13" ht="15.95" customHeight="1" x14ac:dyDescent="0.25">
      <c r="A3" s="203" t="s">
        <v>21</v>
      </c>
      <c r="B3" s="203"/>
      <c r="C3" s="203"/>
      <c r="D3" s="203"/>
      <c r="E3" s="203"/>
      <c r="F3" s="203"/>
      <c r="G3" s="203"/>
      <c r="H3" s="203"/>
      <c r="I3" s="191"/>
      <c r="J3" s="191"/>
      <c r="K3" s="191"/>
    </row>
    <row r="4" spans="1:13" ht="15.95" customHeight="1" x14ac:dyDescent="0.25">
      <c r="A4" s="191"/>
      <c r="B4" s="157"/>
      <c r="C4" s="191"/>
      <c r="D4" s="191"/>
      <c r="E4" s="191"/>
      <c r="F4" s="191"/>
      <c r="G4" s="191"/>
      <c r="H4" s="191"/>
      <c r="I4" s="191"/>
      <c r="J4" s="191"/>
      <c r="K4" s="191"/>
    </row>
    <row r="5" spans="1:13" ht="15.95" customHeight="1" x14ac:dyDescent="0.25">
      <c r="A5" s="55" t="s">
        <v>465</v>
      </c>
      <c r="B5" s="157"/>
      <c r="C5" s="191"/>
      <c r="D5" s="191"/>
      <c r="E5" s="191"/>
      <c r="F5" s="191"/>
      <c r="G5" s="191"/>
      <c r="H5" s="191"/>
      <c r="I5" s="191"/>
      <c r="J5" s="191"/>
      <c r="K5" s="191"/>
    </row>
    <row r="6" spans="1:13" ht="15.95" customHeight="1" x14ac:dyDescent="0.25">
      <c r="A6" s="55" t="s">
        <v>477</v>
      </c>
      <c r="B6" s="158"/>
      <c r="C6" s="59"/>
      <c r="D6" s="59"/>
      <c r="E6" s="48"/>
      <c r="F6" s="48"/>
      <c r="G6" s="48"/>
      <c r="H6" s="48"/>
      <c r="I6" s="48"/>
      <c r="J6" s="48"/>
      <c r="K6" s="48"/>
    </row>
    <row r="7" spans="1:13" ht="15.95" customHeight="1" x14ac:dyDescent="0.25">
      <c r="A7" s="57" t="s">
        <v>117</v>
      </c>
      <c r="B7" s="159"/>
      <c r="C7" s="49"/>
      <c r="D7" s="49"/>
      <c r="E7" s="49"/>
      <c r="F7" s="49"/>
      <c r="G7" s="49"/>
      <c r="H7" s="49"/>
      <c r="I7" s="49"/>
      <c r="J7" s="49"/>
      <c r="K7" s="49"/>
    </row>
    <row r="8" spans="1:13" ht="15.95" customHeight="1" thickBot="1" x14ac:dyDescent="0.3">
      <c r="A8" s="57"/>
      <c r="B8" s="159"/>
      <c r="C8" s="49"/>
      <c r="D8" s="49"/>
      <c r="E8" s="49"/>
      <c r="F8" s="136">
        <v>2014</v>
      </c>
      <c r="G8" s="136">
        <v>2015</v>
      </c>
      <c r="H8" s="136">
        <v>2016</v>
      </c>
      <c r="I8" s="136">
        <v>2017</v>
      </c>
      <c r="J8" s="136">
        <v>2018</v>
      </c>
      <c r="K8" s="136">
        <v>2019</v>
      </c>
    </row>
    <row r="9" spans="1:13" s="1" customFormat="1" ht="75" customHeight="1" thickBot="1" x14ac:dyDescent="0.25">
      <c r="A9" s="141" t="s">
        <v>22</v>
      </c>
      <c r="B9" s="140" t="s">
        <v>0</v>
      </c>
      <c r="C9" s="140" t="s">
        <v>23</v>
      </c>
      <c r="D9" s="140" t="s">
        <v>24</v>
      </c>
      <c r="E9" s="140" t="s">
        <v>33</v>
      </c>
      <c r="F9" s="140" t="s">
        <v>460</v>
      </c>
      <c r="G9" s="140" t="s">
        <v>34</v>
      </c>
      <c r="H9" s="142" t="s">
        <v>35</v>
      </c>
      <c r="I9" s="142" t="s">
        <v>35</v>
      </c>
      <c r="J9" s="142" t="s">
        <v>35</v>
      </c>
      <c r="K9" s="142" t="s">
        <v>35</v>
      </c>
      <c r="L9" s="142" t="s">
        <v>128</v>
      </c>
      <c r="M9" s="143" t="s">
        <v>467</v>
      </c>
    </row>
    <row r="10" spans="1:13" ht="24" customHeight="1" x14ac:dyDescent="0.2">
      <c r="A10" s="144">
        <v>1101414793</v>
      </c>
      <c r="B10" s="102" t="s">
        <v>138</v>
      </c>
      <c r="C10" s="170">
        <v>1</v>
      </c>
      <c r="D10" s="93">
        <v>1</v>
      </c>
      <c r="E10" s="103" t="s">
        <v>139</v>
      </c>
      <c r="F10" s="94">
        <v>565.22</v>
      </c>
      <c r="G10" s="94">
        <v>565.22</v>
      </c>
      <c r="H10" s="94">
        <v>565.22</v>
      </c>
      <c r="I10" s="94">
        <v>565.22</v>
      </c>
      <c r="J10" s="94">
        <v>565.22</v>
      </c>
      <c r="K10" s="94">
        <v>565.22</v>
      </c>
      <c r="L10" s="145" t="s">
        <v>461</v>
      </c>
      <c r="M10" s="146">
        <v>40909</v>
      </c>
    </row>
    <row r="11" spans="1:13" ht="24" customHeight="1" x14ac:dyDescent="0.2">
      <c r="A11" s="147">
        <v>1101891743</v>
      </c>
      <c r="B11" s="102" t="s">
        <v>468</v>
      </c>
      <c r="C11" s="171">
        <v>2</v>
      </c>
      <c r="D11" s="95">
        <v>5</v>
      </c>
      <c r="E11" s="103" t="s">
        <v>140</v>
      </c>
      <c r="F11" s="96">
        <v>889.33</v>
      </c>
      <c r="G11" s="96">
        <v>889.33</v>
      </c>
      <c r="H11" s="96">
        <v>889.33</v>
      </c>
      <c r="I11" s="96">
        <v>889.33</v>
      </c>
      <c r="J11" s="96">
        <v>889.33</v>
      </c>
      <c r="K11" s="96">
        <v>889.33</v>
      </c>
      <c r="L11" s="145" t="s">
        <v>461</v>
      </c>
      <c r="M11" s="146">
        <v>40909</v>
      </c>
    </row>
    <row r="12" spans="1:13" s="240" customFormat="1" ht="24" customHeight="1" x14ac:dyDescent="0.2">
      <c r="A12" s="144">
        <v>1102409362</v>
      </c>
      <c r="B12" s="102" t="s">
        <v>141</v>
      </c>
      <c r="C12" s="171">
        <v>3</v>
      </c>
      <c r="D12" s="95">
        <v>1</v>
      </c>
      <c r="E12" s="103" t="s">
        <v>142</v>
      </c>
      <c r="F12" s="97">
        <v>565.22</v>
      </c>
      <c r="G12" s="97">
        <v>565.22</v>
      </c>
      <c r="H12" s="97">
        <v>565.22</v>
      </c>
      <c r="I12" s="97">
        <v>565.22</v>
      </c>
      <c r="J12" s="97">
        <v>565.22</v>
      </c>
      <c r="K12" s="97">
        <v>565.22</v>
      </c>
      <c r="L12" s="145" t="s">
        <v>461</v>
      </c>
      <c r="M12" s="146">
        <v>40909</v>
      </c>
    </row>
    <row r="13" spans="1:13" s="240" customFormat="1" ht="24" customHeight="1" x14ac:dyDescent="0.2">
      <c r="A13" s="148">
        <v>1102462072</v>
      </c>
      <c r="B13" s="102" t="s">
        <v>143</v>
      </c>
      <c r="C13" s="171">
        <f>+C12+1</f>
        <v>4</v>
      </c>
      <c r="D13" s="95">
        <v>5</v>
      </c>
      <c r="E13" s="103" t="s">
        <v>144</v>
      </c>
      <c r="F13" s="96">
        <v>733</v>
      </c>
      <c r="G13" s="96">
        <v>733</v>
      </c>
      <c r="H13" s="96">
        <v>733</v>
      </c>
      <c r="I13" s="96">
        <v>733</v>
      </c>
      <c r="J13" s="96">
        <v>733</v>
      </c>
      <c r="K13" s="96">
        <v>733</v>
      </c>
      <c r="L13" s="145" t="s">
        <v>461</v>
      </c>
      <c r="M13" s="146">
        <v>41640</v>
      </c>
    </row>
    <row r="14" spans="1:13" s="240" customFormat="1" ht="24" customHeight="1" x14ac:dyDescent="0.2">
      <c r="A14" s="149">
        <v>1104225295</v>
      </c>
      <c r="B14" s="102" t="s">
        <v>145</v>
      </c>
      <c r="C14" s="171">
        <f t="shared" ref="C14:C77" si="0">+C13+1</f>
        <v>5</v>
      </c>
      <c r="D14" s="95">
        <v>1</v>
      </c>
      <c r="E14" s="103" t="s">
        <v>142</v>
      </c>
      <c r="F14" s="97">
        <v>565.22</v>
      </c>
      <c r="G14" s="97">
        <v>565.22</v>
      </c>
      <c r="H14" s="97">
        <v>565.22</v>
      </c>
      <c r="I14" s="97">
        <v>565.22</v>
      </c>
      <c r="J14" s="97">
        <v>565.22</v>
      </c>
      <c r="K14" s="97">
        <v>565.22</v>
      </c>
      <c r="L14" s="145" t="s">
        <v>461</v>
      </c>
      <c r="M14" s="146">
        <v>40909</v>
      </c>
    </row>
    <row r="15" spans="1:13" s="240" customFormat="1" ht="24" customHeight="1" x14ac:dyDescent="0.2">
      <c r="A15" s="150">
        <v>1101977617</v>
      </c>
      <c r="B15" s="102" t="s">
        <v>146</v>
      </c>
      <c r="C15" s="171">
        <f t="shared" si="0"/>
        <v>6</v>
      </c>
      <c r="D15" s="95">
        <v>4</v>
      </c>
      <c r="E15" s="103" t="s">
        <v>147</v>
      </c>
      <c r="F15" s="97">
        <v>615.22</v>
      </c>
      <c r="G15" s="97">
        <v>615.22</v>
      </c>
      <c r="H15" s="97">
        <v>615.22</v>
      </c>
      <c r="I15" s="97">
        <v>615.22</v>
      </c>
      <c r="J15" s="97">
        <v>615.22</v>
      </c>
      <c r="K15" s="97">
        <v>615.22</v>
      </c>
      <c r="L15" s="145" t="s">
        <v>461</v>
      </c>
      <c r="M15" s="146">
        <v>40909</v>
      </c>
    </row>
    <row r="16" spans="1:13" s="240" customFormat="1" ht="24" customHeight="1" x14ac:dyDescent="0.2">
      <c r="A16" s="150" t="s">
        <v>148</v>
      </c>
      <c r="B16" s="102" t="s">
        <v>149</v>
      </c>
      <c r="C16" s="171">
        <f t="shared" si="0"/>
        <v>7</v>
      </c>
      <c r="D16" s="95">
        <v>9</v>
      </c>
      <c r="E16" s="103" t="s">
        <v>150</v>
      </c>
      <c r="F16" s="96">
        <v>1067.8599999999999</v>
      </c>
      <c r="G16" s="96">
        <v>1067.8599999999999</v>
      </c>
      <c r="H16" s="96">
        <v>1067.8599999999999</v>
      </c>
      <c r="I16" s="96">
        <v>1067.8599999999999</v>
      </c>
      <c r="J16" s="96">
        <v>1067.8599999999999</v>
      </c>
      <c r="K16" s="96">
        <v>1067.8599999999999</v>
      </c>
      <c r="L16" s="145" t="s">
        <v>461</v>
      </c>
      <c r="M16" s="146">
        <v>40909</v>
      </c>
    </row>
    <row r="17" spans="1:13" s="240" customFormat="1" ht="24" customHeight="1" x14ac:dyDescent="0.2">
      <c r="A17" s="150">
        <v>1101705117</v>
      </c>
      <c r="B17" s="102" t="s">
        <v>151</v>
      </c>
      <c r="C17" s="171">
        <f t="shared" si="0"/>
        <v>8</v>
      </c>
      <c r="D17" s="95">
        <v>1</v>
      </c>
      <c r="E17" s="103" t="s">
        <v>152</v>
      </c>
      <c r="F17" s="97">
        <v>565.22</v>
      </c>
      <c r="G17" s="97">
        <v>565.22</v>
      </c>
      <c r="H17" s="97">
        <v>565.22</v>
      </c>
      <c r="I17" s="97">
        <v>565.22</v>
      </c>
      <c r="J17" s="97">
        <v>565.22</v>
      </c>
      <c r="K17" s="97">
        <v>565.22</v>
      </c>
      <c r="L17" s="145" t="s">
        <v>461</v>
      </c>
      <c r="M17" s="146">
        <v>40909</v>
      </c>
    </row>
    <row r="18" spans="1:13" s="240" customFormat="1" ht="24" customHeight="1" x14ac:dyDescent="0.2">
      <c r="A18" s="150" t="s">
        <v>153</v>
      </c>
      <c r="B18" s="102" t="s">
        <v>154</v>
      </c>
      <c r="C18" s="171">
        <f t="shared" si="0"/>
        <v>9</v>
      </c>
      <c r="D18" s="95">
        <v>5</v>
      </c>
      <c r="E18" s="103" t="s">
        <v>155</v>
      </c>
      <c r="F18" s="97">
        <v>733.22</v>
      </c>
      <c r="G18" s="97">
        <v>733.22</v>
      </c>
      <c r="H18" s="97">
        <v>733.22</v>
      </c>
      <c r="I18" s="97">
        <v>733.22</v>
      </c>
      <c r="J18" s="97">
        <v>733.22</v>
      </c>
      <c r="K18" s="97">
        <v>733.22</v>
      </c>
      <c r="L18" s="145" t="s">
        <v>461</v>
      </c>
      <c r="M18" s="146">
        <v>40909</v>
      </c>
    </row>
    <row r="19" spans="1:13" s="240" customFormat="1" ht="24" customHeight="1" x14ac:dyDescent="0.2">
      <c r="A19" s="150">
        <v>1102957576</v>
      </c>
      <c r="B19" s="102" t="s">
        <v>156</v>
      </c>
      <c r="C19" s="171">
        <f t="shared" si="0"/>
        <v>10</v>
      </c>
      <c r="D19" s="95">
        <v>1</v>
      </c>
      <c r="E19" s="103" t="s">
        <v>139</v>
      </c>
      <c r="F19" s="97">
        <v>565.22</v>
      </c>
      <c r="G19" s="97">
        <v>565.22</v>
      </c>
      <c r="H19" s="97">
        <v>565.22</v>
      </c>
      <c r="I19" s="97">
        <v>565.22</v>
      </c>
      <c r="J19" s="97">
        <v>565.22</v>
      </c>
      <c r="K19" s="97">
        <v>565.22</v>
      </c>
      <c r="L19" s="145" t="s">
        <v>461</v>
      </c>
      <c r="M19" s="146">
        <v>40909</v>
      </c>
    </row>
    <row r="20" spans="1:13" s="240" customFormat="1" ht="24" customHeight="1" x14ac:dyDescent="0.2">
      <c r="A20" s="150">
        <v>1100202439</v>
      </c>
      <c r="B20" s="102" t="s">
        <v>157</v>
      </c>
      <c r="C20" s="171">
        <f t="shared" si="0"/>
        <v>11</v>
      </c>
      <c r="D20" s="95">
        <v>5</v>
      </c>
      <c r="E20" s="103" t="s">
        <v>158</v>
      </c>
      <c r="F20" s="97">
        <v>733.22</v>
      </c>
      <c r="G20" s="97">
        <v>733.22</v>
      </c>
      <c r="H20" s="97">
        <v>733.22</v>
      </c>
      <c r="I20" s="97">
        <v>733.22</v>
      </c>
      <c r="J20" s="97">
        <v>733.22</v>
      </c>
      <c r="K20" s="97">
        <v>733.22</v>
      </c>
      <c r="L20" s="145" t="s">
        <v>461</v>
      </c>
      <c r="M20" s="146">
        <v>40909</v>
      </c>
    </row>
    <row r="21" spans="1:13" s="240" customFormat="1" ht="24" customHeight="1" x14ac:dyDescent="0.2">
      <c r="A21" s="150">
        <v>1104163082</v>
      </c>
      <c r="B21" s="102" t="s">
        <v>159</v>
      </c>
      <c r="C21" s="171">
        <f t="shared" si="0"/>
        <v>12</v>
      </c>
      <c r="D21" s="95">
        <v>1</v>
      </c>
      <c r="E21" s="103" t="s">
        <v>160</v>
      </c>
      <c r="F21" s="97">
        <v>565.22</v>
      </c>
      <c r="G21" s="97">
        <v>565.22</v>
      </c>
      <c r="H21" s="97">
        <v>565.22</v>
      </c>
      <c r="I21" s="97">
        <v>565.22</v>
      </c>
      <c r="J21" s="97">
        <v>565.22</v>
      </c>
      <c r="K21" s="97">
        <v>565.22</v>
      </c>
      <c r="L21" s="145" t="s">
        <v>461</v>
      </c>
      <c r="M21" s="146">
        <v>40909</v>
      </c>
    </row>
    <row r="22" spans="1:13" s="240" customFormat="1" ht="24" customHeight="1" x14ac:dyDescent="0.2">
      <c r="A22" s="150">
        <v>1102165659</v>
      </c>
      <c r="B22" s="102" t="s">
        <v>161</v>
      </c>
      <c r="C22" s="171">
        <f t="shared" si="0"/>
        <v>13</v>
      </c>
      <c r="D22" s="95">
        <v>2</v>
      </c>
      <c r="E22" s="103" t="s">
        <v>162</v>
      </c>
      <c r="F22" s="97">
        <v>581.22</v>
      </c>
      <c r="G22" s="97">
        <v>581.22</v>
      </c>
      <c r="H22" s="97">
        <v>581.22</v>
      </c>
      <c r="I22" s="97">
        <v>581.22</v>
      </c>
      <c r="J22" s="97">
        <v>581.22</v>
      </c>
      <c r="K22" s="97">
        <v>581.22</v>
      </c>
      <c r="L22" s="145" t="s">
        <v>461</v>
      </c>
      <c r="M22" s="146">
        <v>40909</v>
      </c>
    </row>
    <row r="23" spans="1:13" s="240" customFormat="1" ht="51.75" customHeight="1" x14ac:dyDescent="0.2">
      <c r="A23" s="150">
        <v>1703633683</v>
      </c>
      <c r="B23" s="102" t="s">
        <v>488</v>
      </c>
      <c r="C23" s="171">
        <f t="shared" si="0"/>
        <v>14</v>
      </c>
      <c r="D23" s="95">
        <v>1</v>
      </c>
      <c r="E23" s="103" t="s">
        <v>163</v>
      </c>
      <c r="F23" s="100">
        <v>565.22</v>
      </c>
      <c r="G23" s="100">
        <v>565.22</v>
      </c>
      <c r="H23" s="100">
        <v>565.22</v>
      </c>
      <c r="I23" s="100">
        <v>565.22</v>
      </c>
      <c r="J23" s="100">
        <v>565.22</v>
      </c>
      <c r="K23" s="97">
        <v>0</v>
      </c>
      <c r="L23" s="241" t="s">
        <v>489</v>
      </c>
      <c r="M23" s="146">
        <v>40909</v>
      </c>
    </row>
    <row r="24" spans="1:13" s="240" customFormat="1" ht="24" customHeight="1" x14ac:dyDescent="0.2">
      <c r="A24" s="150">
        <v>1102863857</v>
      </c>
      <c r="B24" s="102" t="s">
        <v>164</v>
      </c>
      <c r="C24" s="171">
        <f t="shared" si="0"/>
        <v>15</v>
      </c>
      <c r="D24" s="95">
        <v>4</v>
      </c>
      <c r="E24" s="103" t="s">
        <v>147</v>
      </c>
      <c r="F24" s="97">
        <v>615.22</v>
      </c>
      <c r="G24" s="97">
        <v>615.22</v>
      </c>
      <c r="H24" s="97">
        <v>615.22</v>
      </c>
      <c r="I24" s="97">
        <v>615.22</v>
      </c>
      <c r="J24" s="97">
        <v>615.22</v>
      </c>
      <c r="K24" s="97">
        <v>615.22</v>
      </c>
      <c r="L24" s="145" t="s">
        <v>461</v>
      </c>
      <c r="M24" s="146">
        <v>40909</v>
      </c>
    </row>
    <row r="25" spans="1:13" s="240" customFormat="1" ht="24" customHeight="1" x14ac:dyDescent="0.2">
      <c r="A25" s="151">
        <v>1102175229</v>
      </c>
      <c r="B25" s="102" t="s">
        <v>165</v>
      </c>
      <c r="C25" s="171">
        <f t="shared" si="0"/>
        <v>16</v>
      </c>
      <c r="D25" s="95">
        <v>1</v>
      </c>
      <c r="E25" s="103" t="s">
        <v>166</v>
      </c>
      <c r="F25" s="98">
        <v>565</v>
      </c>
      <c r="G25" s="98">
        <v>565</v>
      </c>
      <c r="H25" s="98">
        <v>565</v>
      </c>
      <c r="I25" s="98">
        <v>565</v>
      </c>
      <c r="J25" s="98">
        <v>565</v>
      </c>
      <c r="K25" s="98">
        <v>565</v>
      </c>
      <c r="L25" s="145" t="s">
        <v>461</v>
      </c>
      <c r="M25" s="146">
        <v>41640</v>
      </c>
    </row>
    <row r="26" spans="1:13" s="240" customFormat="1" ht="24" customHeight="1" x14ac:dyDescent="0.2">
      <c r="A26" s="150">
        <v>1103403760</v>
      </c>
      <c r="B26" s="102" t="s">
        <v>167</v>
      </c>
      <c r="C26" s="171">
        <f t="shared" si="0"/>
        <v>17</v>
      </c>
      <c r="D26" s="95">
        <v>4</v>
      </c>
      <c r="E26" s="103" t="s">
        <v>147</v>
      </c>
      <c r="F26" s="97">
        <v>615.22</v>
      </c>
      <c r="G26" s="97">
        <v>615.22</v>
      </c>
      <c r="H26" s="97">
        <v>615.22</v>
      </c>
      <c r="I26" s="97">
        <v>615.22</v>
      </c>
      <c r="J26" s="97">
        <v>615.22</v>
      </c>
      <c r="K26" s="97">
        <v>615.22</v>
      </c>
      <c r="L26" s="145" t="s">
        <v>461</v>
      </c>
      <c r="M26" s="146">
        <v>40909</v>
      </c>
    </row>
    <row r="27" spans="1:13" s="240" customFormat="1" ht="24" customHeight="1" x14ac:dyDescent="0.2">
      <c r="A27" s="150">
        <v>1102980826</v>
      </c>
      <c r="B27" s="102" t="s">
        <v>490</v>
      </c>
      <c r="C27" s="171">
        <f t="shared" si="0"/>
        <v>18</v>
      </c>
      <c r="D27" s="95">
        <v>1</v>
      </c>
      <c r="E27" s="103" t="s">
        <v>343</v>
      </c>
      <c r="F27" s="97">
        <v>615.22</v>
      </c>
      <c r="G27" s="97">
        <v>0</v>
      </c>
      <c r="H27" s="97">
        <v>0</v>
      </c>
      <c r="I27" s="97">
        <v>0</v>
      </c>
      <c r="J27" s="97">
        <v>0</v>
      </c>
      <c r="K27" s="97">
        <v>0</v>
      </c>
      <c r="L27" s="145" t="s">
        <v>491</v>
      </c>
      <c r="M27" s="146">
        <v>40909</v>
      </c>
    </row>
    <row r="28" spans="1:13" s="240" customFormat="1" ht="24" customHeight="1" x14ac:dyDescent="0.2">
      <c r="A28" s="150">
        <v>1104398951</v>
      </c>
      <c r="B28" s="102" t="s">
        <v>168</v>
      </c>
      <c r="C28" s="171">
        <f t="shared" si="0"/>
        <v>19</v>
      </c>
      <c r="D28" s="95">
        <v>5</v>
      </c>
      <c r="E28" s="103" t="s">
        <v>158</v>
      </c>
      <c r="F28" s="97">
        <v>733.22</v>
      </c>
      <c r="G28" s="97">
        <v>733.22</v>
      </c>
      <c r="H28" s="97">
        <v>733.22</v>
      </c>
      <c r="I28" s="97">
        <v>733.22</v>
      </c>
      <c r="J28" s="97">
        <v>733.22</v>
      </c>
      <c r="K28" s="97">
        <v>733.22</v>
      </c>
      <c r="L28" s="145" t="s">
        <v>461</v>
      </c>
      <c r="M28" s="146">
        <v>40909</v>
      </c>
    </row>
    <row r="29" spans="1:13" s="240" customFormat="1" ht="24" customHeight="1" x14ac:dyDescent="0.2">
      <c r="A29" s="150" t="s">
        <v>169</v>
      </c>
      <c r="B29" s="102" t="s">
        <v>170</v>
      </c>
      <c r="C29" s="171">
        <f t="shared" si="0"/>
        <v>20</v>
      </c>
      <c r="D29" s="95">
        <v>4</v>
      </c>
      <c r="E29" s="103" t="s">
        <v>147</v>
      </c>
      <c r="F29" s="97">
        <v>615.22</v>
      </c>
      <c r="G29" s="97">
        <v>615.22</v>
      </c>
      <c r="H29" s="97">
        <v>615.22</v>
      </c>
      <c r="I29" s="97">
        <v>615.22</v>
      </c>
      <c r="J29" s="97">
        <v>615.22</v>
      </c>
      <c r="K29" s="97">
        <v>615.22</v>
      </c>
      <c r="L29" s="145" t="s">
        <v>461</v>
      </c>
      <c r="M29" s="146">
        <v>40909</v>
      </c>
    </row>
    <row r="30" spans="1:13" s="240" customFormat="1" ht="24" customHeight="1" x14ac:dyDescent="0.2">
      <c r="A30" s="150">
        <v>1804035937</v>
      </c>
      <c r="B30" s="102" t="s">
        <v>171</v>
      </c>
      <c r="C30" s="171">
        <f t="shared" si="0"/>
        <v>21</v>
      </c>
      <c r="D30" s="95">
        <v>2</v>
      </c>
      <c r="E30" s="103" t="s">
        <v>172</v>
      </c>
      <c r="F30" s="97">
        <v>581.22</v>
      </c>
      <c r="G30" s="97">
        <v>581.22</v>
      </c>
      <c r="H30" s="97">
        <v>581.22</v>
      </c>
      <c r="I30" s="97">
        <v>581.22</v>
      </c>
      <c r="J30" s="97">
        <v>581.22</v>
      </c>
      <c r="K30" s="97">
        <v>581.22</v>
      </c>
      <c r="L30" s="145" t="s">
        <v>461</v>
      </c>
      <c r="M30" s="146">
        <v>40909</v>
      </c>
    </row>
    <row r="31" spans="1:13" s="240" customFormat="1" ht="24" customHeight="1" x14ac:dyDescent="0.2">
      <c r="A31" s="150">
        <v>1103015093</v>
      </c>
      <c r="B31" s="102" t="s">
        <v>173</v>
      </c>
      <c r="C31" s="171">
        <f t="shared" si="0"/>
        <v>22</v>
      </c>
      <c r="D31" s="95">
        <v>8</v>
      </c>
      <c r="E31" s="103" t="s">
        <v>174</v>
      </c>
      <c r="F31" s="97">
        <v>816.22</v>
      </c>
      <c r="G31" s="97">
        <v>816.22</v>
      </c>
      <c r="H31" s="97">
        <v>816.22</v>
      </c>
      <c r="I31" s="97">
        <v>816.22</v>
      </c>
      <c r="J31" s="97">
        <v>816.22</v>
      </c>
      <c r="K31" s="97">
        <v>816.22</v>
      </c>
      <c r="L31" s="145" t="s">
        <v>461</v>
      </c>
      <c r="M31" s="146">
        <v>40909</v>
      </c>
    </row>
    <row r="32" spans="1:13" s="240" customFormat="1" ht="39.75" customHeight="1" x14ac:dyDescent="0.2">
      <c r="A32" s="150">
        <v>1703099513</v>
      </c>
      <c r="B32" s="102" t="s">
        <v>492</v>
      </c>
      <c r="C32" s="171">
        <f t="shared" si="0"/>
        <v>23</v>
      </c>
      <c r="D32" s="110">
        <v>5</v>
      </c>
      <c r="E32" s="103" t="s">
        <v>158</v>
      </c>
      <c r="F32" s="100">
        <v>733.22</v>
      </c>
      <c r="G32" s="100">
        <v>733.22</v>
      </c>
      <c r="H32" s="100">
        <v>733.22</v>
      </c>
      <c r="I32" s="100">
        <v>733.22</v>
      </c>
      <c r="J32" s="100">
        <v>733.22</v>
      </c>
      <c r="K32" s="97">
        <v>0</v>
      </c>
      <c r="L32" s="241" t="s">
        <v>493</v>
      </c>
      <c r="M32" s="146">
        <v>40909</v>
      </c>
    </row>
    <row r="33" spans="1:13" s="240" customFormat="1" ht="24" customHeight="1" x14ac:dyDescent="0.2">
      <c r="A33" s="144">
        <v>1100587060</v>
      </c>
      <c r="B33" s="102" t="s">
        <v>175</v>
      </c>
      <c r="C33" s="171">
        <f t="shared" si="0"/>
        <v>24</v>
      </c>
      <c r="D33" s="95">
        <v>4</v>
      </c>
      <c r="E33" s="103" t="s">
        <v>147</v>
      </c>
      <c r="F33" s="97">
        <v>615.22</v>
      </c>
      <c r="G33" s="97">
        <v>615.22</v>
      </c>
      <c r="H33" s="97">
        <v>615.22</v>
      </c>
      <c r="I33" s="97">
        <v>615.22</v>
      </c>
      <c r="J33" s="97">
        <v>615.22</v>
      </c>
      <c r="K33" s="97">
        <v>615.22</v>
      </c>
      <c r="L33" s="145" t="s">
        <v>461</v>
      </c>
      <c r="M33" s="146">
        <v>40909</v>
      </c>
    </row>
    <row r="34" spans="1:13" s="240" customFormat="1" ht="24" customHeight="1" x14ac:dyDescent="0.2">
      <c r="A34" s="148">
        <v>1105035883</v>
      </c>
      <c r="B34" s="102" t="s">
        <v>176</v>
      </c>
      <c r="C34" s="171">
        <f t="shared" si="0"/>
        <v>25</v>
      </c>
      <c r="D34" s="95">
        <v>1</v>
      </c>
      <c r="E34" s="103" t="s">
        <v>343</v>
      </c>
      <c r="F34" s="98">
        <v>565</v>
      </c>
      <c r="G34" s="98">
        <v>565</v>
      </c>
      <c r="H34" s="98">
        <v>565</v>
      </c>
      <c r="I34" s="98">
        <v>565</v>
      </c>
      <c r="J34" s="98">
        <v>565</v>
      </c>
      <c r="K34" s="98">
        <v>565</v>
      </c>
      <c r="L34" s="154" t="s">
        <v>461</v>
      </c>
      <c r="M34" s="146">
        <v>41640</v>
      </c>
    </row>
    <row r="35" spans="1:13" s="240" customFormat="1" ht="26.25" customHeight="1" x14ac:dyDescent="0.2">
      <c r="A35" s="144">
        <v>1900383090</v>
      </c>
      <c r="B35" s="102" t="s">
        <v>177</v>
      </c>
      <c r="C35" s="171">
        <f t="shared" si="0"/>
        <v>26</v>
      </c>
      <c r="D35" s="95">
        <v>5</v>
      </c>
      <c r="E35" s="103" t="s">
        <v>140</v>
      </c>
      <c r="F35" s="97">
        <v>733.22</v>
      </c>
      <c r="G35" s="97">
        <v>733.22</v>
      </c>
      <c r="H35" s="97">
        <v>733.22</v>
      </c>
      <c r="I35" s="97">
        <v>733.22</v>
      </c>
      <c r="J35" s="97">
        <v>733.22</v>
      </c>
      <c r="K35" s="97">
        <v>733.22</v>
      </c>
      <c r="L35" s="154" t="s">
        <v>461</v>
      </c>
      <c r="M35" s="146">
        <v>40909</v>
      </c>
    </row>
    <row r="36" spans="1:13" s="240" customFormat="1" ht="26.25" customHeight="1" x14ac:dyDescent="0.2">
      <c r="A36" s="150">
        <v>1103650055</v>
      </c>
      <c r="B36" s="102" t="s">
        <v>178</v>
      </c>
      <c r="C36" s="171">
        <f t="shared" si="0"/>
        <v>27</v>
      </c>
      <c r="D36" s="95">
        <v>6</v>
      </c>
      <c r="E36" s="103" t="s">
        <v>179</v>
      </c>
      <c r="F36" s="97">
        <v>615.22</v>
      </c>
      <c r="G36" s="97">
        <v>615.22</v>
      </c>
      <c r="H36" s="97">
        <v>709</v>
      </c>
      <c r="I36" s="97">
        <v>709</v>
      </c>
      <c r="J36" s="97">
        <v>709</v>
      </c>
      <c r="K36" s="97">
        <v>709</v>
      </c>
      <c r="L36" s="145"/>
      <c r="M36" s="146">
        <v>40909</v>
      </c>
    </row>
    <row r="37" spans="1:13" s="240" customFormat="1" ht="26.25" customHeight="1" x14ac:dyDescent="0.2">
      <c r="A37" s="150">
        <v>1103812838</v>
      </c>
      <c r="B37" s="102" t="s">
        <v>180</v>
      </c>
      <c r="C37" s="171">
        <f t="shared" si="0"/>
        <v>28</v>
      </c>
      <c r="D37" s="95">
        <v>4</v>
      </c>
      <c r="E37" s="103" t="s">
        <v>147</v>
      </c>
      <c r="F37" s="97">
        <v>615.22</v>
      </c>
      <c r="G37" s="97">
        <v>615.22</v>
      </c>
      <c r="H37" s="97">
        <v>615.22</v>
      </c>
      <c r="I37" s="97">
        <v>615.22</v>
      </c>
      <c r="J37" s="97">
        <v>615.22</v>
      </c>
      <c r="K37" s="97">
        <v>615.22</v>
      </c>
      <c r="L37" s="145" t="s">
        <v>461</v>
      </c>
      <c r="M37" s="146">
        <v>40909</v>
      </c>
    </row>
    <row r="38" spans="1:13" s="240" customFormat="1" ht="26.25" customHeight="1" x14ac:dyDescent="0.2">
      <c r="A38" s="144">
        <v>1103632095</v>
      </c>
      <c r="B38" s="102" t="s">
        <v>181</v>
      </c>
      <c r="C38" s="171">
        <f t="shared" si="0"/>
        <v>29</v>
      </c>
      <c r="D38" s="95">
        <v>1</v>
      </c>
      <c r="E38" s="103" t="s">
        <v>139</v>
      </c>
      <c r="F38" s="97">
        <v>565.22</v>
      </c>
      <c r="G38" s="97">
        <v>565.22</v>
      </c>
      <c r="H38" s="97">
        <v>565.22</v>
      </c>
      <c r="I38" s="97">
        <v>565.22</v>
      </c>
      <c r="J38" s="97">
        <v>565.22</v>
      </c>
      <c r="K38" s="97">
        <v>565.22</v>
      </c>
      <c r="L38" s="145" t="s">
        <v>461</v>
      </c>
      <c r="M38" s="146">
        <v>40909</v>
      </c>
    </row>
    <row r="39" spans="1:13" s="240" customFormat="1" ht="26.25" customHeight="1" x14ac:dyDescent="0.2">
      <c r="A39" s="148">
        <v>1104565468</v>
      </c>
      <c r="B39" s="102" t="s">
        <v>182</v>
      </c>
      <c r="C39" s="171">
        <f t="shared" si="0"/>
        <v>30</v>
      </c>
      <c r="D39" s="95">
        <v>1</v>
      </c>
      <c r="E39" s="103" t="s">
        <v>183</v>
      </c>
      <c r="F39" s="98">
        <v>565</v>
      </c>
      <c r="G39" s="98">
        <v>565</v>
      </c>
      <c r="H39" s="98">
        <v>565</v>
      </c>
      <c r="I39" s="98">
        <v>565</v>
      </c>
      <c r="J39" s="98">
        <v>565</v>
      </c>
      <c r="K39" s="98">
        <v>565</v>
      </c>
      <c r="L39" s="145" t="s">
        <v>461</v>
      </c>
      <c r="M39" s="146">
        <v>41640</v>
      </c>
    </row>
    <row r="40" spans="1:13" s="240" customFormat="1" ht="26.25" customHeight="1" x14ac:dyDescent="0.2">
      <c r="A40" s="150">
        <v>1102803457</v>
      </c>
      <c r="B40" s="102" t="s">
        <v>184</v>
      </c>
      <c r="C40" s="171">
        <f t="shared" si="0"/>
        <v>31</v>
      </c>
      <c r="D40" s="95">
        <v>1</v>
      </c>
      <c r="E40" s="103" t="s">
        <v>185</v>
      </c>
      <c r="F40" s="97">
        <v>565.22</v>
      </c>
      <c r="G40" s="97">
        <v>565.22</v>
      </c>
      <c r="H40" s="97">
        <v>565.22</v>
      </c>
      <c r="I40" s="97">
        <v>565.22</v>
      </c>
      <c r="J40" s="97">
        <v>565.22</v>
      </c>
      <c r="K40" s="97">
        <v>565.22</v>
      </c>
      <c r="L40" s="145" t="s">
        <v>461</v>
      </c>
      <c r="M40" s="146">
        <v>40909</v>
      </c>
    </row>
    <row r="41" spans="1:13" s="240" customFormat="1" ht="26.25" customHeight="1" x14ac:dyDescent="0.2">
      <c r="A41" s="148">
        <v>1104063274</v>
      </c>
      <c r="B41" s="102" t="s">
        <v>186</v>
      </c>
      <c r="C41" s="171">
        <f t="shared" si="0"/>
        <v>32</v>
      </c>
      <c r="D41" s="95">
        <v>1</v>
      </c>
      <c r="E41" s="103" t="s">
        <v>183</v>
      </c>
      <c r="F41" s="98">
        <v>565</v>
      </c>
      <c r="G41" s="98">
        <v>565</v>
      </c>
      <c r="H41" s="98">
        <v>565</v>
      </c>
      <c r="I41" s="98">
        <v>565</v>
      </c>
      <c r="J41" s="98">
        <v>565</v>
      </c>
      <c r="K41" s="98">
        <v>565</v>
      </c>
      <c r="L41" s="145" t="s">
        <v>461</v>
      </c>
      <c r="M41" s="146">
        <v>41640</v>
      </c>
    </row>
    <row r="42" spans="1:13" s="240" customFormat="1" ht="26.25" customHeight="1" x14ac:dyDescent="0.2">
      <c r="A42" s="149">
        <v>1100112141</v>
      </c>
      <c r="B42" s="102" t="s">
        <v>187</v>
      </c>
      <c r="C42" s="171">
        <f t="shared" si="0"/>
        <v>33</v>
      </c>
      <c r="D42" s="95">
        <v>4</v>
      </c>
      <c r="E42" s="103" t="s">
        <v>147</v>
      </c>
      <c r="F42" s="97">
        <v>615.22</v>
      </c>
      <c r="G42" s="97">
        <v>615.22</v>
      </c>
      <c r="H42" s="97">
        <v>615.22</v>
      </c>
      <c r="I42" s="97">
        <v>615.22</v>
      </c>
      <c r="J42" s="97">
        <v>615.22</v>
      </c>
      <c r="K42" s="97">
        <v>615.22</v>
      </c>
      <c r="L42" s="145" t="s">
        <v>461</v>
      </c>
      <c r="M42" s="146">
        <v>40909</v>
      </c>
    </row>
    <row r="43" spans="1:13" s="240" customFormat="1" ht="24" customHeight="1" x14ac:dyDescent="0.2">
      <c r="A43" s="149">
        <v>1101426359</v>
      </c>
      <c r="B43" s="102" t="s">
        <v>494</v>
      </c>
      <c r="C43" s="171">
        <f t="shared" si="0"/>
        <v>34</v>
      </c>
      <c r="D43" s="95">
        <v>1</v>
      </c>
      <c r="E43" s="103" t="s">
        <v>183</v>
      </c>
      <c r="F43" s="98">
        <v>565</v>
      </c>
      <c r="G43" s="97">
        <v>0</v>
      </c>
      <c r="H43" s="97">
        <v>0</v>
      </c>
      <c r="I43" s="97">
        <v>0</v>
      </c>
      <c r="J43" s="97">
        <v>0</v>
      </c>
      <c r="K43" s="97">
        <v>0</v>
      </c>
      <c r="L43" s="145" t="s">
        <v>495</v>
      </c>
      <c r="M43" s="146">
        <v>40909</v>
      </c>
    </row>
    <row r="44" spans="1:13" s="240" customFormat="1" ht="24" customHeight="1" x14ac:dyDescent="0.2">
      <c r="A44" s="150">
        <v>1103023204</v>
      </c>
      <c r="B44" s="102" t="s">
        <v>188</v>
      </c>
      <c r="C44" s="171">
        <f t="shared" si="0"/>
        <v>35</v>
      </c>
      <c r="D44" s="95">
        <v>4</v>
      </c>
      <c r="E44" s="103" t="s">
        <v>189</v>
      </c>
      <c r="F44" s="97">
        <v>615.22</v>
      </c>
      <c r="G44" s="97">
        <v>615.22</v>
      </c>
      <c r="H44" s="97">
        <v>615.22</v>
      </c>
      <c r="I44" s="97">
        <v>615.22</v>
      </c>
      <c r="J44" s="97">
        <v>615.22</v>
      </c>
      <c r="K44" s="97">
        <v>615.22</v>
      </c>
      <c r="L44" s="145" t="s">
        <v>461</v>
      </c>
      <c r="M44" s="146">
        <v>40909</v>
      </c>
    </row>
    <row r="45" spans="1:13" s="240" customFormat="1" ht="24" customHeight="1" x14ac:dyDescent="0.2">
      <c r="A45" s="150">
        <v>1101484457</v>
      </c>
      <c r="B45" s="102" t="s">
        <v>190</v>
      </c>
      <c r="C45" s="171">
        <f t="shared" si="0"/>
        <v>36</v>
      </c>
      <c r="D45" s="95">
        <v>1</v>
      </c>
      <c r="E45" s="103" t="s">
        <v>152</v>
      </c>
      <c r="F45" s="97">
        <v>565.22</v>
      </c>
      <c r="G45" s="97">
        <v>565.22</v>
      </c>
      <c r="H45" s="97">
        <v>565.22</v>
      </c>
      <c r="I45" s="97">
        <v>565.22</v>
      </c>
      <c r="J45" s="97">
        <v>565.22</v>
      </c>
      <c r="K45" s="97">
        <v>565.22</v>
      </c>
      <c r="L45" s="145" t="s">
        <v>461</v>
      </c>
      <c r="M45" s="146">
        <v>40909</v>
      </c>
    </row>
    <row r="46" spans="1:13" s="240" customFormat="1" ht="24" customHeight="1" x14ac:dyDescent="0.2">
      <c r="A46" s="144">
        <v>1102410907</v>
      </c>
      <c r="B46" s="102" t="s">
        <v>191</v>
      </c>
      <c r="C46" s="171">
        <f t="shared" si="0"/>
        <v>37</v>
      </c>
      <c r="D46" s="95">
        <v>2</v>
      </c>
      <c r="E46" s="103" t="s">
        <v>162</v>
      </c>
      <c r="F46" s="97">
        <v>581.22</v>
      </c>
      <c r="G46" s="97">
        <v>581.22</v>
      </c>
      <c r="H46" s="97">
        <v>581.22</v>
      </c>
      <c r="I46" s="97">
        <v>581.22</v>
      </c>
      <c r="J46" s="97">
        <v>581.22</v>
      </c>
      <c r="K46" s="97">
        <v>581.22</v>
      </c>
      <c r="L46" s="145" t="s">
        <v>461</v>
      </c>
      <c r="M46" s="146">
        <v>40909</v>
      </c>
    </row>
    <row r="47" spans="1:13" s="240" customFormat="1" ht="24" customHeight="1" x14ac:dyDescent="0.2">
      <c r="A47" s="144">
        <v>1100867181</v>
      </c>
      <c r="B47" s="102" t="s">
        <v>496</v>
      </c>
      <c r="C47" s="171">
        <f t="shared" si="0"/>
        <v>38</v>
      </c>
      <c r="D47" s="95"/>
      <c r="E47" s="103" t="s">
        <v>139</v>
      </c>
      <c r="F47" s="100">
        <v>565.22</v>
      </c>
      <c r="G47" s="97">
        <v>0</v>
      </c>
      <c r="H47" s="97">
        <v>0</v>
      </c>
      <c r="I47" s="97">
        <v>0</v>
      </c>
      <c r="J47" s="97">
        <v>0</v>
      </c>
      <c r="K47" s="97">
        <v>0</v>
      </c>
      <c r="L47" s="145" t="s">
        <v>497</v>
      </c>
      <c r="M47" s="146">
        <v>40909</v>
      </c>
    </row>
    <row r="48" spans="1:13" s="240" customFormat="1" ht="24" customHeight="1" x14ac:dyDescent="0.2">
      <c r="A48" s="150">
        <v>1102789359</v>
      </c>
      <c r="B48" s="102" t="s">
        <v>192</v>
      </c>
      <c r="C48" s="171">
        <f t="shared" si="0"/>
        <v>39</v>
      </c>
      <c r="D48" s="95">
        <v>1</v>
      </c>
      <c r="E48" s="103" t="s">
        <v>152</v>
      </c>
      <c r="F48" s="97">
        <v>565.22</v>
      </c>
      <c r="G48" s="97">
        <v>565.22</v>
      </c>
      <c r="H48" s="97">
        <v>565.22</v>
      </c>
      <c r="I48" s="97">
        <v>565.22</v>
      </c>
      <c r="J48" s="97">
        <v>565.22</v>
      </c>
      <c r="K48" s="97">
        <v>565.22</v>
      </c>
      <c r="L48" s="145" t="s">
        <v>461</v>
      </c>
      <c r="M48" s="146">
        <v>40909</v>
      </c>
    </row>
    <row r="49" spans="1:13" s="240" customFormat="1" ht="24" customHeight="1" x14ac:dyDescent="0.2">
      <c r="A49" s="150">
        <v>1104466279</v>
      </c>
      <c r="B49" s="102" t="s">
        <v>193</v>
      </c>
      <c r="C49" s="171">
        <f t="shared" si="0"/>
        <v>40</v>
      </c>
      <c r="D49" s="95">
        <v>5</v>
      </c>
      <c r="E49" s="103" t="s">
        <v>140</v>
      </c>
      <c r="F49" s="97">
        <v>733.22</v>
      </c>
      <c r="G49" s="97">
        <v>733.22</v>
      </c>
      <c r="H49" s="97">
        <v>733.22</v>
      </c>
      <c r="I49" s="97">
        <v>733.22</v>
      </c>
      <c r="J49" s="97">
        <v>733.22</v>
      </c>
      <c r="K49" s="97">
        <v>733.22</v>
      </c>
      <c r="L49" s="145" t="s">
        <v>461</v>
      </c>
      <c r="M49" s="146">
        <v>40909</v>
      </c>
    </row>
    <row r="50" spans="1:13" s="240" customFormat="1" ht="24" customHeight="1" x14ac:dyDescent="0.2">
      <c r="A50" s="144" t="s">
        <v>194</v>
      </c>
      <c r="B50" s="102" t="s">
        <v>498</v>
      </c>
      <c r="C50" s="171">
        <f t="shared" si="0"/>
        <v>41</v>
      </c>
      <c r="D50" s="95">
        <v>5</v>
      </c>
      <c r="E50" s="103" t="s">
        <v>195</v>
      </c>
      <c r="F50" s="97">
        <v>733.22</v>
      </c>
      <c r="G50" s="97">
        <v>733.22</v>
      </c>
      <c r="H50" s="97">
        <v>733.22</v>
      </c>
      <c r="I50" s="97">
        <v>733.22</v>
      </c>
      <c r="J50" s="97">
        <v>733.22</v>
      </c>
      <c r="K50" s="97">
        <v>733.22</v>
      </c>
      <c r="L50" s="145" t="s">
        <v>461</v>
      </c>
      <c r="M50" s="146">
        <v>40909</v>
      </c>
    </row>
    <row r="51" spans="1:13" s="240" customFormat="1" ht="24" customHeight="1" x14ac:dyDescent="0.2">
      <c r="A51" s="150">
        <v>1102052071</v>
      </c>
      <c r="B51" s="102" t="s">
        <v>196</v>
      </c>
      <c r="C51" s="171">
        <f t="shared" si="0"/>
        <v>42</v>
      </c>
      <c r="D51" s="95">
        <v>1</v>
      </c>
      <c r="E51" s="103" t="s">
        <v>152</v>
      </c>
      <c r="F51" s="97">
        <v>565.22</v>
      </c>
      <c r="G51" s="97">
        <v>565.22</v>
      </c>
      <c r="H51" s="97">
        <v>565.22</v>
      </c>
      <c r="I51" s="97">
        <v>565.22</v>
      </c>
      <c r="J51" s="97">
        <v>565.22</v>
      </c>
      <c r="K51" s="97">
        <v>565.22</v>
      </c>
      <c r="L51" s="145" t="s">
        <v>461</v>
      </c>
      <c r="M51" s="146">
        <v>40909</v>
      </c>
    </row>
    <row r="52" spans="1:13" s="240" customFormat="1" ht="24" customHeight="1" x14ac:dyDescent="0.2">
      <c r="A52" s="150">
        <v>1103198501</v>
      </c>
      <c r="B52" s="102" t="s">
        <v>499</v>
      </c>
      <c r="C52" s="171">
        <f t="shared" si="0"/>
        <v>43</v>
      </c>
      <c r="D52" s="95"/>
      <c r="E52" s="103" t="s">
        <v>500</v>
      </c>
      <c r="F52" s="100">
        <v>733.22</v>
      </c>
      <c r="G52" s="100">
        <v>733.22</v>
      </c>
      <c r="H52" s="100">
        <v>733.22</v>
      </c>
      <c r="I52" s="97">
        <v>0</v>
      </c>
      <c r="J52" s="97">
        <v>0</v>
      </c>
      <c r="K52" s="97">
        <v>0</v>
      </c>
      <c r="L52" s="145" t="s">
        <v>501</v>
      </c>
      <c r="M52" s="146"/>
    </row>
    <row r="53" spans="1:13" s="240" customFormat="1" ht="24" customHeight="1" x14ac:dyDescent="0.2">
      <c r="A53" s="150">
        <v>1103144984</v>
      </c>
      <c r="B53" s="102" t="s">
        <v>197</v>
      </c>
      <c r="C53" s="171">
        <f t="shared" si="0"/>
        <v>44</v>
      </c>
      <c r="D53" s="95">
        <v>4</v>
      </c>
      <c r="E53" s="103" t="s">
        <v>189</v>
      </c>
      <c r="F53" s="97">
        <v>615.22</v>
      </c>
      <c r="G53" s="97">
        <v>615.22</v>
      </c>
      <c r="H53" s="97">
        <v>615.22</v>
      </c>
      <c r="I53" s="97">
        <v>615.22</v>
      </c>
      <c r="J53" s="97">
        <v>615.22</v>
      </c>
      <c r="K53" s="97">
        <v>615.22</v>
      </c>
      <c r="L53" s="145" t="s">
        <v>461</v>
      </c>
      <c r="M53" s="146">
        <v>40909</v>
      </c>
    </row>
    <row r="54" spans="1:13" s="240" customFormat="1" ht="24" customHeight="1" x14ac:dyDescent="0.2">
      <c r="A54" s="150">
        <v>1100835873</v>
      </c>
      <c r="B54" s="102" t="s">
        <v>198</v>
      </c>
      <c r="C54" s="171">
        <f t="shared" si="0"/>
        <v>45</v>
      </c>
      <c r="D54" s="95">
        <v>5</v>
      </c>
      <c r="E54" s="103" t="s">
        <v>199</v>
      </c>
      <c r="F54" s="97">
        <v>733.22</v>
      </c>
      <c r="G54" s="97">
        <v>733.22</v>
      </c>
      <c r="H54" s="97">
        <v>733.22</v>
      </c>
      <c r="I54" s="97">
        <v>733.22</v>
      </c>
      <c r="J54" s="97">
        <v>733.22</v>
      </c>
      <c r="K54" s="97">
        <v>733.22</v>
      </c>
      <c r="L54" s="145" t="s">
        <v>461</v>
      </c>
      <c r="M54" s="146">
        <v>40909</v>
      </c>
    </row>
    <row r="55" spans="1:13" s="240" customFormat="1" ht="24" customHeight="1" x14ac:dyDescent="0.2">
      <c r="A55" s="150">
        <v>1101848859</v>
      </c>
      <c r="B55" s="102" t="s">
        <v>200</v>
      </c>
      <c r="C55" s="171">
        <f t="shared" si="0"/>
        <v>46</v>
      </c>
      <c r="D55" s="95">
        <v>4</v>
      </c>
      <c r="E55" s="103" t="s">
        <v>147</v>
      </c>
      <c r="F55" s="96">
        <v>821.82</v>
      </c>
      <c r="G55" s="96">
        <v>821.82</v>
      </c>
      <c r="H55" s="96">
        <v>821.82</v>
      </c>
      <c r="I55" s="96">
        <v>821.82</v>
      </c>
      <c r="J55" s="96">
        <v>821.82</v>
      </c>
      <c r="K55" s="96">
        <v>821.82</v>
      </c>
      <c r="L55" s="145" t="s">
        <v>461</v>
      </c>
      <c r="M55" s="146">
        <v>40909</v>
      </c>
    </row>
    <row r="56" spans="1:13" s="240" customFormat="1" ht="24" customHeight="1" x14ac:dyDescent="0.2">
      <c r="A56" s="150">
        <v>1102240403</v>
      </c>
      <c r="B56" s="102" t="s">
        <v>201</v>
      </c>
      <c r="C56" s="171">
        <f t="shared" si="0"/>
        <v>47</v>
      </c>
      <c r="D56" s="95">
        <v>4</v>
      </c>
      <c r="E56" s="103" t="s">
        <v>147</v>
      </c>
      <c r="F56" s="97">
        <v>615.22</v>
      </c>
      <c r="G56" s="97">
        <v>615.22</v>
      </c>
      <c r="H56" s="97">
        <v>615.22</v>
      </c>
      <c r="I56" s="97">
        <v>615.22</v>
      </c>
      <c r="J56" s="97">
        <v>615.22</v>
      </c>
      <c r="K56" s="97">
        <v>615.22</v>
      </c>
      <c r="L56" s="145" t="s">
        <v>461</v>
      </c>
      <c r="M56" s="146">
        <v>40909</v>
      </c>
    </row>
    <row r="57" spans="1:13" s="240" customFormat="1" ht="24" customHeight="1" x14ac:dyDescent="0.2">
      <c r="A57" s="150">
        <v>1101984449</v>
      </c>
      <c r="B57" s="102" t="s">
        <v>202</v>
      </c>
      <c r="C57" s="171">
        <f t="shared" si="0"/>
        <v>48</v>
      </c>
      <c r="D57" s="95">
        <v>6</v>
      </c>
      <c r="E57" s="103" t="s">
        <v>179</v>
      </c>
      <c r="F57" s="96">
        <v>825.31</v>
      </c>
      <c r="G57" s="96">
        <v>825.31</v>
      </c>
      <c r="H57" s="96">
        <v>825.31</v>
      </c>
      <c r="I57" s="96">
        <v>825.31</v>
      </c>
      <c r="J57" s="96">
        <v>825.31</v>
      </c>
      <c r="K57" s="96">
        <v>825.31</v>
      </c>
      <c r="L57" s="154" t="s">
        <v>461</v>
      </c>
      <c r="M57" s="146">
        <v>40909</v>
      </c>
    </row>
    <row r="58" spans="1:13" s="240" customFormat="1" ht="24" customHeight="1" x14ac:dyDescent="0.2">
      <c r="A58" s="144">
        <v>1102045687</v>
      </c>
      <c r="B58" s="102" t="s">
        <v>203</v>
      </c>
      <c r="C58" s="171">
        <f t="shared" si="0"/>
        <v>49</v>
      </c>
      <c r="D58" s="95">
        <v>1</v>
      </c>
      <c r="E58" s="103" t="s">
        <v>142</v>
      </c>
      <c r="F58" s="97">
        <v>565.22</v>
      </c>
      <c r="G58" s="97">
        <v>565.22</v>
      </c>
      <c r="H58" s="97">
        <v>565.22</v>
      </c>
      <c r="I58" s="97">
        <v>565.22</v>
      </c>
      <c r="J58" s="97">
        <v>565.22</v>
      </c>
      <c r="K58" s="97">
        <v>565.22</v>
      </c>
      <c r="L58" s="145" t="s">
        <v>461</v>
      </c>
      <c r="M58" s="146">
        <v>40909</v>
      </c>
    </row>
    <row r="59" spans="1:13" s="240" customFormat="1" ht="24" customHeight="1" x14ac:dyDescent="0.2">
      <c r="A59" s="150">
        <v>1104277346</v>
      </c>
      <c r="B59" s="102" t="s">
        <v>204</v>
      </c>
      <c r="C59" s="171">
        <f t="shared" si="0"/>
        <v>50</v>
      </c>
      <c r="D59" s="95">
        <v>5</v>
      </c>
      <c r="E59" s="103" t="s">
        <v>195</v>
      </c>
      <c r="F59" s="97">
        <v>733.22</v>
      </c>
      <c r="G59" s="97">
        <v>733.22</v>
      </c>
      <c r="H59" s="97">
        <v>733.22</v>
      </c>
      <c r="I59" s="97">
        <v>733.22</v>
      </c>
      <c r="J59" s="97">
        <v>733.22</v>
      </c>
      <c r="K59" s="97">
        <v>733.22</v>
      </c>
      <c r="L59" s="145" t="s">
        <v>461</v>
      </c>
      <c r="M59" s="146">
        <v>40909</v>
      </c>
    </row>
    <row r="60" spans="1:13" s="240" customFormat="1" ht="24" customHeight="1" x14ac:dyDescent="0.2">
      <c r="A60" s="144">
        <v>1900408590</v>
      </c>
      <c r="B60" s="102" t="s">
        <v>205</v>
      </c>
      <c r="C60" s="171">
        <f t="shared" si="0"/>
        <v>51</v>
      </c>
      <c r="D60" s="95">
        <v>5</v>
      </c>
      <c r="E60" s="103" t="s">
        <v>195</v>
      </c>
      <c r="F60" s="97">
        <v>733.22</v>
      </c>
      <c r="G60" s="97">
        <v>733.22</v>
      </c>
      <c r="H60" s="97">
        <v>733.22</v>
      </c>
      <c r="I60" s="97">
        <v>733.22</v>
      </c>
      <c r="J60" s="97">
        <v>733.22</v>
      </c>
      <c r="K60" s="97">
        <v>733.22</v>
      </c>
      <c r="L60" s="145" t="s">
        <v>461</v>
      </c>
      <c r="M60" s="146">
        <v>40909</v>
      </c>
    </row>
    <row r="61" spans="1:13" s="240" customFormat="1" ht="24" customHeight="1" x14ac:dyDescent="0.2">
      <c r="A61" s="148">
        <v>1102745450</v>
      </c>
      <c r="B61" s="102" t="s">
        <v>206</v>
      </c>
      <c r="C61" s="171">
        <f t="shared" si="0"/>
        <v>52</v>
      </c>
      <c r="D61" s="95">
        <v>4</v>
      </c>
      <c r="E61" s="103" t="s">
        <v>147</v>
      </c>
      <c r="F61" s="98">
        <v>598</v>
      </c>
      <c r="G61" s="98">
        <v>598</v>
      </c>
      <c r="H61" s="98">
        <v>598</v>
      </c>
      <c r="I61" s="98">
        <v>598</v>
      </c>
      <c r="J61" s="98">
        <v>598</v>
      </c>
      <c r="K61" s="98">
        <v>598</v>
      </c>
      <c r="L61" s="145" t="s">
        <v>461</v>
      </c>
      <c r="M61" s="146">
        <v>41640</v>
      </c>
    </row>
    <row r="62" spans="1:13" s="240" customFormat="1" ht="24" customHeight="1" x14ac:dyDescent="0.2">
      <c r="A62" s="152" t="s">
        <v>207</v>
      </c>
      <c r="B62" s="102" t="s">
        <v>208</v>
      </c>
      <c r="C62" s="171">
        <f t="shared" si="0"/>
        <v>53</v>
      </c>
      <c r="D62" s="95">
        <v>1</v>
      </c>
      <c r="E62" s="103" t="s">
        <v>469</v>
      </c>
      <c r="F62" s="98">
        <v>565</v>
      </c>
      <c r="G62" s="98">
        <v>565</v>
      </c>
      <c r="H62" s="98">
        <v>565</v>
      </c>
      <c r="I62" s="98">
        <v>565</v>
      </c>
      <c r="J62" s="98">
        <v>565</v>
      </c>
      <c r="K62" s="98">
        <v>565</v>
      </c>
      <c r="L62" s="145" t="s">
        <v>461</v>
      </c>
      <c r="M62" s="146">
        <v>41640</v>
      </c>
    </row>
    <row r="63" spans="1:13" s="240" customFormat="1" ht="24" customHeight="1" x14ac:dyDescent="0.2">
      <c r="A63" s="144" t="s">
        <v>209</v>
      </c>
      <c r="B63" s="102" t="s">
        <v>210</v>
      </c>
      <c r="C63" s="171">
        <f t="shared" si="0"/>
        <v>54</v>
      </c>
      <c r="D63" s="95">
        <v>2</v>
      </c>
      <c r="E63" s="103" t="s">
        <v>162</v>
      </c>
      <c r="F63" s="97">
        <v>581.22</v>
      </c>
      <c r="G63" s="97">
        <v>581.22</v>
      </c>
      <c r="H63" s="97">
        <v>581.22</v>
      </c>
      <c r="I63" s="97">
        <v>581.22</v>
      </c>
      <c r="J63" s="97">
        <v>581.22</v>
      </c>
      <c r="K63" s="97">
        <v>581.22</v>
      </c>
      <c r="L63" s="145" t="s">
        <v>461</v>
      </c>
      <c r="M63" s="146">
        <v>40909</v>
      </c>
    </row>
    <row r="64" spans="1:13" s="240" customFormat="1" ht="24" customHeight="1" x14ac:dyDescent="0.2">
      <c r="A64" s="153">
        <v>1804187456</v>
      </c>
      <c r="B64" s="102" t="s">
        <v>211</v>
      </c>
      <c r="C64" s="171">
        <f t="shared" si="0"/>
        <v>55</v>
      </c>
      <c r="D64" s="95">
        <v>4</v>
      </c>
      <c r="E64" s="103" t="s">
        <v>147</v>
      </c>
      <c r="F64" s="98">
        <v>598</v>
      </c>
      <c r="G64" s="98">
        <v>598</v>
      </c>
      <c r="H64" s="98">
        <v>598</v>
      </c>
      <c r="I64" s="98">
        <v>598</v>
      </c>
      <c r="J64" s="98">
        <v>598</v>
      </c>
      <c r="K64" s="98">
        <v>598</v>
      </c>
      <c r="L64" s="154" t="s">
        <v>461</v>
      </c>
      <c r="M64" s="146">
        <v>41640</v>
      </c>
    </row>
    <row r="65" spans="1:13" s="240" customFormat="1" ht="24" customHeight="1" x14ac:dyDescent="0.2">
      <c r="A65" s="150">
        <v>1104411390</v>
      </c>
      <c r="B65" s="102" t="s">
        <v>212</v>
      </c>
      <c r="C65" s="171">
        <f t="shared" si="0"/>
        <v>56</v>
      </c>
      <c r="D65" s="95">
        <v>5</v>
      </c>
      <c r="E65" s="103" t="s">
        <v>213</v>
      </c>
      <c r="F65" s="97">
        <v>733.22</v>
      </c>
      <c r="G65" s="97">
        <v>733.22</v>
      </c>
      <c r="H65" s="97">
        <v>733.22</v>
      </c>
      <c r="I65" s="97">
        <v>733.22</v>
      </c>
      <c r="J65" s="97">
        <v>733.22</v>
      </c>
      <c r="K65" s="97">
        <v>733.22</v>
      </c>
      <c r="L65" s="154" t="s">
        <v>461</v>
      </c>
      <c r="M65" s="146">
        <v>40909</v>
      </c>
    </row>
    <row r="66" spans="1:13" s="240" customFormat="1" ht="24" customHeight="1" x14ac:dyDescent="0.2">
      <c r="A66" s="150">
        <v>1102017751</v>
      </c>
      <c r="B66" s="102" t="s">
        <v>502</v>
      </c>
      <c r="C66" s="171">
        <f t="shared" si="0"/>
        <v>57</v>
      </c>
      <c r="D66" s="95">
        <v>2</v>
      </c>
      <c r="E66" s="103" t="s">
        <v>139</v>
      </c>
      <c r="F66" s="100">
        <v>581.22</v>
      </c>
      <c r="G66" s="97">
        <v>0</v>
      </c>
      <c r="H66" s="97">
        <v>0</v>
      </c>
      <c r="I66" s="97">
        <v>0</v>
      </c>
      <c r="J66" s="97">
        <v>0</v>
      </c>
      <c r="K66" s="97">
        <v>0</v>
      </c>
      <c r="L66" s="145" t="s">
        <v>497</v>
      </c>
      <c r="M66" s="146">
        <v>42005</v>
      </c>
    </row>
    <row r="67" spans="1:13" s="240" customFormat="1" ht="24" customHeight="1" x14ac:dyDescent="0.2">
      <c r="A67" s="150">
        <v>1102343967</v>
      </c>
      <c r="B67" s="102" t="s">
        <v>214</v>
      </c>
      <c r="C67" s="171">
        <f t="shared" si="0"/>
        <v>58</v>
      </c>
      <c r="D67" s="95">
        <v>1</v>
      </c>
      <c r="E67" s="103" t="s">
        <v>152</v>
      </c>
      <c r="F67" s="97">
        <v>565.22</v>
      </c>
      <c r="G67" s="97">
        <v>565.22</v>
      </c>
      <c r="H67" s="97">
        <v>565.22</v>
      </c>
      <c r="I67" s="97">
        <v>565.22</v>
      </c>
      <c r="J67" s="97">
        <v>565.22</v>
      </c>
      <c r="K67" s="97">
        <v>565.22</v>
      </c>
      <c r="L67" s="145" t="s">
        <v>461</v>
      </c>
      <c r="M67" s="146">
        <v>40909</v>
      </c>
    </row>
    <row r="68" spans="1:13" s="240" customFormat="1" ht="24" customHeight="1" x14ac:dyDescent="0.2">
      <c r="A68" s="148">
        <v>1103143291</v>
      </c>
      <c r="B68" s="102" t="s">
        <v>215</v>
      </c>
      <c r="C68" s="171">
        <f t="shared" si="0"/>
        <v>59</v>
      </c>
      <c r="D68" s="95">
        <v>4</v>
      </c>
      <c r="E68" s="103" t="s">
        <v>147</v>
      </c>
      <c r="F68" s="98">
        <v>598</v>
      </c>
      <c r="G68" s="98">
        <v>598</v>
      </c>
      <c r="H68" s="98">
        <v>598</v>
      </c>
      <c r="I68" s="98">
        <v>598</v>
      </c>
      <c r="J68" s="98">
        <v>598</v>
      </c>
      <c r="K68" s="98">
        <v>598</v>
      </c>
      <c r="L68" s="154" t="s">
        <v>461</v>
      </c>
      <c r="M68" s="146">
        <v>41640</v>
      </c>
    </row>
    <row r="69" spans="1:13" s="240" customFormat="1" ht="24" customHeight="1" x14ac:dyDescent="0.2">
      <c r="A69" s="150">
        <v>1102980339</v>
      </c>
      <c r="B69" s="102" t="s">
        <v>216</v>
      </c>
      <c r="C69" s="171">
        <f t="shared" si="0"/>
        <v>60</v>
      </c>
      <c r="D69" s="95">
        <v>4</v>
      </c>
      <c r="E69" s="103" t="s">
        <v>147</v>
      </c>
      <c r="F69" s="97">
        <v>615.22</v>
      </c>
      <c r="G69" s="97">
        <v>615.22</v>
      </c>
      <c r="H69" s="97">
        <v>615.22</v>
      </c>
      <c r="I69" s="97">
        <v>615.22</v>
      </c>
      <c r="J69" s="97">
        <v>615.22</v>
      </c>
      <c r="K69" s="97">
        <v>615.22</v>
      </c>
      <c r="L69" s="145" t="s">
        <v>461</v>
      </c>
      <c r="M69" s="146">
        <v>40909</v>
      </c>
    </row>
    <row r="70" spans="1:13" s="240" customFormat="1" ht="24" customHeight="1" x14ac:dyDescent="0.2">
      <c r="A70" s="150">
        <v>1103740831</v>
      </c>
      <c r="B70" s="102" t="s">
        <v>217</v>
      </c>
      <c r="C70" s="171">
        <f t="shared" si="0"/>
        <v>61</v>
      </c>
      <c r="D70" s="95">
        <v>4</v>
      </c>
      <c r="E70" s="103" t="s">
        <v>189</v>
      </c>
      <c r="F70" s="97">
        <v>615.22</v>
      </c>
      <c r="G70" s="97">
        <v>615.22</v>
      </c>
      <c r="H70" s="97">
        <v>615.22</v>
      </c>
      <c r="I70" s="97">
        <v>615.22</v>
      </c>
      <c r="J70" s="97">
        <v>615.22</v>
      </c>
      <c r="K70" s="97">
        <v>615.22</v>
      </c>
      <c r="L70" s="145" t="s">
        <v>461</v>
      </c>
      <c r="M70" s="146">
        <v>40909</v>
      </c>
    </row>
    <row r="71" spans="1:13" s="240" customFormat="1" ht="24" customHeight="1" x14ac:dyDescent="0.2">
      <c r="A71" s="150">
        <v>1103679427</v>
      </c>
      <c r="B71" s="102" t="s">
        <v>218</v>
      </c>
      <c r="C71" s="171">
        <f t="shared" si="0"/>
        <v>62</v>
      </c>
      <c r="D71" s="95">
        <v>1</v>
      </c>
      <c r="E71" s="103" t="s">
        <v>160</v>
      </c>
      <c r="F71" s="97">
        <v>565.22</v>
      </c>
      <c r="G71" s="97">
        <v>565.22</v>
      </c>
      <c r="H71" s="97">
        <v>565.22</v>
      </c>
      <c r="I71" s="97">
        <v>565.22</v>
      </c>
      <c r="J71" s="97">
        <v>565.22</v>
      </c>
      <c r="K71" s="97">
        <v>565.22</v>
      </c>
      <c r="L71" s="145" t="s">
        <v>461</v>
      </c>
      <c r="M71" s="146">
        <v>40909</v>
      </c>
    </row>
    <row r="72" spans="1:13" s="240" customFormat="1" ht="24" customHeight="1" x14ac:dyDescent="0.2">
      <c r="A72" s="150">
        <v>1104109333</v>
      </c>
      <c r="B72" s="102" t="s">
        <v>219</v>
      </c>
      <c r="C72" s="171">
        <f t="shared" si="0"/>
        <v>63</v>
      </c>
      <c r="D72" s="95">
        <v>1</v>
      </c>
      <c r="E72" s="103" t="s">
        <v>142</v>
      </c>
      <c r="F72" s="97">
        <v>565.22</v>
      </c>
      <c r="G72" s="97">
        <v>565.22</v>
      </c>
      <c r="H72" s="97">
        <v>565.22</v>
      </c>
      <c r="I72" s="97">
        <v>565.22</v>
      </c>
      <c r="J72" s="97">
        <v>565.22</v>
      </c>
      <c r="K72" s="97">
        <v>565.22</v>
      </c>
      <c r="L72" s="145" t="s">
        <v>461</v>
      </c>
      <c r="M72" s="146">
        <v>40909</v>
      </c>
    </row>
    <row r="73" spans="1:13" s="240" customFormat="1" ht="24" customHeight="1" x14ac:dyDescent="0.2">
      <c r="A73" s="150">
        <v>1104018294</v>
      </c>
      <c r="B73" s="102" t="s">
        <v>220</v>
      </c>
      <c r="C73" s="171">
        <f t="shared" si="0"/>
        <v>64</v>
      </c>
      <c r="D73" s="95">
        <v>1</v>
      </c>
      <c r="E73" s="103" t="s">
        <v>221</v>
      </c>
      <c r="F73" s="97">
        <v>565.22</v>
      </c>
      <c r="G73" s="97">
        <v>565.22</v>
      </c>
      <c r="H73" s="97">
        <v>565.22</v>
      </c>
      <c r="I73" s="97">
        <v>565.22</v>
      </c>
      <c r="J73" s="97">
        <v>565.22</v>
      </c>
      <c r="K73" s="97">
        <v>565.22</v>
      </c>
      <c r="L73" s="145" t="s">
        <v>461</v>
      </c>
      <c r="M73" s="146">
        <v>40909</v>
      </c>
    </row>
    <row r="74" spans="1:13" s="240" customFormat="1" ht="24" customHeight="1" x14ac:dyDescent="0.2">
      <c r="A74" s="150" t="s">
        <v>222</v>
      </c>
      <c r="B74" s="102" t="s">
        <v>223</v>
      </c>
      <c r="C74" s="171">
        <f t="shared" si="0"/>
        <v>65</v>
      </c>
      <c r="D74" s="95">
        <v>1</v>
      </c>
      <c r="E74" s="103" t="s">
        <v>224</v>
      </c>
      <c r="F74" s="97">
        <v>565.22</v>
      </c>
      <c r="G74" s="97">
        <v>565.22</v>
      </c>
      <c r="H74" s="97">
        <v>565.22</v>
      </c>
      <c r="I74" s="97">
        <v>565.22</v>
      </c>
      <c r="J74" s="97">
        <v>565.22</v>
      </c>
      <c r="K74" s="97">
        <v>565.22</v>
      </c>
      <c r="L74" s="145" t="s">
        <v>461</v>
      </c>
      <c r="M74" s="146">
        <v>40909</v>
      </c>
    </row>
    <row r="75" spans="1:13" s="240" customFormat="1" ht="24" customHeight="1" x14ac:dyDescent="0.2">
      <c r="A75" s="150">
        <v>1103203590</v>
      </c>
      <c r="B75" s="102" t="s">
        <v>225</v>
      </c>
      <c r="C75" s="171">
        <f t="shared" si="0"/>
        <v>66</v>
      </c>
      <c r="D75" s="95">
        <v>3</v>
      </c>
      <c r="E75" s="103" t="s">
        <v>226</v>
      </c>
      <c r="F75" s="96">
        <v>724.43</v>
      </c>
      <c r="G75" s="96">
        <v>724.43</v>
      </c>
      <c r="H75" s="96">
        <v>724.43</v>
      </c>
      <c r="I75" s="96">
        <v>724.43</v>
      </c>
      <c r="J75" s="96">
        <v>724.43</v>
      </c>
      <c r="K75" s="96">
        <v>724.43</v>
      </c>
      <c r="L75" s="145" t="s">
        <v>461</v>
      </c>
      <c r="M75" s="146">
        <v>40909</v>
      </c>
    </row>
    <row r="76" spans="1:13" s="240" customFormat="1" ht="24" customHeight="1" x14ac:dyDescent="0.2">
      <c r="A76" s="150">
        <v>1103055370</v>
      </c>
      <c r="B76" s="102" t="s">
        <v>227</v>
      </c>
      <c r="C76" s="171">
        <f t="shared" si="0"/>
        <v>67</v>
      </c>
      <c r="D76" s="95">
        <v>5</v>
      </c>
      <c r="E76" s="103" t="s">
        <v>195</v>
      </c>
      <c r="F76" s="97">
        <v>733.22</v>
      </c>
      <c r="G76" s="97">
        <v>733.22</v>
      </c>
      <c r="H76" s="97">
        <v>733.22</v>
      </c>
      <c r="I76" s="97">
        <v>733.22</v>
      </c>
      <c r="J76" s="97">
        <v>733.22</v>
      </c>
      <c r="K76" s="97">
        <v>733.22</v>
      </c>
      <c r="L76" s="145" t="s">
        <v>461</v>
      </c>
      <c r="M76" s="146">
        <v>40909</v>
      </c>
    </row>
    <row r="77" spans="1:13" s="240" customFormat="1" ht="24" customHeight="1" x14ac:dyDescent="0.2">
      <c r="A77" s="155">
        <v>1102076518</v>
      </c>
      <c r="B77" s="102" t="s">
        <v>228</v>
      </c>
      <c r="C77" s="171">
        <f t="shared" si="0"/>
        <v>68</v>
      </c>
      <c r="D77" s="95">
        <v>1</v>
      </c>
      <c r="E77" s="103" t="s">
        <v>163</v>
      </c>
      <c r="F77" s="97">
        <v>565.22</v>
      </c>
      <c r="G77" s="97">
        <v>565.22</v>
      </c>
      <c r="H77" s="97">
        <v>565.22</v>
      </c>
      <c r="I77" s="97">
        <v>565.22</v>
      </c>
      <c r="J77" s="97">
        <v>565.22</v>
      </c>
      <c r="K77" s="97">
        <v>565.22</v>
      </c>
      <c r="L77" s="145" t="s">
        <v>461</v>
      </c>
      <c r="M77" s="146">
        <v>40909</v>
      </c>
    </row>
    <row r="78" spans="1:13" s="240" customFormat="1" ht="24" customHeight="1" x14ac:dyDescent="0.2">
      <c r="A78" s="151">
        <v>1103009930</v>
      </c>
      <c r="B78" s="102" t="s">
        <v>229</v>
      </c>
      <c r="C78" s="171">
        <f t="shared" ref="C78:C141" si="1">+C77+1</f>
        <v>69</v>
      </c>
      <c r="D78" s="95">
        <v>1</v>
      </c>
      <c r="E78" s="103" t="s">
        <v>139</v>
      </c>
      <c r="F78" s="98">
        <v>565</v>
      </c>
      <c r="G78" s="98">
        <v>565</v>
      </c>
      <c r="H78" s="98">
        <v>565</v>
      </c>
      <c r="I78" s="98">
        <v>565</v>
      </c>
      <c r="J78" s="98">
        <v>565</v>
      </c>
      <c r="K78" s="98">
        <v>565</v>
      </c>
      <c r="L78" s="145" t="s">
        <v>461</v>
      </c>
      <c r="M78" s="146">
        <v>41640</v>
      </c>
    </row>
    <row r="79" spans="1:13" s="240" customFormat="1" ht="24" customHeight="1" x14ac:dyDescent="0.2">
      <c r="A79" s="150">
        <v>1101467023</v>
      </c>
      <c r="B79" s="102" t="s">
        <v>230</v>
      </c>
      <c r="C79" s="171">
        <f t="shared" si="1"/>
        <v>70</v>
      </c>
      <c r="D79" s="95">
        <v>2</v>
      </c>
      <c r="E79" s="103" t="s">
        <v>231</v>
      </c>
      <c r="F79" s="97">
        <v>876</v>
      </c>
      <c r="G79" s="97">
        <v>876</v>
      </c>
      <c r="H79" s="97">
        <v>876</v>
      </c>
      <c r="I79" s="97">
        <v>876</v>
      </c>
      <c r="J79" s="97">
        <v>876</v>
      </c>
      <c r="K79" s="97">
        <v>876</v>
      </c>
      <c r="L79" s="145" t="s">
        <v>461</v>
      </c>
      <c r="M79" s="146">
        <v>40909</v>
      </c>
    </row>
    <row r="80" spans="1:13" s="240" customFormat="1" ht="24" customHeight="1" x14ac:dyDescent="0.2">
      <c r="A80" s="150">
        <v>1102292974</v>
      </c>
      <c r="B80" s="102" t="s">
        <v>232</v>
      </c>
      <c r="C80" s="171">
        <f t="shared" si="1"/>
        <v>71</v>
      </c>
      <c r="D80" s="95">
        <v>4</v>
      </c>
      <c r="E80" s="103" t="s">
        <v>147</v>
      </c>
      <c r="F80" s="97">
        <v>615.22</v>
      </c>
      <c r="G80" s="97">
        <v>615.22</v>
      </c>
      <c r="H80" s="97">
        <v>615.22</v>
      </c>
      <c r="I80" s="97">
        <v>615.22</v>
      </c>
      <c r="J80" s="97">
        <v>615.22</v>
      </c>
      <c r="K80" s="97">
        <v>615.22</v>
      </c>
      <c r="L80" s="145" t="s">
        <v>461</v>
      </c>
      <c r="M80" s="146">
        <v>40909</v>
      </c>
    </row>
    <row r="81" spans="1:13" s="240" customFormat="1" ht="24" customHeight="1" x14ac:dyDescent="0.2">
      <c r="A81" s="150">
        <v>1103300024</v>
      </c>
      <c r="B81" s="102" t="s">
        <v>503</v>
      </c>
      <c r="C81" s="171">
        <f t="shared" si="1"/>
        <v>72</v>
      </c>
      <c r="D81" s="95">
        <v>2</v>
      </c>
      <c r="E81" s="103" t="s">
        <v>162</v>
      </c>
      <c r="F81" s="97">
        <v>581.22</v>
      </c>
      <c r="G81" s="97">
        <v>581.22</v>
      </c>
      <c r="H81" s="97">
        <v>581.22</v>
      </c>
      <c r="I81" s="97">
        <v>581.22</v>
      </c>
      <c r="J81" s="97">
        <v>0</v>
      </c>
      <c r="K81" s="97">
        <v>0</v>
      </c>
      <c r="L81" s="145" t="s">
        <v>497</v>
      </c>
      <c r="M81" s="146">
        <v>40909</v>
      </c>
    </row>
    <row r="82" spans="1:13" s="240" customFormat="1" ht="24" customHeight="1" x14ac:dyDescent="0.2">
      <c r="A82" s="150">
        <v>1102698733</v>
      </c>
      <c r="B82" s="102" t="s">
        <v>233</v>
      </c>
      <c r="C82" s="171">
        <f t="shared" si="1"/>
        <v>73</v>
      </c>
      <c r="D82" s="95">
        <v>1</v>
      </c>
      <c r="E82" s="103" t="s">
        <v>163</v>
      </c>
      <c r="F82" s="96">
        <v>624.05999999999995</v>
      </c>
      <c r="G82" s="96">
        <v>624.05999999999995</v>
      </c>
      <c r="H82" s="96">
        <v>624.05999999999995</v>
      </c>
      <c r="I82" s="96">
        <v>624.05999999999995</v>
      </c>
      <c r="J82" s="96">
        <v>624.05999999999995</v>
      </c>
      <c r="K82" s="96">
        <v>624.05999999999995</v>
      </c>
      <c r="L82" s="145" t="s">
        <v>461</v>
      </c>
      <c r="M82" s="146">
        <v>40909</v>
      </c>
    </row>
    <row r="83" spans="1:13" s="240" customFormat="1" ht="24" customHeight="1" x14ac:dyDescent="0.2">
      <c r="A83" s="144">
        <v>1101348827</v>
      </c>
      <c r="B83" s="102" t="s">
        <v>234</v>
      </c>
      <c r="C83" s="171">
        <f t="shared" si="1"/>
        <v>74</v>
      </c>
      <c r="D83" s="95">
        <v>6</v>
      </c>
      <c r="E83" s="103" t="s">
        <v>235</v>
      </c>
      <c r="F83" s="97">
        <v>766.22</v>
      </c>
      <c r="G83" s="97">
        <v>766.22</v>
      </c>
      <c r="H83" s="97">
        <v>766.22</v>
      </c>
      <c r="I83" s="97">
        <v>766.22</v>
      </c>
      <c r="J83" s="97">
        <v>766.22</v>
      </c>
      <c r="K83" s="97">
        <v>766.22</v>
      </c>
      <c r="L83" s="145" t="s">
        <v>461</v>
      </c>
      <c r="M83" s="146">
        <v>40909</v>
      </c>
    </row>
    <row r="84" spans="1:13" s="240" customFormat="1" ht="24" customHeight="1" x14ac:dyDescent="0.2">
      <c r="A84" s="144" t="s">
        <v>236</v>
      </c>
      <c r="B84" s="102" t="s">
        <v>237</v>
      </c>
      <c r="C84" s="171">
        <f t="shared" si="1"/>
        <v>75</v>
      </c>
      <c r="D84" s="95">
        <v>2</v>
      </c>
      <c r="E84" s="103" t="s">
        <v>238</v>
      </c>
      <c r="F84" s="97">
        <v>581.22</v>
      </c>
      <c r="G84" s="97">
        <v>581.22</v>
      </c>
      <c r="H84" s="97">
        <v>581.22</v>
      </c>
      <c r="I84" s="97">
        <v>581.22</v>
      </c>
      <c r="J84" s="97">
        <v>581.22</v>
      </c>
      <c r="K84" s="97">
        <v>581.22</v>
      </c>
      <c r="L84" s="145" t="s">
        <v>461</v>
      </c>
      <c r="M84" s="146">
        <v>40909</v>
      </c>
    </row>
    <row r="85" spans="1:13" s="240" customFormat="1" ht="24" customHeight="1" x14ac:dyDescent="0.2">
      <c r="A85" s="144">
        <v>1103617385</v>
      </c>
      <c r="B85" s="102" t="s">
        <v>239</v>
      </c>
      <c r="C85" s="171">
        <f t="shared" si="1"/>
        <v>76</v>
      </c>
      <c r="D85" s="95">
        <v>4</v>
      </c>
      <c r="E85" s="103" t="s">
        <v>147</v>
      </c>
      <c r="F85" s="97">
        <v>615.22</v>
      </c>
      <c r="G85" s="97">
        <v>615.22</v>
      </c>
      <c r="H85" s="97">
        <v>615.22</v>
      </c>
      <c r="I85" s="97">
        <v>615.22</v>
      </c>
      <c r="J85" s="97">
        <v>615.22</v>
      </c>
      <c r="K85" s="97">
        <v>615.22</v>
      </c>
      <c r="L85" s="145" t="s">
        <v>461</v>
      </c>
      <c r="M85" s="146">
        <v>40909</v>
      </c>
    </row>
    <row r="86" spans="1:13" s="240" customFormat="1" ht="24" customHeight="1" x14ac:dyDescent="0.2">
      <c r="A86" s="144">
        <v>1102125513</v>
      </c>
      <c r="B86" s="102" t="s">
        <v>240</v>
      </c>
      <c r="C86" s="171">
        <f t="shared" si="1"/>
        <v>77</v>
      </c>
      <c r="D86" s="95">
        <v>2</v>
      </c>
      <c r="E86" s="103" t="s">
        <v>162</v>
      </c>
      <c r="F86" s="97">
        <v>581.22</v>
      </c>
      <c r="G86" s="97">
        <v>581.22</v>
      </c>
      <c r="H86" s="97">
        <v>581.22</v>
      </c>
      <c r="I86" s="97">
        <v>581.22</v>
      </c>
      <c r="J86" s="97">
        <v>581.22</v>
      </c>
      <c r="K86" s="97">
        <v>581.22</v>
      </c>
      <c r="L86" s="145" t="s">
        <v>461</v>
      </c>
      <c r="M86" s="146">
        <v>40909</v>
      </c>
    </row>
    <row r="87" spans="1:13" s="240" customFormat="1" ht="24" customHeight="1" x14ac:dyDescent="0.2">
      <c r="A87" s="150">
        <v>1103936900</v>
      </c>
      <c r="B87" s="102" t="s">
        <v>241</v>
      </c>
      <c r="C87" s="171">
        <f t="shared" si="1"/>
        <v>78</v>
      </c>
      <c r="D87" s="95">
        <v>1</v>
      </c>
      <c r="E87" s="103" t="s">
        <v>142</v>
      </c>
      <c r="F87" s="97">
        <v>565.22</v>
      </c>
      <c r="G87" s="97">
        <v>565.22</v>
      </c>
      <c r="H87" s="97">
        <v>565.22</v>
      </c>
      <c r="I87" s="97">
        <v>565.22</v>
      </c>
      <c r="J87" s="97">
        <v>565.22</v>
      </c>
      <c r="K87" s="97">
        <v>565.22</v>
      </c>
      <c r="L87" s="145" t="s">
        <v>461</v>
      </c>
      <c r="M87" s="146">
        <v>40909</v>
      </c>
    </row>
    <row r="88" spans="1:13" s="240" customFormat="1" ht="24" customHeight="1" x14ac:dyDescent="0.2">
      <c r="A88" s="150">
        <v>1500611718</v>
      </c>
      <c r="B88" s="102" t="s">
        <v>242</v>
      </c>
      <c r="C88" s="171">
        <f t="shared" si="1"/>
        <v>79</v>
      </c>
      <c r="D88" s="95">
        <v>1</v>
      </c>
      <c r="E88" s="103" t="s">
        <v>142</v>
      </c>
      <c r="F88" s="97">
        <v>565.22</v>
      </c>
      <c r="G88" s="97">
        <v>565.22</v>
      </c>
      <c r="H88" s="97">
        <v>565.22</v>
      </c>
      <c r="I88" s="97">
        <v>565.22</v>
      </c>
      <c r="J88" s="97">
        <v>565.22</v>
      </c>
      <c r="K88" s="97">
        <v>565.22</v>
      </c>
      <c r="L88" s="145" t="s">
        <v>461</v>
      </c>
      <c r="M88" s="146">
        <v>40909</v>
      </c>
    </row>
    <row r="89" spans="1:13" s="240" customFormat="1" ht="24" customHeight="1" x14ac:dyDescent="0.2">
      <c r="A89" s="149">
        <v>1103861496</v>
      </c>
      <c r="B89" s="102" t="s">
        <v>243</v>
      </c>
      <c r="C89" s="171">
        <f t="shared" si="1"/>
        <v>80</v>
      </c>
      <c r="D89" s="95">
        <v>5</v>
      </c>
      <c r="E89" s="103" t="s">
        <v>244</v>
      </c>
      <c r="F89" s="97">
        <v>733</v>
      </c>
      <c r="G89" s="97">
        <v>733</v>
      </c>
      <c r="H89" s="97">
        <v>733</v>
      </c>
      <c r="I89" s="97">
        <v>733</v>
      </c>
      <c r="J89" s="97">
        <v>733</v>
      </c>
      <c r="K89" s="97">
        <v>733</v>
      </c>
      <c r="L89" s="145" t="s">
        <v>461</v>
      </c>
      <c r="M89" s="146">
        <v>41640</v>
      </c>
    </row>
    <row r="90" spans="1:13" s="240" customFormat="1" ht="24" customHeight="1" x14ac:dyDescent="0.2">
      <c r="A90" s="144">
        <v>1104976103</v>
      </c>
      <c r="B90" s="102" t="s">
        <v>245</v>
      </c>
      <c r="C90" s="171">
        <f t="shared" si="1"/>
        <v>81</v>
      </c>
      <c r="D90" s="95">
        <v>2</v>
      </c>
      <c r="E90" s="103" t="s">
        <v>172</v>
      </c>
      <c r="F90" s="97">
        <v>581.22</v>
      </c>
      <c r="G90" s="97">
        <v>581.22</v>
      </c>
      <c r="H90" s="97">
        <v>581.22</v>
      </c>
      <c r="I90" s="97">
        <v>581.22</v>
      </c>
      <c r="J90" s="97">
        <v>581.22</v>
      </c>
      <c r="K90" s="97">
        <v>581.22</v>
      </c>
      <c r="L90" s="145" t="s">
        <v>461</v>
      </c>
      <c r="M90" s="146">
        <v>40909</v>
      </c>
    </row>
    <row r="91" spans="1:13" s="240" customFormat="1" ht="24" customHeight="1" x14ac:dyDescent="0.2">
      <c r="A91" s="144">
        <v>1100647807</v>
      </c>
      <c r="B91" s="102" t="s">
        <v>246</v>
      </c>
      <c r="C91" s="171">
        <f t="shared" si="1"/>
        <v>82</v>
      </c>
      <c r="D91" s="95">
        <v>4</v>
      </c>
      <c r="E91" s="103" t="s">
        <v>147</v>
      </c>
      <c r="F91" s="97">
        <v>615.22</v>
      </c>
      <c r="G91" s="97">
        <v>615.22</v>
      </c>
      <c r="H91" s="97">
        <v>615.22</v>
      </c>
      <c r="I91" s="97">
        <v>615.22</v>
      </c>
      <c r="J91" s="97">
        <v>615.22</v>
      </c>
      <c r="K91" s="97">
        <v>615.22</v>
      </c>
      <c r="L91" s="145" t="s">
        <v>461</v>
      </c>
      <c r="M91" s="146">
        <v>40909</v>
      </c>
    </row>
    <row r="92" spans="1:13" s="240" customFormat="1" ht="24" customHeight="1" x14ac:dyDescent="0.2">
      <c r="A92" s="150">
        <v>1900520618</v>
      </c>
      <c r="B92" s="102" t="s">
        <v>247</v>
      </c>
      <c r="C92" s="171">
        <f t="shared" si="1"/>
        <v>83</v>
      </c>
      <c r="D92" s="95">
        <v>5</v>
      </c>
      <c r="E92" s="103" t="s">
        <v>140</v>
      </c>
      <c r="F92" s="97">
        <v>733.22</v>
      </c>
      <c r="G92" s="97">
        <v>733.22</v>
      </c>
      <c r="H92" s="97">
        <v>733.22</v>
      </c>
      <c r="I92" s="97">
        <v>733.22</v>
      </c>
      <c r="J92" s="97">
        <v>733.22</v>
      </c>
      <c r="K92" s="97">
        <v>733.22</v>
      </c>
      <c r="L92" s="145" t="s">
        <v>461</v>
      </c>
      <c r="M92" s="146">
        <v>40909</v>
      </c>
    </row>
    <row r="93" spans="1:13" s="240" customFormat="1" ht="24" customHeight="1" x14ac:dyDescent="0.2">
      <c r="A93" s="144">
        <v>1102094578</v>
      </c>
      <c r="B93" s="102" t="s">
        <v>248</v>
      </c>
      <c r="C93" s="171">
        <f t="shared" si="1"/>
        <v>84</v>
      </c>
      <c r="D93" s="95">
        <v>2</v>
      </c>
      <c r="E93" s="103" t="s">
        <v>162</v>
      </c>
      <c r="F93" s="97">
        <v>583.16999999999996</v>
      </c>
      <c r="G93" s="97">
        <v>583.16999999999996</v>
      </c>
      <c r="H93" s="97">
        <v>583.16999999999996</v>
      </c>
      <c r="I93" s="97">
        <v>583.16999999999996</v>
      </c>
      <c r="J93" s="97">
        <v>583.16999999999996</v>
      </c>
      <c r="K93" s="97">
        <v>583.16999999999996</v>
      </c>
      <c r="L93" s="145" t="s">
        <v>461</v>
      </c>
      <c r="M93" s="146">
        <v>40909</v>
      </c>
    </row>
    <row r="94" spans="1:13" s="240" customFormat="1" ht="24" customHeight="1" x14ac:dyDescent="0.2">
      <c r="A94" s="150">
        <v>1100415452</v>
      </c>
      <c r="B94" s="102" t="s">
        <v>249</v>
      </c>
      <c r="C94" s="171">
        <f t="shared" si="1"/>
        <v>85</v>
      </c>
      <c r="D94" s="95">
        <v>2</v>
      </c>
      <c r="E94" s="103" t="s">
        <v>172</v>
      </c>
      <c r="F94" s="96">
        <v>801.57</v>
      </c>
      <c r="G94" s="96">
        <v>801.57</v>
      </c>
      <c r="H94" s="96">
        <v>801.57</v>
      </c>
      <c r="I94" s="96">
        <v>801.57</v>
      </c>
      <c r="J94" s="96">
        <v>801.57</v>
      </c>
      <c r="K94" s="96">
        <v>801.57</v>
      </c>
      <c r="L94" s="145" t="s">
        <v>461</v>
      </c>
      <c r="M94" s="146">
        <v>40909</v>
      </c>
    </row>
    <row r="95" spans="1:13" s="240" customFormat="1" ht="24" customHeight="1" x14ac:dyDescent="0.2">
      <c r="A95" s="150">
        <v>1103304877</v>
      </c>
      <c r="B95" s="102" t="s">
        <v>250</v>
      </c>
      <c r="C95" s="171">
        <f t="shared" si="1"/>
        <v>86</v>
      </c>
      <c r="D95" s="95">
        <v>4</v>
      </c>
      <c r="E95" s="103" t="s">
        <v>147</v>
      </c>
      <c r="F95" s="97">
        <v>615.22</v>
      </c>
      <c r="G95" s="97">
        <v>615.22</v>
      </c>
      <c r="H95" s="97">
        <v>615.22</v>
      </c>
      <c r="I95" s="97">
        <v>615.22</v>
      </c>
      <c r="J95" s="97">
        <v>615.22</v>
      </c>
      <c r="K95" s="97">
        <v>615.22</v>
      </c>
      <c r="L95" s="145" t="s">
        <v>461</v>
      </c>
      <c r="M95" s="146">
        <v>40909</v>
      </c>
    </row>
    <row r="96" spans="1:13" s="240" customFormat="1" ht="24" customHeight="1" x14ac:dyDescent="0.2">
      <c r="A96" s="150">
        <v>1103420111</v>
      </c>
      <c r="B96" s="102" t="s">
        <v>251</v>
      </c>
      <c r="C96" s="171">
        <f t="shared" si="1"/>
        <v>87</v>
      </c>
      <c r="D96" s="95">
        <v>1</v>
      </c>
      <c r="E96" s="103" t="s">
        <v>163</v>
      </c>
      <c r="F96" s="97">
        <v>565.22</v>
      </c>
      <c r="G96" s="97">
        <v>565.22</v>
      </c>
      <c r="H96" s="97">
        <v>565.22</v>
      </c>
      <c r="I96" s="97">
        <v>565.22</v>
      </c>
      <c r="J96" s="97">
        <v>565.22</v>
      </c>
      <c r="K96" s="97">
        <v>565.22</v>
      </c>
      <c r="L96" s="145" t="s">
        <v>461</v>
      </c>
      <c r="M96" s="146">
        <v>40909</v>
      </c>
    </row>
    <row r="97" spans="1:13" s="240" customFormat="1" ht="24" customHeight="1" x14ac:dyDescent="0.2">
      <c r="A97" s="150">
        <v>1101751210</v>
      </c>
      <c r="B97" s="102" t="s">
        <v>504</v>
      </c>
      <c r="C97" s="171">
        <f t="shared" si="1"/>
        <v>88</v>
      </c>
      <c r="D97" s="95">
        <v>2</v>
      </c>
      <c r="E97" s="103" t="s">
        <v>162</v>
      </c>
      <c r="F97" s="242">
        <v>811.45</v>
      </c>
      <c r="G97" s="242">
        <v>811.45</v>
      </c>
      <c r="H97" s="242">
        <v>811.45</v>
      </c>
      <c r="I97" s="242">
        <v>811.45</v>
      </c>
      <c r="J97" s="242">
        <v>811.45</v>
      </c>
      <c r="K97" s="97">
        <v>0</v>
      </c>
      <c r="L97" s="145"/>
      <c r="M97" s="146"/>
    </row>
    <row r="98" spans="1:13" s="240" customFormat="1" ht="24" customHeight="1" x14ac:dyDescent="0.2">
      <c r="A98" s="150">
        <v>1102599949</v>
      </c>
      <c r="B98" s="102" t="s">
        <v>252</v>
      </c>
      <c r="C98" s="171">
        <f t="shared" si="1"/>
        <v>89</v>
      </c>
      <c r="D98" s="95">
        <v>5</v>
      </c>
      <c r="E98" s="103" t="s">
        <v>253</v>
      </c>
      <c r="F98" s="97">
        <v>733.22</v>
      </c>
      <c r="G98" s="97">
        <v>733.22</v>
      </c>
      <c r="H98" s="97">
        <v>733.22</v>
      </c>
      <c r="I98" s="97">
        <v>733.22</v>
      </c>
      <c r="J98" s="97">
        <v>733.22</v>
      </c>
      <c r="K98" s="97">
        <v>733.22</v>
      </c>
      <c r="L98" s="145" t="s">
        <v>461</v>
      </c>
      <c r="M98" s="146">
        <v>40909</v>
      </c>
    </row>
    <row r="99" spans="1:13" s="240" customFormat="1" ht="24" customHeight="1" x14ac:dyDescent="0.2">
      <c r="A99" s="144">
        <v>1102402094</v>
      </c>
      <c r="B99" s="102" t="s">
        <v>254</v>
      </c>
      <c r="C99" s="171">
        <f t="shared" si="1"/>
        <v>90</v>
      </c>
      <c r="D99" s="95">
        <v>4</v>
      </c>
      <c r="E99" s="103" t="s">
        <v>189</v>
      </c>
      <c r="F99" s="97">
        <v>615.22</v>
      </c>
      <c r="G99" s="97">
        <v>615.22</v>
      </c>
      <c r="H99" s="97">
        <v>615.22</v>
      </c>
      <c r="I99" s="97">
        <v>615.22</v>
      </c>
      <c r="J99" s="97">
        <v>615.22</v>
      </c>
      <c r="K99" s="97">
        <v>615.22</v>
      </c>
      <c r="L99" s="145" t="s">
        <v>461</v>
      </c>
      <c r="M99" s="146">
        <v>40909</v>
      </c>
    </row>
    <row r="100" spans="1:13" s="240" customFormat="1" ht="29.25" customHeight="1" x14ac:dyDescent="0.2">
      <c r="A100" s="144">
        <v>1100794641</v>
      </c>
      <c r="B100" s="102" t="s">
        <v>505</v>
      </c>
      <c r="C100" s="171">
        <f t="shared" si="1"/>
        <v>91</v>
      </c>
      <c r="D100" s="95"/>
      <c r="E100" s="103" t="s">
        <v>506</v>
      </c>
      <c r="F100" s="100">
        <v>615.22</v>
      </c>
      <c r="G100" s="100">
        <v>615.22</v>
      </c>
      <c r="H100" s="100">
        <v>615.22</v>
      </c>
      <c r="I100" s="100">
        <v>615.22</v>
      </c>
      <c r="J100" s="100">
        <v>615.22</v>
      </c>
      <c r="K100" s="97">
        <v>0</v>
      </c>
      <c r="L100" s="145"/>
      <c r="M100" s="146"/>
    </row>
    <row r="101" spans="1:13" s="240" customFormat="1" ht="29.25" customHeight="1" x14ac:dyDescent="0.2">
      <c r="A101" s="144">
        <v>1101075966</v>
      </c>
      <c r="B101" s="102" t="s">
        <v>255</v>
      </c>
      <c r="C101" s="171">
        <f t="shared" si="1"/>
        <v>92</v>
      </c>
      <c r="D101" s="95">
        <v>5</v>
      </c>
      <c r="E101" s="103" t="s">
        <v>199</v>
      </c>
      <c r="F101" s="96">
        <v>953.46</v>
      </c>
      <c r="G101" s="96">
        <v>953.46</v>
      </c>
      <c r="H101" s="96">
        <v>953.46</v>
      </c>
      <c r="I101" s="96">
        <v>953.46</v>
      </c>
      <c r="J101" s="96">
        <v>953.46</v>
      </c>
      <c r="K101" s="96">
        <v>0</v>
      </c>
      <c r="L101" s="145" t="s">
        <v>461</v>
      </c>
      <c r="M101" s="146">
        <v>40909</v>
      </c>
    </row>
    <row r="102" spans="1:13" s="240" customFormat="1" ht="24" customHeight="1" x14ac:dyDescent="0.2">
      <c r="A102" s="151">
        <v>1101198446</v>
      </c>
      <c r="B102" s="102" t="s">
        <v>256</v>
      </c>
      <c r="C102" s="171">
        <f t="shared" si="1"/>
        <v>93</v>
      </c>
      <c r="D102" s="95">
        <v>4</v>
      </c>
      <c r="E102" s="103" t="s">
        <v>147</v>
      </c>
      <c r="F102" s="98">
        <v>598</v>
      </c>
      <c r="G102" s="98">
        <v>598</v>
      </c>
      <c r="H102" s="98">
        <v>598</v>
      </c>
      <c r="I102" s="98">
        <v>598</v>
      </c>
      <c r="J102" s="98">
        <v>598</v>
      </c>
      <c r="K102" s="98">
        <v>598</v>
      </c>
      <c r="L102" s="154" t="s">
        <v>461</v>
      </c>
      <c r="M102" s="146">
        <v>41640</v>
      </c>
    </row>
    <row r="103" spans="1:13" s="240" customFormat="1" ht="24" customHeight="1" x14ac:dyDescent="0.2">
      <c r="A103" s="151">
        <v>1600132706</v>
      </c>
      <c r="B103" s="102" t="s">
        <v>507</v>
      </c>
      <c r="C103" s="171">
        <f t="shared" si="1"/>
        <v>94</v>
      </c>
      <c r="D103" s="95">
        <v>4</v>
      </c>
      <c r="E103" s="103" t="s">
        <v>147</v>
      </c>
      <c r="F103" s="242">
        <v>939.95</v>
      </c>
      <c r="G103" s="242">
        <v>939.95</v>
      </c>
      <c r="H103" s="242">
        <v>939.95</v>
      </c>
      <c r="I103" s="98">
        <v>0</v>
      </c>
      <c r="J103" s="98">
        <v>0</v>
      </c>
      <c r="K103" s="98">
        <v>0</v>
      </c>
      <c r="L103" s="145" t="s">
        <v>508</v>
      </c>
      <c r="M103" s="146"/>
    </row>
    <row r="104" spans="1:13" s="240" customFormat="1" ht="24" customHeight="1" x14ac:dyDescent="0.2">
      <c r="A104" s="144">
        <v>1101704078</v>
      </c>
      <c r="B104" s="102" t="s">
        <v>257</v>
      </c>
      <c r="C104" s="171">
        <f t="shared" si="1"/>
        <v>95</v>
      </c>
      <c r="D104" s="95">
        <v>5</v>
      </c>
      <c r="E104" s="103" t="s">
        <v>258</v>
      </c>
      <c r="F104" s="96">
        <v>876</v>
      </c>
      <c r="G104" s="96">
        <v>876</v>
      </c>
      <c r="H104" s="96">
        <v>876</v>
      </c>
      <c r="I104" s="96">
        <v>876</v>
      </c>
      <c r="J104" s="96">
        <v>876</v>
      </c>
      <c r="K104" s="96">
        <v>876</v>
      </c>
      <c r="L104" s="145" t="s">
        <v>461</v>
      </c>
      <c r="M104" s="146">
        <v>40909</v>
      </c>
    </row>
    <row r="105" spans="1:13" s="240" customFormat="1" ht="24" customHeight="1" x14ac:dyDescent="0.2">
      <c r="A105" s="150">
        <v>1103606222</v>
      </c>
      <c r="B105" s="102" t="s">
        <v>259</v>
      </c>
      <c r="C105" s="171">
        <f t="shared" si="1"/>
        <v>96</v>
      </c>
      <c r="D105" s="95">
        <v>1</v>
      </c>
      <c r="E105" s="103" t="s">
        <v>160</v>
      </c>
      <c r="F105" s="97">
        <v>565.22</v>
      </c>
      <c r="G105" s="97">
        <v>565.22</v>
      </c>
      <c r="H105" s="97">
        <v>565.22</v>
      </c>
      <c r="I105" s="97">
        <v>565.22</v>
      </c>
      <c r="J105" s="97">
        <v>565.22</v>
      </c>
      <c r="K105" s="97">
        <v>565.22</v>
      </c>
      <c r="L105" s="145" t="s">
        <v>461</v>
      </c>
      <c r="M105" s="146">
        <v>40909</v>
      </c>
    </row>
    <row r="106" spans="1:13" s="240" customFormat="1" ht="24" customHeight="1" x14ac:dyDescent="0.2">
      <c r="A106" s="150">
        <v>1103270649</v>
      </c>
      <c r="B106" s="102" t="s">
        <v>260</v>
      </c>
      <c r="C106" s="171">
        <f t="shared" si="1"/>
        <v>97</v>
      </c>
      <c r="D106" s="95">
        <v>1</v>
      </c>
      <c r="E106" s="103" t="s">
        <v>142</v>
      </c>
      <c r="F106" s="97">
        <v>565.22</v>
      </c>
      <c r="G106" s="97">
        <v>565.22</v>
      </c>
      <c r="H106" s="97">
        <v>565.22</v>
      </c>
      <c r="I106" s="97">
        <v>565.22</v>
      </c>
      <c r="J106" s="97">
        <v>565.22</v>
      </c>
      <c r="K106" s="97">
        <v>565.22</v>
      </c>
      <c r="L106" s="145" t="s">
        <v>461</v>
      </c>
      <c r="M106" s="146">
        <v>40909</v>
      </c>
    </row>
    <row r="107" spans="1:13" s="240" customFormat="1" ht="24" customHeight="1" x14ac:dyDescent="0.2">
      <c r="A107" s="150">
        <v>1102562111</v>
      </c>
      <c r="B107" s="102" t="s">
        <v>261</v>
      </c>
      <c r="C107" s="171">
        <f t="shared" si="1"/>
        <v>98</v>
      </c>
      <c r="D107" s="95">
        <v>5</v>
      </c>
      <c r="E107" s="103" t="s">
        <v>199</v>
      </c>
      <c r="F107" s="96">
        <v>876</v>
      </c>
      <c r="G107" s="96">
        <v>876</v>
      </c>
      <c r="H107" s="96">
        <v>876</v>
      </c>
      <c r="I107" s="96">
        <v>876</v>
      </c>
      <c r="J107" s="96">
        <v>876</v>
      </c>
      <c r="K107" s="96">
        <v>876</v>
      </c>
      <c r="L107" s="145" t="s">
        <v>461</v>
      </c>
      <c r="M107" s="146">
        <v>40909</v>
      </c>
    </row>
    <row r="108" spans="1:13" s="240" customFormat="1" ht="24" customHeight="1" x14ac:dyDescent="0.2">
      <c r="A108" s="144">
        <v>1100417292</v>
      </c>
      <c r="B108" s="102" t="s">
        <v>262</v>
      </c>
      <c r="C108" s="171">
        <f t="shared" si="1"/>
        <v>99</v>
      </c>
      <c r="D108" s="95">
        <v>6</v>
      </c>
      <c r="E108" s="103" t="s">
        <v>235</v>
      </c>
      <c r="F108" s="96">
        <v>953.03</v>
      </c>
      <c r="G108" s="96">
        <v>953.03</v>
      </c>
      <c r="H108" s="96">
        <v>953.03</v>
      </c>
      <c r="I108" s="96">
        <v>953.03</v>
      </c>
      <c r="J108" s="96">
        <v>953.03</v>
      </c>
      <c r="K108" s="96">
        <v>953.03</v>
      </c>
      <c r="L108" s="145" t="s">
        <v>461</v>
      </c>
      <c r="M108" s="146">
        <v>40909</v>
      </c>
    </row>
    <row r="109" spans="1:13" s="240" customFormat="1" ht="24" customHeight="1" x14ac:dyDescent="0.2">
      <c r="A109" s="150">
        <v>1705635348</v>
      </c>
      <c r="B109" s="102" t="s">
        <v>263</v>
      </c>
      <c r="C109" s="171">
        <f t="shared" si="1"/>
        <v>100</v>
      </c>
      <c r="D109" s="95">
        <v>8</v>
      </c>
      <c r="E109" s="103" t="s">
        <v>264</v>
      </c>
      <c r="F109" s="97">
        <v>816.22</v>
      </c>
      <c r="G109" s="97">
        <v>816.22</v>
      </c>
      <c r="H109" s="97">
        <v>816.22</v>
      </c>
      <c r="I109" s="97">
        <v>816.22</v>
      </c>
      <c r="J109" s="97">
        <v>816.22</v>
      </c>
      <c r="K109" s="97">
        <v>816.22</v>
      </c>
      <c r="L109" s="145" t="s">
        <v>461</v>
      </c>
      <c r="M109" s="146">
        <v>40909</v>
      </c>
    </row>
    <row r="110" spans="1:13" s="240" customFormat="1" ht="24" customHeight="1" x14ac:dyDescent="0.2">
      <c r="A110" s="144">
        <v>1102886825</v>
      </c>
      <c r="B110" s="102" t="s">
        <v>265</v>
      </c>
      <c r="C110" s="171">
        <f t="shared" si="1"/>
        <v>101</v>
      </c>
      <c r="D110" s="95">
        <v>5</v>
      </c>
      <c r="E110" s="103" t="s">
        <v>158</v>
      </c>
      <c r="F110" s="96">
        <v>733.22</v>
      </c>
      <c r="G110" s="96">
        <v>733.22</v>
      </c>
      <c r="H110" s="96">
        <v>733.22</v>
      </c>
      <c r="I110" s="96">
        <v>733.22</v>
      </c>
      <c r="J110" s="96">
        <v>733.22</v>
      </c>
      <c r="K110" s="96">
        <v>733.22</v>
      </c>
      <c r="L110" s="145" t="s">
        <v>461</v>
      </c>
      <c r="M110" s="146">
        <v>40909</v>
      </c>
    </row>
    <row r="111" spans="1:13" s="240" customFormat="1" ht="24" customHeight="1" x14ac:dyDescent="0.2">
      <c r="A111" s="150" t="s">
        <v>266</v>
      </c>
      <c r="B111" s="102" t="s">
        <v>267</v>
      </c>
      <c r="C111" s="171">
        <f t="shared" si="1"/>
        <v>102</v>
      </c>
      <c r="D111" s="95">
        <v>5</v>
      </c>
      <c r="E111" s="103" t="s">
        <v>158</v>
      </c>
      <c r="F111" s="96">
        <v>733.22</v>
      </c>
      <c r="G111" s="96">
        <v>733.22</v>
      </c>
      <c r="H111" s="96">
        <v>733.22</v>
      </c>
      <c r="I111" s="96">
        <v>733.22</v>
      </c>
      <c r="J111" s="96">
        <v>733.22</v>
      </c>
      <c r="K111" s="96">
        <v>733.22</v>
      </c>
      <c r="L111" s="145" t="s">
        <v>461</v>
      </c>
      <c r="M111" s="146">
        <v>40909</v>
      </c>
    </row>
    <row r="112" spans="1:13" s="240" customFormat="1" ht="24" customHeight="1" x14ac:dyDescent="0.2">
      <c r="A112" s="144">
        <v>1102408539</v>
      </c>
      <c r="B112" s="102" t="s">
        <v>268</v>
      </c>
      <c r="C112" s="171">
        <f t="shared" si="1"/>
        <v>103</v>
      </c>
      <c r="D112" s="95">
        <v>6</v>
      </c>
      <c r="E112" s="103" t="s">
        <v>235</v>
      </c>
      <c r="F112" s="96">
        <v>766.22</v>
      </c>
      <c r="G112" s="96">
        <v>766.22</v>
      </c>
      <c r="H112" s="96">
        <v>766.22</v>
      </c>
      <c r="I112" s="96">
        <v>766.22</v>
      </c>
      <c r="J112" s="96">
        <v>766.22</v>
      </c>
      <c r="K112" s="96">
        <v>766.22</v>
      </c>
      <c r="L112" s="154" t="s">
        <v>461</v>
      </c>
      <c r="M112" s="146">
        <v>40909</v>
      </c>
    </row>
    <row r="113" spans="1:13" s="240" customFormat="1" ht="24" customHeight="1" x14ac:dyDescent="0.2">
      <c r="A113" s="150">
        <v>1101849758</v>
      </c>
      <c r="B113" s="102" t="s">
        <v>269</v>
      </c>
      <c r="C113" s="171">
        <f t="shared" si="1"/>
        <v>104</v>
      </c>
      <c r="D113" s="95">
        <v>8</v>
      </c>
      <c r="E113" s="103" t="s">
        <v>270</v>
      </c>
      <c r="F113" s="96">
        <v>854.43</v>
      </c>
      <c r="G113" s="96">
        <v>854.43</v>
      </c>
      <c r="H113" s="96">
        <v>854.43</v>
      </c>
      <c r="I113" s="96">
        <v>854.43</v>
      </c>
      <c r="J113" s="96">
        <v>854.43</v>
      </c>
      <c r="K113" s="96">
        <v>854.43</v>
      </c>
      <c r="L113" s="145" t="s">
        <v>461</v>
      </c>
      <c r="M113" s="146">
        <v>40909</v>
      </c>
    </row>
    <row r="114" spans="1:13" s="240" customFormat="1" ht="24" customHeight="1" x14ac:dyDescent="0.2">
      <c r="A114" s="144">
        <v>1101432134</v>
      </c>
      <c r="B114" s="102" t="s">
        <v>271</v>
      </c>
      <c r="C114" s="171">
        <f t="shared" si="1"/>
        <v>105</v>
      </c>
      <c r="D114" s="95">
        <v>3</v>
      </c>
      <c r="E114" s="103" t="s">
        <v>226</v>
      </c>
      <c r="F114" s="96">
        <v>902.76</v>
      </c>
      <c r="G114" s="96">
        <v>902.76</v>
      </c>
      <c r="H114" s="96">
        <v>902.76</v>
      </c>
      <c r="I114" s="96">
        <v>902.76</v>
      </c>
      <c r="J114" s="96">
        <v>902.76</v>
      </c>
      <c r="K114" s="96">
        <v>902.76</v>
      </c>
      <c r="L114" s="145" t="s">
        <v>461</v>
      </c>
      <c r="M114" s="146">
        <v>40909</v>
      </c>
    </row>
    <row r="115" spans="1:13" s="240" customFormat="1" ht="24" customHeight="1" x14ac:dyDescent="0.2">
      <c r="A115" s="150">
        <v>1101704649</v>
      </c>
      <c r="B115" s="102" t="s">
        <v>272</v>
      </c>
      <c r="C115" s="171">
        <f t="shared" si="1"/>
        <v>106</v>
      </c>
      <c r="D115" s="95">
        <v>1</v>
      </c>
      <c r="E115" s="103" t="s">
        <v>142</v>
      </c>
      <c r="F115" s="97">
        <v>782.72</v>
      </c>
      <c r="G115" s="97">
        <v>782.72</v>
      </c>
      <c r="H115" s="97">
        <v>782.72</v>
      </c>
      <c r="I115" s="97">
        <v>782.72</v>
      </c>
      <c r="J115" s="97">
        <v>782.72</v>
      </c>
      <c r="K115" s="97">
        <v>782.72</v>
      </c>
      <c r="L115" s="145" t="s">
        <v>461</v>
      </c>
      <c r="M115" s="146">
        <v>40909</v>
      </c>
    </row>
    <row r="116" spans="1:13" s="240" customFormat="1" ht="24" customHeight="1" x14ac:dyDescent="0.2">
      <c r="A116" s="150" t="s">
        <v>273</v>
      </c>
      <c r="B116" s="102" t="s">
        <v>274</v>
      </c>
      <c r="C116" s="171">
        <f t="shared" si="1"/>
        <v>107</v>
      </c>
      <c r="D116" s="95">
        <v>1</v>
      </c>
      <c r="E116" s="103" t="s">
        <v>224</v>
      </c>
      <c r="F116" s="97">
        <v>565.22</v>
      </c>
      <c r="G116" s="97">
        <v>565.22</v>
      </c>
      <c r="H116" s="97">
        <v>565.22</v>
      </c>
      <c r="I116" s="97">
        <v>565.22</v>
      </c>
      <c r="J116" s="97">
        <v>565.22</v>
      </c>
      <c r="K116" s="97">
        <v>565.22</v>
      </c>
      <c r="L116" s="145" t="s">
        <v>461</v>
      </c>
      <c r="M116" s="146">
        <v>40909</v>
      </c>
    </row>
    <row r="117" spans="1:13" s="240" customFormat="1" ht="24" customHeight="1" x14ac:dyDescent="0.2">
      <c r="A117" s="144">
        <v>1100607199</v>
      </c>
      <c r="B117" s="102" t="s">
        <v>275</v>
      </c>
      <c r="C117" s="171">
        <f t="shared" si="1"/>
        <v>108</v>
      </c>
      <c r="D117" s="95">
        <v>4</v>
      </c>
      <c r="E117" s="103" t="s">
        <v>147</v>
      </c>
      <c r="F117" s="97">
        <v>615.22</v>
      </c>
      <c r="G117" s="97">
        <v>615.22</v>
      </c>
      <c r="H117" s="97">
        <v>615.22</v>
      </c>
      <c r="I117" s="97">
        <v>615.22</v>
      </c>
      <c r="J117" s="97">
        <v>615.22</v>
      </c>
      <c r="K117" s="97">
        <v>615.22</v>
      </c>
      <c r="L117" s="145" t="s">
        <v>461</v>
      </c>
      <c r="M117" s="146">
        <v>40909</v>
      </c>
    </row>
    <row r="118" spans="1:13" s="240" customFormat="1" ht="24" customHeight="1" x14ac:dyDescent="0.2">
      <c r="A118" s="150">
        <v>1103750764</v>
      </c>
      <c r="B118" s="102" t="s">
        <v>276</v>
      </c>
      <c r="C118" s="171">
        <f t="shared" si="1"/>
        <v>109</v>
      </c>
      <c r="D118" s="95">
        <v>4</v>
      </c>
      <c r="E118" s="103" t="s">
        <v>147</v>
      </c>
      <c r="F118" s="97">
        <v>615.22</v>
      </c>
      <c r="G118" s="97">
        <v>615.22</v>
      </c>
      <c r="H118" s="97">
        <v>615.22</v>
      </c>
      <c r="I118" s="97">
        <v>615.22</v>
      </c>
      <c r="J118" s="97">
        <v>615.22</v>
      </c>
      <c r="K118" s="97">
        <v>615.22</v>
      </c>
      <c r="L118" s="145" t="s">
        <v>461</v>
      </c>
      <c r="M118" s="146">
        <v>40909</v>
      </c>
    </row>
    <row r="119" spans="1:13" s="240" customFormat="1" ht="24" customHeight="1" x14ac:dyDescent="0.2">
      <c r="A119" s="150" t="s">
        <v>277</v>
      </c>
      <c r="B119" s="102" t="s">
        <v>278</v>
      </c>
      <c r="C119" s="171">
        <f t="shared" si="1"/>
        <v>110</v>
      </c>
      <c r="D119" s="95">
        <v>1</v>
      </c>
      <c r="E119" s="103" t="s">
        <v>224</v>
      </c>
      <c r="F119" s="97">
        <v>565.22</v>
      </c>
      <c r="G119" s="97">
        <v>565.22</v>
      </c>
      <c r="H119" s="97">
        <v>565.22</v>
      </c>
      <c r="I119" s="97">
        <v>565.22</v>
      </c>
      <c r="J119" s="97">
        <v>565.22</v>
      </c>
      <c r="K119" s="97">
        <v>565.22</v>
      </c>
      <c r="L119" s="145" t="s">
        <v>461</v>
      </c>
      <c r="M119" s="146">
        <v>40909</v>
      </c>
    </row>
    <row r="120" spans="1:13" s="240" customFormat="1" ht="24" customHeight="1" x14ac:dyDescent="0.2">
      <c r="A120" s="144">
        <v>1101558268</v>
      </c>
      <c r="B120" s="102" t="s">
        <v>279</v>
      </c>
      <c r="C120" s="171">
        <f t="shared" si="1"/>
        <v>111</v>
      </c>
      <c r="D120" s="95">
        <v>1</v>
      </c>
      <c r="E120" s="103" t="s">
        <v>163</v>
      </c>
      <c r="F120" s="97">
        <v>565.22</v>
      </c>
      <c r="G120" s="97">
        <v>565.22</v>
      </c>
      <c r="H120" s="97">
        <v>565.22</v>
      </c>
      <c r="I120" s="97">
        <v>565.22</v>
      </c>
      <c r="J120" s="97">
        <v>565.22</v>
      </c>
      <c r="K120" s="97">
        <v>565.22</v>
      </c>
      <c r="L120" s="145" t="s">
        <v>461</v>
      </c>
      <c r="M120" s="146">
        <v>40909</v>
      </c>
    </row>
    <row r="121" spans="1:13" s="240" customFormat="1" ht="24" customHeight="1" x14ac:dyDescent="0.2">
      <c r="A121" s="144">
        <v>1102657036</v>
      </c>
      <c r="B121" s="102" t="s">
        <v>280</v>
      </c>
      <c r="C121" s="171">
        <f t="shared" si="1"/>
        <v>112</v>
      </c>
      <c r="D121" s="95">
        <v>1</v>
      </c>
      <c r="E121" s="103" t="s">
        <v>142</v>
      </c>
      <c r="F121" s="97">
        <v>565.22</v>
      </c>
      <c r="G121" s="97">
        <v>565.22</v>
      </c>
      <c r="H121" s="97">
        <v>565.22</v>
      </c>
      <c r="I121" s="97">
        <v>565.22</v>
      </c>
      <c r="J121" s="97">
        <v>565.22</v>
      </c>
      <c r="K121" s="97">
        <v>565.22</v>
      </c>
      <c r="L121" s="145" t="s">
        <v>461</v>
      </c>
      <c r="M121" s="146">
        <v>40909</v>
      </c>
    </row>
    <row r="122" spans="1:13" s="240" customFormat="1" ht="24" customHeight="1" x14ac:dyDescent="0.2">
      <c r="A122" s="150">
        <v>1104064108</v>
      </c>
      <c r="B122" s="102" t="s">
        <v>281</v>
      </c>
      <c r="C122" s="171">
        <f t="shared" si="1"/>
        <v>113</v>
      </c>
      <c r="D122" s="95">
        <v>1</v>
      </c>
      <c r="E122" s="103" t="s">
        <v>160</v>
      </c>
      <c r="F122" s="97">
        <v>565.22</v>
      </c>
      <c r="G122" s="97">
        <v>565.22</v>
      </c>
      <c r="H122" s="97">
        <v>565.22</v>
      </c>
      <c r="I122" s="97">
        <v>565.22</v>
      </c>
      <c r="J122" s="97">
        <v>565.22</v>
      </c>
      <c r="K122" s="97">
        <v>565.22</v>
      </c>
      <c r="L122" s="145" t="s">
        <v>461</v>
      </c>
      <c r="M122" s="146">
        <v>40909</v>
      </c>
    </row>
    <row r="123" spans="1:13" s="240" customFormat="1" ht="24" customHeight="1" x14ac:dyDescent="0.2">
      <c r="A123" s="150">
        <v>1104430192</v>
      </c>
      <c r="B123" s="102" t="s">
        <v>282</v>
      </c>
      <c r="C123" s="171">
        <f t="shared" si="1"/>
        <v>114</v>
      </c>
      <c r="D123" s="95">
        <v>1</v>
      </c>
      <c r="E123" s="103" t="s">
        <v>152</v>
      </c>
      <c r="F123" s="97">
        <v>565.22</v>
      </c>
      <c r="G123" s="97">
        <v>565.22</v>
      </c>
      <c r="H123" s="97">
        <v>565.22</v>
      </c>
      <c r="I123" s="97">
        <v>565.22</v>
      </c>
      <c r="J123" s="97">
        <v>565.22</v>
      </c>
      <c r="K123" s="97">
        <v>565.22</v>
      </c>
      <c r="L123" s="145" t="s">
        <v>461</v>
      </c>
      <c r="M123" s="146">
        <v>40909</v>
      </c>
    </row>
    <row r="124" spans="1:13" s="240" customFormat="1" ht="24" customHeight="1" x14ac:dyDescent="0.2">
      <c r="A124" s="150">
        <v>1103968713</v>
      </c>
      <c r="B124" s="102" t="s">
        <v>283</v>
      </c>
      <c r="C124" s="171">
        <f t="shared" si="1"/>
        <v>115</v>
      </c>
      <c r="D124" s="95">
        <v>1</v>
      </c>
      <c r="E124" s="103" t="s">
        <v>152</v>
      </c>
      <c r="F124" s="97">
        <v>565.22</v>
      </c>
      <c r="G124" s="97">
        <v>565.22</v>
      </c>
      <c r="H124" s="97">
        <v>565.22</v>
      </c>
      <c r="I124" s="97">
        <v>565.22</v>
      </c>
      <c r="J124" s="97">
        <v>565.22</v>
      </c>
      <c r="K124" s="97">
        <v>565.22</v>
      </c>
      <c r="L124" s="145" t="s">
        <v>461</v>
      </c>
      <c r="M124" s="146">
        <v>40909</v>
      </c>
    </row>
    <row r="125" spans="1:13" s="240" customFormat="1" ht="24" customHeight="1" x14ac:dyDescent="0.2">
      <c r="A125" s="144">
        <v>1100627668</v>
      </c>
      <c r="B125" s="102" t="s">
        <v>284</v>
      </c>
      <c r="C125" s="171">
        <f t="shared" si="1"/>
        <v>116</v>
      </c>
      <c r="D125" s="95">
        <v>4</v>
      </c>
      <c r="E125" s="103" t="s">
        <v>147</v>
      </c>
      <c r="F125" s="97">
        <v>615.22</v>
      </c>
      <c r="G125" s="97">
        <v>615.22</v>
      </c>
      <c r="H125" s="97">
        <v>615.22</v>
      </c>
      <c r="I125" s="97">
        <v>615.22</v>
      </c>
      <c r="J125" s="97">
        <v>615.22</v>
      </c>
      <c r="K125" s="97">
        <v>615.22</v>
      </c>
      <c r="L125" s="145" t="s">
        <v>461</v>
      </c>
      <c r="M125" s="146">
        <v>40909</v>
      </c>
    </row>
    <row r="126" spans="1:13" s="240" customFormat="1" ht="24" customHeight="1" x14ac:dyDescent="0.2">
      <c r="A126" s="144">
        <v>1102444864</v>
      </c>
      <c r="B126" s="102" t="s">
        <v>285</v>
      </c>
      <c r="C126" s="171">
        <f t="shared" si="1"/>
        <v>117</v>
      </c>
      <c r="D126" s="95">
        <v>1</v>
      </c>
      <c r="E126" s="103" t="s">
        <v>142</v>
      </c>
      <c r="F126" s="97">
        <v>565.22</v>
      </c>
      <c r="G126" s="97">
        <v>565.22</v>
      </c>
      <c r="H126" s="97">
        <v>565.22</v>
      </c>
      <c r="I126" s="97">
        <v>565.22</v>
      </c>
      <c r="J126" s="97">
        <v>565.22</v>
      </c>
      <c r="K126" s="97">
        <v>565.22</v>
      </c>
      <c r="L126" s="154" t="s">
        <v>461</v>
      </c>
      <c r="M126" s="146">
        <v>40909</v>
      </c>
    </row>
    <row r="127" spans="1:13" s="240" customFormat="1" ht="24" customHeight="1" x14ac:dyDescent="0.2">
      <c r="A127" s="150">
        <v>1104360548</v>
      </c>
      <c r="B127" s="102" t="s">
        <v>286</v>
      </c>
      <c r="C127" s="171">
        <f t="shared" si="1"/>
        <v>118</v>
      </c>
      <c r="D127" s="95">
        <v>5</v>
      </c>
      <c r="E127" s="103" t="s">
        <v>253</v>
      </c>
      <c r="F127" s="96">
        <v>733.22</v>
      </c>
      <c r="G127" s="96">
        <v>733.22</v>
      </c>
      <c r="H127" s="96">
        <v>733.22</v>
      </c>
      <c r="I127" s="96">
        <v>733.22</v>
      </c>
      <c r="J127" s="96">
        <v>733.22</v>
      </c>
      <c r="K127" s="96">
        <v>733.22</v>
      </c>
      <c r="L127" s="145" t="s">
        <v>461</v>
      </c>
      <c r="M127" s="146">
        <v>40909</v>
      </c>
    </row>
    <row r="128" spans="1:13" s="240" customFormat="1" ht="24" customHeight="1" x14ac:dyDescent="0.2">
      <c r="A128" s="150">
        <v>1102539549</v>
      </c>
      <c r="B128" s="102" t="s">
        <v>287</v>
      </c>
      <c r="C128" s="171">
        <f t="shared" si="1"/>
        <v>119</v>
      </c>
      <c r="D128" s="95">
        <v>8</v>
      </c>
      <c r="E128" s="103" t="s">
        <v>264</v>
      </c>
      <c r="F128" s="97">
        <v>816.22</v>
      </c>
      <c r="G128" s="97">
        <v>816.22</v>
      </c>
      <c r="H128" s="97">
        <v>816.22</v>
      </c>
      <c r="I128" s="97">
        <v>816.22</v>
      </c>
      <c r="J128" s="97">
        <v>816.22</v>
      </c>
      <c r="K128" s="97">
        <v>816.22</v>
      </c>
      <c r="L128" s="145" t="s">
        <v>461</v>
      </c>
      <c r="M128" s="146">
        <v>40909</v>
      </c>
    </row>
    <row r="129" spans="1:13" s="240" customFormat="1" ht="24" customHeight="1" x14ac:dyDescent="0.2">
      <c r="A129" s="150" t="s">
        <v>288</v>
      </c>
      <c r="B129" s="102" t="s">
        <v>289</v>
      </c>
      <c r="C129" s="171">
        <f t="shared" si="1"/>
        <v>120</v>
      </c>
      <c r="D129" s="95">
        <v>5</v>
      </c>
      <c r="E129" s="103" t="s">
        <v>158</v>
      </c>
      <c r="F129" s="96">
        <v>733.22</v>
      </c>
      <c r="G129" s="96">
        <v>733.22</v>
      </c>
      <c r="H129" s="96">
        <v>733.22</v>
      </c>
      <c r="I129" s="96">
        <v>733.22</v>
      </c>
      <c r="J129" s="96">
        <v>733.22</v>
      </c>
      <c r="K129" s="96">
        <v>733.22</v>
      </c>
      <c r="L129" s="154" t="s">
        <v>461</v>
      </c>
      <c r="M129" s="146">
        <v>40909</v>
      </c>
    </row>
    <row r="130" spans="1:13" s="240" customFormat="1" ht="24" customHeight="1" x14ac:dyDescent="0.2">
      <c r="A130" s="144">
        <v>1102561691</v>
      </c>
      <c r="B130" s="102" t="s">
        <v>290</v>
      </c>
      <c r="C130" s="171">
        <f t="shared" si="1"/>
        <v>121</v>
      </c>
      <c r="D130" s="95">
        <v>6</v>
      </c>
      <c r="E130" s="103" t="s">
        <v>235</v>
      </c>
      <c r="F130" s="96">
        <v>766.22</v>
      </c>
      <c r="G130" s="96">
        <v>766.22</v>
      </c>
      <c r="H130" s="96">
        <v>766.22</v>
      </c>
      <c r="I130" s="96">
        <v>766.22</v>
      </c>
      <c r="J130" s="96">
        <v>766.22</v>
      </c>
      <c r="K130" s="96">
        <v>766.22</v>
      </c>
      <c r="L130" s="145" t="s">
        <v>461</v>
      </c>
      <c r="M130" s="146">
        <v>40909</v>
      </c>
    </row>
    <row r="131" spans="1:13" s="240" customFormat="1" ht="24" customHeight="1" x14ac:dyDescent="0.2">
      <c r="A131" s="150">
        <v>1104109655</v>
      </c>
      <c r="B131" s="102" t="s">
        <v>291</v>
      </c>
      <c r="C131" s="171">
        <f t="shared" si="1"/>
        <v>122</v>
      </c>
      <c r="D131" s="95">
        <v>2</v>
      </c>
      <c r="E131" s="103" t="s">
        <v>292</v>
      </c>
      <c r="F131" s="97">
        <v>581.22</v>
      </c>
      <c r="G131" s="97">
        <v>581.22</v>
      </c>
      <c r="H131" s="97">
        <v>581.22</v>
      </c>
      <c r="I131" s="97">
        <v>581.22</v>
      </c>
      <c r="J131" s="97">
        <v>581.22</v>
      </c>
      <c r="K131" s="97">
        <v>581.22</v>
      </c>
      <c r="L131" s="145" t="s">
        <v>461</v>
      </c>
      <c r="M131" s="146">
        <v>40909</v>
      </c>
    </row>
    <row r="132" spans="1:13" s="240" customFormat="1" ht="24" customHeight="1" x14ac:dyDescent="0.2">
      <c r="A132" s="153">
        <v>1103919096</v>
      </c>
      <c r="B132" s="102" t="s">
        <v>293</v>
      </c>
      <c r="C132" s="171">
        <f t="shared" si="1"/>
        <v>123</v>
      </c>
      <c r="D132" s="95">
        <v>1</v>
      </c>
      <c r="E132" s="103" t="s">
        <v>224</v>
      </c>
      <c r="F132" s="98">
        <v>565</v>
      </c>
      <c r="G132" s="98">
        <v>565</v>
      </c>
      <c r="H132" s="98">
        <v>565</v>
      </c>
      <c r="I132" s="98">
        <v>565</v>
      </c>
      <c r="J132" s="98">
        <v>565</v>
      </c>
      <c r="K132" s="98">
        <v>565</v>
      </c>
      <c r="L132" s="145" t="s">
        <v>461</v>
      </c>
      <c r="M132" s="146">
        <v>41640</v>
      </c>
    </row>
    <row r="133" spans="1:13" s="240" customFormat="1" ht="24" customHeight="1" x14ac:dyDescent="0.2">
      <c r="A133" s="150">
        <v>1102823372</v>
      </c>
      <c r="B133" s="102" t="s">
        <v>294</v>
      </c>
      <c r="C133" s="171">
        <f t="shared" si="1"/>
        <v>124</v>
      </c>
      <c r="D133" s="95">
        <v>1</v>
      </c>
      <c r="E133" s="103" t="s">
        <v>142</v>
      </c>
      <c r="F133" s="97">
        <v>565.22</v>
      </c>
      <c r="G133" s="97">
        <v>565.22</v>
      </c>
      <c r="H133" s="97">
        <v>565.22</v>
      </c>
      <c r="I133" s="97">
        <v>565.22</v>
      </c>
      <c r="J133" s="97">
        <v>565.22</v>
      </c>
      <c r="K133" s="97">
        <v>565.22</v>
      </c>
      <c r="L133" s="145" t="s">
        <v>461</v>
      </c>
      <c r="M133" s="146">
        <v>40909</v>
      </c>
    </row>
    <row r="134" spans="1:13" s="240" customFormat="1" ht="24" customHeight="1" x14ac:dyDescent="0.2">
      <c r="A134" s="144">
        <v>1102853585</v>
      </c>
      <c r="B134" s="102" t="s">
        <v>295</v>
      </c>
      <c r="C134" s="171">
        <f t="shared" si="1"/>
        <v>125</v>
      </c>
      <c r="D134" s="95">
        <v>5</v>
      </c>
      <c r="E134" s="103" t="s">
        <v>296</v>
      </c>
      <c r="F134" s="96">
        <v>733.22</v>
      </c>
      <c r="G134" s="96">
        <v>733.22</v>
      </c>
      <c r="H134" s="96">
        <v>733.22</v>
      </c>
      <c r="I134" s="96">
        <v>733.22</v>
      </c>
      <c r="J134" s="96">
        <v>733.22</v>
      </c>
      <c r="K134" s="96">
        <v>733.22</v>
      </c>
      <c r="L134" s="145" t="s">
        <v>461</v>
      </c>
      <c r="M134" s="146">
        <v>40909</v>
      </c>
    </row>
    <row r="135" spans="1:13" s="240" customFormat="1" ht="24" customHeight="1" x14ac:dyDescent="0.2">
      <c r="A135" s="144">
        <v>1102621271</v>
      </c>
      <c r="B135" s="102" t="s">
        <v>297</v>
      </c>
      <c r="C135" s="171">
        <f t="shared" si="1"/>
        <v>126</v>
      </c>
      <c r="D135" s="95">
        <v>2</v>
      </c>
      <c r="E135" s="103" t="s">
        <v>162</v>
      </c>
      <c r="F135" s="97">
        <v>581.22</v>
      </c>
      <c r="G135" s="97">
        <v>581.22</v>
      </c>
      <c r="H135" s="97">
        <v>581.22</v>
      </c>
      <c r="I135" s="97">
        <v>581.22</v>
      </c>
      <c r="J135" s="97">
        <v>581.22</v>
      </c>
      <c r="K135" s="97">
        <v>581.22</v>
      </c>
      <c r="L135" s="145" t="s">
        <v>461</v>
      </c>
      <c r="M135" s="146">
        <v>40909</v>
      </c>
    </row>
    <row r="136" spans="1:13" s="240" customFormat="1" ht="24" customHeight="1" x14ac:dyDescent="0.2">
      <c r="A136" s="150">
        <v>1101760054</v>
      </c>
      <c r="B136" s="102" t="s">
        <v>298</v>
      </c>
      <c r="C136" s="171">
        <f t="shared" si="1"/>
        <v>127</v>
      </c>
      <c r="D136" s="95">
        <v>1</v>
      </c>
      <c r="E136" s="103" t="s">
        <v>139</v>
      </c>
      <c r="F136" s="97">
        <v>565.22</v>
      </c>
      <c r="G136" s="97">
        <v>565.22</v>
      </c>
      <c r="H136" s="97">
        <v>565.22</v>
      </c>
      <c r="I136" s="97">
        <v>565.22</v>
      </c>
      <c r="J136" s="97">
        <v>565.22</v>
      </c>
      <c r="K136" s="97">
        <v>565.22</v>
      </c>
      <c r="L136" s="154" t="s">
        <v>461</v>
      </c>
      <c r="M136" s="146">
        <v>40909</v>
      </c>
    </row>
    <row r="137" spans="1:13" s="240" customFormat="1" ht="24" customHeight="1" x14ac:dyDescent="0.2">
      <c r="A137" s="150">
        <v>1104329188</v>
      </c>
      <c r="B137" s="102" t="s">
        <v>509</v>
      </c>
      <c r="C137" s="171">
        <f t="shared" si="1"/>
        <v>128</v>
      </c>
      <c r="D137" s="95">
        <v>1</v>
      </c>
      <c r="E137" s="103" t="s">
        <v>142</v>
      </c>
      <c r="F137" s="97">
        <v>565.22</v>
      </c>
      <c r="G137" s="97">
        <v>0</v>
      </c>
      <c r="H137" s="97">
        <v>0</v>
      </c>
      <c r="I137" s="97">
        <v>0</v>
      </c>
      <c r="J137" s="97">
        <v>0</v>
      </c>
      <c r="K137" s="97">
        <v>0</v>
      </c>
      <c r="L137" s="145" t="s">
        <v>510</v>
      </c>
      <c r="M137" s="146">
        <v>40909</v>
      </c>
    </row>
    <row r="138" spans="1:13" s="240" customFormat="1" ht="24" customHeight="1" x14ac:dyDescent="0.2">
      <c r="A138" s="150">
        <v>1101047148</v>
      </c>
      <c r="B138" s="102" t="s">
        <v>299</v>
      </c>
      <c r="C138" s="171">
        <f t="shared" si="1"/>
        <v>129</v>
      </c>
      <c r="D138" s="95">
        <v>1</v>
      </c>
      <c r="E138" s="103" t="s">
        <v>142</v>
      </c>
      <c r="F138" s="97">
        <v>786.18</v>
      </c>
      <c r="G138" s="97">
        <v>786.18</v>
      </c>
      <c r="H138" s="97">
        <v>786.18</v>
      </c>
      <c r="I138" s="97">
        <v>786.18</v>
      </c>
      <c r="J138" s="97">
        <v>786.18</v>
      </c>
      <c r="K138" s="97">
        <v>786.18</v>
      </c>
      <c r="L138" s="145" t="s">
        <v>461</v>
      </c>
      <c r="M138" s="146">
        <v>40909</v>
      </c>
    </row>
    <row r="139" spans="1:13" s="240" customFormat="1" ht="24" customHeight="1" x14ac:dyDescent="0.2">
      <c r="A139" s="150" t="s">
        <v>300</v>
      </c>
      <c r="B139" s="102" t="s">
        <v>301</v>
      </c>
      <c r="C139" s="171">
        <f t="shared" si="1"/>
        <v>130</v>
      </c>
      <c r="D139" s="95">
        <v>2</v>
      </c>
      <c r="E139" s="103" t="s">
        <v>302</v>
      </c>
      <c r="F139" s="97">
        <v>581.22</v>
      </c>
      <c r="G139" s="97">
        <v>581.22</v>
      </c>
      <c r="H139" s="97">
        <v>581.22</v>
      </c>
      <c r="I139" s="97">
        <v>581.22</v>
      </c>
      <c r="J139" s="97">
        <v>581.22</v>
      </c>
      <c r="K139" s="97">
        <v>581.22</v>
      </c>
      <c r="L139" s="145" t="s">
        <v>461</v>
      </c>
      <c r="M139" s="146">
        <v>41852</v>
      </c>
    </row>
    <row r="140" spans="1:13" s="240" customFormat="1" ht="24" customHeight="1" x14ac:dyDescent="0.2">
      <c r="A140" s="150">
        <v>1103351027</v>
      </c>
      <c r="B140" s="102" t="s">
        <v>303</v>
      </c>
      <c r="C140" s="171">
        <f t="shared" si="1"/>
        <v>131</v>
      </c>
      <c r="D140" s="95">
        <v>1</v>
      </c>
      <c r="E140" s="103" t="s">
        <v>142</v>
      </c>
      <c r="F140" s="97">
        <v>565.22</v>
      </c>
      <c r="G140" s="97">
        <v>565.22</v>
      </c>
      <c r="H140" s="97">
        <v>565.22</v>
      </c>
      <c r="I140" s="97">
        <v>565.22</v>
      </c>
      <c r="J140" s="97">
        <v>565.22</v>
      </c>
      <c r="K140" s="97">
        <v>565.22</v>
      </c>
      <c r="L140" s="145" t="s">
        <v>461</v>
      </c>
      <c r="M140" s="146">
        <v>40909</v>
      </c>
    </row>
    <row r="141" spans="1:13" s="240" customFormat="1" ht="24" customHeight="1" x14ac:dyDescent="0.2">
      <c r="A141" s="150">
        <v>1103825509</v>
      </c>
      <c r="B141" s="102" t="s">
        <v>304</v>
      </c>
      <c r="C141" s="171">
        <f t="shared" si="1"/>
        <v>132</v>
      </c>
      <c r="D141" s="95">
        <v>2</v>
      </c>
      <c r="E141" s="103" t="s">
        <v>162</v>
      </c>
      <c r="F141" s="97">
        <v>581.22</v>
      </c>
      <c r="G141" s="97">
        <v>581.22</v>
      </c>
      <c r="H141" s="97">
        <v>581.22</v>
      </c>
      <c r="I141" s="97">
        <v>581.22</v>
      </c>
      <c r="J141" s="97">
        <v>581.22</v>
      </c>
      <c r="K141" s="97">
        <v>581.22</v>
      </c>
      <c r="L141" s="145" t="s">
        <v>461</v>
      </c>
      <c r="M141" s="146">
        <v>40909</v>
      </c>
    </row>
    <row r="142" spans="1:13" s="240" customFormat="1" ht="24" customHeight="1" x14ac:dyDescent="0.2">
      <c r="A142" s="156">
        <v>1103999676</v>
      </c>
      <c r="B142" s="102" t="s">
        <v>305</v>
      </c>
      <c r="C142" s="171">
        <f t="shared" ref="C142:C205" si="2">+C141+1</f>
        <v>133</v>
      </c>
      <c r="D142" s="95">
        <v>1</v>
      </c>
      <c r="E142" s="103" t="s">
        <v>306</v>
      </c>
      <c r="F142" s="97">
        <v>565.22</v>
      </c>
      <c r="G142" s="97">
        <v>565.22</v>
      </c>
      <c r="H142" s="97">
        <v>565.22</v>
      </c>
      <c r="I142" s="97">
        <v>565.22</v>
      </c>
      <c r="J142" s="97">
        <v>565.22</v>
      </c>
      <c r="K142" s="97">
        <v>565.22</v>
      </c>
      <c r="L142" s="145" t="s">
        <v>461</v>
      </c>
      <c r="M142" s="146">
        <v>40909</v>
      </c>
    </row>
    <row r="143" spans="1:13" s="240" customFormat="1" ht="24" customHeight="1" x14ac:dyDescent="0.2">
      <c r="A143" s="150">
        <v>1101821880</v>
      </c>
      <c r="B143" s="102" t="s">
        <v>307</v>
      </c>
      <c r="C143" s="171">
        <f t="shared" si="2"/>
        <v>134</v>
      </c>
      <c r="D143" s="95">
        <v>8</v>
      </c>
      <c r="E143" s="103" t="s">
        <v>308</v>
      </c>
      <c r="F143" s="97">
        <v>816.22</v>
      </c>
      <c r="G143" s="97">
        <v>816.22</v>
      </c>
      <c r="H143" s="97">
        <v>816.22</v>
      </c>
      <c r="I143" s="97">
        <v>816.22</v>
      </c>
      <c r="J143" s="97">
        <v>816.22</v>
      </c>
      <c r="K143" s="97">
        <v>816.22</v>
      </c>
      <c r="L143" s="145" t="s">
        <v>461</v>
      </c>
      <c r="M143" s="146">
        <v>40909</v>
      </c>
    </row>
    <row r="144" spans="1:13" s="240" customFormat="1" ht="24" customHeight="1" x14ac:dyDescent="0.2">
      <c r="A144" s="150">
        <v>1102719489</v>
      </c>
      <c r="B144" s="102" t="s">
        <v>309</v>
      </c>
      <c r="C144" s="171">
        <f t="shared" si="2"/>
        <v>135</v>
      </c>
      <c r="D144" s="95">
        <v>1</v>
      </c>
      <c r="E144" s="103" t="s">
        <v>142</v>
      </c>
      <c r="F144" s="97">
        <v>565.22</v>
      </c>
      <c r="G144" s="97">
        <v>565.22</v>
      </c>
      <c r="H144" s="97">
        <v>565.22</v>
      </c>
      <c r="I144" s="97">
        <v>565.22</v>
      </c>
      <c r="J144" s="97">
        <v>565.22</v>
      </c>
      <c r="K144" s="97">
        <v>565.22</v>
      </c>
      <c r="L144" s="145" t="s">
        <v>461</v>
      </c>
      <c r="M144" s="146">
        <v>40909</v>
      </c>
    </row>
    <row r="145" spans="1:13" s="240" customFormat="1" ht="24" customHeight="1" x14ac:dyDescent="0.2">
      <c r="A145" s="150">
        <v>1103412779</v>
      </c>
      <c r="B145" s="102" t="s">
        <v>310</v>
      </c>
      <c r="C145" s="171">
        <f t="shared" si="2"/>
        <v>136</v>
      </c>
      <c r="D145" s="95">
        <v>1</v>
      </c>
      <c r="E145" s="103" t="s">
        <v>311</v>
      </c>
      <c r="F145" s="97">
        <v>565.22</v>
      </c>
      <c r="G145" s="97">
        <v>565.22</v>
      </c>
      <c r="H145" s="97">
        <v>565.22</v>
      </c>
      <c r="I145" s="97">
        <v>565.22</v>
      </c>
      <c r="J145" s="97">
        <v>565.22</v>
      </c>
      <c r="K145" s="97">
        <v>565.22</v>
      </c>
      <c r="L145" s="145" t="s">
        <v>461</v>
      </c>
      <c r="M145" s="146">
        <v>40909</v>
      </c>
    </row>
    <row r="146" spans="1:13" s="240" customFormat="1" ht="24" customHeight="1" x14ac:dyDescent="0.2">
      <c r="A146" s="150">
        <v>1102865779</v>
      </c>
      <c r="B146" s="102" t="s">
        <v>312</v>
      </c>
      <c r="C146" s="171">
        <f t="shared" si="2"/>
        <v>137</v>
      </c>
      <c r="D146" s="95">
        <v>1</v>
      </c>
      <c r="E146" s="103" t="s">
        <v>142</v>
      </c>
      <c r="F146" s="97">
        <v>565.22</v>
      </c>
      <c r="G146" s="97">
        <v>565.22</v>
      </c>
      <c r="H146" s="97">
        <v>565.22</v>
      </c>
      <c r="I146" s="97">
        <v>565.22</v>
      </c>
      <c r="J146" s="97">
        <v>565.22</v>
      </c>
      <c r="K146" s="97">
        <v>565.22</v>
      </c>
      <c r="L146" s="145" t="s">
        <v>461</v>
      </c>
      <c r="M146" s="146">
        <v>40909</v>
      </c>
    </row>
    <row r="147" spans="1:13" s="240" customFormat="1" ht="24" customHeight="1" x14ac:dyDescent="0.2">
      <c r="A147" s="150">
        <v>1102511639</v>
      </c>
      <c r="B147" s="102" t="s">
        <v>313</v>
      </c>
      <c r="C147" s="171">
        <f t="shared" si="2"/>
        <v>138</v>
      </c>
      <c r="D147" s="95">
        <v>1</v>
      </c>
      <c r="E147" s="103" t="s">
        <v>142</v>
      </c>
      <c r="F147" s="97">
        <v>565.22</v>
      </c>
      <c r="G147" s="97">
        <v>565.22</v>
      </c>
      <c r="H147" s="97">
        <v>565.22</v>
      </c>
      <c r="I147" s="97">
        <v>565.22</v>
      </c>
      <c r="J147" s="97">
        <v>565.22</v>
      </c>
      <c r="K147" s="97">
        <v>565.22</v>
      </c>
      <c r="L147" s="145" t="s">
        <v>461</v>
      </c>
      <c r="M147" s="146">
        <v>40909</v>
      </c>
    </row>
    <row r="148" spans="1:13" s="240" customFormat="1" ht="24" customHeight="1" x14ac:dyDescent="0.2">
      <c r="A148" s="155">
        <v>1100538535</v>
      </c>
      <c r="B148" s="102" t="s">
        <v>314</v>
      </c>
      <c r="C148" s="171">
        <f t="shared" si="2"/>
        <v>139</v>
      </c>
      <c r="D148" s="95">
        <v>4</v>
      </c>
      <c r="E148" s="103" t="s">
        <v>147</v>
      </c>
      <c r="F148" s="97">
        <v>615.22</v>
      </c>
      <c r="G148" s="97">
        <v>615.22</v>
      </c>
      <c r="H148" s="97">
        <v>615.22</v>
      </c>
      <c r="I148" s="97">
        <v>615.22</v>
      </c>
      <c r="J148" s="97">
        <v>615.22</v>
      </c>
      <c r="K148" s="97">
        <v>615.22</v>
      </c>
      <c r="L148" s="145" t="s">
        <v>461</v>
      </c>
      <c r="M148" s="146">
        <v>40909</v>
      </c>
    </row>
    <row r="149" spans="1:13" s="240" customFormat="1" ht="24" customHeight="1" x14ac:dyDescent="0.2">
      <c r="A149" s="150">
        <v>1103428957</v>
      </c>
      <c r="B149" s="102" t="s">
        <v>315</v>
      </c>
      <c r="C149" s="171">
        <f t="shared" si="2"/>
        <v>140</v>
      </c>
      <c r="D149" s="95">
        <v>4</v>
      </c>
      <c r="E149" s="103" t="s">
        <v>147</v>
      </c>
      <c r="F149" s="97">
        <v>615.22</v>
      </c>
      <c r="G149" s="97">
        <v>615.22</v>
      </c>
      <c r="H149" s="97">
        <v>615.22</v>
      </c>
      <c r="I149" s="97">
        <v>615.22</v>
      </c>
      <c r="J149" s="97">
        <v>615.22</v>
      </c>
      <c r="K149" s="97">
        <v>615.22</v>
      </c>
      <c r="L149" s="145" t="s">
        <v>461</v>
      </c>
      <c r="M149" s="146">
        <v>40909</v>
      </c>
    </row>
    <row r="150" spans="1:13" s="240" customFormat="1" ht="24" customHeight="1" x14ac:dyDescent="0.2">
      <c r="A150" s="150">
        <v>1900353226</v>
      </c>
      <c r="B150" s="102" t="s">
        <v>316</v>
      </c>
      <c r="C150" s="171">
        <f t="shared" si="2"/>
        <v>141</v>
      </c>
      <c r="D150" s="95">
        <v>1</v>
      </c>
      <c r="E150" s="103" t="s">
        <v>152</v>
      </c>
      <c r="F150" s="97">
        <v>565.22</v>
      </c>
      <c r="G150" s="97">
        <v>565.22</v>
      </c>
      <c r="H150" s="97">
        <v>565.22</v>
      </c>
      <c r="I150" s="97">
        <v>565.22</v>
      </c>
      <c r="J150" s="97">
        <v>565.22</v>
      </c>
      <c r="K150" s="97">
        <v>565.22</v>
      </c>
      <c r="L150" s="145" t="s">
        <v>461</v>
      </c>
      <c r="M150" s="146">
        <v>40909</v>
      </c>
    </row>
    <row r="151" spans="1:13" s="240" customFormat="1" ht="24" customHeight="1" x14ac:dyDescent="0.2">
      <c r="A151" s="155">
        <v>1103352314</v>
      </c>
      <c r="B151" s="102" t="s">
        <v>317</v>
      </c>
      <c r="C151" s="171">
        <f t="shared" si="2"/>
        <v>142</v>
      </c>
      <c r="D151" s="95">
        <v>1</v>
      </c>
      <c r="E151" s="103" t="s">
        <v>306</v>
      </c>
      <c r="F151" s="97">
        <v>565.22</v>
      </c>
      <c r="G151" s="97">
        <v>565.22</v>
      </c>
      <c r="H151" s="97">
        <v>565.22</v>
      </c>
      <c r="I151" s="97">
        <v>565.22</v>
      </c>
      <c r="J151" s="97">
        <v>565.22</v>
      </c>
      <c r="K151" s="97">
        <v>565.22</v>
      </c>
      <c r="L151" s="145" t="s">
        <v>461</v>
      </c>
      <c r="M151" s="146">
        <v>40909</v>
      </c>
    </row>
    <row r="152" spans="1:13" s="240" customFormat="1" ht="24" customHeight="1" x14ac:dyDescent="0.2">
      <c r="A152" s="150">
        <v>1101570008</v>
      </c>
      <c r="B152" s="102" t="s">
        <v>318</v>
      </c>
      <c r="C152" s="171">
        <f t="shared" si="2"/>
        <v>143</v>
      </c>
      <c r="D152" s="95">
        <v>5</v>
      </c>
      <c r="E152" s="103" t="s">
        <v>319</v>
      </c>
      <c r="F152" s="96">
        <v>733.22</v>
      </c>
      <c r="G152" s="96">
        <v>733.22</v>
      </c>
      <c r="H152" s="96">
        <v>733.22</v>
      </c>
      <c r="I152" s="96">
        <v>733.22</v>
      </c>
      <c r="J152" s="96">
        <v>733.22</v>
      </c>
      <c r="K152" s="96">
        <v>733.22</v>
      </c>
      <c r="L152" s="145" t="s">
        <v>461</v>
      </c>
      <c r="M152" s="146">
        <v>40909</v>
      </c>
    </row>
    <row r="153" spans="1:13" s="240" customFormat="1" ht="24" customHeight="1" x14ac:dyDescent="0.2">
      <c r="A153" s="150">
        <v>1703104164</v>
      </c>
      <c r="B153" s="102" t="s">
        <v>320</v>
      </c>
      <c r="C153" s="171">
        <f t="shared" si="2"/>
        <v>144</v>
      </c>
      <c r="D153" s="95">
        <v>1</v>
      </c>
      <c r="E153" s="103" t="s">
        <v>160</v>
      </c>
      <c r="F153" s="97">
        <v>798.53</v>
      </c>
      <c r="G153" s="97">
        <v>798.53</v>
      </c>
      <c r="H153" s="97">
        <v>798.53</v>
      </c>
      <c r="I153" s="97">
        <v>798.53</v>
      </c>
      <c r="J153" s="97">
        <v>798.53</v>
      </c>
      <c r="K153" s="97">
        <v>798.53</v>
      </c>
      <c r="L153" s="145" t="s">
        <v>461</v>
      </c>
      <c r="M153" s="146">
        <v>40909</v>
      </c>
    </row>
    <row r="154" spans="1:13" s="240" customFormat="1" ht="24" customHeight="1" x14ac:dyDescent="0.2">
      <c r="A154" s="150">
        <v>1103646459</v>
      </c>
      <c r="B154" s="102" t="s">
        <v>511</v>
      </c>
      <c r="C154" s="171">
        <f t="shared" si="2"/>
        <v>145</v>
      </c>
      <c r="D154" s="95">
        <v>1</v>
      </c>
      <c r="E154" s="103" t="s">
        <v>142</v>
      </c>
      <c r="F154" s="100">
        <v>565.22</v>
      </c>
      <c r="G154" s="100">
        <v>565.22</v>
      </c>
      <c r="H154" s="100">
        <v>565.22</v>
      </c>
      <c r="I154" s="97">
        <v>0</v>
      </c>
      <c r="J154" s="97">
        <v>0</v>
      </c>
      <c r="K154" s="97">
        <v>0</v>
      </c>
      <c r="L154" s="145" t="s">
        <v>508</v>
      </c>
      <c r="M154" s="146"/>
    </row>
    <row r="155" spans="1:13" s="240" customFormat="1" ht="24" customHeight="1" x14ac:dyDescent="0.2">
      <c r="A155" s="150">
        <v>1102116538</v>
      </c>
      <c r="B155" s="102" t="s">
        <v>321</v>
      </c>
      <c r="C155" s="171">
        <f t="shared" si="2"/>
        <v>146</v>
      </c>
      <c r="D155" s="95">
        <v>4</v>
      </c>
      <c r="E155" s="103" t="s">
        <v>147</v>
      </c>
      <c r="F155" s="97">
        <v>615.22</v>
      </c>
      <c r="G155" s="97">
        <v>615.22</v>
      </c>
      <c r="H155" s="97">
        <v>615.22</v>
      </c>
      <c r="I155" s="97">
        <v>615.22</v>
      </c>
      <c r="J155" s="97">
        <v>615.22</v>
      </c>
      <c r="K155" s="97">
        <v>615.22</v>
      </c>
      <c r="L155" s="145" t="s">
        <v>461</v>
      </c>
      <c r="M155" s="146">
        <v>40909</v>
      </c>
    </row>
    <row r="156" spans="1:13" s="240" customFormat="1" ht="24" customHeight="1" x14ac:dyDescent="0.2">
      <c r="A156" s="144">
        <v>1104056930</v>
      </c>
      <c r="B156" s="102" t="s">
        <v>322</v>
      </c>
      <c r="C156" s="171">
        <f t="shared" si="2"/>
        <v>147</v>
      </c>
      <c r="D156" s="95">
        <v>5</v>
      </c>
      <c r="E156" s="103" t="s">
        <v>195</v>
      </c>
      <c r="F156" s="96">
        <v>733.22</v>
      </c>
      <c r="G156" s="96">
        <v>733.22</v>
      </c>
      <c r="H156" s="96">
        <v>733.22</v>
      </c>
      <c r="I156" s="96">
        <v>733.22</v>
      </c>
      <c r="J156" s="96">
        <v>733.22</v>
      </c>
      <c r="K156" s="96">
        <v>733.22</v>
      </c>
      <c r="L156" s="145" t="s">
        <v>461</v>
      </c>
      <c r="M156" s="146">
        <v>40909</v>
      </c>
    </row>
    <row r="157" spans="1:13" s="240" customFormat="1" ht="24" customHeight="1" x14ac:dyDescent="0.2">
      <c r="A157" s="144" t="s">
        <v>323</v>
      </c>
      <c r="B157" s="102" t="s">
        <v>324</v>
      </c>
      <c r="C157" s="171">
        <f t="shared" si="2"/>
        <v>148</v>
      </c>
      <c r="D157" s="95">
        <v>4</v>
      </c>
      <c r="E157" s="103" t="s">
        <v>147</v>
      </c>
      <c r="F157" s="97">
        <v>615.22</v>
      </c>
      <c r="G157" s="97">
        <v>615.22</v>
      </c>
      <c r="H157" s="97">
        <v>615.22</v>
      </c>
      <c r="I157" s="97">
        <v>615.22</v>
      </c>
      <c r="J157" s="97">
        <v>615.22</v>
      </c>
      <c r="K157" s="97">
        <v>615.22</v>
      </c>
      <c r="L157" s="145" t="s">
        <v>461</v>
      </c>
      <c r="M157" s="146">
        <v>40909</v>
      </c>
    </row>
    <row r="158" spans="1:13" s="240" customFormat="1" ht="24" customHeight="1" x14ac:dyDescent="0.2">
      <c r="A158" s="150">
        <v>1100327095</v>
      </c>
      <c r="B158" s="102" t="s">
        <v>325</v>
      </c>
      <c r="C158" s="171">
        <f t="shared" si="2"/>
        <v>149</v>
      </c>
      <c r="D158" s="95">
        <v>2</v>
      </c>
      <c r="E158" s="103" t="s">
        <v>162</v>
      </c>
      <c r="F158" s="97">
        <v>581.22</v>
      </c>
      <c r="G158" s="97">
        <v>581.22</v>
      </c>
      <c r="H158" s="97">
        <v>581.22</v>
      </c>
      <c r="I158" s="97">
        <v>581.22</v>
      </c>
      <c r="J158" s="97">
        <v>581.22</v>
      </c>
      <c r="K158" s="97">
        <v>581.22</v>
      </c>
      <c r="L158" s="145" t="s">
        <v>461</v>
      </c>
      <c r="M158" s="146">
        <v>40909</v>
      </c>
    </row>
    <row r="159" spans="1:13" s="240" customFormat="1" ht="24" customHeight="1" x14ac:dyDescent="0.2">
      <c r="A159" s="150">
        <v>1102008693</v>
      </c>
      <c r="B159" s="102" t="s">
        <v>326</v>
      </c>
      <c r="C159" s="171">
        <f t="shared" si="2"/>
        <v>150</v>
      </c>
      <c r="D159" s="95">
        <v>1</v>
      </c>
      <c r="E159" s="103" t="s">
        <v>142</v>
      </c>
      <c r="F159" s="97">
        <v>565.22</v>
      </c>
      <c r="G159" s="97">
        <v>565.22</v>
      </c>
      <c r="H159" s="97">
        <v>565.22</v>
      </c>
      <c r="I159" s="97">
        <v>565.22</v>
      </c>
      <c r="J159" s="97">
        <v>565.22</v>
      </c>
      <c r="K159" s="97">
        <v>565.22</v>
      </c>
      <c r="L159" s="145" t="s">
        <v>461</v>
      </c>
      <c r="M159" s="146">
        <v>40909</v>
      </c>
    </row>
    <row r="160" spans="1:13" s="240" customFormat="1" ht="24" customHeight="1" x14ac:dyDescent="0.2">
      <c r="A160" s="144">
        <v>1100347135</v>
      </c>
      <c r="B160" s="102" t="s">
        <v>327</v>
      </c>
      <c r="C160" s="171">
        <f t="shared" si="2"/>
        <v>151</v>
      </c>
      <c r="D160" s="95">
        <v>1</v>
      </c>
      <c r="E160" s="103" t="s">
        <v>142</v>
      </c>
      <c r="F160" s="97">
        <v>565.22</v>
      </c>
      <c r="G160" s="97">
        <v>565.22</v>
      </c>
      <c r="H160" s="97">
        <v>565.22</v>
      </c>
      <c r="I160" s="97">
        <v>565.22</v>
      </c>
      <c r="J160" s="97">
        <v>565.22</v>
      </c>
      <c r="K160" s="97">
        <v>565.22</v>
      </c>
      <c r="L160" s="145" t="s">
        <v>461</v>
      </c>
      <c r="M160" s="146">
        <v>40909</v>
      </c>
    </row>
    <row r="161" spans="1:13" s="240" customFormat="1" ht="24" customHeight="1" x14ac:dyDescent="0.2">
      <c r="A161" s="144">
        <v>1101490454</v>
      </c>
      <c r="B161" s="102" t="s">
        <v>328</v>
      </c>
      <c r="C161" s="171">
        <f t="shared" si="2"/>
        <v>152</v>
      </c>
      <c r="D161" s="95">
        <v>1</v>
      </c>
      <c r="E161" s="103" t="s">
        <v>142</v>
      </c>
      <c r="F161" s="97">
        <v>565.22</v>
      </c>
      <c r="G161" s="97">
        <v>565.22</v>
      </c>
      <c r="H161" s="97">
        <v>565.22</v>
      </c>
      <c r="I161" s="97">
        <v>565.22</v>
      </c>
      <c r="J161" s="97">
        <v>565.22</v>
      </c>
      <c r="K161" s="97">
        <v>565.22</v>
      </c>
      <c r="L161" s="145" t="s">
        <v>461</v>
      </c>
      <c r="M161" s="146">
        <v>40909</v>
      </c>
    </row>
    <row r="162" spans="1:13" s="240" customFormat="1" ht="24" customHeight="1" x14ac:dyDescent="0.2">
      <c r="A162" s="150">
        <v>1100625084</v>
      </c>
      <c r="B162" s="102" t="s">
        <v>329</v>
      </c>
      <c r="C162" s="171">
        <f t="shared" si="2"/>
        <v>153</v>
      </c>
      <c r="D162" s="95">
        <v>4</v>
      </c>
      <c r="E162" s="103" t="s">
        <v>147</v>
      </c>
      <c r="F162" s="97">
        <v>615.22</v>
      </c>
      <c r="G162" s="97">
        <v>615.22</v>
      </c>
      <c r="H162" s="97">
        <v>615.22</v>
      </c>
      <c r="I162" s="97">
        <v>615.22</v>
      </c>
      <c r="J162" s="97">
        <v>615.22</v>
      </c>
      <c r="K162" s="97">
        <v>615.22</v>
      </c>
      <c r="L162" s="145" t="s">
        <v>461</v>
      </c>
      <c r="M162" s="146">
        <v>40909</v>
      </c>
    </row>
    <row r="163" spans="1:13" s="240" customFormat="1" ht="24" customHeight="1" x14ac:dyDescent="0.2">
      <c r="A163" s="144">
        <v>1101939849</v>
      </c>
      <c r="B163" s="102" t="s">
        <v>330</v>
      </c>
      <c r="C163" s="171">
        <f t="shared" si="2"/>
        <v>154</v>
      </c>
      <c r="D163" s="95">
        <v>1</v>
      </c>
      <c r="E163" s="103" t="s">
        <v>142</v>
      </c>
      <c r="F163" s="97">
        <v>608.84</v>
      </c>
      <c r="G163" s="97">
        <v>608.84</v>
      </c>
      <c r="H163" s="97">
        <v>608.84</v>
      </c>
      <c r="I163" s="97">
        <v>608.84</v>
      </c>
      <c r="J163" s="97">
        <v>608.84</v>
      </c>
      <c r="K163" s="97">
        <v>608.84</v>
      </c>
      <c r="L163" s="145" t="s">
        <v>461</v>
      </c>
      <c r="M163" s="146">
        <v>40909</v>
      </c>
    </row>
    <row r="164" spans="1:13" s="240" customFormat="1" ht="24" customHeight="1" x14ac:dyDescent="0.2">
      <c r="A164" s="144">
        <v>1104549744</v>
      </c>
      <c r="B164" s="102" t="s">
        <v>331</v>
      </c>
      <c r="C164" s="171">
        <f t="shared" si="2"/>
        <v>155</v>
      </c>
      <c r="D164" s="95">
        <v>5</v>
      </c>
      <c r="E164" s="103" t="s">
        <v>332</v>
      </c>
      <c r="F164" s="97">
        <v>733.22</v>
      </c>
      <c r="G164" s="97">
        <v>733.22</v>
      </c>
      <c r="H164" s="97">
        <v>733.22</v>
      </c>
      <c r="I164" s="97">
        <v>733.22</v>
      </c>
      <c r="J164" s="97">
        <v>733.22</v>
      </c>
      <c r="K164" s="97">
        <v>733.22</v>
      </c>
      <c r="L164" s="154" t="s">
        <v>461</v>
      </c>
      <c r="M164" s="146">
        <v>40909</v>
      </c>
    </row>
    <row r="165" spans="1:13" s="240" customFormat="1" ht="24" customHeight="1" x14ac:dyDescent="0.2">
      <c r="A165" s="144">
        <v>1102828231</v>
      </c>
      <c r="B165" s="102" t="s">
        <v>333</v>
      </c>
      <c r="C165" s="171">
        <f t="shared" si="2"/>
        <v>156</v>
      </c>
      <c r="D165" s="95">
        <v>2</v>
      </c>
      <c r="E165" s="103" t="s">
        <v>162</v>
      </c>
      <c r="F165" s="97">
        <v>581.22</v>
      </c>
      <c r="G165" s="97">
        <v>581.22</v>
      </c>
      <c r="H165" s="97">
        <v>581.22</v>
      </c>
      <c r="I165" s="97">
        <v>581.22</v>
      </c>
      <c r="J165" s="97">
        <v>581.22</v>
      </c>
      <c r="K165" s="97">
        <v>581.22</v>
      </c>
      <c r="L165" s="145" t="s">
        <v>461</v>
      </c>
      <c r="M165" s="146">
        <v>40909</v>
      </c>
    </row>
    <row r="166" spans="1:13" s="240" customFormat="1" ht="24" customHeight="1" x14ac:dyDescent="0.2">
      <c r="A166" s="150">
        <v>1104151442</v>
      </c>
      <c r="B166" s="102" t="s">
        <v>334</v>
      </c>
      <c r="C166" s="171">
        <f t="shared" si="2"/>
        <v>157</v>
      </c>
      <c r="D166" s="95">
        <v>2</v>
      </c>
      <c r="E166" s="103" t="s">
        <v>335</v>
      </c>
      <c r="F166" s="97">
        <v>581.22</v>
      </c>
      <c r="G166" s="97">
        <v>581.22</v>
      </c>
      <c r="H166" s="97">
        <v>581.22</v>
      </c>
      <c r="I166" s="97">
        <v>581.22</v>
      </c>
      <c r="J166" s="97">
        <v>581.22</v>
      </c>
      <c r="K166" s="97">
        <v>581.22</v>
      </c>
      <c r="L166" s="145" t="s">
        <v>461</v>
      </c>
      <c r="M166" s="146">
        <v>40909</v>
      </c>
    </row>
    <row r="167" spans="1:13" s="240" customFormat="1" ht="24" customHeight="1" x14ac:dyDescent="0.2">
      <c r="A167" s="144">
        <v>1710849876</v>
      </c>
      <c r="B167" s="102" t="s">
        <v>336</v>
      </c>
      <c r="C167" s="171">
        <f t="shared" si="2"/>
        <v>158</v>
      </c>
      <c r="D167" s="95">
        <v>1</v>
      </c>
      <c r="E167" s="103" t="s">
        <v>139</v>
      </c>
      <c r="F167" s="97">
        <v>565.22</v>
      </c>
      <c r="G167" s="97">
        <v>565.22</v>
      </c>
      <c r="H167" s="97">
        <v>565.22</v>
      </c>
      <c r="I167" s="97">
        <v>565.22</v>
      </c>
      <c r="J167" s="97">
        <v>565.22</v>
      </c>
      <c r="K167" s="97">
        <v>565.22</v>
      </c>
      <c r="L167" s="145" t="s">
        <v>461</v>
      </c>
      <c r="M167" s="146">
        <v>40909</v>
      </c>
    </row>
    <row r="168" spans="1:13" s="240" customFormat="1" ht="24" customHeight="1" x14ac:dyDescent="0.2">
      <c r="A168" s="144" t="s">
        <v>337</v>
      </c>
      <c r="B168" s="102" t="s">
        <v>338</v>
      </c>
      <c r="C168" s="171">
        <f t="shared" si="2"/>
        <v>159</v>
      </c>
      <c r="D168" s="95">
        <v>4</v>
      </c>
      <c r="E168" s="103" t="s">
        <v>189</v>
      </c>
      <c r="F168" s="97">
        <v>615.22</v>
      </c>
      <c r="G168" s="97">
        <v>615.22</v>
      </c>
      <c r="H168" s="97">
        <v>615.22</v>
      </c>
      <c r="I168" s="97">
        <v>615.22</v>
      </c>
      <c r="J168" s="97">
        <v>615.22</v>
      </c>
      <c r="K168" s="97">
        <v>615.22</v>
      </c>
      <c r="L168" s="145" t="s">
        <v>461</v>
      </c>
      <c r="M168" s="146">
        <v>41852</v>
      </c>
    </row>
    <row r="169" spans="1:13" s="240" customFormat="1" ht="24" customHeight="1" x14ac:dyDescent="0.2">
      <c r="A169" s="150">
        <v>1102997788</v>
      </c>
      <c r="B169" s="102" t="s">
        <v>339</v>
      </c>
      <c r="C169" s="171">
        <f t="shared" si="2"/>
        <v>160</v>
      </c>
      <c r="D169" s="95">
        <v>3</v>
      </c>
      <c r="E169" s="103" t="s">
        <v>226</v>
      </c>
      <c r="F169" s="96">
        <v>728.77</v>
      </c>
      <c r="G169" s="96">
        <v>728.77</v>
      </c>
      <c r="H169" s="96">
        <v>728.77</v>
      </c>
      <c r="I169" s="96">
        <v>728.77</v>
      </c>
      <c r="J169" s="96">
        <v>728.77</v>
      </c>
      <c r="K169" s="96">
        <v>728.77</v>
      </c>
      <c r="L169" s="145" t="s">
        <v>461</v>
      </c>
      <c r="M169" s="146">
        <v>40909</v>
      </c>
    </row>
    <row r="170" spans="1:13" s="240" customFormat="1" ht="24" customHeight="1" x14ac:dyDescent="0.2">
      <c r="A170" s="144" t="s">
        <v>340</v>
      </c>
      <c r="B170" s="102" t="s">
        <v>341</v>
      </c>
      <c r="C170" s="171">
        <f t="shared" si="2"/>
        <v>161</v>
      </c>
      <c r="D170" s="95">
        <v>5</v>
      </c>
      <c r="E170" s="103" t="s">
        <v>253</v>
      </c>
      <c r="F170" s="96">
        <v>733.22</v>
      </c>
      <c r="G170" s="96">
        <v>733.22</v>
      </c>
      <c r="H170" s="96">
        <v>733.22</v>
      </c>
      <c r="I170" s="96">
        <v>733.22</v>
      </c>
      <c r="J170" s="96">
        <v>733.22</v>
      </c>
      <c r="K170" s="96">
        <v>733.22</v>
      </c>
      <c r="L170" s="154" t="s">
        <v>461</v>
      </c>
      <c r="M170" s="146">
        <v>40909</v>
      </c>
    </row>
    <row r="171" spans="1:13" s="240" customFormat="1" ht="24" customHeight="1" x14ac:dyDescent="0.2">
      <c r="A171" s="150">
        <v>1102020573</v>
      </c>
      <c r="B171" s="102" t="s">
        <v>342</v>
      </c>
      <c r="C171" s="171">
        <f t="shared" si="2"/>
        <v>162</v>
      </c>
      <c r="D171" s="95">
        <v>1</v>
      </c>
      <c r="E171" s="103" t="s">
        <v>343</v>
      </c>
      <c r="F171" s="97">
        <v>565.22</v>
      </c>
      <c r="G171" s="97">
        <v>565.22</v>
      </c>
      <c r="H171" s="97">
        <v>565.22</v>
      </c>
      <c r="I171" s="97">
        <v>565.22</v>
      </c>
      <c r="J171" s="97">
        <v>565.22</v>
      </c>
      <c r="K171" s="97">
        <v>565.22</v>
      </c>
      <c r="L171" s="145" t="s">
        <v>461</v>
      </c>
      <c r="M171" s="146">
        <v>40909</v>
      </c>
    </row>
    <row r="172" spans="1:13" s="240" customFormat="1" ht="24" customHeight="1" x14ac:dyDescent="0.2">
      <c r="A172" s="150">
        <v>1102017678</v>
      </c>
      <c r="B172" s="102" t="s">
        <v>344</v>
      </c>
      <c r="C172" s="171">
        <f t="shared" si="2"/>
        <v>163</v>
      </c>
      <c r="D172" s="95">
        <v>1</v>
      </c>
      <c r="E172" s="103" t="s">
        <v>221</v>
      </c>
      <c r="F172" s="97">
        <v>565.22</v>
      </c>
      <c r="G172" s="97">
        <v>565.22</v>
      </c>
      <c r="H172" s="97">
        <v>565.22</v>
      </c>
      <c r="I172" s="97">
        <v>565.22</v>
      </c>
      <c r="J172" s="97">
        <v>565.22</v>
      </c>
      <c r="K172" s="97">
        <v>565.22</v>
      </c>
      <c r="L172" s="145" t="s">
        <v>461</v>
      </c>
      <c r="M172" s="146">
        <v>40909</v>
      </c>
    </row>
    <row r="173" spans="1:13" s="240" customFormat="1" ht="24" customHeight="1" x14ac:dyDescent="0.2">
      <c r="A173" s="150">
        <v>1716237555</v>
      </c>
      <c r="B173" s="102" t="s">
        <v>345</v>
      </c>
      <c r="C173" s="171">
        <f t="shared" si="2"/>
        <v>164</v>
      </c>
      <c r="D173" s="95">
        <v>5</v>
      </c>
      <c r="E173" s="103" t="s">
        <v>158</v>
      </c>
      <c r="F173" s="96">
        <v>733.22</v>
      </c>
      <c r="G173" s="96">
        <v>733.22</v>
      </c>
      <c r="H173" s="96">
        <v>733.22</v>
      </c>
      <c r="I173" s="96">
        <v>733.22</v>
      </c>
      <c r="J173" s="96">
        <v>733.22</v>
      </c>
      <c r="K173" s="96">
        <v>733.22</v>
      </c>
      <c r="L173" s="145" t="s">
        <v>461</v>
      </c>
      <c r="M173" s="146">
        <v>40909</v>
      </c>
    </row>
    <row r="174" spans="1:13" s="240" customFormat="1" ht="24" customHeight="1" x14ac:dyDescent="0.2">
      <c r="A174" s="144" t="s">
        <v>346</v>
      </c>
      <c r="B174" s="102" t="s">
        <v>347</v>
      </c>
      <c r="C174" s="171">
        <f t="shared" si="2"/>
        <v>165</v>
      </c>
      <c r="D174" s="95">
        <v>1</v>
      </c>
      <c r="E174" s="103" t="s">
        <v>343</v>
      </c>
      <c r="F174" s="97">
        <v>565.22</v>
      </c>
      <c r="G174" s="97">
        <v>565.22</v>
      </c>
      <c r="H174" s="97">
        <v>565.22</v>
      </c>
      <c r="I174" s="97">
        <v>565.22</v>
      </c>
      <c r="J174" s="97">
        <v>565.22</v>
      </c>
      <c r="K174" s="97">
        <v>565.22</v>
      </c>
      <c r="L174" s="145" t="s">
        <v>461</v>
      </c>
      <c r="M174" s="146">
        <v>40909</v>
      </c>
    </row>
    <row r="175" spans="1:13" s="240" customFormat="1" ht="24" customHeight="1" x14ac:dyDescent="0.2">
      <c r="A175" s="150" t="s">
        <v>348</v>
      </c>
      <c r="B175" s="102" t="s">
        <v>349</v>
      </c>
      <c r="C175" s="171">
        <f t="shared" si="2"/>
        <v>166</v>
      </c>
      <c r="D175" s="95">
        <v>5</v>
      </c>
      <c r="E175" s="103" t="s">
        <v>199</v>
      </c>
      <c r="F175" s="96">
        <v>733.22</v>
      </c>
      <c r="G175" s="96">
        <v>733.22</v>
      </c>
      <c r="H175" s="96">
        <v>733.22</v>
      </c>
      <c r="I175" s="96">
        <v>733.22</v>
      </c>
      <c r="J175" s="96">
        <v>733.22</v>
      </c>
      <c r="K175" s="96">
        <v>733.22</v>
      </c>
      <c r="L175" s="145" t="s">
        <v>461</v>
      </c>
      <c r="M175" s="146">
        <v>40909</v>
      </c>
    </row>
    <row r="176" spans="1:13" s="240" customFormat="1" ht="24" customHeight="1" x14ac:dyDescent="0.2">
      <c r="A176" s="144">
        <v>1103407647</v>
      </c>
      <c r="B176" s="102" t="s">
        <v>350</v>
      </c>
      <c r="C176" s="171">
        <f t="shared" si="2"/>
        <v>167</v>
      </c>
      <c r="D176" s="95">
        <v>1</v>
      </c>
      <c r="E176" s="103" t="s">
        <v>139</v>
      </c>
      <c r="F176" s="97">
        <v>565.22</v>
      </c>
      <c r="G176" s="97">
        <v>565.22</v>
      </c>
      <c r="H176" s="97">
        <v>565.22</v>
      </c>
      <c r="I176" s="97">
        <v>565.22</v>
      </c>
      <c r="J176" s="97">
        <v>565.22</v>
      </c>
      <c r="K176" s="97">
        <v>565.22</v>
      </c>
      <c r="L176" s="145" t="s">
        <v>461</v>
      </c>
      <c r="M176" s="146">
        <v>40909</v>
      </c>
    </row>
    <row r="177" spans="1:13" s="240" customFormat="1" ht="24" customHeight="1" x14ac:dyDescent="0.2">
      <c r="A177" s="144">
        <v>1101574380</v>
      </c>
      <c r="B177" s="102" t="s">
        <v>351</v>
      </c>
      <c r="C177" s="171">
        <f t="shared" si="2"/>
        <v>168</v>
      </c>
      <c r="D177" s="95">
        <v>4</v>
      </c>
      <c r="E177" s="103" t="s">
        <v>147</v>
      </c>
      <c r="F177" s="97">
        <v>615.22</v>
      </c>
      <c r="G177" s="97">
        <v>615.22</v>
      </c>
      <c r="H177" s="97">
        <v>615.22</v>
      </c>
      <c r="I177" s="97">
        <v>615.22</v>
      </c>
      <c r="J177" s="97">
        <v>615.22</v>
      </c>
      <c r="K177" s="97">
        <v>615.22</v>
      </c>
      <c r="L177" s="145" t="s">
        <v>461</v>
      </c>
      <c r="M177" s="146">
        <v>40909</v>
      </c>
    </row>
    <row r="178" spans="1:13" s="240" customFormat="1" ht="24" customHeight="1" x14ac:dyDescent="0.2">
      <c r="A178" s="144">
        <v>1104448806</v>
      </c>
      <c r="B178" s="102" t="s">
        <v>352</v>
      </c>
      <c r="C178" s="171">
        <f t="shared" si="2"/>
        <v>169</v>
      </c>
      <c r="D178" s="95">
        <v>1</v>
      </c>
      <c r="E178" s="103" t="s">
        <v>142</v>
      </c>
      <c r="F178" s="97">
        <v>565.22</v>
      </c>
      <c r="G178" s="97">
        <v>565.22</v>
      </c>
      <c r="H178" s="97">
        <v>565.22</v>
      </c>
      <c r="I178" s="97">
        <v>565.22</v>
      </c>
      <c r="J178" s="97">
        <v>565.22</v>
      </c>
      <c r="K178" s="97">
        <v>565.22</v>
      </c>
      <c r="L178" s="145" t="s">
        <v>461</v>
      </c>
      <c r="M178" s="146">
        <v>40909</v>
      </c>
    </row>
    <row r="179" spans="1:13" s="240" customFormat="1" ht="24" customHeight="1" x14ac:dyDescent="0.2">
      <c r="A179" s="150">
        <v>1102982905</v>
      </c>
      <c r="B179" s="102" t="s">
        <v>353</v>
      </c>
      <c r="C179" s="171">
        <f t="shared" si="2"/>
        <v>170</v>
      </c>
      <c r="D179" s="95">
        <v>1</v>
      </c>
      <c r="E179" s="103" t="s">
        <v>160</v>
      </c>
      <c r="F179" s="97">
        <v>565.22</v>
      </c>
      <c r="G179" s="97">
        <v>565.22</v>
      </c>
      <c r="H179" s="97">
        <v>565.22</v>
      </c>
      <c r="I179" s="97">
        <v>565.22</v>
      </c>
      <c r="J179" s="97">
        <v>565.22</v>
      </c>
      <c r="K179" s="97">
        <v>565.22</v>
      </c>
      <c r="L179" s="145" t="s">
        <v>461</v>
      </c>
      <c r="M179" s="146">
        <v>40909</v>
      </c>
    </row>
    <row r="180" spans="1:13" s="240" customFormat="1" ht="24" customHeight="1" x14ac:dyDescent="0.2">
      <c r="A180" s="144">
        <v>1103336325</v>
      </c>
      <c r="B180" s="102" t="s">
        <v>354</v>
      </c>
      <c r="C180" s="171">
        <f t="shared" si="2"/>
        <v>171</v>
      </c>
      <c r="D180" s="95">
        <v>5</v>
      </c>
      <c r="E180" s="103" t="s">
        <v>296</v>
      </c>
      <c r="F180" s="96">
        <v>733.22</v>
      </c>
      <c r="G180" s="96">
        <v>733.22</v>
      </c>
      <c r="H180" s="96">
        <v>733.22</v>
      </c>
      <c r="I180" s="96">
        <v>733.22</v>
      </c>
      <c r="J180" s="96">
        <v>733.22</v>
      </c>
      <c r="K180" s="96">
        <v>733.22</v>
      </c>
      <c r="L180" s="145" t="s">
        <v>461</v>
      </c>
      <c r="M180" s="146">
        <v>40909</v>
      </c>
    </row>
    <row r="181" spans="1:13" s="240" customFormat="1" ht="24" customHeight="1" x14ac:dyDescent="0.2">
      <c r="A181" s="144" t="s">
        <v>355</v>
      </c>
      <c r="B181" s="102" t="s">
        <v>356</v>
      </c>
      <c r="C181" s="171">
        <f t="shared" si="2"/>
        <v>172</v>
      </c>
      <c r="D181" s="95">
        <v>5</v>
      </c>
      <c r="E181" s="103" t="s">
        <v>296</v>
      </c>
      <c r="F181" s="96">
        <v>733.22</v>
      </c>
      <c r="G181" s="96">
        <v>733.22</v>
      </c>
      <c r="H181" s="96">
        <v>733.22</v>
      </c>
      <c r="I181" s="96">
        <v>733.22</v>
      </c>
      <c r="J181" s="96">
        <v>733.22</v>
      </c>
      <c r="K181" s="96">
        <v>733.22</v>
      </c>
      <c r="L181" s="145" t="s">
        <v>461</v>
      </c>
      <c r="M181" s="146">
        <v>40909</v>
      </c>
    </row>
    <row r="182" spans="1:13" s="240" customFormat="1" ht="24" customHeight="1" x14ac:dyDescent="0.2">
      <c r="A182" s="144" t="s">
        <v>357</v>
      </c>
      <c r="B182" s="102" t="s">
        <v>358</v>
      </c>
      <c r="C182" s="171">
        <f t="shared" si="2"/>
        <v>173</v>
      </c>
      <c r="D182" s="95">
        <v>1</v>
      </c>
      <c r="E182" s="103" t="s">
        <v>343</v>
      </c>
      <c r="F182" s="97">
        <v>565.22</v>
      </c>
      <c r="G182" s="97">
        <v>565.22</v>
      </c>
      <c r="H182" s="97">
        <v>565.22</v>
      </c>
      <c r="I182" s="97">
        <v>565.22</v>
      </c>
      <c r="J182" s="97">
        <v>565.22</v>
      </c>
      <c r="K182" s="97">
        <v>565.22</v>
      </c>
      <c r="L182" s="145" t="s">
        <v>461</v>
      </c>
      <c r="M182" s="146">
        <v>40909</v>
      </c>
    </row>
    <row r="183" spans="1:13" s="240" customFormat="1" ht="24" customHeight="1" x14ac:dyDescent="0.2">
      <c r="A183" s="144">
        <v>1100425642</v>
      </c>
      <c r="B183" s="102" t="s">
        <v>359</v>
      </c>
      <c r="C183" s="171">
        <f t="shared" si="2"/>
        <v>174</v>
      </c>
      <c r="D183" s="95">
        <v>1</v>
      </c>
      <c r="E183" s="103" t="s">
        <v>163</v>
      </c>
      <c r="F183" s="97">
        <v>565.22</v>
      </c>
      <c r="G183" s="97">
        <v>565.22</v>
      </c>
      <c r="H183" s="97">
        <v>565.22</v>
      </c>
      <c r="I183" s="97">
        <v>565.22</v>
      </c>
      <c r="J183" s="97">
        <v>565.22</v>
      </c>
      <c r="K183" s="97">
        <v>565.22</v>
      </c>
      <c r="L183" s="145" t="s">
        <v>461</v>
      </c>
      <c r="M183" s="146">
        <v>40909</v>
      </c>
    </row>
    <row r="184" spans="1:13" s="240" customFormat="1" ht="24" customHeight="1" x14ac:dyDescent="0.2">
      <c r="A184" s="150">
        <v>1104075435</v>
      </c>
      <c r="B184" s="102" t="s">
        <v>360</v>
      </c>
      <c r="C184" s="171">
        <f t="shared" si="2"/>
        <v>175</v>
      </c>
      <c r="D184" s="95">
        <v>5</v>
      </c>
      <c r="E184" s="103" t="s">
        <v>195</v>
      </c>
      <c r="F184" s="96">
        <v>733.22</v>
      </c>
      <c r="G184" s="96">
        <v>733.22</v>
      </c>
      <c r="H184" s="96">
        <v>733.22</v>
      </c>
      <c r="I184" s="96">
        <v>733.22</v>
      </c>
      <c r="J184" s="96">
        <v>733.22</v>
      </c>
      <c r="K184" s="96">
        <v>733.22</v>
      </c>
      <c r="L184" s="145" t="s">
        <v>461</v>
      </c>
      <c r="M184" s="146">
        <v>40909</v>
      </c>
    </row>
    <row r="185" spans="1:13" s="240" customFormat="1" ht="24" customHeight="1" x14ac:dyDescent="0.2">
      <c r="A185" s="150">
        <v>1101798666</v>
      </c>
      <c r="B185" s="102" t="s">
        <v>512</v>
      </c>
      <c r="C185" s="171">
        <f t="shared" si="2"/>
        <v>176</v>
      </c>
      <c r="D185" s="95">
        <v>5</v>
      </c>
      <c r="E185" s="103" t="s">
        <v>513</v>
      </c>
      <c r="F185" s="242">
        <v>962.13</v>
      </c>
      <c r="G185" s="242">
        <v>962.13</v>
      </c>
      <c r="H185" s="242">
        <v>962.13</v>
      </c>
      <c r="I185" s="242">
        <v>962.13</v>
      </c>
      <c r="J185" s="242">
        <v>962.13</v>
      </c>
      <c r="K185" s="96">
        <v>0</v>
      </c>
      <c r="L185" s="241" t="s">
        <v>489</v>
      </c>
      <c r="M185" s="146">
        <v>40909</v>
      </c>
    </row>
    <row r="186" spans="1:13" s="240" customFormat="1" ht="24" customHeight="1" x14ac:dyDescent="0.2">
      <c r="A186" s="150">
        <v>1103329247</v>
      </c>
      <c r="B186" s="102" t="s">
        <v>361</v>
      </c>
      <c r="C186" s="171">
        <f t="shared" si="2"/>
        <v>177</v>
      </c>
      <c r="D186" s="95">
        <v>9</v>
      </c>
      <c r="E186" s="103" t="s">
        <v>150</v>
      </c>
      <c r="F186" s="97">
        <v>835.22</v>
      </c>
      <c r="G186" s="97">
        <v>835.22</v>
      </c>
      <c r="H186" s="97">
        <v>856</v>
      </c>
      <c r="I186" s="97">
        <v>856</v>
      </c>
      <c r="J186" s="97">
        <v>856</v>
      </c>
      <c r="K186" s="97">
        <v>856</v>
      </c>
      <c r="L186" s="145" t="s">
        <v>461</v>
      </c>
      <c r="M186" s="146">
        <v>40909</v>
      </c>
    </row>
    <row r="187" spans="1:13" s="240" customFormat="1" ht="24" customHeight="1" x14ac:dyDescent="0.2">
      <c r="A187" s="150">
        <v>1102131099</v>
      </c>
      <c r="B187" s="102" t="s">
        <v>362</v>
      </c>
      <c r="C187" s="171">
        <f t="shared" si="2"/>
        <v>178</v>
      </c>
      <c r="D187" s="95">
        <v>5</v>
      </c>
      <c r="E187" s="103" t="s">
        <v>195</v>
      </c>
      <c r="F187" s="96">
        <v>876</v>
      </c>
      <c r="G187" s="96">
        <v>876</v>
      </c>
      <c r="H187" s="96">
        <v>876</v>
      </c>
      <c r="I187" s="96">
        <v>876</v>
      </c>
      <c r="J187" s="96">
        <v>876</v>
      </c>
      <c r="K187" s="96">
        <v>876</v>
      </c>
      <c r="L187" s="145" t="s">
        <v>461</v>
      </c>
      <c r="M187" s="146">
        <v>40909</v>
      </c>
    </row>
    <row r="188" spans="1:13" s="240" customFormat="1" ht="24" customHeight="1" x14ac:dyDescent="0.2">
      <c r="A188" s="150">
        <v>1104601867</v>
      </c>
      <c r="B188" s="102" t="s">
        <v>363</v>
      </c>
      <c r="C188" s="171">
        <f t="shared" si="2"/>
        <v>179</v>
      </c>
      <c r="D188" s="95">
        <v>1</v>
      </c>
      <c r="E188" s="103" t="s">
        <v>152</v>
      </c>
      <c r="F188" s="97">
        <v>565.22</v>
      </c>
      <c r="G188" s="97">
        <v>565.22</v>
      </c>
      <c r="H188" s="97">
        <v>565.22</v>
      </c>
      <c r="I188" s="97">
        <v>565.22</v>
      </c>
      <c r="J188" s="97">
        <v>565.22</v>
      </c>
      <c r="K188" s="97">
        <v>565.22</v>
      </c>
      <c r="L188" s="154" t="s">
        <v>461</v>
      </c>
      <c r="M188" s="146">
        <v>40909</v>
      </c>
    </row>
    <row r="189" spans="1:13" s="240" customFormat="1" ht="24" customHeight="1" x14ac:dyDescent="0.2">
      <c r="A189" s="152">
        <v>1102167226</v>
      </c>
      <c r="B189" s="102" t="s">
        <v>364</v>
      </c>
      <c r="C189" s="171">
        <f t="shared" si="2"/>
        <v>180</v>
      </c>
      <c r="D189" s="95">
        <v>4</v>
      </c>
      <c r="E189" s="103" t="s">
        <v>147</v>
      </c>
      <c r="F189" s="98">
        <v>598</v>
      </c>
      <c r="G189" s="98">
        <v>598</v>
      </c>
      <c r="H189" s="98">
        <v>598</v>
      </c>
      <c r="I189" s="98">
        <v>598</v>
      </c>
      <c r="J189" s="98">
        <v>598</v>
      </c>
      <c r="K189" s="98">
        <v>598</v>
      </c>
      <c r="L189" s="145" t="s">
        <v>461</v>
      </c>
      <c r="M189" s="146">
        <v>41640</v>
      </c>
    </row>
    <row r="190" spans="1:13" s="240" customFormat="1" ht="24" customHeight="1" x14ac:dyDescent="0.2">
      <c r="A190" s="150">
        <v>1102863824</v>
      </c>
      <c r="B190" s="102" t="s">
        <v>365</v>
      </c>
      <c r="C190" s="171">
        <f t="shared" si="2"/>
        <v>181</v>
      </c>
      <c r="D190" s="95">
        <v>4</v>
      </c>
      <c r="E190" s="103" t="s">
        <v>189</v>
      </c>
      <c r="F190" s="97">
        <v>615.22</v>
      </c>
      <c r="G190" s="97">
        <v>615.22</v>
      </c>
      <c r="H190" s="97">
        <v>615.22</v>
      </c>
      <c r="I190" s="97">
        <v>615.22</v>
      </c>
      <c r="J190" s="97">
        <v>615.22</v>
      </c>
      <c r="K190" s="97">
        <v>615.22</v>
      </c>
      <c r="L190" s="145" t="s">
        <v>461</v>
      </c>
      <c r="M190" s="146">
        <v>40909</v>
      </c>
    </row>
    <row r="191" spans="1:13" s="240" customFormat="1" ht="24" customHeight="1" x14ac:dyDescent="0.2">
      <c r="A191" s="150">
        <v>1103148951</v>
      </c>
      <c r="B191" s="102" t="s">
        <v>366</v>
      </c>
      <c r="C191" s="171">
        <f t="shared" si="2"/>
        <v>182</v>
      </c>
      <c r="D191" s="95">
        <v>1</v>
      </c>
      <c r="E191" s="103" t="s">
        <v>367</v>
      </c>
      <c r="F191" s="97">
        <v>565.22</v>
      </c>
      <c r="G191" s="97">
        <v>565.22</v>
      </c>
      <c r="H191" s="97">
        <v>565.22</v>
      </c>
      <c r="I191" s="97">
        <v>565.22</v>
      </c>
      <c r="J191" s="97">
        <v>565.22</v>
      </c>
      <c r="K191" s="97">
        <v>565.22</v>
      </c>
      <c r="L191" s="145" t="s">
        <v>461</v>
      </c>
      <c r="M191" s="146">
        <v>40909</v>
      </c>
    </row>
    <row r="192" spans="1:13" s="240" customFormat="1" ht="24" customHeight="1" x14ac:dyDescent="0.2">
      <c r="A192" s="144">
        <v>1103653786</v>
      </c>
      <c r="B192" s="102" t="s">
        <v>368</v>
      </c>
      <c r="C192" s="171">
        <f t="shared" si="2"/>
        <v>183</v>
      </c>
      <c r="D192" s="95">
        <v>5</v>
      </c>
      <c r="E192" s="103" t="s">
        <v>140</v>
      </c>
      <c r="F192" s="96">
        <v>733.22</v>
      </c>
      <c r="G192" s="96">
        <v>733.22</v>
      </c>
      <c r="H192" s="96">
        <v>733.22</v>
      </c>
      <c r="I192" s="96">
        <v>733.22</v>
      </c>
      <c r="J192" s="96">
        <v>733.22</v>
      </c>
      <c r="K192" s="96">
        <v>733.22</v>
      </c>
      <c r="L192" s="154" t="s">
        <v>461</v>
      </c>
      <c r="M192" s="146">
        <v>40909</v>
      </c>
    </row>
    <row r="193" spans="1:13" s="240" customFormat="1" ht="24" customHeight="1" x14ac:dyDescent="0.2">
      <c r="A193" s="150">
        <v>1101943494</v>
      </c>
      <c r="B193" s="102" t="s">
        <v>369</v>
      </c>
      <c r="C193" s="171">
        <f t="shared" si="2"/>
        <v>184</v>
      </c>
      <c r="D193" s="95">
        <v>2</v>
      </c>
      <c r="E193" s="103" t="s">
        <v>162</v>
      </c>
      <c r="F193" s="97">
        <v>581.22</v>
      </c>
      <c r="G193" s="97">
        <v>581.22</v>
      </c>
      <c r="H193" s="97">
        <v>581.22</v>
      </c>
      <c r="I193" s="97">
        <v>581.22</v>
      </c>
      <c r="J193" s="97">
        <v>581.22</v>
      </c>
      <c r="K193" s="97">
        <v>581.22</v>
      </c>
      <c r="L193" s="145" t="s">
        <v>461</v>
      </c>
      <c r="M193" s="146">
        <v>40909</v>
      </c>
    </row>
    <row r="194" spans="1:13" s="240" customFormat="1" ht="24" customHeight="1" x14ac:dyDescent="0.2">
      <c r="A194" s="144">
        <v>1102134960</v>
      </c>
      <c r="B194" s="102" t="s">
        <v>370</v>
      </c>
      <c r="C194" s="171">
        <f t="shared" si="2"/>
        <v>185</v>
      </c>
      <c r="D194" s="95">
        <v>5</v>
      </c>
      <c r="E194" s="103" t="s">
        <v>371</v>
      </c>
      <c r="F194" s="96">
        <v>733.22</v>
      </c>
      <c r="G194" s="96">
        <v>733.22</v>
      </c>
      <c r="H194" s="96">
        <v>733.22</v>
      </c>
      <c r="I194" s="96">
        <v>733.22</v>
      </c>
      <c r="J194" s="96">
        <v>733.22</v>
      </c>
      <c r="K194" s="96">
        <v>733.22</v>
      </c>
      <c r="L194" s="145" t="s">
        <v>461</v>
      </c>
      <c r="M194" s="146">
        <v>40909</v>
      </c>
    </row>
    <row r="195" spans="1:13" s="240" customFormat="1" ht="24" customHeight="1" x14ac:dyDescent="0.2">
      <c r="A195" s="150">
        <v>1101794897</v>
      </c>
      <c r="B195" s="102" t="s">
        <v>372</v>
      </c>
      <c r="C195" s="171">
        <f t="shared" si="2"/>
        <v>186</v>
      </c>
      <c r="D195" s="95">
        <v>8</v>
      </c>
      <c r="E195" s="103" t="s">
        <v>373</v>
      </c>
      <c r="F195" s="96">
        <v>876</v>
      </c>
      <c r="G195" s="96">
        <v>876</v>
      </c>
      <c r="H195" s="96">
        <v>876</v>
      </c>
      <c r="I195" s="96">
        <v>876</v>
      </c>
      <c r="J195" s="96">
        <v>876</v>
      </c>
      <c r="K195" s="96">
        <v>876</v>
      </c>
      <c r="L195" s="145" t="s">
        <v>461</v>
      </c>
      <c r="M195" s="146">
        <v>40909</v>
      </c>
    </row>
    <row r="196" spans="1:13" s="240" customFormat="1" ht="24" customHeight="1" x14ac:dyDescent="0.2">
      <c r="A196" s="150" t="s">
        <v>374</v>
      </c>
      <c r="B196" s="102" t="s">
        <v>375</v>
      </c>
      <c r="C196" s="171">
        <f t="shared" si="2"/>
        <v>187</v>
      </c>
      <c r="D196" s="95">
        <v>8</v>
      </c>
      <c r="E196" s="103" t="s">
        <v>373</v>
      </c>
      <c r="F196" s="97">
        <v>816.22</v>
      </c>
      <c r="G196" s="97">
        <v>816.22</v>
      </c>
      <c r="H196" s="97">
        <v>816.22</v>
      </c>
      <c r="I196" s="97">
        <v>816.22</v>
      </c>
      <c r="J196" s="97">
        <v>816.22</v>
      </c>
      <c r="K196" s="97">
        <v>816.22</v>
      </c>
      <c r="L196" s="145" t="s">
        <v>461</v>
      </c>
      <c r="M196" s="146">
        <v>40909</v>
      </c>
    </row>
    <row r="197" spans="1:13" s="240" customFormat="1" ht="24" customHeight="1" x14ac:dyDescent="0.2">
      <c r="A197" s="153">
        <v>1103498117</v>
      </c>
      <c r="B197" s="102" t="s">
        <v>376</v>
      </c>
      <c r="C197" s="171">
        <f t="shared" si="2"/>
        <v>188</v>
      </c>
      <c r="D197" s="95">
        <v>3</v>
      </c>
      <c r="E197" s="103" t="s">
        <v>226</v>
      </c>
      <c r="F197" s="98">
        <v>598</v>
      </c>
      <c r="G197" s="98">
        <v>598</v>
      </c>
      <c r="H197" s="98">
        <v>598</v>
      </c>
      <c r="I197" s="98">
        <v>598</v>
      </c>
      <c r="J197" s="98">
        <v>598</v>
      </c>
      <c r="K197" s="98">
        <v>598</v>
      </c>
      <c r="L197" s="145" t="s">
        <v>461</v>
      </c>
      <c r="M197" s="146">
        <v>41640</v>
      </c>
    </row>
    <row r="198" spans="1:13" s="240" customFormat="1" ht="24" customHeight="1" x14ac:dyDescent="0.2">
      <c r="A198" s="149">
        <v>1104396211</v>
      </c>
      <c r="B198" s="102" t="s">
        <v>377</v>
      </c>
      <c r="C198" s="171">
        <f t="shared" si="2"/>
        <v>189</v>
      </c>
      <c r="D198" s="95">
        <v>5</v>
      </c>
      <c r="E198" s="103" t="s">
        <v>378</v>
      </c>
      <c r="F198" s="98">
        <v>733</v>
      </c>
      <c r="G198" s="98">
        <v>733</v>
      </c>
      <c r="H198" s="98">
        <v>733</v>
      </c>
      <c r="I198" s="98">
        <v>733</v>
      </c>
      <c r="J198" s="98">
        <v>733</v>
      </c>
      <c r="K198" s="98">
        <v>733</v>
      </c>
      <c r="L198" s="145" t="s">
        <v>461</v>
      </c>
      <c r="M198" s="146">
        <v>41640</v>
      </c>
    </row>
    <row r="199" spans="1:13" s="240" customFormat="1" ht="24" customHeight="1" x14ac:dyDescent="0.2">
      <c r="A199" s="148">
        <v>1103139851</v>
      </c>
      <c r="B199" s="102" t="s">
        <v>379</v>
      </c>
      <c r="C199" s="171">
        <f t="shared" si="2"/>
        <v>190</v>
      </c>
      <c r="D199" s="95">
        <v>3</v>
      </c>
      <c r="E199" s="103" t="s">
        <v>226</v>
      </c>
      <c r="F199" s="98">
        <v>598</v>
      </c>
      <c r="G199" s="98">
        <v>598</v>
      </c>
      <c r="H199" s="98">
        <v>598</v>
      </c>
      <c r="I199" s="98">
        <v>598</v>
      </c>
      <c r="J199" s="98">
        <v>598</v>
      </c>
      <c r="K199" s="98">
        <v>598</v>
      </c>
      <c r="L199" s="145" t="s">
        <v>461</v>
      </c>
      <c r="M199" s="146">
        <v>41640</v>
      </c>
    </row>
    <row r="200" spans="1:13" s="240" customFormat="1" ht="24" customHeight="1" x14ac:dyDescent="0.2">
      <c r="A200" s="149">
        <v>1704344611</v>
      </c>
      <c r="B200" s="102" t="s">
        <v>380</v>
      </c>
      <c r="C200" s="171">
        <f t="shared" si="2"/>
        <v>191</v>
      </c>
      <c r="D200" s="95">
        <v>4</v>
      </c>
      <c r="E200" s="103" t="s">
        <v>147</v>
      </c>
      <c r="F200" s="98">
        <v>598</v>
      </c>
      <c r="G200" s="98">
        <v>598</v>
      </c>
      <c r="H200" s="98">
        <v>598</v>
      </c>
      <c r="I200" s="98">
        <v>598</v>
      </c>
      <c r="J200" s="98">
        <v>598</v>
      </c>
      <c r="K200" s="98">
        <v>598</v>
      </c>
      <c r="L200" s="145" t="s">
        <v>461</v>
      </c>
      <c r="M200" s="146">
        <v>41640</v>
      </c>
    </row>
    <row r="201" spans="1:13" s="240" customFormat="1" ht="24" customHeight="1" x14ac:dyDescent="0.2">
      <c r="A201" s="144" t="s">
        <v>381</v>
      </c>
      <c r="B201" s="102" t="s">
        <v>382</v>
      </c>
      <c r="C201" s="171">
        <f t="shared" si="2"/>
        <v>192</v>
      </c>
      <c r="D201" s="95">
        <v>1</v>
      </c>
      <c r="E201" s="103" t="s">
        <v>139</v>
      </c>
      <c r="F201" s="97">
        <v>565.22</v>
      </c>
      <c r="G201" s="97">
        <v>565.22</v>
      </c>
      <c r="H201" s="97">
        <v>565.22</v>
      </c>
      <c r="I201" s="97">
        <v>565.22</v>
      </c>
      <c r="J201" s="97">
        <v>565.22</v>
      </c>
      <c r="K201" s="97">
        <v>565.22</v>
      </c>
      <c r="L201" s="145" t="s">
        <v>461</v>
      </c>
      <c r="M201" s="146">
        <v>40909</v>
      </c>
    </row>
    <row r="202" spans="1:13" s="240" customFormat="1" ht="24" customHeight="1" x14ac:dyDescent="0.2">
      <c r="A202" s="144" t="s">
        <v>383</v>
      </c>
      <c r="B202" s="102" t="s">
        <v>384</v>
      </c>
      <c r="C202" s="171">
        <f t="shared" si="2"/>
        <v>193</v>
      </c>
      <c r="D202" s="95">
        <v>5</v>
      </c>
      <c r="E202" s="103" t="s">
        <v>385</v>
      </c>
      <c r="F202" s="96">
        <v>733.22</v>
      </c>
      <c r="G202" s="96">
        <v>733.22</v>
      </c>
      <c r="H202" s="96">
        <v>733.22</v>
      </c>
      <c r="I202" s="96">
        <v>733.22</v>
      </c>
      <c r="J202" s="96">
        <v>733.22</v>
      </c>
      <c r="K202" s="96">
        <v>733.22</v>
      </c>
      <c r="L202" s="145" t="s">
        <v>461</v>
      </c>
      <c r="M202" s="146">
        <v>40909</v>
      </c>
    </row>
    <row r="203" spans="1:13" s="240" customFormat="1" ht="24" customHeight="1" x14ac:dyDescent="0.2">
      <c r="A203" s="150">
        <v>1102640370</v>
      </c>
      <c r="B203" s="102" t="s">
        <v>386</v>
      </c>
      <c r="C203" s="171">
        <f t="shared" si="2"/>
        <v>194</v>
      </c>
      <c r="D203" s="95">
        <v>2</v>
      </c>
      <c r="E203" s="103" t="s">
        <v>162</v>
      </c>
      <c r="F203" s="97">
        <v>581.22</v>
      </c>
      <c r="G203" s="97">
        <v>581.22</v>
      </c>
      <c r="H203" s="97">
        <v>581.22</v>
      </c>
      <c r="I203" s="97">
        <v>581.22</v>
      </c>
      <c r="J203" s="97">
        <v>581.22</v>
      </c>
      <c r="K203" s="97">
        <v>581.22</v>
      </c>
      <c r="L203" s="145" t="s">
        <v>461</v>
      </c>
      <c r="M203" s="146">
        <v>40909</v>
      </c>
    </row>
    <row r="204" spans="1:13" s="240" customFormat="1" ht="24" customHeight="1" x14ac:dyDescent="0.2">
      <c r="A204" s="150">
        <v>1101462453</v>
      </c>
      <c r="B204" s="102" t="s">
        <v>514</v>
      </c>
      <c r="C204" s="171">
        <f t="shared" si="2"/>
        <v>195</v>
      </c>
      <c r="D204" s="95">
        <v>2</v>
      </c>
      <c r="E204" s="103" t="s">
        <v>162</v>
      </c>
      <c r="F204" s="97">
        <v>581.22</v>
      </c>
      <c r="G204" s="97">
        <v>581.22</v>
      </c>
      <c r="H204" s="97">
        <v>581.22</v>
      </c>
      <c r="I204" s="97">
        <v>0</v>
      </c>
      <c r="J204" s="97">
        <v>0</v>
      </c>
      <c r="K204" s="97">
        <v>0</v>
      </c>
      <c r="L204" s="154" t="s">
        <v>508</v>
      </c>
      <c r="M204" s="146"/>
    </row>
    <row r="205" spans="1:13" s="240" customFormat="1" ht="24" customHeight="1" x14ac:dyDescent="0.2">
      <c r="A205" s="150">
        <v>1102645759</v>
      </c>
      <c r="B205" s="102" t="s">
        <v>387</v>
      </c>
      <c r="C205" s="171">
        <f t="shared" si="2"/>
        <v>196</v>
      </c>
      <c r="D205" s="95">
        <v>1</v>
      </c>
      <c r="E205" s="103" t="s">
        <v>388</v>
      </c>
      <c r="F205" s="97">
        <v>632.29</v>
      </c>
      <c r="G205" s="97">
        <v>632.29</v>
      </c>
      <c r="H205" s="97">
        <v>632.29</v>
      </c>
      <c r="I205" s="97">
        <v>632.29</v>
      </c>
      <c r="J205" s="97">
        <v>632.29</v>
      </c>
      <c r="K205" s="97">
        <v>632.29</v>
      </c>
      <c r="L205" s="145" t="s">
        <v>461</v>
      </c>
      <c r="M205" s="146">
        <v>40909</v>
      </c>
    </row>
    <row r="206" spans="1:13" s="240" customFormat="1" ht="24" customHeight="1" x14ac:dyDescent="0.2">
      <c r="A206" s="150">
        <v>1102865613</v>
      </c>
      <c r="B206" s="102" t="s">
        <v>389</v>
      </c>
      <c r="C206" s="171">
        <f t="shared" ref="C206:C262" si="3">+C205+1</f>
        <v>197</v>
      </c>
      <c r="D206" s="95">
        <v>8</v>
      </c>
      <c r="E206" s="103" t="s">
        <v>264</v>
      </c>
      <c r="F206" s="97">
        <v>816.22</v>
      </c>
      <c r="G206" s="97">
        <v>816.22</v>
      </c>
      <c r="H206" s="97">
        <v>816.22</v>
      </c>
      <c r="I206" s="97">
        <v>816.22</v>
      </c>
      <c r="J206" s="97">
        <v>816.22</v>
      </c>
      <c r="K206" s="97">
        <v>816.22</v>
      </c>
      <c r="L206" s="145" t="s">
        <v>461</v>
      </c>
      <c r="M206" s="146">
        <v>40909</v>
      </c>
    </row>
    <row r="207" spans="1:13" s="240" customFormat="1" ht="24" customHeight="1" x14ac:dyDescent="0.2">
      <c r="A207" s="150">
        <v>1102440060</v>
      </c>
      <c r="B207" s="102" t="s">
        <v>390</v>
      </c>
      <c r="C207" s="171">
        <f t="shared" si="3"/>
        <v>198</v>
      </c>
      <c r="D207" s="95">
        <v>1</v>
      </c>
      <c r="E207" s="103" t="s">
        <v>391</v>
      </c>
      <c r="F207" s="97">
        <v>565.22</v>
      </c>
      <c r="G207" s="97">
        <v>565.22</v>
      </c>
      <c r="H207" s="97">
        <v>565.22</v>
      </c>
      <c r="I207" s="97">
        <v>565.22</v>
      </c>
      <c r="J207" s="97">
        <v>565.22</v>
      </c>
      <c r="K207" s="97">
        <v>565.22</v>
      </c>
      <c r="L207" s="145" t="s">
        <v>461</v>
      </c>
      <c r="M207" s="146">
        <v>40909</v>
      </c>
    </row>
    <row r="208" spans="1:13" s="240" customFormat="1" ht="24" customHeight="1" x14ac:dyDescent="0.2">
      <c r="A208" s="150">
        <v>1104435555</v>
      </c>
      <c r="B208" s="102" t="s">
        <v>392</v>
      </c>
      <c r="C208" s="171">
        <f t="shared" si="3"/>
        <v>199</v>
      </c>
      <c r="D208" s="95">
        <v>1</v>
      </c>
      <c r="E208" s="103" t="s">
        <v>185</v>
      </c>
      <c r="F208" s="97">
        <v>565.22</v>
      </c>
      <c r="G208" s="97">
        <v>565.22</v>
      </c>
      <c r="H208" s="97">
        <v>565.22</v>
      </c>
      <c r="I208" s="97">
        <v>565.22</v>
      </c>
      <c r="J208" s="97">
        <v>565.22</v>
      </c>
      <c r="K208" s="97">
        <v>565.22</v>
      </c>
      <c r="L208" s="145" t="s">
        <v>461</v>
      </c>
      <c r="M208" s="146">
        <v>40909</v>
      </c>
    </row>
    <row r="209" spans="1:13" s="240" customFormat="1" ht="24" customHeight="1" x14ac:dyDescent="0.2">
      <c r="A209" s="150">
        <v>1102402110</v>
      </c>
      <c r="B209" s="102" t="s">
        <v>393</v>
      </c>
      <c r="C209" s="171">
        <f t="shared" si="3"/>
        <v>200</v>
      </c>
      <c r="D209" s="95">
        <v>4</v>
      </c>
      <c r="E209" s="103" t="s">
        <v>147</v>
      </c>
      <c r="F209" s="97">
        <v>615.22</v>
      </c>
      <c r="G209" s="97">
        <v>615.22</v>
      </c>
      <c r="H209" s="97">
        <v>615.22</v>
      </c>
      <c r="I209" s="97">
        <v>615.22</v>
      </c>
      <c r="J209" s="97">
        <v>615.22</v>
      </c>
      <c r="K209" s="97">
        <v>615.22</v>
      </c>
      <c r="L209" s="145" t="s">
        <v>461</v>
      </c>
      <c r="M209" s="146">
        <v>40909</v>
      </c>
    </row>
    <row r="210" spans="1:13" s="240" customFormat="1" ht="24" customHeight="1" x14ac:dyDescent="0.2">
      <c r="A210" s="150" t="s">
        <v>394</v>
      </c>
      <c r="B210" s="102" t="s">
        <v>395</v>
      </c>
      <c r="C210" s="171">
        <f t="shared" si="3"/>
        <v>201</v>
      </c>
      <c r="D210" s="95">
        <v>1</v>
      </c>
      <c r="E210" s="103" t="s">
        <v>152</v>
      </c>
      <c r="F210" s="97">
        <v>565.22</v>
      </c>
      <c r="G210" s="97">
        <v>565.22</v>
      </c>
      <c r="H210" s="97">
        <v>565.22</v>
      </c>
      <c r="I210" s="97">
        <v>565.22</v>
      </c>
      <c r="J210" s="97">
        <v>565.22</v>
      </c>
      <c r="K210" s="97">
        <v>565.22</v>
      </c>
      <c r="L210" s="145" t="s">
        <v>461</v>
      </c>
      <c r="M210" s="146">
        <v>40909</v>
      </c>
    </row>
    <row r="211" spans="1:13" s="240" customFormat="1" ht="24" customHeight="1" x14ac:dyDescent="0.2">
      <c r="A211" s="150">
        <v>1100309044</v>
      </c>
      <c r="B211" s="102" t="s">
        <v>396</v>
      </c>
      <c r="C211" s="171">
        <f t="shared" si="3"/>
        <v>202</v>
      </c>
      <c r="D211" s="95">
        <v>1</v>
      </c>
      <c r="E211" s="103" t="s">
        <v>160</v>
      </c>
      <c r="F211" s="97">
        <v>565.22</v>
      </c>
      <c r="G211" s="97">
        <v>565.22</v>
      </c>
      <c r="H211" s="97">
        <v>565.22</v>
      </c>
      <c r="I211" s="97">
        <v>565.22</v>
      </c>
      <c r="J211" s="97">
        <v>565.22</v>
      </c>
      <c r="K211" s="97">
        <v>565.22</v>
      </c>
      <c r="L211" s="145" t="s">
        <v>461</v>
      </c>
      <c r="M211" s="146">
        <v>40909</v>
      </c>
    </row>
    <row r="212" spans="1:13" s="240" customFormat="1" ht="24" customHeight="1" x14ac:dyDescent="0.2">
      <c r="A212" s="153">
        <v>1102060710</v>
      </c>
      <c r="B212" s="102" t="s">
        <v>397</v>
      </c>
      <c r="C212" s="171">
        <f t="shared" si="3"/>
        <v>203</v>
      </c>
      <c r="D212" s="95">
        <v>4</v>
      </c>
      <c r="E212" s="103" t="s">
        <v>147</v>
      </c>
      <c r="F212" s="98">
        <v>598</v>
      </c>
      <c r="G212" s="98">
        <v>598</v>
      </c>
      <c r="H212" s="98">
        <v>598</v>
      </c>
      <c r="I212" s="98">
        <v>598</v>
      </c>
      <c r="J212" s="98">
        <v>598</v>
      </c>
      <c r="K212" s="98">
        <v>598</v>
      </c>
      <c r="L212" s="145" t="s">
        <v>461</v>
      </c>
      <c r="M212" s="146">
        <v>41640</v>
      </c>
    </row>
    <row r="213" spans="1:13" s="240" customFormat="1" ht="24" customHeight="1" x14ac:dyDescent="0.2">
      <c r="A213" s="153">
        <v>1102296553</v>
      </c>
      <c r="B213" s="102" t="s">
        <v>398</v>
      </c>
      <c r="C213" s="171">
        <f t="shared" si="3"/>
        <v>204</v>
      </c>
      <c r="D213" s="95">
        <v>5</v>
      </c>
      <c r="E213" s="103" t="s">
        <v>144</v>
      </c>
      <c r="F213" s="98">
        <v>733</v>
      </c>
      <c r="G213" s="98">
        <v>733</v>
      </c>
      <c r="H213" s="98">
        <v>733</v>
      </c>
      <c r="I213" s="98">
        <v>733</v>
      </c>
      <c r="J213" s="98">
        <v>733</v>
      </c>
      <c r="K213" s="98">
        <v>733</v>
      </c>
      <c r="L213" s="145" t="s">
        <v>461</v>
      </c>
      <c r="M213" s="146">
        <v>41640</v>
      </c>
    </row>
    <row r="214" spans="1:13" s="240" customFormat="1" ht="24" customHeight="1" x14ac:dyDescent="0.2">
      <c r="A214" s="150">
        <v>1102813241</v>
      </c>
      <c r="B214" s="102" t="s">
        <v>399</v>
      </c>
      <c r="C214" s="171">
        <f t="shared" si="3"/>
        <v>205</v>
      </c>
      <c r="D214" s="95">
        <v>2</v>
      </c>
      <c r="E214" s="103" t="s">
        <v>172</v>
      </c>
      <c r="F214" s="97">
        <v>581.22</v>
      </c>
      <c r="G214" s="97">
        <v>581.22</v>
      </c>
      <c r="H214" s="97">
        <v>581.22</v>
      </c>
      <c r="I214" s="97">
        <v>581.22</v>
      </c>
      <c r="J214" s="97">
        <v>581.22</v>
      </c>
      <c r="K214" s="97">
        <v>581.22</v>
      </c>
      <c r="L214" s="145" t="s">
        <v>461</v>
      </c>
      <c r="M214" s="146">
        <v>40909</v>
      </c>
    </row>
    <row r="215" spans="1:13" s="240" customFormat="1" ht="24" customHeight="1" x14ac:dyDescent="0.2">
      <c r="A215" s="144" t="s">
        <v>400</v>
      </c>
      <c r="B215" s="102" t="s">
        <v>401</v>
      </c>
      <c r="C215" s="171">
        <f t="shared" si="3"/>
        <v>206</v>
      </c>
      <c r="D215" s="95">
        <v>5</v>
      </c>
      <c r="E215" s="103" t="s">
        <v>199</v>
      </c>
      <c r="F215" s="96">
        <v>733.22</v>
      </c>
      <c r="G215" s="96">
        <v>733.22</v>
      </c>
      <c r="H215" s="96">
        <v>733.22</v>
      </c>
      <c r="I215" s="96">
        <v>733.22</v>
      </c>
      <c r="J215" s="96">
        <v>733.22</v>
      </c>
      <c r="K215" s="96">
        <v>733.22</v>
      </c>
      <c r="L215" s="145" t="s">
        <v>461</v>
      </c>
      <c r="M215" s="146">
        <v>40909</v>
      </c>
    </row>
    <row r="216" spans="1:13" s="240" customFormat="1" ht="24" customHeight="1" x14ac:dyDescent="0.2">
      <c r="A216" s="144">
        <v>1100093853</v>
      </c>
      <c r="B216" s="102" t="s">
        <v>515</v>
      </c>
      <c r="C216" s="171">
        <f t="shared" si="3"/>
        <v>207</v>
      </c>
      <c r="D216" s="95">
        <v>3</v>
      </c>
      <c r="E216" s="103" t="s">
        <v>226</v>
      </c>
      <c r="F216" s="100">
        <v>598.22</v>
      </c>
      <c r="G216" s="100">
        <v>598.22</v>
      </c>
      <c r="H216" s="100">
        <v>598.22</v>
      </c>
      <c r="I216" s="100">
        <v>598.22</v>
      </c>
      <c r="J216" s="100">
        <v>598.22</v>
      </c>
      <c r="K216" s="96">
        <v>0</v>
      </c>
      <c r="L216" s="241" t="s">
        <v>489</v>
      </c>
      <c r="M216" s="146"/>
    </row>
    <row r="217" spans="1:13" s="240" customFormat="1" ht="24" customHeight="1" x14ac:dyDescent="0.2">
      <c r="A217" s="144" t="s">
        <v>402</v>
      </c>
      <c r="B217" s="102" t="s">
        <v>403</v>
      </c>
      <c r="C217" s="171">
        <f t="shared" si="3"/>
        <v>208</v>
      </c>
      <c r="D217" s="95">
        <v>1</v>
      </c>
      <c r="E217" s="103" t="s">
        <v>142</v>
      </c>
      <c r="F217" s="97">
        <v>565.22</v>
      </c>
      <c r="G217" s="97">
        <v>565.22</v>
      </c>
      <c r="H217" s="97">
        <v>565.22</v>
      </c>
      <c r="I217" s="97">
        <v>565.22</v>
      </c>
      <c r="J217" s="97">
        <v>565.22</v>
      </c>
      <c r="K217" s="97">
        <v>565.22</v>
      </c>
      <c r="L217" s="154" t="s">
        <v>461</v>
      </c>
      <c r="M217" s="146">
        <v>40909</v>
      </c>
    </row>
    <row r="218" spans="1:13" s="240" customFormat="1" ht="24" customHeight="1" x14ac:dyDescent="0.2">
      <c r="A218" s="150" t="s">
        <v>404</v>
      </c>
      <c r="B218" s="102" t="s">
        <v>405</v>
      </c>
      <c r="C218" s="171">
        <f t="shared" si="3"/>
        <v>209</v>
      </c>
      <c r="D218" s="95">
        <v>6</v>
      </c>
      <c r="E218" s="103" t="s">
        <v>179</v>
      </c>
      <c r="F218" s="97">
        <v>615.22</v>
      </c>
      <c r="G218" s="97">
        <v>615.22</v>
      </c>
      <c r="H218" s="97">
        <v>709</v>
      </c>
      <c r="I218" s="97">
        <v>709</v>
      </c>
      <c r="J218" s="97">
        <v>709</v>
      </c>
      <c r="K218" s="97">
        <v>709</v>
      </c>
      <c r="L218" s="145"/>
      <c r="M218" s="146">
        <v>40909</v>
      </c>
    </row>
    <row r="219" spans="1:13" s="240" customFormat="1" ht="24" customHeight="1" x14ac:dyDescent="0.2">
      <c r="A219" s="144">
        <v>1101431201</v>
      </c>
      <c r="B219" s="102" t="s">
        <v>406</v>
      </c>
      <c r="C219" s="171">
        <f t="shared" si="3"/>
        <v>210</v>
      </c>
      <c r="D219" s="95">
        <v>2</v>
      </c>
      <c r="E219" s="103" t="s">
        <v>162</v>
      </c>
      <c r="F219" s="97">
        <v>581.22</v>
      </c>
      <c r="G219" s="97">
        <v>581.22</v>
      </c>
      <c r="H219" s="97">
        <v>581.22</v>
      </c>
      <c r="I219" s="97">
        <v>581.22</v>
      </c>
      <c r="J219" s="97">
        <v>581.22</v>
      </c>
      <c r="K219" s="97">
        <v>581.22</v>
      </c>
      <c r="L219" s="145" t="s">
        <v>461</v>
      </c>
      <c r="M219" s="146">
        <v>40909</v>
      </c>
    </row>
    <row r="220" spans="1:13" s="240" customFormat="1" ht="24" customHeight="1" x14ac:dyDescent="0.2">
      <c r="A220" s="150">
        <v>1102798962</v>
      </c>
      <c r="B220" s="102" t="s">
        <v>407</v>
      </c>
      <c r="C220" s="171">
        <f t="shared" si="3"/>
        <v>211</v>
      </c>
      <c r="D220" s="95">
        <v>8</v>
      </c>
      <c r="E220" s="103" t="s">
        <v>408</v>
      </c>
      <c r="F220" s="97">
        <v>816.22</v>
      </c>
      <c r="G220" s="97">
        <v>816.22</v>
      </c>
      <c r="H220" s="97">
        <v>816.22</v>
      </c>
      <c r="I220" s="97">
        <v>816.22</v>
      </c>
      <c r="J220" s="97">
        <v>816.22</v>
      </c>
      <c r="K220" s="97">
        <v>816.22</v>
      </c>
      <c r="L220" s="145" t="s">
        <v>461</v>
      </c>
      <c r="M220" s="146">
        <v>40909</v>
      </c>
    </row>
    <row r="221" spans="1:13" s="240" customFormat="1" ht="24" customHeight="1" x14ac:dyDescent="0.2">
      <c r="A221" s="150">
        <v>1100868593</v>
      </c>
      <c r="B221" s="102" t="s">
        <v>409</v>
      </c>
      <c r="C221" s="171">
        <f t="shared" si="3"/>
        <v>212</v>
      </c>
      <c r="D221" s="95">
        <v>6</v>
      </c>
      <c r="E221" s="103" t="s">
        <v>179</v>
      </c>
      <c r="F221" s="97">
        <v>615.22</v>
      </c>
      <c r="G221" s="97">
        <v>615.22</v>
      </c>
      <c r="H221" s="97">
        <v>709</v>
      </c>
      <c r="I221" s="97">
        <v>709</v>
      </c>
      <c r="J221" s="97">
        <v>709</v>
      </c>
      <c r="K221" s="97">
        <v>709</v>
      </c>
      <c r="L221" s="145"/>
      <c r="M221" s="146">
        <v>40909</v>
      </c>
    </row>
    <row r="222" spans="1:13" s="240" customFormat="1" ht="24" customHeight="1" x14ac:dyDescent="0.2">
      <c r="A222" s="150">
        <v>1102750641</v>
      </c>
      <c r="B222" s="102" t="s">
        <v>410</v>
      </c>
      <c r="C222" s="171">
        <f t="shared" si="3"/>
        <v>213</v>
      </c>
      <c r="D222" s="95">
        <v>4</v>
      </c>
      <c r="E222" s="103" t="s">
        <v>147</v>
      </c>
      <c r="F222" s="97">
        <v>615.22</v>
      </c>
      <c r="G222" s="97">
        <v>615.22</v>
      </c>
      <c r="H222" s="97">
        <v>615.22</v>
      </c>
      <c r="I222" s="97">
        <v>615.22</v>
      </c>
      <c r="J222" s="97">
        <v>615.22</v>
      </c>
      <c r="K222" s="97">
        <v>615.22</v>
      </c>
      <c r="L222" s="145" t="s">
        <v>461</v>
      </c>
      <c r="M222" s="146">
        <v>40909</v>
      </c>
    </row>
    <row r="223" spans="1:13" s="240" customFormat="1" ht="24" customHeight="1" x14ac:dyDescent="0.2">
      <c r="A223" s="153">
        <v>1103106405</v>
      </c>
      <c r="B223" s="102" t="s">
        <v>411</v>
      </c>
      <c r="C223" s="171">
        <f t="shared" si="3"/>
        <v>214</v>
      </c>
      <c r="D223" s="95">
        <v>4</v>
      </c>
      <c r="E223" s="103" t="s">
        <v>147</v>
      </c>
      <c r="F223" s="98">
        <v>598</v>
      </c>
      <c r="G223" s="98">
        <v>598</v>
      </c>
      <c r="H223" s="98">
        <v>598</v>
      </c>
      <c r="I223" s="98">
        <v>598</v>
      </c>
      <c r="J223" s="98">
        <v>598</v>
      </c>
      <c r="K223" s="98">
        <v>598</v>
      </c>
      <c r="L223" s="145" t="s">
        <v>461</v>
      </c>
      <c r="M223" s="146">
        <v>41640</v>
      </c>
    </row>
    <row r="224" spans="1:13" s="240" customFormat="1" ht="24" customHeight="1" x14ac:dyDescent="0.2">
      <c r="A224" s="150">
        <v>1102361530</v>
      </c>
      <c r="B224" s="102" t="s">
        <v>412</v>
      </c>
      <c r="C224" s="171">
        <f t="shared" si="3"/>
        <v>215</v>
      </c>
      <c r="D224" s="95">
        <v>5</v>
      </c>
      <c r="E224" s="103" t="s">
        <v>253</v>
      </c>
      <c r="F224" s="96">
        <v>733.22</v>
      </c>
      <c r="G224" s="96">
        <v>733.22</v>
      </c>
      <c r="H224" s="96">
        <v>733.22</v>
      </c>
      <c r="I224" s="96">
        <v>733.22</v>
      </c>
      <c r="J224" s="96">
        <v>733.22</v>
      </c>
      <c r="K224" s="96">
        <v>733.22</v>
      </c>
      <c r="L224" s="145" t="s">
        <v>461</v>
      </c>
      <c r="M224" s="146">
        <v>40909</v>
      </c>
    </row>
    <row r="225" spans="1:13" s="240" customFormat="1" ht="36.75" customHeight="1" x14ac:dyDescent="0.2">
      <c r="A225" s="155">
        <v>1100249067</v>
      </c>
      <c r="B225" s="102" t="s">
        <v>413</v>
      </c>
      <c r="C225" s="171">
        <f t="shared" si="3"/>
        <v>216</v>
      </c>
      <c r="D225" s="95">
        <v>1</v>
      </c>
      <c r="E225" s="103" t="s">
        <v>139</v>
      </c>
      <c r="F225" s="97">
        <v>565.22</v>
      </c>
      <c r="G225" s="97">
        <v>565.22</v>
      </c>
      <c r="H225" s="97">
        <v>565.22</v>
      </c>
      <c r="I225" s="97">
        <v>565.22</v>
      </c>
      <c r="J225" s="97">
        <v>565.22</v>
      </c>
      <c r="K225" s="97">
        <v>0</v>
      </c>
      <c r="L225" s="241" t="s">
        <v>489</v>
      </c>
      <c r="M225" s="146">
        <v>40909</v>
      </c>
    </row>
    <row r="226" spans="1:13" s="240" customFormat="1" ht="24" customHeight="1" x14ac:dyDescent="0.2">
      <c r="A226" s="150">
        <v>1102982731</v>
      </c>
      <c r="B226" s="102" t="s">
        <v>414</v>
      </c>
      <c r="C226" s="171">
        <f t="shared" si="3"/>
        <v>217</v>
      </c>
      <c r="D226" s="95">
        <v>1</v>
      </c>
      <c r="E226" s="103" t="s">
        <v>142</v>
      </c>
      <c r="F226" s="97">
        <v>565.22</v>
      </c>
      <c r="G226" s="97">
        <v>565.22</v>
      </c>
      <c r="H226" s="97">
        <v>565.22</v>
      </c>
      <c r="I226" s="97">
        <v>565.22</v>
      </c>
      <c r="J226" s="97">
        <v>565.22</v>
      </c>
      <c r="K226" s="97">
        <v>565.22</v>
      </c>
      <c r="L226" s="198" t="s">
        <v>461</v>
      </c>
      <c r="M226" s="146">
        <v>40909</v>
      </c>
    </row>
    <row r="227" spans="1:13" s="240" customFormat="1" ht="24" customHeight="1" x14ac:dyDescent="0.2">
      <c r="A227" s="150">
        <v>1706738729</v>
      </c>
      <c r="B227" s="102" t="s">
        <v>415</v>
      </c>
      <c r="C227" s="171">
        <f t="shared" si="3"/>
        <v>218</v>
      </c>
      <c r="D227" s="95">
        <v>2</v>
      </c>
      <c r="E227" s="103" t="s">
        <v>416</v>
      </c>
      <c r="F227" s="96">
        <v>612.41999999999996</v>
      </c>
      <c r="G227" s="96">
        <v>612.41999999999996</v>
      </c>
      <c r="H227" s="96">
        <v>612.41999999999996</v>
      </c>
      <c r="I227" s="96">
        <v>612.41999999999996</v>
      </c>
      <c r="J227" s="96">
        <v>612.41999999999996</v>
      </c>
      <c r="K227" s="96">
        <v>612.41999999999996</v>
      </c>
      <c r="L227" s="145" t="s">
        <v>461</v>
      </c>
      <c r="M227" s="146">
        <v>40909</v>
      </c>
    </row>
    <row r="228" spans="1:13" s="240" customFormat="1" ht="24" customHeight="1" x14ac:dyDescent="0.2">
      <c r="A228" s="153">
        <v>1715677777</v>
      </c>
      <c r="B228" s="102" t="s">
        <v>417</v>
      </c>
      <c r="C228" s="171">
        <f t="shared" si="3"/>
        <v>219</v>
      </c>
      <c r="D228" s="95">
        <v>4</v>
      </c>
      <c r="E228" s="103" t="s">
        <v>147</v>
      </c>
      <c r="F228" s="98">
        <v>598</v>
      </c>
      <c r="G228" s="98">
        <v>598</v>
      </c>
      <c r="H228" s="98">
        <v>598</v>
      </c>
      <c r="I228" s="98">
        <v>598</v>
      </c>
      <c r="J228" s="98">
        <v>598</v>
      </c>
      <c r="K228" s="98">
        <v>598</v>
      </c>
      <c r="L228" s="145" t="s">
        <v>461</v>
      </c>
      <c r="M228" s="146">
        <v>41640</v>
      </c>
    </row>
    <row r="229" spans="1:13" s="240" customFormat="1" ht="24" customHeight="1" x14ac:dyDescent="0.2">
      <c r="A229" s="150">
        <v>1103041669</v>
      </c>
      <c r="B229" s="102" t="s">
        <v>418</v>
      </c>
      <c r="C229" s="171">
        <f t="shared" si="3"/>
        <v>220</v>
      </c>
      <c r="D229" s="95">
        <v>1</v>
      </c>
      <c r="E229" s="103" t="s">
        <v>163</v>
      </c>
      <c r="F229" s="97">
        <v>649.03</v>
      </c>
      <c r="G229" s="97">
        <v>649.03</v>
      </c>
      <c r="H229" s="97">
        <v>649.03</v>
      </c>
      <c r="I229" s="97">
        <v>649.03</v>
      </c>
      <c r="J229" s="97">
        <v>649.03</v>
      </c>
      <c r="K229" s="97">
        <v>649.03</v>
      </c>
      <c r="L229" s="145" t="s">
        <v>461</v>
      </c>
      <c r="M229" s="146">
        <v>40909</v>
      </c>
    </row>
    <row r="230" spans="1:13" s="240" customFormat="1" ht="24" customHeight="1" x14ac:dyDescent="0.2">
      <c r="A230" s="150">
        <v>1103169312</v>
      </c>
      <c r="B230" s="102" t="s">
        <v>419</v>
      </c>
      <c r="C230" s="171">
        <f t="shared" si="3"/>
        <v>221</v>
      </c>
      <c r="D230" s="95">
        <v>3</v>
      </c>
      <c r="E230" s="103" t="s">
        <v>226</v>
      </c>
      <c r="F230" s="96">
        <v>622.6</v>
      </c>
      <c r="G230" s="96">
        <v>622.6</v>
      </c>
      <c r="H230" s="96">
        <v>622.6</v>
      </c>
      <c r="I230" s="96">
        <v>622.6</v>
      </c>
      <c r="J230" s="96">
        <v>622.6</v>
      </c>
      <c r="K230" s="96">
        <v>622.6</v>
      </c>
      <c r="L230" s="145" t="s">
        <v>461</v>
      </c>
      <c r="M230" s="146">
        <v>40909</v>
      </c>
    </row>
    <row r="231" spans="1:13" s="240" customFormat="1" ht="24" customHeight="1" x14ac:dyDescent="0.2">
      <c r="A231" s="150">
        <v>1101979357</v>
      </c>
      <c r="B231" s="102" t="s">
        <v>420</v>
      </c>
      <c r="C231" s="171">
        <f t="shared" si="3"/>
        <v>222</v>
      </c>
      <c r="D231" s="95">
        <v>8</v>
      </c>
      <c r="E231" s="103" t="s">
        <v>408</v>
      </c>
      <c r="F231" s="97">
        <v>816.22</v>
      </c>
      <c r="G231" s="97">
        <v>816.22</v>
      </c>
      <c r="H231" s="97">
        <v>816.22</v>
      </c>
      <c r="I231" s="97">
        <v>816.22</v>
      </c>
      <c r="J231" s="97">
        <v>816.22</v>
      </c>
      <c r="K231" s="97">
        <v>816.22</v>
      </c>
      <c r="L231" s="145" t="s">
        <v>461</v>
      </c>
      <c r="M231" s="146">
        <v>40909</v>
      </c>
    </row>
    <row r="232" spans="1:13" s="240" customFormat="1" ht="24" customHeight="1" x14ac:dyDescent="0.2">
      <c r="A232" s="155">
        <v>1102662051</v>
      </c>
      <c r="B232" s="102" t="s">
        <v>421</v>
      </c>
      <c r="C232" s="171">
        <f t="shared" si="3"/>
        <v>223</v>
      </c>
      <c r="D232" s="95">
        <v>1</v>
      </c>
      <c r="E232" s="103" t="s">
        <v>160</v>
      </c>
      <c r="F232" s="97">
        <v>799.18</v>
      </c>
      <c r="G232" s="97">
        <v>799.18</v>
      </c>
      <c r="H232" s="97">
        <v>799.18</v>
      </c>
      <c r="I232" s="97">
        <v>799.18</v>
      </c>
      <c r="J232" s="97">
        <v>799.18</v>
      </c>
      <c r="K232" s="97">
        <v>799.18</v>
      </c>
      <c r="L232" s="145" t="s">
        <v>461</v>
      </c>
      <c r="M232" s="146">
        <v>40909</v>
      </c>
    </row>
    <row r="233" spans="1:13" s="240" customFormat="1" ht="24" customHeight="1" x14ac:dyDescent="0.2">
      <c r="A233" s="150">
        <v>1102704770</v>
      </c>
      <c r="B233" s="102" t="s">
        <v>422</v>
      </c>
      <c r="C233" s="171">
        <f t="shared" si="3"/>
        <v>224</v>
      </c>
      <c r="D233" s="95">
        <v>3</v>
      </c>
      <c r="E233" s="103" t="s">
        <v>226</v>
      </c>
      <c r="F233" s="96">
        <v>728.33</v>
      </c>
      <c r="G233" s="96">
        <v>728.33</v>
      </c>
      <c r="H233" s="96">
        <v>728.33</v>
      </c>
      <c r="I233" s="96">
        <v>728.33</v>
      </c>
      <c r="J233" s="96">
        <v>728.33</v>
      </c>
      <c r="K233" s="96">
        <v>728.33</v>
      </c>
      <c r="L233" s="145" t="s">
        <v>461</v>
      </c>
      <c r="M233" s="146">
        <v>40909</v>
      </c>
    </row>
    <row r="234" spans="1:13" s="240" customFormat="1" ht="24" customHeight="1" x14ac:dyDescent="0.2">
      <c r="A234" s="150">
        <v>1102740832</v>
      </c>
      <c r="B234" s="102" t="s">
        <v>423</v>
      </c>
      <c r="C234" s="171">
        <f t="shared" si="3"/>
        <v>225</v>
      </c>
      <c r="D234" s="95">
        <v>6</v>
      </c>
      <c r="E234" s="103" t="s">
        <v>179</v>
      </c>
      <c r="F234" s="97">
        <v>615.22</v>
      </c>
      <c r="G234" s="97">
        <v>615.22</v>
      </c>
      <c r="H234" s="97">
        <v>709</v>
      </c>
      <c r="I234" s="97">
        <v>709</v>
      </c>
      <c r="J234" s="97">
        <v>709</v>
      </c>
      <c r="K234" s="97">
        <v>709</v>
      </c>
      <c r="L234" s="145" t="s">
        <v>461</v>
      </c>
      <c r="M234" s="146">
        <v>40909</v>
      </c>
    </row>
    <row r="235" spans="1:13" s="240" customFormat="1" ht="24" customHeight="1" x14ac:dyDescent="0.2">
      <c r="A235" s="150">
        <v>1102681465</v>
      </c>
      <c r="B235" s="102" t="s">
        <v>424</v>
      </c>
      <c r="C235" s="171">
        <f t="shared" si="3"/>
        <v>226</v>
      </c>
      <c r="D235" s="95">
        <v>5</v>
      </c>
      <c r="E235" s="103" t="s">
        <v>425</v>
      </c>
      <c r="F235" s="96">
        <v>733.22</v>
      </c>
      <c r="G235" s="96">
        <v>733.22</v>
      </c>
      <c r="H235" s="96">
        <v>733.22</v>
      </c>
      <c r="I235" s="96">
        <v>733.22</v>
      </c>
      <c r="J235" s="96">
        <v>733.22</v>
      </c>
      <c r="K235" s="96">
        <v>733.22</v>
      </c>
      <c r="L235" s="145" t="s">
        <v>461</v>
      </c>
      <c r="M235" s="146">
        <v>40909</v>
      </c>
    </row>
    <row r="236" spans="1:13" s="240" customFormat="1" ht="24" customHeight="1" x14ac:dyDescent="0.2">
      <c r="A236" s="150">
        <v>1103412217</v>
      </c>
      <c r="B236" s="102" t="s">
        <v>426</v>
      </c>
      <c r="C236" s="171">
        <f t="shared" si="3"/>
        <v>227</v>
      </c>
      <c r="D236" s="95">
        <v>4</v>
      </c>
      <c r="E236" s="103" t="s">
        <v>189</v>
      </c>
      <c r="F236" s="97">
        <v>615.22</v>
      </c>
      <c r="G236" s="97">
        <v>615.22</v>
      </c>
      <c r="H236" s="97">
        <v>615.22</v>
      </c>
      <c r="I236" s="97">
        <v>615.22</v>
      </c>
      <c r="J236" s="97">
        <v>615.22</v>
      </c>
      <c r="K236" s="97">
        <v>615.22</v>
      </c>
      <c r="L236" s="145" t="s">
        <v>461</v>
      </c>
      <c r="M236" s="146">
        <v>40909</v>
      </c>
    </row>
    <row r="237" spans="1:13" s="240" customFormat="1" ht="24" customHeight="1" x14ac:dyDescent="0.2">
      <c r="A237" s="144">
        <v>1102646609</v>
      </c>
      <c r="B237" s="102" t="s">
        <v>427</v>
      </c>
      <c r="C237" s="171">
        <f t="shared" si="3"/>
        <v>228</v>
      </c>
      <c r="D237" s="95">
        <v>5</v>
      </c>
      <c r="E237" s="103" t="s">
        <v>195</v>
      </c>
      <c r="F237" s="96">
        <v>887.68</v>
      </c>
      <c r="G237" s="96">
        <v>887.68</v>
      </c>
      <c r="H237" s="96">
        <v>887.68</v>
      </c>
      <c r="I237" s="96">
        <v>887.68</v>
      </c>
      <c r="J237" s="96">
        <v>887.68</v>
      </c>
      <c r="K237" s="96">
        <v>887.68</v>
      </c>
      <c r="L237" s="145" t="s">
        <v>461</v>
      </c>
      <c r="M237" s="146">
        <v>40909</v>
      </c>
    </row>
    <row r="238" spans="1:13" s="240" customFormat="1" ht="24" customHeight="1" x14ac:dyDescent="0.2">
      <c r="A238" s="148">
        <v>1103698575</v>
      </c>
      <c r="B238" s="102" t="s">
        <v>428</v>
      </c>
      <c r="C238" s="171">
        <f t="shared" si="3"/>
        <v>229</v>
      </c>
      <c r="D238" s="95">
        <v>1</v>
      </c>
      <c r="E238" s="103" t="s">
        <v>183</v>
      </c>
      <c r="F238" s="98">
        <v>565</v>
      </c>
      <c r="G238" s="98">
        <v>565</v>
      </c>
      <c r="H238" s="98">
        <v>565</v>
      </c>
      <c r="I238" s="98">
        <v>565</v>
      </c>
      <c r="J238" s="98">
        <v>565</v>
      </c>
      <c r="K238" s="98">
        <v>565</v>
      </c>
      <c r="L238" s="154" t="s">
        <v>461</v>
      </c>
      <c r="M238" s="146">
        <v>41640</v>
      </c>
    </row>
    <row r="239" spans="1:13" s="240" customFormat="1" ht="24" customHeight="1" x14ac:dyDescent="0.2">
      <c r="A239" s="144">
        <v>1103547194</v>
      </c>
      <c r="B239" s="102" t="s">
        <v>429</v>
      </c>
      <c r="C239" s="171">
        <f t="shared" si="3"/>
        <v>230</v>
      </c>
      <c r="D239" s="95">
        <v>5</v>
      </c>
      <c r="E239" s="103" t="s">
        <v>140</v>
      </c>
      <c r="F239" s="96">
        <v>733.22</v>
      </c>
      <c r="G239" s="96">
        <v>733.22</v>
      </c>
      <c r="H239" s="96">
        <v>733.22</v>
      </c>
      <c r="I239" s="96">
        <v>733.22</v>
      </c>
      <c r="J239" s="96">
        <v>733.22</v>
      </c>
      <c r="K239" s="96">
        <v>733.22</v>
      </c>
      <c r="L239" s="145" t="s">
        <v>461</v>
      </c>
      <c r="M239" s="146">
        <v>40909</v>
      </c>
    </row>
    <row r="240" spans="1:13" s="240" customFormat="1" ht="24" customHeight="1" x14ac:dyDescent="0.2">
      <c r="A240" s="148">
        <v>1104631716</v>
      </c>
      <c r="B240" s="102" t="s">
        <v>430</v>
      </c>
      <c r="C240" s="171">
        <f t="shared" si="3"/>
        <v>231</v>
      </c>
      <c r="D240" s="95">
        <v>1</v>
      </c>
      <c r="E240" s="103" t="s">
        <v>183</v>
      </c>
      <c r="F240" s="98">
        <v>565</v>
      </c>
      <c r="G240" s="98">
        <v>565</v>
      </c>
      <c r="H240" s="98">
        <v>565</v>
      </c>
      <c r="I240" s="98">
        <v>565</v>
      </c>
      <c r="J240" s="98">
        <v>565</v>
      </c>
      <c r="K240" s="98">
        <v>565</v>
      </c>
      <c r="L240" s="145" t="s">
        <v>461</v>
      </c>
      <c r="M240" s="146">
        <v>41640</v>
      </c>
    </row>
    <row r="241" spans="1:13" s="240" customFormat="1" ht="24" customHeight="1" x14ac:dyDescent="0.2">
      <c r="A241" s="149">
        <v>1103836449</v>
      </c>
      <c r="B241" s="102" t="s">
        <v>431</v>
      </c>
      <c r="C241" s="171">
        <f t="shared" si="3"/>
        <v>232</v>
      </c>
      <c r="D241" s="95">
        <v>1</v>
      </c>
      <c r="E241" s="103" t="s">
        <v>163</v>
      </c>
      <c r="F241" s="97">
        <v>565.22</v>
      </c>
      <c r="G241" s="97">
        <v>565.22</v>
      </c>
      <c r="H241" s="97">
        <v>565.22</v>
      </c>
      <c r="I241" s="97">
        <v>565.22</v>
      </c>
      <c r="J241" s="97">
        <v>565.22</v>
      </c>
      <c r="K241" s="97">
        <v>565.22</v>
      </c>
      <c r="L241" s="145" t="s">
        <v>461</v>
      </c>
      <c r="M241" s="146">
        <v>40909</v>
      </c>
    </row>
    <row r="242" spans="1:13" s="240" customFormat="1" ht="24" customHeight="1" x14ac:dyDescent="0.2">
      <c r="A242" s="150">
        <v>1101891735</v>
      </c>
      <c r="B242" s="102" t="s">
        <v>432</v>
      </c>
      <c r="C242" s="171">
        <f t="shared" si="3"/>
        <v>233</v>
      </c>
      <c r="D242" s="95">
        <v>5</v>
      </c>
      <c r="E242" s="103" t="s">
        <v>195</v>
      </c>
      <c r="F242" s="96">
        <v>920.53</v>
      </c>
      <c r="G242" s="96">
        <v>920.53</v>
      </c>
      <c r="H242" s="96">
        <v>920.53</v>
      </c>
      <c r="I242" s="96">
        <v>920.53</v>
      </c>
      <c r="J242" s="96">
        <v>920.53</v>
      </c>
      <c r="K242" s="96">
        <v>920.53</v>
      </c>
      <c r="L242" s="145" t="s">
        <v>461</v>
      </c>
      <c r="M242" s="146">
        <v>40909</v>
      </c>
    </row>
    <row r="243" spans="1:13" s="240" customFormat="1" ht="24" customHeight="1" x14ac:dyDescent="0.2">
      <c r="A243" s="144" t="s">
        <v>433</v>
      </c>
      <c r="B243" s="102" t="s">
        <v>434</v>
      </c>
      <c r="C243" s="171">
        <f t="shared" si="3"/>
        <v>234</v>
      </c>
      <c r="D243" s="95">
        <v>1</v>
      </c>
      <c r="E243" s="103" t="s">
        <v>139</v>
      </c>
      <c r="F243" s="97">
        <v>565.22</v>
      </c>
      <c r="G243" s="97">
        <v>565.22</v>
      </c>
      <c r="H243" s="97">
        <v>565.22</v>
      </c>
      <c r="I243" s="97">
        <v>565.22</v>
      </c>
      <c r="J243" s="97">
        <v>565.22</v>
      </c>
      <c r="K243" s="97">
        <v>565.22</v>
      </c>
      <c r="L243" s="145" t="s">
        <v>461</v>
      </c>
      <c r="M243" s="146">
        <v>40909</v>
      </c>
    </row>
    <row r="244" spans="1:13" s="240" customFormat="1" ht="24" customHeight="1" x14ac:dyDescent="0.2">
      <c r="A244" s="148">
        <v>1100431699</v>
      </c>
      <c r="B244" s="102" t="s">
        <v>435</v>
      </c>
      <c r="C244" s="171">
        <f t="shared" si="3"/>
        <v>235</v>
      </c>
      <c r="D244" s="95">
        <v>3</v>
      </c>
      <c r="E244" s="103" t="s">
        <v>226</v>
      </c>
      <c r="F244" s="98">
        <v>598</v>
      </c>
      <c r="G244" s="98">
        <v>598</v>
      </c>
      <c r="H244" s="98">
        <v>598</v>
      </c>
      <c r="I244" s="98">
        <v>598</v>
      </c>
      <c r="J244" s="98">
        <v>598</v>
      </c>
      <c r="K244" s="98">
        <v>598</v>
      </c>
      <c r="L244" s="145" t="s">
        <v>461</v>
      </c>
      <c r="M244" s="146">
        <v>41640</v>
      </c>
    </row>
    <row r="245" spans="1:13" s="240" customFormat="1" ht="24" customHeight="1" x14ac:dyDescent="0.2">
      <c r="A245" s="144" t="s">
        <v>436</v>
      </c>
      <c r="B245" s="102" t="s">
        <v>437</v>
      </c>
      <c r="C245" s="171">
        <f t="shared" si="3"/>
        <v>236</v>
      </c>
      <c r="D245" s="95">
        <v>3</v>
      </c>
      <c r="E245" s="103" t="s">
        <v>226</v>
      </c>
      <c r="F245" s="97">
        <v>615.22</v>
      </c>
      <c r="G245" s="97">
        <v>615.22</v>
      </c>
      <c r="H245" s="97">
        <v>615.22</v>
      </c>
      <c r="I245" s="97">
        <v>615.22</v>
      </c>
      <c r="J245" s="97">
        <v>615.22</v>
      </c>
      <c r="K245" s="97">
        <v>615.22</v>
      </c>
      <c r="L245" s="145" t="s">
        <v>461</v>
      </c>
      <c r="M245" s="146">
        <v>40909</v>
      </c>
    </row>
    <row r="246" spans="1:13" s="240" customFormat="1" ht="24" customHeight="1" x14ac:dyDescent="0.2">
      <c r="A246" s="144">
        <v>1100625837</v>
      </c>
      <c r="B246" s="102" t="s">
        <v>516</v>
      </c>
      <c r="C246" s="171">
        <f t="shared" si="3"/>
        <v>237</v>
      </c>
      <c r="D246" s="95">
        <v>4</v>
      </c>
      <c r="E246" s="103" t="s">
        <v>517</v>
      </c>
      <c r="F246" s="242">
        <v>876</v>
      </c>
      <c r="G246" s="242">
        <v>876</v>
      </c>
      <c r="H246" s="242">
        <v>876</v>
      </c>
      <c r="I246" s="242">
        <v>876</v>
      </c>
      <c r="J246" s="242">
        <v>876</v>
      </c>
      <c r="K246" s="97">
        <v>0</v>
      </c>
      <c r="L246" s="241" t="s">
        <v>489</v>
      </c>
      <c r="M246" s="146">
        <v>40909</v>
      </c>
    </row>
    <row r="247" spans="1:13" s="240" customFormat="1" ht="24" customHeight="1" x14ac:dyDescent="0.2">
      <c r="A247" s="144">
        <v>1102557392</v>
      </c>
      <c r="B247" s="102" t="s">
        <v>438</v>
      </c>
      <c r="C247" s="171">
        <f t="shared" si="3"/>
        <v>238</v>
      </c>
      <c r="D247" s="95">
        <v>5</v>
      </c>
      <c r="E247" s="103" t="s">
        <v>195</v>
      </c>
      <c r="F247" s="96">
        <v>733.22</v>
      </c>
      <c r="G247" s="96">
        <v>733.22</v>
      </c>
      <c r="H247" s="96">
        <v>733.22</v>
      </c>
      <c r="I247" s="96">
        <v>733.22</v>
      </c>
      <c r="J247" s="96">
        <v>733.22</v>
      </c>
      <c r="K247" s="96">
        <v>733.22</v>
      </c>
      <c r="L247" s="145" t="s">
        <v>461</v>
      </c>
      <c r="M247" s="146">
        <v>40909</v>
      </c>
    </row>
    <row r="248" spans="1:13" s="240" customFormat="1" ht="24" customHeight="1" x14ac:dyDescent="0.2">
      <c r="A248" s="144">
        <v>1100784519</v>
      </c>
      <c r="B248" s="102" t="s">
        <v>439</v>
      </c>
      <c r="C248" s="171">
        <f t="shared" si="3"/>
        <v>239</v>
      </c>
      <c r="D248" s="95">
        <v>5</v>
      </c>
      <c r="E248" s="103" t="s">
        <v>199</v>
      </c>
      <c r="F248" s="96">
        <v>733.22</v>
      </c>
      <c r="G248" s="96">
        <v>733.22</v>
      </c>
      <c r="H248" s="96">
        <v>733.22</v>
      </c>
      <c r="I248" s="96">
        <v>733.22</v>
      </c>
      <c r="J248" s="96">
        <v>733.22</v>
      </c>
      <c r="K248" s="96">
        <v>733.22</v>
      </c>
      <c r="L248" s="145" t="s">
        <v>461</v>
      </c>
      <c r="M248" s="146">
        <v>40909</v>
      </c>
    </row>
    <row r="249" spans="1:13" s="240" customFormat="1" ht="24" customHeight="1" x14ac:dyDescent="0.2">
      <c r="A249" s="144">
        <v>1101713723</v>
      </c>
      <c r="B249" s="102" t="s">
        <v>518</v>
      </c>
      <c r="C249" s="171">
        <f t="shared" si="3"/>
        <v>240</v>
      </c>
      <c r="D249" s="95">
        <v>4</v>
      </c>
      <c r="E249" s="103" t="s">
        <v>517</v>
      </c>
      <c r="F249" s="242">
        <v>728.33</v>
      </c>
      <c r="G249" s="242">
        <v>728.33</v>
      </c>
      <c r="H249" s="242">
        <v>728.33</v>
      </c>
      <c r="I249" s="242">
        <v>728.33</v>
      </c>
      <c r="J249" s="242">
        <v>728.33</v>
      </c>
      <c r="K249" s="96">
        <v>0</v>
      </c>
      <c r="L249" s="241" t="s">
        <v>489</v>
      </c>
      <c r="M249" s="146"/>
    </row>
    <row r="250" spans="1:13" s="240" customFormat="1" ht="24" customHeight="1" x14ac:dyDescent="0.2">
      <c r="A250" s="144">
        <v>1102292925</v>
      </c>
      <c r="B250" s="102" t="s">
        <v>440</v>
      </c>
      <c r="C250" s="171">
        <f t="shared" si="3"/>
        <v>241</v>
      </c>
      <c r="D250" s="95">
        <v>4</v>
      </c>
      <c r="E250" s="103" t="s">
        <v>147</v>
      </c>
      <c r="F250" s="97">
        <v>615.22</v>
      </c>
      <c r="G250" s="97">
        <v>615.22</v>
      </c>
      <c r="H250" s="97">
        <v>615.22</v>
      </c>
      <c r="I250" s="97">
        <v>615.22</v>
      </c>
      <c r="J250" s="97">
        <v>615.22</v>
      </c>
      <c r="K250" s="97">
        <v>615.22</v>
      </c>
      <c r="L250" s="154" t="s">
        <v>461</v>
      </c>
      <c r="M250" s="146">
        <v>40909</v>
      </c>
    </row>
    <row r="251" spans="1:13" s="240" customFormat="1" ht="24" customHeight="1" x14ac:dyDescent="0.2">
      <c r="A251" s="150">
        <v>1101070306</v>
      </c>
      <c r="B251" s="102" t="s">
        <v>441</v>
      </c>
      <c r="C251" s="171">
        <f t="shared" si="3"/>
        <v>242</v>
      </c>
      <c r="D251" s="95">
        <v>4</v>
      </c>
      <c r="E251" s="103" t="s">
        <v>147</v>
      </c>
      <c r="F251" s="96">
        <v>902.33</v>
      </c>
      <c r="G251" s="96">
        <v>902.33</v>
      </c>
      <c r="H251" s="96">
        <v>902.33</v>
      </c>
      <c r="I251" s="96">
        <v>902.33</v>
      </c>
      <c r="J251" s="96">
        <v>902.33</v>
      </c>
      <c r="K251" s="96">
        <v>902.33</v>
      </c>
      <c r="L251" s="145" t="s">
        <v>461</v>
      </c>
      <c r="M251" s="146">
        <v>40909</v>
      </c>
    </row>
    <row r="252" spans="1:13" s="240" customFormat="1" ht="24" customHeight="1" x14ac:dyDescent="0.2">
      <c r="A252" s="153">
        <v>1708999337</v>
      </c>
      <c r="B252" s="102" t="s">
        <v>442</v>
      </c>
      <c r="C252" s="171">
        <f t="shared" si="3"/>
        <v>243</v>
      </c>
      <c r="D252" s="95">
        <v>3</v>
      </c>
      <c r="E252" s="103" t="s">
        <v>226</v>
      </c>
      <c r="F252" s="98">
        <v>598</v>
      </c>
      <c r="G252" s="98">
        <v>598</v>
      </c>
      <c r="H252" s="98">
        <v>598</v>
      </c>
      <c r="I252" s="98">
        <v>598</v>
      </c>
      <c r="J252" s="98">
        <v>598</v>
      </c>
      <c r="K252" s="98">
        <v>598</v>
      </c>
      <c r="L252" s="145" t="s">
        <v>461</v>
      </c>
      <c r="M252" s="146">
        <v>41640</v>
      </c>
    </row>
    <row r="253" spans="1:13" s="240" customFormat="1" ht="24" customHeight="1" x14ac:dyDescent="0.2">
      <c r="A253" s="150">
        <v>1706777719</v>
      </c>
      <c r="B253" s="102" t="s">
        <v>443</v>
      </c>
      <c r="C253" s="171">
        <f t="shared" si="3"/>
        <v>244</v>
      </c>
      <c r="D253" s="95">
        <v>1</v>
      </c>
      <c r="E253" s="103" t="s">
        <v>166</v>
      </c>
      <c r="F253" s="97">
        <v>565.22</v>
      </c>
      <c r="G253" s="97">
        <v>565.22</v>
      </c>
      <c r="H253" s="97">
        <v>565.22</v>
      </c>
      <c r="I253" s="97">
        <v>565.22</v>
      </c>
      <c r="J253" s="97">
        <v>565.22</v>
      </c>
      <c r="K253" s="97">
        <v>565.22</v>
      </c>
      <c r="L253" s="145" t="s">
        <v>461</v>
      </c>
      <c r="M253" s="146">
        <v>40909</v>
      </c>
    </row>
    <row r="254" spans="1:13" s="240" customFormat="1" ht="24" customHeight="1" x14ac:dyDescent="0.2">
      <c r="A254" s="150">
        <v>1102024393</v>
      </c>
      <c r="B254" s="102" t="s">
        <v>444</v>
      </c>
      <c r="C254" s="171">
        <f t="shared" si="3"/>
        <v>245</v>
      </c>
      <c r="D254" s="95">
        <v>1</v>
      </c>
      <c r="E254" s="103" t="s">
        <v>152</v>
      </c>
      <c r="F254" s="97">
        <v>565.22</v>
      </c>
      <c r="G254" s="97">
        <v>565.22</v>
      </c>
      <c r="H254" s="97">
        <v>565.22</v>
      </c>
      <c r="I254" s="97">
        <v>565.22</v>
      </c>
      <c r="J254" s="97">
        <v>565.22</v>
      </c>
      <c r="K254" s="97">
        <v>565.22</v>
      </c>
      <c r="L254" s="154" t="s">
        <v>461</v>
      </c>
      <c r="M254" s="146">
        <v>40909</v>
      </c>
    </row>
    <row r="255" spans="1:13" s="240" customFormat="1" ht="24" customHeight="1" x14ac:dyDescent="0.2">
      <c r="A255" s="144">
        <v>1102739099</v>
      </c>
      <c r="B255" s="102" t="s">
        <v>445</v>
      </c>
      <c r="C255" s="171">
        <f t="shared" si="3"/>
        <v>246</v>
      </c>
      <c r="D255" s="95">
        <v>4</v>
      </c>
      <c r="E255" s="103" t="s">
        <v>147</v>
      </c>
      <c r="F255" s="97">
        <v>615.22</v>
      </c>
      <c r="G255" s="97">
        <v>615.22</v>
      </c>
      <c r="H255" s="97">
        <v>615.22</v>
      </c>
      <c r="I255" s="97">
        <v>615.22</v>
      </c>
      <c r="J255" s="97">
        <v>615.22</v>
      </c>
      <c r="K255" s="97">
        <v>615.22</v>
      </c>
      <c r="L255" s="145" t="s">
        <v>461</v>
      </c>
      <c r="M255" s="146">
        <v>40909</v>
      </c>
    </row>
    <row r="256" spans="1:13" s="240" customFormat="1" ht="24" customHeight="1" x14ac:dyDescent="0.2">
      <c r="A256" s="150">
        <v>1101932638</v>
      </c>
      <c r="B256" s="102" t="s">
        <v>446</v>
      </c>
      <c r="C256" s="171">
        <f t="shared" si="3"/>
        <v>247</v>
      </c>
      <c r="D256" s="95">
        <v>9</v>
      </c>
      <c r="E256" s="103" t="s">
        <v>447</v>
      </c>
      <c r="F256" s="96">
        <v>868.08</v>
      </c>
      <c r="G256" s="96">
        <v>868.08</v>
      </c>
      <c r="H256" s="96">
        <v>868.08</v>
      </c>
      <c r="I256" s="96">
        <v>868.08</v>
      </c>
      <c r="J256" s="96">
        <v>868.08</v>
      </c>
      <c r="K256" s="96">
        <v>868.08</v>
      </c>
      <c r="L256" s="145" t="s">
        <v>461</v>
      </c>
      <c r="M256" s="146">
        <v>40909</v>
      </c>
    </row>
    <row r="257" spans="1:13" s="240" customFormat="1" ht="24" customHeight="1" x14ac:dyDescent="0.2">
      <c r="A257" s="150">
        <v>1304998519</v>
      </c>
      <c r="B257" s="102" t="s">
        <v>519</v>
      </c>
      <c r="C257" s="171">
        <f t="shared" si="3"/>
        <v>248</v>
      </c>
      <c r="D257" s="95">
        <v>4</v>
      </c>
      <c r="E257" s="103" t="s">
        <v>189</v>
      </c>
      <c r="F257" s="242">
        <v>628.66999999999996</v>
      </c>
      <c r="G257" s="242">
        <v>628.66999999999996</v>
      </c>
      <c r="H257" s="242">
        <v>628.66999999999996</v>
      </c>
      <c r="I257" s="96">
        <v>0</v>
      </c>
      <c r="J257" s="96">
        <v>0</v>
      </c>
      <c r="K257" s="96">
        <v>0</v>
      </c>
      <c r="L257" s="145" t="s">
        <v>508</v>
      </c>
      <c r="M257" s="146"/>
    </row>
    <row r="258" spans="1:13" s="240" customFormat="1" ht="24" customHeight="1" x14ac:dyDescent="0.2">
      <c r="A258" s="150">
        <v>1102363981</v>
      </c>
      <c r="B258" s="102" t="s">
        <v>520</v>
      </c>
      <c r="C258" s="171">
        <f t="shared" si="3"/>
        <v>249</v>
      </c>
      <c r="D258" s="95"/>
      <c r="E258" s="103" t="s">
        <v>235</v>
      </c>
      <c r="F258" s="96">
        <v>766.22</v>
      </c>
      <c r="G258" s="96">
        <v>766.22</v>
      </c>
      <c r="H258" s="96">
        <v>766.22</v>
      </c>
      <c r="I258" s="96">
        <v>766.22</v>
      </c>
      <c r="J258" s="96">
        <v>766.22</v>
      </c>
      <c r="K258" s="96">
        <v>0</v>
      </c>
      <c r="L258" s="145" t="s">
        <v>501</v>
      </c>
      <c r="M258" s="146"/>
    </row>
    <row r="259" spans="1:13" s="240" customFormat="1" ht="24" customHeight="1" x14ac:dyDescent="0.2">
      <c r="A259" s="150">
        <v>1102069083</v>
      </c>
      <c r="B259" s="102" t="s">
        <v>448</v>
      </c>
      <c r="C259" s="171">
        <f t="shared" si="3"/>
        <v>250</v>
      </c>
      <c r="D259" s="95">
        <v>8</v>
      </c>
      <c r="E259" s="103" t="s">
        <v>449</v>
      </c>
      <c r="F259" s="97">
        <v>816.22</v>
      </c>
      <c r="G259" s="97">
        <v>816.22</v>
      </c>
      <c r="H259" s="97">
        <v>816.22</v>
      </c>
      <c r="I259" s="97">
        <v>816.22</v>
      </c>
      <c r="J259" s="97">
        <v>816.22</v>
      </c>
      <c r="K259" s="97">
        <v>816.22</v>
      </c>
      <c r="L259" s="145" t="s">
        <v>461</v>
      </c>
      <c r="M259" s="146">
        <v>40909</v>
      </c>
    </row>
    <row r="260" spans="1:13" s="240" customFormat="1" ht="24" customHeight="1" x14ac:dyDescent="0.2">
      <c r="A260" s="150" t="s">
        <v>521</v>
      </c>
      <c r="B260" s="102" t="s">
        <v>522</v>
      </c>
      <c r="C260" s="171">
        <f t="shared" si="3"/>
        <v>251</v>
      </c>
      <c r="D260" s="243">
        <v>4</v>
      </c>
      <c r="E260" s="103" t="s">
        <v>147</v>
      </c>
      <c r="F260" s="242">
        <v>876</v>
      </c>
      <c r="G260" s="242">
        <v>876</v>
      </c>
      <c r="H260" s="97">
        <v>0</v>
      </c>
      <c r="I260" s="97">
        <v>0</v>
      </c>
      <c r="J260" s="97">
        <v>0</v>
      </c>
      <c r="K260" s="100">
        <v>0</v>
      </c>
      <c r="L260" s="241" t="s">
        <v>493</v>
      </c>
      <c r="M260" s="146"/>
    </row>
    <row r="261" spans="1:13" s="240" customFormat="1" ht="24" customHeight="1" x14ac:dyDescent="0.2">
      <c r="A261" s="163">
        <v>1102762216</v>
      </c>
      <c r="B261" s="102" t="s">
        <v>450</v>
      </c>
      <c r="C261" s="171">
        <f t="shared" si="3"/>
        <v>252</v>
      </c>
      <c r="D261" s="110">
        <v>2</v>
      </c>
      <c r="E261" s="103" t="s">
        <v>238</v>
      </c>
      <c r="F261" s="97">
        <v>581.22</v>
      </c>
      <c r="G261" s="97">
        <v>581.22</v>
      </c>
      <c r="H261" s="99">
        <v>581.22</v>
      </c>
      <c r="I261" s="99">
        <v>581.22</v>
      </c>
      <c r="J261" s="99">
        <v>581.22</v>
      </c>
      <c r="K261" s="99">
        <v>581.22</v>
      </c>
      <c r="L261" s="145" t="s">
        <v>461</v>
      </c>
      <c r="M261" s="146">
        <v>40909</v>
      </c>
    </row>
    <row r="262" spans="1:13" s="240" customFormat="1" ht="24" customHeight="1" thickBot="1" x14ac:dyDescent="0.25">
      <c r="A262" s="163">
        <v>1103474159</v>
      </c>
      <c r="B262" s="102" t="s">
        <v>451</v>
      </c>
      <c r="C262" s="171">
        <f t="shared" si="3"/>
        <v>253</v>
      </c>
      <c r="D262" s="110">
        <v>1</v>
      </c>
      <c r="E262" s="103" t="s">
        <v>160</v>
      </c>
      <c r="F262" s="244">
        <v>596.30999999999995</v>
      </c>
      <c r="G262" s="244">
        <v>596.30999999999995</v>
      </c>
      <c r="H262" s="100">
        <v>596.30999999999995</v>
      </c>
      <c r="I262" s="100">
        <v>596.30999999999995</v>
      </c>
      <c r="J262" s="100">
        <v>596.30999999999995</v>
      </c>
      <c r="K262" s="100">
        <v>596.30999999999995</v>
      </c>
      <c r="L262" s="145" t="s">
        <v>461</v>
      </c>
      <c r="M262" s="146">
        <v>40909</v>
      </c>
    </row>
    <row r="263" spans="1:13" ht="15.95" customHeight="1" thickBot="1" x14ac:dyDescent="0.25">
      <c r="A263" s="245"/>
      <c r="B263" s="245"/>
      <c r="C263" s="245"/>
      <c r="D263" s="245"/>
      <c r="E263" s="245" t="s">
        <v>18</v>
      </c>
      <c r="F263" s="245">
        <f>SUM(F10:F262)</f>
        <v>165716.50000000012</v>
      </c>
      <c r="G263" s="245">
        <f t="shared" ref="G263:K263" si="4">SUM(G10:G262)</f>
        <v>162824.62000000011</v>
      </c>
      <c r="H263" s="245">
        <f t="shared" si="4"/>
        <v>162344.52000000011</v>
      </c>
      <c r="I263" s="245">
        <f t="shared" si="4"/>
        <v>158896.24000000011</v>
      </c>
      <c r="J263" s="245">
        <f t="shared" si="4"/>
        <v>158315.02000000011</v>
      </c>
      <c r="K263" s="245">
        <f t="shared" si="4"/>
        <v>150140.33000000007</v>
      </c>
      <c r="L263" s="245"/>
      <c r="M263" s="245"/>
    </row>
    <row r="264" spans="1:13" ht="20.25" customHeight="1" thickBot="1" x14ac:dyDescent="0.25">
      <c r="A264" s="136"/>
      <c r="B264" s="160"/>
      <c r="C264" s="136"/>
      <c r="D264" s="136"/>
      <c r="E264" s="245" t="s">
        <v>523</v>
      </c>
      <c r="F264" s="245">
        <f>+F263*12</f>
        <v>1988598.0000000014</v>
      </c>
      <c r="G264" s="245">
        <f t="shared" ref="G264:K264" si="5">+G263*12</f>
        <v>1953895.4400000013</v>
      </c>
      <c r="H264" s="245">
        <f t="shared" si="5"/>
        <v>1948134.2400000012</v>
      </c>
      <c r="I264" s="245">
        <f t="shared" si="5"/>
        <v>1906754.8800000013</v>
      </c>
      <c r="J264" s="245">
        <f t="shared" si="5"/>
        <v>1899780.2400000012</v>
      </c>
      <c r="K264" s="245">
        <f t="shared" si="5"/>
        <v>1801683.9600000009</v>
      </c>
      <c r="L264" s="139"/>
    </row>
    <row r="265" spans="1:13" ht="15.95" customHeight="1" x14ac:dyDescent="0.2">
      <c r="A265" s="60" t="s">
        <v>470</v>
      </c>
      <c r="B265" s="160"/>
      <c r="C265" s="136"/>
      <c r="D265" s="136"/>
      <c r="E265" s="137"/>
      <c r="F265" s="137"/>
      <c r="G265" s="138"/>
      <c r="H265" s="138"/>
      <c r="I265" s="138"/>
      <c r="J265" s="138"/>
      <c r="K265" s="138"/>
      <c r="L265" s="139"/>
    </row>
    <row r="266" spans="1:13" ht="15.95" customHeight="1" x14ac:dyDescent="0.2">
      <c r="A266" s="60" t="s">
        <v>471</v>
      </c>
      <c r="B266" s="160"/>
      <c r="C266" s="136"/>
      <c r="D266" s="136"/>
      <c r="E266" s="137"/>
      <c r="F266" s="137"/>
      <c r="G266" s="138"/>
      <c r="H266" s="138"/>
      <c r="I266" s="138"/>
      <c r="J266" s="138"/>
      <c r="K266" s="138"/>
      <c r="L266" s="139"/>
    </row>
    <row r="267" spans="1:13" ht="15" customHeight="1" x14ac:dyDescent="0.2">
      <c r="A267" s="60" t="s">
        <v>121</v>
      </c>
      <c r="B267" s="161"/>
      <c r="C267" s="50"/>
      <c r="D267" s="50"/>
      <c r="E267" s="50"/>
      <c r="F267" s="50"/>
      <c r="G267" s="50"/>
      <c r="H267" s="50"/>
      <c r="I267" s="50"/>
      <c r="J267" s="50"/>
      <c r="K267" s="50"/>
    </row>
    <row r="268" spans="1:13" ht="22.5" customHeight="1" x14ac:dyDescent="0.2">
      <c r="A268" s="213" t="s">
        <v>472</v>
      </c>
      <c r="B268" s="213"/>
      <c r="C268" s="213"/>
      <c r="D268" s="213"/>
      <c r="E268" s="213"/>
      <c r="F268" s="213"/>
      <c r="G268" s="213"/>
      <c r="H268" s="213"/>
      <c r="I268" s="213"/>
      <c r="J268" s="213"/>
      <c r="K268" s="213"/>
      <c r="L268" s="213"/>
    </row>
    <row r="269" spans="1:13" ht="15.95" customHeight="1" x14ac:dyDescent="0.2">
      <c r="A269" s="50"/>
      <c r="B269" s="161"/>
      <c r="C269" s="50"/>
      <c r="D269" s="50"/>
      <c r="E269" s="50"/>
      <c r="F269" s="50"/>
      <c r="G269" s="50"/>
      <c r="H269" s="50"/>
      <c r="I269" s="50"/>
      <c r="J269" s="50"/>
      <c r="K269" s="50"/>
    </row>
    <row r="270" spans="1:13" ht="3.75" customHeight="1" x14ac:dyDescent="0.2">
      <c r="A270" s="50"/>
      <c r="B270" s="161"/>
      <c r="C270" s="50"/>
      <c r="D270" s="50"/>
      <c r="E270" s="50"/>
      <c r="F270" s="50"/>
      <c r="G270" s="50"/>
      <c r="H270" s="50"/>
      <c r="I270" s="50"/>
      <c r="J270" s="50"/>
      <c r="K270" s="50"/>
    </row>
    <row r="271" spans="1:13" ht="15.95" customHeight="1" x14ac:dyDescent="0.2">
      <c r="A271" s="50"/>
      <c r="B271" s="161"/>
      <c r="C271" s="50"/>
      <c r="D271" s="50"/>
      <c r="E271" s="50"/>
      <c r="F271" s="50"/>
      <c r="G271" s="199"/>
      <c r="H271" s="199"/>
      <c r="I271" s="199"/>
      <c r="J271" s="199"/>
      <c r="K271" s="199"/>
    </row>
    <row r="272" spans="1:13" ht="15.95" customHeight="1" x14ac:dyDescent="0.2">
      <c r="A272" s="2"/>
      <c r="B272" s="161"/>
      <c r="D272" s="50"/>
      <c r="H272" s="50"/>
      <c r="I272" s="50"/>
      <c r="J272" s="50"/>
      <c r="K272" s="50"/>
    </row>
    <row r="273" spans="1:13" ht="15.95" customHeight="1" x14ac:dyDescent="0.25">
      <c r="A273" s="2"/>
      <c r="B273" s="200" t="s">
        <v>474</v>
      </c>
      <c r="C273" s="200"/>
      <c r="D273" s="200"/>
      <c r="E273" s="50"/>
      <c r="F273" s="50"/>
      <c r="G273" s="104"/>
      <c r="H273" s="105"/>
      <c r="I273" s="105"/>
      <c r="J273" s="105"/>
      <c r="K273" s="105"/>
    </row>
    <row r="274" spans="1:13" ht="14.25" customHeight="1" x14ac:dyDescent="0.25">
      <c r="A274" s="2"/>
      <c r="B274" s="214" t="s">
        <v>473</v>
      </c>
      <c r="C274" s="214"/>
      <c r="D274" s="214"/>
      <c r="E274" s="106"/>
      <c r="F274" s="106"/>
      <c r="G274" s="107"/>
      <c r="H274" s="107"/>
      <c r="I274" s="107"/>
      <c r="J274" s="107"/>
      <c r="K274" s="107"/>
    </row>
    <row r="275" spans="1:13" ht="15" x14ac:dyDescent="0.25">
      <c r="A275" s="2"/>
      <c r="B275" s="214" t="s">
        <v>524</v>
      </c>
      <c r="C275" s="214"/>
      <c r="D275" s="214"/>
    </row>
    <row r="276" spans="1:13" ht="15" x14ac:dyDescent="0.25">
      <c r="A276" s="2"/>
      <c r="B276" s="201" t="s">
        <v>119</v>
      </c>
      <c r="C276" s="50"/>
      <c r="D276" s="50"/>
    </row>
    <row r="281" spans="1:13" s="54" customFormat="1" x14ac:dyDescent="0.2">
      <c r="B281" s="161"/>
      <c r="L281" s="2"/>
      <c r="M281" s="2"/>
    </row>
    <row r="282" spans="1:13" s="54" customFormat="1" x14ac:dyDescent="0.2">
      <c r="B282" s="164"/>
      <c r="L282" s="2"/>
      <c r="M282" s="2"/>
    </row>
    <row r="283" spans="1:13" s="54" customFormat="1" x14ac:dyDescent="0.2">
      <c r="B283" s="161"/>
      <c r="L283" s="2"/>
      <c r="M283" s="2"/>
    </row>
  </sheetData>
  <mergeCells count="6">
    <mergeCell ref="B275:D275"/>
    <mergeCell ref="A1:H1"/>
    <mergeCell ref="A2:H2"/>
    <mergeCell ref="A3:H3"/>
    <mergeCell ref="A268:L268"/>
    <mergeCell ref="B274:D274"/>
  </mergeCells>
  <printOptions horizontalCentered="1"/>
  <pageMargins left="0.17604166666666668" right="0.13541666666666666" top="0.42656250000000001" bottom="0.27083333333333331" header="0" footer="0"/>
  <pageSetup paperSize="9" scale="65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1"/>
  <sheetViews>
    <sheetView topLeftCell="A75" zoomScale="80" zoomScaleNormal="80" workbookViewId="0">
      <selection activeCell="D100" sqref="D100"/>
    </sheetView>
  </sheetViews>
  <sheetFormatPr baseColWidth="10" defaultRowHeight="15" x14ac:dyDescent="0.25"/>
  <cols>
    <col min="1" max="1" width="11.28515625" style="6" customWidth="1"/>
    <col min="2" max="2" width="48.140625" style="6" customWidth="1"/>
    <col min="3" max="8" width="16.5703125" style="6" customWidth="1"/>
    <col min="9" max="9" width="13" style="6" customWidth="1"/>
    <col min="10" max="16384" width="11.42578125" style="6"/>
  </cols>
  <sheetData>
    <row r="1" spans="1:9" ht="18.75" x14ac:dyDescent="0.3">
      <c r="A1" s="217" t="s">
        <v>114</v>
      </c>
      <c r="B1" s="217"/>
      <c r="C1" s="217"/>
      <c r="D1" s="217"/>
      <c r="E1" s="217"/>
      <c r="F1" s="217"/>
      <c r="G1" s="217"/>
      <c r="H1" s="217"/>
    </row>
    <row r="2" spans="1:9" ht="18.75" x14ac:dyDescent="0.3">
      <c r="A2" s="217" t="s">
        <v>36</v>
      </c>
      <c r="B2" s="217"/>
      <c r="C2" s="217"/>
      <c r="D2" s="217"/>
      <c r="E2" s="217"/>
      <c r="F2" s="217"/>
      <c r="G2" s="217"/>
      <c r="H2" s="217"/>
    </row>
    <row r="3" spans="1:9" ht="18.75" x14ac:dyDescent="0.3">
      <c r="A3" s="217" t="s">
        <v>465</v>
      </c>
      <c r="B3" s="217"/>
      <c r="C3" s="217"/>
      <c r="D3" s="217"/>
      <c r="E3" s="217"/>
      <c r="F3" s="217"/>
      <c r="G3" s="217"/>
      <c r="H3" s="217"/>
    </row>
    <row r="4" spans="1:9" ht="15.75" thickBot="1" x14ac:dyDescent="0.3">
      <c r="A4" s="218"/>
      <c r="B4" s="218"/>
      <c r="C4" s="218"/>
      <c r="D4" s="218"/>
      <c r="E4" s="218"/>
      <c r="F4" s="218"/>
      <c r="G4" s="218"/>
      <c r="H4" s="218"/>
    </row>
    <row r="5" spans="1:9" ht="15" customHeight="1" x14ac:dyDescent="0.25">
      <c r="A5" s="219" t="s">
        <v>37</v>
      </c>
      <c r="B5" s="220"/>
      <c r="C5" s="219" t="s">
        <v>38</v>
      </c>
      <c r="D5" s="220"/>
      <c r="E5" s="223"/>
      <c r="F5" s="219" t="s">
        <v>39</v>
      </c>
      <c r="G5" s="220"/>
      <c r="H5" s="223"/>
      <c r="I5" s="225" t="s">
        <v>128</v>
      </c>
    </row>
    <row r="6" spans="1:9" ht="15.75" customHeight="1" thickBot="1" x14ac:dyDescent="0.3">
      <c r="A6" s="221"/>
      <c r="B6" s="222"/>
      <c r="C6" s="221"/>
      <c r="D6" s="222"/>
      <c r="E6" s="224"/>
      <c r="F6" s="221"/>
      <c r="G6" s="222"/>
      <c r="H6" s="224"/>
      <c r="I6" s="226"/>
    </row>
    <row r="7" spans="1:9" ht="32.25" customHeight="1" thickBot="1" x14ac:dyDescent="0.3">
      <c r="A7" s="7" t="s">
        <v>40</v>
      </c>
      <c r="B7" s="8" t="s">
        <v>41</v>
      </c>
      <c r="C7" s="9">
        <v>2015</v>
      </c>
      <c r="D7" s="10">
        <v>2016</v>
      </c>
      <c r="E7" s="11">
        <v>2017</v>
      </c>
      <c r="F7" s="12" t="s">
        <v>480</v>
      </c>
      <c r="G7" s="12" t="s">
        <v>481</v>
      </c>
      <c r="H7" s="13" t="s">
        <v>482</v>
      </c>
      <c r="I7" s="227"/>
    </row>
    <row r="8" spans="1:9" ht="15.75" thickBot="1" x14ac:dyDescent="0.3">
      <c r="A8" s="215" t="s">
        <v>42</v>
      </c>
      <c r="B8" s="228"/>
      <c r="C8" s="185">
        <f t="shared" ref="C8:H8" si="0">+C9+C14+C19+C20+C21+C22</f>
        <v>96363.44</v>
      </c>
      <c r="D8" s="185">
        <f t="shared" si="0"/>
        <v>40401.320000000007</v>
      </c>
      <c r="E8" s="185">
        <f t="shared" si="0"/>
        <v>2878494.6399999997</v>
      </c>
      <c r="F8" s="185">
        <f t="shared" si="0"/>
        <v>3159453.3499999996</v>
      </c>
      <c r="G8" s="185">
        <f t="shared" si="0"/>
        <v>349076.83999999997</v>
      </c>
      <c r="H8" s="185">
        <f t="shared" si="0"/>
        <v>349077.83999999997</v>
      </c>
      <c r="I8" s="14"/>
    </row>
    <row r="9" spans="1:9" x14ac:dyDescent="0.25">
      <c r="A9" s="15">
        <v>11</v>
      </c>
      <c r="B9" s="16" t="s">
        <v>43</v>
      </c>
      <c r="C9" s="17"/>
      <c r="D9" s="17"/>
      <c r="E9" s="17"/>
      <c r="F9" s="17"/>
      <c r="G9" s="17"/>
      <c r="H9" s="17"/>
      <c r="I9" s="17"/>
    </row>
    <row r="10" spans="1:9" hidden="1" x14ac:dyDescent="0.25">
      <c r="A10" s="18">
        <v>1101</v>
      </c>
      <c r="B10" s="19" t="s">
        <v>44</v>
      </c>
      <c r="C10" s="17"/>
      <c r="D10" s="20"/>
      <c r="E10" s="17"/>
      <c r="F10" s="17"/>
      <c r="G10" s="17"/>
      <c r="H10" s="17"/>
      <c r="I10" s="23"/>
    </row>
    <row r="11" spans="1:9" hidden="1" x14ac:dyDescent="0.25">
      <c r="A11" s="18">
        <v>1102</v>
      </c>
      <c r="B11" s="19" t="s">
        <v>45</v>
      </c>
      <c r="C11" s="17"/>
      <c r="D11" s="20"/>
      <c r="E11" s="17"/>
      <c r="F11" s="17"/>
      <c r="G11" s="17"/>
      <c r="H11" s="17"/>
      <c r="I11" s="23"/>
    </row>
    <row r="12" spans="1:9" hidden="1" x14ac:dyDescent="0.25">
      <c r="A12" s="18">
        <v>1103</v>
      </c>
      <c r="B12" s="19" t="s">
        <v>46</v>
      </c>
      <c r="C12" s="17"/>
      <c r="D12" s="20"/>
      <c r="E12" s="17"/>
      <c r="F12" s="17"/>
      <c r="G12" s="17"/>
      <c r="H12" s="17"/>
      <c r="I12" s="23"/>
    </row>
    <row r="13" spans="1:9" hidden="1" x14ac:dyDescent="0.25">
      <c r="A13" s="18">
        <v>1107</v>
      </c>
      <c r="B13" s="19" t="s">
        <v>47</v>
      </c>
      <c r="C13" s="17"/>
      <c r="D13" s="20"/>
      <c r="E13" s="17"/>
      <c r="F13" s="17"/>
      <c r="G13" s="17"/>
      <c r="H13" s="17"/>
      <c r="I13" s="23"/>
    </row>
    <row r="14" spans="1:9" x14ac:dyDescent="0.25">
      <c r="A14" s="15">
        <v>13</v>
      </c>
      <c r="B14" s="24" t="s">
        <v>48</v>
      </c>
      <c r="C14" s="195">
        <f>SUM(C15:C18)</f>
        <v>2300</v>
      </c>
      <c r="D14" s="195">
        <f t="shared" ref="D14:H14" si="1">SUM(D15:D18)</f>
        <v>2100</v>
      </c>
      <c r="E14" s="195">
        <f t="shared" si="1"/>
        <v>2050</v>
      </c>
      <c r="F14" s="195">
        <f t="shared" si="1"/>
        <v>4758</v>
      </c>
      <c r="G14" s="195">
        <f t="shared" si="1"/>
        <v>1365.43</v>
      </c>
      <c r="H14" s="195">
        <f t="shared" ref="H14" si="2">SUM(H15:H18)</f>
        <v>1365.43</v>
      </c>
      <c r="I14" s="23"/>
    </row>
    <row r="15" spans="1:9" x14ac:dyDescent="0.25">
      <c r="A15" s="18">
        <v>1301</v>
      </c>
      <c r="B15" s="19" t="s">
        <v>49</v>
      </c>
      <c r="C15" s="174">
        <v>2300</v>
      </c>
      <c r="D15" s="174">
        <v>2100</v>
      </c>
      <c r="E15" s="174">
        <v>2050</v>
      </c>
      <c r="F15" s="174">
        <v>4758</v>
      </c>
      <c r="G15" s="174">
        <v>1365.43</v>
      </c>
      <c r="H15" s="174">
        <v>1365.43</v>
      </c>
      <c r="I15" s="23"/>
    </row>
    <row r="16" spans="1:9" hidden="1" x14ac:dyDescent="0.25">
      <c r="A16" s="18">
        <v>1302</v>
      </c>
      <c r="B16" s="19" t="s">
        <v>50</v>
      </c>
      <c r="C16" s="22"/>
      <c r="D16" s="174"/>
      <c r="E16" s="174"/>
      <c r="F16" s="174"/>
      <c r="G16" s="174"/>
      <c r="H16" s="174"/>
      <c r="I16" s="23"/>
    </row>
    <row r="17" spans="1:9" hidden="1" x14ac:dyDescent="0.25">
      <c r="A17" s="18">
        <v>1303</v>
      </c>
      <c r="B17" s="19" t="s">
        <v>51</v>
      </c>
      <c r="C17" s="22"/>
      <c r="D17" s="174"/>
      <c r="E17" s="174"/>
      <c r="F17" s="174"/>
      <c r="G17" s="174"/>
      <c r="H17" s="174"/>
      <c r="I17" s="23"/>
    </row>
    <row r="18" spans="1:9" hidden="1" x14ac:dyDescent="0.25">
      <c r="A18" s="18">
        <v>1304</v>
      </c>
      <c r="B18" s="19" t="s">
        <v>52</v>
      </c>
      <c r="C18" s="22"/>
      <c r="D18" s="174"/>
      <c r="E18" s="174"/>
      <c r="F18" s="174"/>
      <c r="G18" s="174"/>
      <c r="H18" s="174"/>
      <c r="I18" s="23"/>
    </row>
    <row r="19" spans="1:9" x14ac:dyDescent="0.25">
      <c r="A19" s="15">
        <v>14</v>
      </c>
      <c r="B19" s="24" t="s">
        <v>53</v>
      </c>
      <c r="C19" s="92"/>
      <c r="D19" s="174"/>
      <c r="E19" s="174">
        <v>2855303.09</v>
      </c>
      <c r="F19" s="174">
        <v>3010466.23</v>
      </c>
      <c r="G19" s="174">
        <v>323972.86</v>
      </c>
      <c r="H19" s="174">
        <v>323972.86</v>
      </c>
      <c r="I19" s="23"/>
    </row>
    <row r="20" spans="1:9" x14ac:dyDescent="0.25">
      <c r="A20" s="15">
        <v>17</v>
      </c>
      <c r="B20" s="24" t="s">
        <v>54</v>
      </c>
      <c r="C20" s="174">
        <v>1696.9</v>
      </c>
      <c r="D20" s="174">
        <v>4332.2700000000004</v>
      </c>
      <c r="E20" s="174">
        <v>1225.8</v>
      </c>
      <c r="F20" s="174">
        <v>11010.78</v>
      </c>
      <c r="G20" s="174">
        <v>14339.62</v>
      </c>
      <c r="H20" s="174">
        <v>14339.62</v>
      </c>
      <c r="I20" s="23"/>
    </row>
    <row r="21" spans="1:9" x14ac:dyDescent="0.25">
      <c r="A21" s="15">
        <v>18</v>
      </c>
      <c r="B21" s="24" t="s">
        <v>55</v>
      </c>
      <c r="C21" s="174"/>
      <c r="D21" s="92"/>
      <c r="E21" s="17"/>
      <c r="F21" s="17"/>
      <c r="G21" s="17"/>
      <c r="H21" s="17"/>
      <c r="I21" s="23"/>
    </row>
    <row r="22" spans="1:9" x14ac:dyDescent="0.25">
      <c r="A22" s="15">
        <v>19</v>
      </c>
      <c r="B22" s="24" t="s">
        <v>56</v>
      </c>
      <c r="C22" s="195">
        <f>SUM(C23:C25)</f>
        <v>92366.540000000008</v>
      </c>
      <c r="D22" s="195">
        <f t="shared" ref="D22:H22" si="3">SUM(D23:D25)</f>
        <v>33969.050000000003</v>
      </c>
      <c r="E22" s="195">
        <f t="shared" si="3"/>
        <v>19915.75</v>
      </c>
      <c r="F22" s="195">
        <f t="shared" si="3"/>
        <v>133218.34</v>
      </c>
      <c r="G22" s="195">
        <f t="shared" si="3"/>
        <v>9398.93</v>
      </c>
      <c r="H22" s="195">
        <f t="shared" ref="H22" si="4">SUM(H23:H25)</f>
        <v>9399.93</v>
      </c>
      <c r="I22" s="23"/>
    </row>
    <row r="23" spans="1:9" x14ac:dyDescent="0.25">
      <c r="A23" s="18">
        <v>1901</v>
      </c>
      <c r="B23" s="19" t="s">
        <v>57</v>
      </c>
      <c r="C23" s="174"/>
      <c r="D23" s="92"/>
      <c r="E23" s="17"/>
      <c r="F23" s="17"/>
      <c r="G23" s="17"/>
      <c r="H23" s="17"/>
      <c r="I23" s="23"/>
    </row>
    <row r="24" spans="1:9" x14ac:dyDescent="0.25">
      <c r="A24" s="18">
        <v>1902</v>
      </c>
      <c r="B24" s="19" t="s">
        <v>58</v>
      </c>
      <c r="C24" s="174">
        <v>61492.62</v>
      </c>
      <c r="D24" s="174">
        <v>5070.34</v>
      </c>
      <c r="E24" s="174"/>
      <c r="F24" s="174">
        <v>85756.77</v>
      </c>
      <c r="G24" s="174"/>
      <c r="H24" s="174"/>
      <c r="I24" s="23"/>
    </row>
    <row r="25" spans="1:9" ht="15.75" thickBot="1" x14ac:dyDescent="0.3">
      <c r="A25" s="18">
        <v>1904</v>
      </c>
      <c r="B25" s="25" t="s">
        <v>59</v>
      </c>
      <c r="C25" s="174">
        <v>30873.919999999998</v>
      </c>
      <c r="D25" s="174">
        <v>28898.71</v>
      </c>
      <c r="E25" s="174">
        <v>19915.75</v>
      </c>
      <c r="F25" s="174">
        <v>47461.57</v>
      </c>
      <c r="G25" s="174">
        <v>9398.93</v>
      </c>
      <c r="H25" s="174">
        <v>9399.93</v>
      </c>
      <c r="I25" s="23"/>
    </row>
    <row r="26" spans="1:9" x14ac:dyDescent="0.25">
      <c r="A26" s="215" t="s">
        <v>60</v>
      </c>
      <c r="B26" s="228"/>
      <c r="C26" s="196">
        <f t="shared" ref="C26:H26" si="5">+C27+C36+C37+C38+C39+C40</f>
        <v>31020</v>
      </c>
      <c r="D26" s="196">
        <f t="shared" si="5"/>
        <v>33951.760000000002</v>
      </c>
      <c r="E26" s="196">
        <f t="shared" si="5"/>
        <v>11748.84</v>
      </c>
      <c r="F26" s="196">
        <f t="shared" si="5"/>
        <v>75173.680000000008</v>
      </c>
      <c r="G26" s="196">
        <f t="shared" si="5"/>
        <v>2510.15</v>
      </c>
      <c r="H26" s="196">
        <f t="shared" ref="H26" si="6">+H27+H36+H37+H38+H39+H40</f>
        <v>2511.15</v>
      </c>
      <c r="I26" s="185"/>
    </row>
    <row r="27" spans="1:9" hidden="1" x14ac:dyDescent="0.25">
      <c r="A27" s="15">
        <v>51</v>
      </c>
      <c r="B27" s="16" t="s">
        <v>61</v>
      </c>
      <c r="C27" s="174"/>
      <c r="D27" s="174"/>
      <c r="E27" s="174"/>
      <c r="F27" s="174"/>
      <c r="G27" s="174"/>
      <c r="H27" s="174"/>
      <c r="I27" s="174"/>
    </row>
    <row r="28" spans="1:9" hidden="1" x14ac:dyDescent="0.25">
      <c r="A28" s="18">
        <v>5101</v>
      </c>
      <c r="B28" s="19" t="s">
        <v>62</v>
      </c>
      <c r="C28" s="174"/>
      <c r="D28" s="174"/>
      <c r="E28" s="174"/>
      <c r="F28" s="174"/>
      <c r="G28" s="174"/>
      <c r="H28" s="174"/>
      <c r="I28" s="174"/>
    </row>
    <row r="29" spans="1:9" hidden="1" x14ac:dyDescent="0.25">
      <c r="A29" s="18">
        <v>5102</v>
      </c>
      <c r="B29" s="19" t="s">
        <v>63</v>
      </c>
      <c r="C29" s="174"/>
      <c r="D29" s="174"/>
      <c r="E29" s="174"/>
      <c r="F29" s="174"/>
      <c r="G29" s="174"/>
      <c r="H29" s="174"/>
      <c r="I29" s="174"/>
    </row>
    <row r="30" spans="1:9" hidden="1" x14ac:dyDescent="0.25">
      <c r="A30" s="18">
        <v>5103</v>
      </c>
      <c r="B30" s="19" t="s">
        <v>64</v>
      </c>
      <c r="C30" s="174"/>
      <c r="D30" s="174"/>
      <c r="E30" s="174"/>
      <c r="F30" s="174"/>
      <c r="G30" s="174"/>
      <c r="H30" s="174"/>
      <c r="I30" s="174"/>
    </row>
    <row r="31" spans="1:9" hidden="1" x14ac:dyDescent="0.25">
      <c r="A31" s="18">
        <v>5104</v>
      </c>
      <c r="B31" s="19" t="s">
        <v>65</v>
      </c>
      <c r="C31" s="174"/>
      <c r="D31" s="174"/>
      <c r="E31" s="174"/>
      <c r="F31" s="174"/>
      <c r="G31" s="174"/>
      <c r="H31" s="174"/>
      <c r="I31" s="174"/>
    </row>
    <row r="32" spans="1:9" hidden="1" x14ac:dyDescent="0.25">
      <c r="A32" s="18">
        <v>5105</v>
      </c>
      <c r="B32" s="19" t="s">
        <v>66</v>
      </c>
      <c r="C32" s="174"/>
      <c r="D32" s="174"/>
      <c r="E32" s="174"/>
      <c r="F32" s="174"/>
      <c r="G32" s="174"/>
      <c r="H32" s="174"/>
      <c r="I32" s="174"/>
    </row>
    <row r="33" spans="1:9" hidden="1" x14ac:dyDescent="0.25">
      <c r="A33" s="18">
        <v>5106</v>
      </c>
      <c r="B33" s="19" t="s">
        <v>67</v>
      </c>
      <c r="C33" s="174"/>
      <c r="D33" s="174"/>
      <c r="E33" s="174"/>
      <c r="F33" s="174"/>
      <c r="G33" s="174"/>
      <c r="H33" s="174"/>
      <c r="I33" s="174"/>
    </row>
    <row r="34" spans="1:9" hidden="1" x14ac:dyDescent="0.25">
      <c r="A34" s="18">
        <v>5107</v>
      </c>
      <c r="B34" s="19" t="s">
        <v>68</v>
      </c>
      <c r="C34" s="174"/>
      <c r="D34" s="174"/>
      <c r="E34" s="174"/>
      <c r="F34" s="174"/>
      <c r="G34" s="174"/>
      <c r="H34" s="174"/>
      <c r="I34" s="174"/>
    </row>
    <row r="35" spans="1:9" hidden="1" x14ac:dyDescent="0.25">
      <c r="A35" s="18">
        <v>5199</v>
      </c>
      <c r="B35" s="19" t="s">
        <v>69</v>
      </c>
      <c r="C35" s="174"/>
      <c r="D35" s="174"/>
      <c r="E35" s="174"/>
      <c r="F35" s="174"/>
      <c r="G35" s="174"/>
      <c r="H35" s="174"/>
      <c r="I35" s="174"/>
    </row>
    <row r="36" spans="1:9" hidden="1" x14ac:dyDescent="0.25">
      <c r="A36" s="15">
        <v>53</v>
      </c>
      <c r="B36" s="24" t="s">
        <v>70</v>
      </c>
      <c r="C36" s="174"/>
      <c r="D36" s="174"/>
      <c r="E36" s="174"/>
      <c r="F36" s="174"/>
      <c r="G36" s="174"/>
      <c r="H36" s="174"/>
      <c r="I36" s="174"/>
    </row>
    <row r="37" spans="1:9" hidden="1" x14ac:dyDescent="0.25">
      <c r="A37" s="15">
        <v>56</v>
      </c>
      <c r="B37" s="24" t="s">
        <v>71</v>
      </c>
      <c r="C37" s="174"/>
      <c r="D37" s="174"/>
      <c r="E37" s="174"/>
      <c r="F37" s="174"/>
      <c r="G37" s="174"/>
      <c r="H37" s="174"/>
      <c r="I37" s="174"/>
    </row>
    <row r="38" spans="1:9" hidden="1" x14ac:dyDescent="0.25">
      <c r="A38" s="15">
        <v>57</v>
      </c>
      <c r="B38" s="24" t="s">
        <v>72</v>
      </c>
      <c r="C38" s="174"/>
      <c r="D38" s="174"/>
      <c r="E38" s="174"/>
      <c r="F38" s="174">
        <v>71658.66</v>
      </c>
      <c r="G38" s="174"/>
      <c r="H38" s="174"/>
      <c r="I38" s="174"/>
    </row>
    <row r="39" spans="1:9" x14ac:dyDescent="0.25">
      <c r="A39" s="15">
        <v>58</v>
      </c>
      <c r="B39" s="24" t="s">
        <v>73</v>
      </c>
      <c r="C39" s="174">
        <v>31020</v>
      </c>
      <c r="D39" s="174">
        <v>33951.760000000002</v>
      </c>
      <c r="E39" s="174">
        <v>11748.84</v>
      </c>
      <c r="F39" s="174">
        <v>3515.02</v>
      </c>
      <c r="G39" s="174">
        <v>2510.15</v>
      </c>
      <c r="H39" s="174">
        <v>2511.15</v>
      </c>
      <c r="I39" s="174"/>
    </row>
    <row r="40" spans="1:9" ht="15.75" thickBot="1" x14ac:dyDescent="0.3">
      <c r="A40" s="15">
        <v>59</v>
      </c>
      <c r="B40" s="27" t="s">
        <v>74</v>
      </c>
      <c r="C40" s="174"/>
      <c r="D40" s="174"/>
      <c r="E40" s="174"/>
      <c r="F40" s="174"/>
      <c r="G40" s="174"/>
      <c r="H40" s="174"/>
      <c r="I40" s="174"/>
    </row>
    <row r="41" spans="1:9" x14ac:dyDescent="0.25">
      <c r="A41" s="229" t="s">
        <v>75</v>
      </c>
      <c r="B41" s="230"/>
      <c r="C41" s="197">
        <f t="shared" ref="C41:H41" si="7">+C8-C26</f>
        <v>65343.44</v>
      </c>
      <c r="D41" s="197">
        <f t="shared" si="7"/>
        <v>6449.5600000000049</v>
      </c>
      <c r="E41" s="197">
        <f t="shared" si="7"/>
        <v>2866745.8</v>
      </c>
      <c r="F41" s="197">
        <f t="shared" si="7"/>
        <v>3084279.6699999995</v>
      </c>
      <c r="G41" s="197">
        <f t="shared" si="7"/>
        <v>346566.68999999994</v>
      </c>
      <c r="H41" s="197">
        <f t="shared" si="7"/>
        <v>346566.68999999994</v>
      </c>
      <c r="I41" s="28"/>
    </row>
    <row r="42" spans="1:9" x14ac:dyDescent="0.25">
      <c r="A42" s="215" t="s">
        <v>76</v>
      </c>
      <c r="B42" s="231"/>
      <c r="C42" s="196">
        <f>+C44</f>
        <v>6445994.4100000001</v>
      </c>
      <c r="D42" s="196">
        <f>SUM(D43:D44)</f>
        <v>9653886.4400000013</v>
      </c>
      <c r="E42" s="196">
        <f t="shared" ref="E42:H42" si="8">SUM(E43:E44)</f>
        <v>7130371.3399999999</v>
      </c>
      <c r="F42" s="196">
        <f t="shared" si="8"/>
        <v>8097694.0700000003</v>
      </c>
      <c r="G42" s="196">
        <f t="shared" si="8"/>
        <v>6927446.8308845656</v>
      </c>
      <c r="H42" s="196">
        <f t="shared" si="8"/>
        <v>6927446.8308845656</v>
      </c>
      <c r="I42" s="29"/>
    </row>
    <row r="43" spans="1:9" x14ac:dyDescent="0.25">
      <c r="A43" s="30">
        <v>24</v>
      </c>
      <c r="B43" s="31" t="s">
        <v>77</v>
      </c>
      <c r="C43" s="17"/>
      <c r="D43" s="174">
        <v>123176.55</v>
      </c>
      <c r="E43" s="21"/>
      <c r="F43" s="92"/>
      <c r="G43" s="92"/>
      <c r="H43" s="177"/>
      <c r="I43" s="176"/>
    </row>
    <row r="44" spans="1:9" x14ac:dyDescent="0.25">
      <c r="A44" s="30">
        <v>28</v>
      </c>
      <c r="B44" s="31" t="s">
        <v>78</v>
      </c>
      <c r="C44" s="174">
        <v>6445994.4100000001</v>
      </c>
      <c r="D44" s="174">
        <v>9530709.8900000006</v>
      </c>
      <c r="E44" s="174">
        <v>7130371.3399999999</v>
      </c>
      <c r="F44" s="174">
        <v>8097694.0700000003</v>
      </c>
      <c r="G44" s="174">
        <v>6927446.8308845656</v>
      </c>
      <c r="H44" s="174">
        <v>6927446.8308845656</v>
      </c>
      <c r="I44" s="176"/>
    </row>
    <row r="45" spans="1:9" x14ac:dyDescent="0.25">
      <c r="A45" s="215" t="s">
        <v>79</v>
      </c>
      <c r="B45" s="216"/>
      <c r="C45" s="196">
        <f>+C49+C58+C59+C66+C68</f>
        <v>8052389.3199999994</v>
      </c>
      <c r="D45" s="196">
        <f t="shared" ref="D45:H45" si="9">+D49+D58+D59+D66+D68</f>
        <v>8101471.6000000006</v>
      </c>
      <c r="E45" s="196">
        <f t="shared" si="9"/>
        <v>10566461.840000002</v>
      </c>
      <c r="F45" s="196">
        <f t="shared" si="9"/>
        <v>10898825.599999998</v>
      </c>
      <c r="G45" s="196">
        <f t="shared" si="9"/>
        <v>6014126.8500000006</v>
      </c>
      <c r="H45" s="196">
        <f t="shared" si="9"/>
        <v>6014126.8500000006</v>
      </c>
      <c r="I45" s="29"/>
    </row>
    <row r="46" spans="1:9" hidden="1" x14ac:dyDescent="0.25">
      <c r="A46" s="15" t="s">
        <v>80</v>
      </c>
      <c r="B46" s="16" t="s">
        <v>81</v>
      </c>
      <c r="C46" s="174"/>
      <c r="D46" s="174"/>
      <c r="E46" s="174"/>
      <c r="F46" s="174"/>
      <c r="G46" s="174"/>
      <c r="H46" s="174"/>
      <c r="I46" s="17"/>
    </row>
    <row r="47" spans="1:9" hidden="1" x14ac:dyDescent="0.25">
      <c r="A47" s="15" t="s">
        <v>82</v>
      </c>
      <c r="B47" s="24" t="s">
        <v>83</v>
      </c>
      <c r="C47" s="174"/>
      <c r="D47" s="174"/>
      <c r="E47" s="174"/>
      <c r="F47" s="174"/>
      <c r="G47" s="174"/>
      <c r="H47" s="174"/>
      <c r="I47" s="176"/>
    </row>
    <row r="48" spans="1:9" hidden="1" x14ac:dyDescent="0.25">
      <c r="A48" s="15" t="s">
        <v>84</v>
      </c>
      <c r="B48" s="24" t="s">
        <v>85</v>
      </c>
      <c r="C48" s="174"/>
      <c r="D48" s="174"/>
      <c r="E48" s="174"/>
      <c r="F48" s="174"/>
      <c r="G48" s="174"/>
      <c r="H48" s="174"/>
      <c r="I48" s="17"/>
    </row>
    <row r="49" spans="1:9" x14ac:dyDescent="0.25">
      <c r="A49" s="15">
        <v>71</v>
      </c>
      <c r="B49" s="24" t="s">
        <v>86</v>
      </c>
      <c r="C49" s="195">
        <f>SUM(C50:C56)</f>
        <v>4889679.8899999997</v>
      </c>
      <c r="D49" s="195">
        <f t="shared" ref="D49:H49" si="10">SUM(D50:D56)</f>
        <v>4409021.9700000007</v>
      </c>
      <c r="E49" s="195">
        <f t="shared" si="10"/>
        <v>4509078.1400000006</v>
      </c>
      <c r="F49" s="195">
        <f t="shared" si="10"/>
        <v>4619076.72</v>
      </c>
      <c r="G49" s="195">
        <f t="shared" si="10"/>
        <v>4619076.72</v>
      </c>
      <c r="H49" s="195">
        <f t="shared" si="10"/>
        <v>4619076.72</v>
      </c>
      <c r="I49" s="176"/>
    </row>
    <row r="50" spans="1:9" x14ac:dyDescent="0.25">
      <c r="A50" s="18">
        <v>7101</v>
      </c>
      <c r="B50" s="19" t="s">
        <v>62</v>
      </c>
      <c r="C50" s="174">
        <v>2341830.5299999998</v>
      </c>
      <c r="D50" s="174">
        <v>2359670.2000000002</v>
      </c>
      <c r="E50" s="174">
        <v>2472831.29</v>
      </c>
      <c r="F50" s="174">
        <v>2510998.7799999998</v>
      </c>
      <c r="G50" s="174">
        <v>2510998.7799999998</v>
      </c>
      <c r="H50" s="174">
        <v>2510998.7799999998</v>
      </c>
      <c r="I50" s="17"/>
    </row>
    <row r="51" spans="1:9" x14ac:dyDescent="0.25">
      <c r="A51" s="18">
        <v>7102</v>
      </c>
      <c r="B51" s="19" t="s">
        <v>63</v>
      </c>
      <c r="C51" s="174">
        <v>460752.72</v>
      </c>
      <c r="D51" s="174">
        <v>372884.28</v>
      </c>
      <c r="E51" s="174">
        <v>402354.39</v>
      </c>
      <c r="F51" s="174">
        <v>403552.13</v>
      </c>
      <c r="G51" s="174">
        <v>403552.13</v>
      </c>
      <c r="H51" s="174">
        <v>403552.13</v>
      </c>
      <c r="I51" s="176"/>
    </row>
    <row r="52" spans="1:9" x14ac:dyDescent="0.25">
      <c r="A52" s="18">
        <v>7103</v>
      </c>
      <c r="B52" s="19" t="s">
        <v>64</v>
      </c>
      <c r="C52" s="174">
        <v>271586.90000000002</v>
      </c>
      <c r="D52" s="174">
        <v>285985.5</v>
      </c>
      <c r="E52" s="174">
        <v>258505.52</v>
      </c>
      <c r="F52" s="174">
        <v>242518.5</v>
      </c>
      <c r="G52" s="174">
        <v>242518.5</v>
      </c>
      <c r="H52" s="174">
        <v>242518.5</v>
      </c>
      <c r="I52" s="17"/>
    </row>
    <row r="53" spans="1:9" x14ac:dyDescent="0.25">
      <c r="A53" s="18">
        <v>7104</v>
      </c>
      <c r="B53" s="19" t="s">
        <v>65</v>
      </c>
      <c r="C53" s="174">
        <v>25809.61</v>
      </c>
      <c r="D53" s="174">
        <v>55790.16</v>
      </c>
      <c r="E53" s="174">
        <v>43818.87</v>
      </c>
      <c r="F53" s="174">
        <v>47279.72</v>
      </c>
      <c r="G53" s="174">
        <v>47279.72</v>
      </c>
      <c r="H53" s="174">
        <v>47279.72</v>
      </c>
      <c r="I53" s="176"/>
    </row>
    <row r="54" spans="1:9" x14ac:dyDescent="0.25">
      <c r="A54" s="18">
        <v>7105</v>
      </c>
      <c r="B54" s="19" t="s">
        <v>66</v>
      </c>
      <c r="C54" s="174">
        <v>1071893.08</v>
      </c>
      <c r="D54" s="174">
        <v>655757.04</v>
      </c>
      <c r="E54" s="174">
        <v>667919.63</v>
      </c>
      <c r="F54" s="174">
        <v>652585.01</v>
      </c>
      <c r="G54" s="174">
        <v>652585.01</v>
      </c>
      <c r="H54" s="174">
        <v>652585.01</v>
      </c>
      <c r="I54" s="17"/>
    </row>
    <row r="55" spans="1:9" x14ac:dyDescent="0.25">
      <c r="A55" s="18">
        <v>7106</v>
      </c>
      <c r="B55" s="19" t="s">
        <v>67</v>
      </c>
      <c r="C55" s="174">
        <v>633374.64</v>
      </c>
      <c r="D55" s="174">
        <v>591846.64</v>
      </c>
      <c r="E55" s="174">
        <v>615279.93999999994</v>
      </c>
      <c r="F55" s="174">
        <v>626262.54</v>
      </c>
      <c r="G55" s="174">
        <v>626262.54</v>
      </c>
      <c r="H55" s="174">
        <v>626262.54</v>
      </c>
      <c r="I55" s="176"/>
    </row>
    <row r="56" spans="1:9" x14ac:dyDescent="0.25">
      <c r="A56" s="18">
        <v>7107</v>
      </c>
      <c r="B56" s="19" t="s">
        <v>68</v>
      </c>
      <c r="C56" s="174">
        <v>84432.41</v>
      </c>
      <c r="D56" s="174">
        <v>87088.15</v>
      </c>
      <c r="E56" s="174">
        <v>48368.5</v>
      </c>
      <c r="F56" s="174">
        <v>135880.04</v>
      </c>
      <c r="G56" s="174">
        <v>135880.04</v>
      </c>
      <c r="H56" s="174">
        <v>135880.04</v>
      </c>
      <c r="I56" s="17"/>
    </row>
    <row r="57" spans="1:9" x14ac:dyDescent="0.25">
      <c r="A57" s="18">
        <v>7199</v>
      </c>
      <c r="B57" s="19" t="s">
        <v>69</v>
      </c>
      <c r="C57" s="174"/>
      <c r="D57" s="174"/>
      <c r="E57" s="174"/>
      <c r="F57" s="174"/>
      <c r="G57" s="174"/>
      <c r="H57" s="174"/>
      <c r="I57" s="176"/>
    </row>
    <row r="58" spans="1:9" x14ac:dyDescent="0.25">
      <c r="A58" s="15">
        <v>73</v>
      </c>
      <c r="B58" s="24" t="s">
        <v>87</v>
      </c>
      <c r="C58" s="195">
        <v>2116076.2599999998</v>
      </c>
      <c r="D58" s="195">
        <v>3164798.3</v>
      </c>
      <c r="E58" s="195">
        <v>5609480.2400000002</v>
      </c>
      <c r="F58" s="195">
        <v>4785743.57</v>
      </c>
      <c r="G58" s="195">
        <v>940875.38</v>
      </c>
      <c r="H58" s="195">
        <v>940875.38</v>
      </c>
      <c r="I58" s="17"/>
    </row>
    <row r="59" spans="1:9" x14ac:dyDescent="0.25">
      <c r="A59" s="15">
        <v>75</v>
      </c>
      <c r="B59" s="24" t="s">
        <v>88</v>
      </c>
      <c r="C59" s="195">
        <f>+C60</f>
        <v>645409.84</v>
      </c>
      <c r="D59" s="195">
        <f t="shared" ref="D59:F59" si="11">+D60</f>
        <v>216577.61</v>
      </c>
      <c r="E59" s="195">
        <f t="shared" si="11"/>
        <v>159572.84</v>
      </c>
      <c r="F59" s="195">
        <f t="shared" si="11"/>
        <v>1265077.8400000001</v>
      </c>
      <c r="G59" s="195">
        <v>441093.87</v>
      </c>
      <c r="H59" s="195">
        <v>441093.87</v>
      </c>
      <c r="I59" s="176"/>
    </row>
    <row r="60" spans="1:9" x14ac:dyDescent="0.25">
      <c r="A60" s="18">
        <v>7501</v>
      </c>
      <c r="B60" s="19" t="s">
        <v>89</v>
      </c>
      <c r="C60" s="174">
        <v>645409.84</v>
      </c>
      <c r="D60" s="174">
        <v>216577.61</v>
      </c>
      <c r="E60" s="174">
        <v>159572.84</v>
      </c>
      <c r="F60" s="174">
        <v>1265077.8400000001</v>
      </c>
      <c r="G60" s="174">
        <v>441093.87</v>
      </c>
      <c r="H60" s="174">
        <v>441093.87</v>
      </c>
      <c r="I60" s="17"/>
    </row>
    <row r="61" spans="1:9" hidden="1" x14ac:dyDescent="0.25">
      <c r="A61" s="18">
        <v>7502</v>
      </c>
      <c r="B61" s="19" t="s">
        <v>90</v>
      </c>
      <c r="C61" s="174"/>
      <c r="D61" s="174"/>
      <c r="E61" s="174"/>
      <c r="F61" s="174"/>
      <c r="G61" s="174"/>
      <c r="H61" s="174"/>
      <c r="I61" s="176"/>
    </row>
    <row r="62" spans="1:9" hidden="1" x14ac:dyDescent="0.25">
      <c r="A62" s="18">
        <v>7503</v>
      </c>
      <c r="B62" s="19" t="s">
        <v>91</v>
      </c>
      <c r="C62" s="174"/>
      <c r="D62" s="174"/>
      <c r="E62" s="174"/>
      <c r="F62" s="174"/>
      <c r="G62" s="174"/>
      <c r="H62" s="174"/>
      <c r="I62" s="17"/>
    </row>
    <row r="63" spans="1:9" ht="23.25" hidden="1" x14ac:dyDescent="0.25">
      <c r="A63" s="18">
        <v>7504</v>
      </c>
      <c r="B63" s="186" t="s">
        <v>92</v>
      </c>
      <c r="C63" s="174"/>
      <c r="D63" s="174"/>
      <c r="E63" s="174"/>
      <c r="F63" s="174"/>
      <c r="G63" s="174"/>
      <c r="H63" s="174"/>
      <c r="I63" s="176"/>
    </row>
    <row r="64" spans="1:9" hidden="1" x14ac:dyDescent="0.25">
      <c r="A64" s="18">
        <v>7505</v>
      </c>
      <c r="B64" s="19" t="s">
        <v>93</v>
      </c>
      <c r="C64" s="174"/>
      <c r="D64" s="174"/>
      <c r="E64" s="174"/>
      <c r="F64" s="174"/>
      <c r="G64" s="174"/>
      <c r="H64" s="174"/>
      <c r="I64" s="17"/>
    </row>
    <row r="65" spans="1:9" hidden="1" x14ac:dyDescent="0.25">
      <c r="A65" s="18">
        <v>7599</v>
      </c>
      <c r="B65" s="19" t="s">
        <v>69</v>
      </c>
      <c r="C65" s="174"/>
      <c r="D65" s="174"/>
      <c r="E65" s="174"/>
      <c r="F65" s="174"/>
      <c r="G65" s="174"/>
      <c r="H65" s="174"/>
      <c r="I65" s="176"/>
    </row>
    <row r="66" spans="1:9" x14ac:dyDescent="0.25">
      <c r="A66" s="15">
        <v>77</v>
      </c>
      <c r="B66" s="32" t="s">
        <v>94</v>
      </c>
      <c r="C66" s="195">
        <v>262664.44</v>
      </c>
      <c r="D66" s="195">
        <v>280514.59999999998</v>
      </c>
      <c r="E66" s="195">
        <v>236140.96</v>
      </c>
      <c r="F66" s="195">
        <v>197269.45</v>
      </c>
      <c r="G66" s="195">
        <v>10523.73</v>
      </c>
      <c r="H66" s="195">
        <v>10523.73</v>
      </c>
      <c r="I66" s="17"/>
    </row>
    <row r="67" spans="1:9" x14ac:dyDescent="0.25">
      <c r="A67" s="15">
        <v>78</v>
      </c>
      <c r="B67" s="24" t="s">
        <v>95</v>
      </c>
      <c r="C67" s="174"/>
      <c r="D67" s="174"/>
      <c r="E67" s="174"/>
      <c r="F67" s="174"/>
      <c r="G67" s="174"/>
      <c r="H67" s="174"/>
      <c r="I67" s="176"/>
    </row>
    <row r="68" spans="1:9" x14ac:dyDescent="0.25">
      <c r="A68" s="15">
        <v>84</v>
      </c>
      <c r="B68" s="24" t="s">
        <v>96</v>
      </c>
      <c r="C68" s="195">
        <v>138558.89000000001</v>
      </c>
      <c r="D68" s="195">
        <v>30559.119999999999</v>
      </c>
      <c r="E68" s="195">
        <v>52189.66</v>
      </c>
      <c r="F68" s="195">
        <v>31658.02</v>
      </c>
      <c r="G68" s="195">
        <v>2557.15</v>
      </c>
      <c r="H68" s="195">
        <v>2557.15</v>
      </c>
      <c r="I68" s="17"/>
    </row>
    <row r="69" spans="1:9" ht="15.75" thickBot="1" x14ac:dyDescent="0.3">
      <c r="A69" s="15">
        <v>88</v>
      </c>
      <c r="B69" s="27" t="s">
        <v>97</v>
      </c>
      <c r="C69" s="174" t="s">
        <v>454</v>
      </c>
      <c r="D69" s="174"/>
      <c r="E69" s="174"/>
      <c r="F69" s="174"/>
      <c r="G69" s="174"/>
      <c r="H69" s="174"/>
      <c r="I69" s="176"/>
    </row>
    <row r="70" spans="1:9" x14ac:dyDescent="0.25">
      <c r="A70" s="229" t="s">
        <v>98</v>
      </c>
      <c r="B70" s="230"/>
      <c r="C70" s="197">
        <f>+C42-C45</f>
        <v>-1606394.9099999992</v>
      </c>
      <c r="D70" s="197">
        <f>+D42-D45</f>
        <v>1552414.8400000008</v>
      </c>
      <c r="E70" s="197">
        <f t="shared" ref="E70:H70" si="12">+E42-E45</f>
        <v>-3436090.5000000019</v>
      </c>
      <c r="F70" s="197">
        <f t="shared" si="12"/>
        <v>-2801131.5299999975</v>
      </c>
      <c r="G70" s="197">
        <f t="shared" si="12"/>
        <v>913319.98088456504</v>
      </c>
      <c r="H70" s="197">
        <f t="shared" si="12"/>
        <v>913319.98088456504</v>
      </c>
      <c r="I70" s="194"/>
    </row>
    <row r="71" spans="1:9" x14ac:dyDescent="0.25">
      <c r="A71" s="234" t="s">
        <v>99</v>
      </c>
      <c r="B71" s="235"/>
      <c r="C71" s="187">
        <f t="shared" ref="C71:H71" si="13">+C41+C70</f>
        <v>-1541051.4699999993</v>
      </c>
      <c r="D71" s="187">
        <f t="shared" si="13"/>
        <v>1558864.4000000008</v>
      </c>
      <c r="E71" s="187">
        <f t="shared" si="13"/>
        <v>-569344.70000000205</v>
      </c>
      <c r="F71" s="187">
        <f t="shared" si="13"/>
        <v>283148.14000000199</v>
      </c>
      <c r="G71" s="187">
        <f t="shared" si="13"/>
        <v>1259886.670884565</v>
      </c>
      <c r="H71" s="187">
        <f t="shared" si="13"/>
        <v>1259886.670884565</v>
      </c>
      <c r="I71" s="33"/>
    </row>
    <row r="72" spans="1:9" x14ac:dyDescent="0.25">
      <c r="A72" s="236" t="s">
        <v>100</v>
      </c>
      <c r="B72" s="216"/>
      <c r="C72" s="185">
        <f>SUM(C73:C76)</f>
        <v>1892773.37</v>
      </c>
      <c r="D72" s="185">
        <f t="shared" ref="D72:H72" si="14">SUM(D73:D76)</f>
        <v>-425325.50000000012</v>
      </c>
      <c r="E72" s="185">
        <f t="shared" si="14"/>
        <v>849580.38000000012</v>
      </c>
      <c r="F72" s="185">
        <f t="shared" si="14"/>
        <v>1129090.53</v>
      </c>
      <c r="G72" s="185">
        <f t="shared" si="14"/>
        <v>-39328.76999999996</v>
      </c>
      <c r="H72" s="185">
        <f t="shared" si="14"/>
        <v>0</v>
      </c>
      <c r="I72" s="29"/>
    </row>
    <row r="73" spans="1:9" x14ac:dyDescent="0.25">
      <c r="A73" s="34">
        <v>27</v>
      </c>
      <c r="B73" s="31" t="s">
        <v>101</v>
      </c>
      <c r="C73" s="17"/>
      <c r="D73" s="20"/>
      <c r="E73" s="21"/>
      <c r="F73" s="22"/>
      <c r="G73" s="177"/>
      <c r="H73" s="176"/>
      <c r="I73" s="23"/>
    </row>
    <row r="74" spans="1:9" x14ac:dyDescent="0.25">
      <c r="A74" s="35">
        <v>36</v>
      </c>
      <c r="B74" s="36" t="s">
        <v>102</v>
      </c>
      <c r="C74" s="17"/>
      <c r="D74" s="20"/>
      <c r="E74" s="21"/>
      <c r="F74" s="22"/>
      <c r="G74" s="177"/>
      <c r="H74" s="176"/>
      <c r="I74" s="23"/>
    </row>
    <row r="75" spans="1:9" x14ac:dyDescent="0.25">
      <c r="A75" s="30">
        <v>37</v>
      </c>
      <c r="B75" s="31" t="s">
        <v>103</v>
      </c>
      <c r="C75" s="174">
        <f>1831654.86</f>
        <v>1831654.86</v>
      </c>
      <c r="D75" s="174">
        <v>-1409225.87</v>
      </c>
      <c r="E75" s="174">
        <v>-406658.92</v>
      </c>
      <c r="F75" s="174">
        <v>-176298.91</v>
      </c>
      <c r="G75" s="239">
        <v>-308565.11</v>
      </c>
      <c r="H75" s="174">
        <v>0</v>
      </c>
      <c r="I75" s="23"/>
    </row>
    <row r="76" spans="1:9" x14ac:dyDescent="0.25">
      <c r="A76" s="30">
        <v>38</v>
      </c>
      <c r="B76" s="31" t="s">
        <v>104</v>
      </c>
      <c r="C76" s="174">
        <v>61118.51</v>
      </c>
      <c r="D76" s="174">
        <v>983900.37</v>
      </c>
      <c r="E76" s="174">
        <f>593367.18+662872.12</f>
        <v>1256239.3</v>
      </c>
      <c r="F76" s="174">
        <v>1305389.44</v>
      </c>
      <c r="G76" s="239">
        <v>269236.34000000003</v>
      </c>
      <c r="H76" s="174">
        <v>0</v>
      </c>
      <c r="I76" s="23"/>
    </row>
    <row r="77" spans="1:9" x14ac:dyDescent="0.25">
      <c r="A77" s="215" t="s">
        <v>105</v>
      </c>
      <c r="B77" s="231"/>
      <c r="C77" s="26"/>
      <c r="D77" s="26"/>
      <c r="E77" s="26"/>
      <c r="F77" s="26"/>
      <c r="G77" s="26"/>
      <c r="H77" s="26"/>
      <c r="I77" s="29"/>
    </row>
    <row r="78" spans="1:9" hidden="1" x14ac:dyDescent="0.25">
      <c r="A78" s="30">
        <v>87</v>
      </c>
      <c r="B78" s="31" t="s">
        <v>106</v>
      </c>
      <c r="C78" s="17"/>
      <c r="D78" s="20"/>
      <c r="E78" s="21"/>
      <c r="F78" s="17"/>
      <c r="G78" s="17"/>
      <c r="H78" s="17"/>
      <c r="I78" s="23"/>
    </row>
    <row r="79" spans="1:9" hidden="1" x14ac:dyDescent="0.25">
      <c r="A79" s="30">
        <v>96</v>
      </c>
      <c r="B79" s="31" t="s">
        <v>107</v>
      </c>
      <c r="C79" s="17"/>
      <c r="D79" s="20"/>
      <c r="E79" s="21"/>
      <c r="F79" s="17"/>
      <c r="G79" s="17"/>
      <c r="H79" s="17"/>
      <c r="I79" s="23"/>
    </row>
    <row r="80" spans="1:9" x14ac:dyDescent="0.25">
      <c r="A80" s="30">
        <v>97</v>
      </c>
      <c r="B80" s="31" t="s">
        <v>108</v>
      </c>
      <c r="C80" s="17"/>
      <c r="D80" s="20"/>
      <c r="E80" s="21"/>
      <c r="F80" s="17"/>
      <c r="G80" s="17"/>
      <c r="H80" s="17"/>
      <c r="I80" s="23"/>
    </row>
    <row r="81" spans="1:9" ht="15.75" thickBot="1" x14ac:dyDescent="0.3">
      <c r="A81" s="37">
        <v>99</v>
      </c>
      <c r="B81" s="38" t="s">
        <v>109</v>
      </c>
      <c r="C81" s="17"/>
      <c r="D81" s="20"/>
      <c r="E81" s="21"/>
      <c r="F81" s="17"/>
      <c r="G81" s="17"/>
      <c r="H81" s="17"/>
      <c r="I81" s="23"/>
    </row>
    <row r="82" spans="1:9" ht="15.75" thickBot="1" x14ac:dyDescent="0.3">
      <c r="A82" s="237" t="s">
        <v>110</v>
      </c>
      <c r="B82" s="238"/>
      <c r="C82" s="187">
        <f t="shared" ref="C82:H82" si="15">+C72-C77</f>
        <v>1892773.37</v>
      </c>
      <c r="D82" s="187">
        <f t="shared" si="15"/>
        <v>-425325.50000000012</v>
      </c>
      <c r="E82" s="187">
        <f t="shared" si="15"/>
        <v>849580.38000000012</v>
      </c>
      <c r="F82" s="187">
        <f t="shared" si="15"/>
        <v>1129090.53</v>
      </c>
      <c r="G82" s="187">
        <f t="shared" si="15"/>
        <v>-39328.76999999996</v>
      </c>
      <c r="H82" s="187">
        <f t="shared" si="15"/>
        <v>0</v>
      </c>
      <c r="I82" s="39"/>
    </row>
    <row r="83" spans="1:9" s="42" customFormat="1" x14ac:dyDescent="0.25">
      <c r="A83" s="40"/>
      <c r="B83" s="40"/>
      <c r="C83" s="41"/>
      <c r="D83" s="41"/>
      <c r="E83" s="41"/>
      <c r="F83" s="41"/>
      <c r="G83" s="41"/>
      <c r="H83" s="41"/>
    </row>
    <row r="84" spans="1:9" s="42" customFormat="1" x14ac:dyDescent="0.25">
      <c r="A84" s="40"/>
      <c r="B84" s="40"/>
      <c r="C84" s="41"/>
      <c r="D84" s="41"/>
      <c r="E84" s="41"/>
      <c r="F84" s="41"/>
      <c r="G84" s="41"/>
      <c r="H84" s="41"/>
    </row>
    <row r="85" spans="1:9" s="42" customFormat="1" ht="15.75" thickBot="1" x14ac:dyDescent="0.3">
      <c r="A85" s="90" t="s">
        <v>111</v>
      </c>
      <c r="B85" s="91"/>
      <c r="C85" s="91"/>
      <c r="D85" s="91"/>
      <c r="E85" s="91"/>
      <c r="F85" s="91"/>
      <c r="G85" s="91"/>
      <c r="H85" s="91"/>
    </row>
    <row r="86" spans="1:9" s="42" customFormat="1" x14ac:dyDescent="0.25">
      <c r="A86" s="232" t="s">
        <v>484</v>
      </c>
      <c r="B86" s="233"/>
      <c r="C86" s="233"/>
      <c r="D86" s="233"/>
      <c r="E86" s="233"/>
      <c r="F86" s="233"/>
      <c r="G86" s="233"/>
      <c r="H86" s="233"/>
    </row>
    <row r="87" spans="1:9" s="42" customFormat="1" ht="15.75" thickBot="1" x14ac:dyDescent="0.3">
      <c r="A87" s="43"/>
      <c r="B87" s="44"/>
      <c r="C87" s="45"/>
      <c r="D87" s="45"/>
      <c r="E87" s="45"/>
      <c r="F87" s="45"/>
      <c r="G87" s="45"/>
      <c r="H87" s="45"/>
    </row>
    <row r="88" spans="1:9" s="42" customFormat="1" x14ac:dyDescent="0.25">
      <c r="A88" s="40"/>
      <c r="B88" s="40"/>
      <c r="C88" s="41"/>
      <c r="D88" s="41"/>
      <c r="E88" s="41"/>
      <c r="F88" s="41"/>
      <c r="G88" s="41"/>
      <c r="H88" s="41"/>
    </row>
    <row r="89" spans="1:9" x14ac:dyDescent="0.25">
      <c r="A89" s="46" t="s">
        <v>122</v>
      </c>
    </row>
    <row r="90" spans="1:9" x14ac:dyDescent="0.25">
      <c r="A90" s="46" t="s">
        <v>112</v>
      </c>
    </row>
    <row r="91" spans="1:9" x14ac:dyDescent="0.25">
      <c r="A91" s="46" t="s">
        <v>129</v>
      </c>
    </row>
    <row r="92" spans="1:9" x14ac:dyDescent="0.25">
      <c r="A92" s="46" t="s">
        <v>121</v>
      </c>
    </row>
    <row r="93" spans="1:9" x14ac:dyDescent="0.25">
      <c r="A93" s="46"/>
    </row>
    <row r="97" spans="1:7" x14ac:dyDescent="0.25">
      <c r="A97" s="207" t="s">
        <v>464</v>
      </c>
      <c r="B97" s="207"/>
      <c r="C97" s="207"/>
      <c r="E97" s="207" t="s">
        <v>463</v>
      </c>
      <c r="F97" s="207"/>
      <c r="G97" s="207"/>
    </row>
    <row r="98" spans="1:7" x14ac:dyDescent="0.25">
      <c r="A98" s="47" t="s">
        <v>130</v>
      </c>
      <c r="B98" s="47" t="s">
        <v>453</v>
      </c>
      <c r="E98" s="47" t="s">
        <v>479</v>
      </c>
    </row>
    <row r="100" spans="1:7" x14ac:dyDescent="0.25">
      <c r="A100" s="47" t="s">
        <v>531</v>
      </c>
    </row>
    <row r="101" spans="1:7" x14ac:dyDescent="0.25">
      <c r="A101" s="47" t="s">
        <v>119</v>
      </c>
    </row>
  </sheetData>
  <mergeCells count="21">
    <mergeCell ref="E97:G97"/>
    <mergeCell ref="A86:H86"/>
    <mergeCell ref="A70:B70"/>
    <mergeCell ref="A71:B71"/>
    <mergeCell ref="A72:B72"/>
    <mergeCell ref="A77:B77"/>
    <mergeCell ref="A82:B82"/>
    <mergeCell ref="A97:C97"/>
    <mergeCell ref="I5:I7"/>
    <mergeCell ref="A8:B8"/>
    <mergeCell ref="A26:B26"/>
    <mergeCell ref="A41:B41"/>
    <mergeCell ref="A42:B42"/>
    <mergeCell ref="A45:B45"/>
    <mergeCell ref="A1:H1"/>
    <mergeCell ref="A2:H2"/>
    <mergeCell ref="A3:H3"/>
    <mergeCell ref="A4:H4"/>
    <mergeCell ref="A5:B6"/>
    <mergeCell ref="C5:E6"/>
    <mergeCell ref="F5:H6"/>
  </mergeCells>
  <pageMargins left="0.25" right="0.25" top="0.62" bottom="0.75" header="0.3" footer="0.3"/>
  <pageSetup paperSize="9" scale="83" fitToHeight="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FORMULARIO 1</vt:lpstr>
      <vt:lpstr>FORMULARIO 2</vt:lpstr>
      <vt:lpstr>FORMULARIO 3</vt:lpstr>
      <vt:lpstr>FORMULARIO 4.</vt:lpstr>
      <vt:lpstr>'FORMULARIO 1'!Área_de_impresión</vt:lpstr>
      <vt:lpstr>'FORMULARIO 2'!Área_de_impresión</vt:lpstr>
    </vt:vector>
  </TitlesOfParts>
  <Company>C.A.C.S.M.Bancos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Vicente</dc:creator>
  <cp:lastModifiedBy>Usuario</cp:lastModifiedBy>
  <cp:lastPrinted>2019-08-01T19:47:15Z</cp:lastPrinted>
  <dcterms:created xsi:type="dcterms:W3CDTF">2001-11-14T15:50:59Z</dcterms:created>
  <dcterms:modified xsi:type="dcterms:W3CDTF">2019-08-01T19:53:07Z</dcterms:modified>
</cp:coreProperties>
</file>