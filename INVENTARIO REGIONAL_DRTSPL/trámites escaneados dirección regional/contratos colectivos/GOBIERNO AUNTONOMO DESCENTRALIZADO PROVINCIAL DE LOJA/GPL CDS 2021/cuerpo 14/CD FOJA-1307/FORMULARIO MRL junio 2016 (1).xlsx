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TEL\AppData\Local\Microsoft\Windows\Burn\Burn\"/>
    </mc:Choice>
  </mc:AlternateContent>
  <bookViews>
    <workbookView xWindow="0" yWindow="120" windowWidth="19320" windowHeight="7350" tabRatio="685" activeTab="2"/>
  </bookViews>
  <sheets>
    <sheet name="FORMULARIO 1" sheetId="21" r:id="rId1"/>
    <sheet name="FORMULARIO 2" sheetId="20" r:id="rId2"/>
    <sheet name="FORMULARIO 3" sheetId="23" r:id="rId3"/>
    <sheet name="FORMULARIO 4" sheetId="24" r:id="rId4"/>
  </sheets>
  <definedNames>
    <definedName name="_xlnm.Print_Area" localSheetId="0">'FORMULARIO 1'!$D$46</definedName>
    <definedName name="_xlnm.Print_Area" localSheetId="1">'FORMULARIO 2'!$A$1:$E$46</definedName>
  </definedNames>
  <calcPr calcId="152511"/>
</workbook>
</file>

<file path=xl/calcChain.xml><?xml version="1.0" encoding="utf-8"?>
<calcChain xmlns="http://schemas.openxmlformats.org/spreadsheetml/2006/main">
  <c r="H263" i="23" l="1"/>
  <c r="G263" i="23"/>
  <c r="F263" i="23"/>
  <c r="C13" i="23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262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C134" i="23" s="1"/>
  <c r="C135" i="23" s="1"/>
  <c r="C136" i="23" s="1"/>
  <c r="C137" i="23" s="1"/>
  <c r="C138" i="23" s="1"/>
  <c r="C139" i="23" s="1"/>
  <c r="C140" i="23" s="1"/>
  <c r="C141" i="23" s="1"/>
  <c r="C142" i="23" s="1"/>
  <c r="C143" i="23" s="1"/>
  <c r="C144" i="23" s="1"/>
  <c r="C145" i="23" s="1"/>
  <c r="C146" i="23" s="1"/>
  <c r="C147" i="23" s="1"/>
  <c r="C148" i="23" s="1"/>
  <c r="C149" i="23" s="1"/>
  <c r="C150" i="23" s="1"/>
  <c r="C151" i="23" s="1"/>
  <c r="C152" i="23" s="1"/>
  <c r="C153" i="23" s="1"/>
  <c r="C154" i="23" s="1"/>
  <c r="C155" i="23" s="1"/>
  <c r="C156" i="23" s="1"/>
  <c r="C157" i="23" s="1"/>
  <c r="C158" i="23" s="1"/>
  <c r="C159" i="23" s="1"/>
  <c r="C160" i="23" s="1"/>
  <c r="C161" i="23" s="1"/>
  <c r="C162" i="23" s="1"/>
  <c r="C163" i="23" s="1"/>
  <c r="C164" i="23" s="1"/>
  <c r="C165" i="23" s="1"/>
  <c r="C166" i="23" s="1"/>
  <c r="C167" i="23" s="1"/>
  <c r="C168" i="23" s="1"/>
  <c r="C169" i="23" s="1"/>
  <c r="C170" i="23" s="1"/>
  <c r="C171" i="23" s="1"/>
  <c r="C172" i="23" s="1"/>
  <c r="C173" i="23" s="1"/>
  <c r="C174" i="23" s="1"/>
  <c r="C175" i="23" s="1"/>
  <c r="C176" i="23" s="1"/>
  <c r="C177" i="23" s="1"/>
  <c r="C178" i="23" s="1"/>
  <c r="C179" i="23" s="1"/>
  <c r="C180" i="23" s="1"/>
  <c r="C181" i="23" s="1"/>
  <c r="C182" i="23" s="1"/>
  <c r="C183" i="23" s="1"/>
  <c r="C184" i="23" s="1"/>
  <c r="C185" i="23" s="1"/>
  <c r="C186" i="23" s="1"/>
  <c r="C187" i="23" s="1"/>
  <c r="C188" i="23" s="1"/>
  <c r="C189" i="23" s="1"/>
  <c r="C190" i="23" s="1"/>
  <c r="C191" i="23" s="1"/>
  <c r="C192" i="23" s="1"/>
  <c r="C193" i="23" s="1"/>
  <c r="C194" i="23" s="1"/>
  <c r="C195" i="23" s="1"/>
  <c r="C196" i="23" s="1"/>
  <c r="C197" i="23" s="1"/>
  <c r="C198" i="23" s="1"/>
  <c r="C199" i="23" s="1"/>
  <c r="C200" i="23" s="1"/>
  <c r="C201" i="23" s="1"/>
  <c r="C202" i="23" s="1"/>
  <c r="C203" i="23" s="1"/>
  <c r="C204" i="23" s="1"/>
  <c r="C205" i="23" s="1"/>
  <c r="C206" i="23" s="1"/>
  <c r="C207" i="23" s="1"/>
  <c r="C208" i="23" s="1"/>
  <c r="C209" i="23" s="1"/>
  <c r="C210" i="23" s="1"/>
  <c r="C211" i="23" s="1"/>
  <c r="C212" i="23" s="1"/>
  <c r="C213" i="23" s="1"/>
  <c r="C214" i="23" s="1"/>
  <c r="C215" i="23" s="1"/>
  <c r="C216" i="23" s="1"/>
  <c r="C217" i="23" s="1"/>
  <c r="C218" i="23" s="1"/>
  <c r="C219" i="23" s="1"/>
  <c r="C220" i="23" s="1"/>
  <c r="C221" i="23" s="1"/>
  <c r="C222" i="23" s="1"/>
  <c r="C223" i="23" s="1"/>
  <c r="C224" i="23" s="1"/>
  <c r="C225" i="23" s="1"/>
  <c r="C226" i="23" s="1"/>
  <c r="C227" i="23" s="1"/>
  <c r="C228" i="23" s="1"/>
  <c r="C229" i="23" s="1"/>
  <c r="C230" i="23" s="1"/>
  <c r="C231" i="23" s="1"/>
  <c r="C232" i="23" s="1"/>
  <c r="C233" i="23" s="1"/>
  <c r="C234" i="23" s="1"/>
  <c r="C235" i="23" s="1"/>
  <c r="C236" i="23" s="1"/>
  <c r="C237" i="23" s="1"/>
  <c r="C238" i="23" s="1"/>
  <c r="C239" i="23" s="1"/>
  <c r="C240" i="23" s="1"/>
  <c r="C241" i="23" s="1"/>
  <c r="C242" i="23" s="1"/>
  <c r="C243" i="23" s="1"/>
  <c r="C244" i="23" s="1"/>
  <c r="C245" i="23" s="1"/>
  <c r="C246" i="23" s="1"/>
  <c r="C247" i="23" s="1"/>
  <c r="C248" i="23" s="1"/>
  <c r="C249" i="23" s="1"/>
  <c r="C250" i="23" s="1"/>
  <c r="C251" i="23" s="1"/>
  <c r="C252" i="23" s="1"/>
  <c r="C253" i="23" s="1"/>
  <c r="C254" i="23" s="1"/>
  <c r="C255" i="23" s="1"/>
  <c r="C256" i="23" s="1"/>
  <c r="C257" i="23" s="1"/>
  <c r="C258" i="23" s="1"/>
  <c r="D36" i="20" l="1"/>
  <c r="D28" i="21" s="1"/>
  <c r="D33" i="21" s="1"/>
  <c r="E36" i="20" l="1"/>
  <c r="E28" i="21" s="1"/>
  <c r="E33" i="21" s="1"/>
  <c r="I27" i="24"/>
  <c r="I83" i="24"/>
  <c r="I9" i="24"/>
  <c r="H83" i="24"/>
  <c r="G83" i="24"/>
  <c r="F83" i="24"/>
  <c r="E83" i="24"/>
  <c r="D83" i="24"/>
  <c r="C83" i="24"/>
  <c r="H27" i="24"/>
  <c r="G27" i="24"/>
  <c r="F27" i="24"/>
  <c r="E27" i="24"/>
  <c r="D27" i="24"/>
  <c r="C27" i="24"/>
  <c r="H9" i="24"/>
  <c r="G9" i="24"/>
  <c r="F9" i="24"/>
  <c r="F42" i="24" s="1"/>
  <c r="F72" i="24" s="1"/>
  <c r="E9" i="24"/>
  <c r="D9" i="24"/>
  <c r="D42" i="24"/>
  <c r="D72" i="24" s="1"/>
  <c r="C9" i="24"/>
  <c r="C36" i="20"/>
  <c r="C28" i="21" s="1"/>
  <c r="C33" i="21" s="1"/>
  <c r="G42" i="24" l="1"/>
  <c r="G72" i="24" s="1"/>
  <c r="E42" i="24"/>
  <c r="E72" i="24" s="1"/>
  <c r="I42" i="24"/>
  <c r="I72" i="24" s="1"/>
  <c r="H42" i="24"/>
  <c r="H72" i="24" s="1"/>
  <c r="C42" i="24"/>
  <c r="C72" i="24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7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7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<sst xmlns="http://schemas.openxmlformats.org/spreadsheetml/2006/main" count="997" uniqueCount="518">
  <si>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</si>
  <si>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</si>
  <si>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</si>
  <si>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</si>
  <si>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</si>
  <si>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</si>
  <si>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</si>
  <si>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</si>
  <si>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</si>
  <si>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</si>
  <si>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</si>
  <si>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</si>
  <si>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</si>
  <si>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</si>
  <si>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</si>
  <si>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</si>
  <si>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</si>
  <si>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</si>
  <si>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</si>
  <si>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</si>
  <si>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</si>
  <si>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</si>
  <si>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</si>
  <si>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</si>
  <si>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</si>
  <si>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</si>
  <si>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</si>
  <si>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</si>
  <si>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</si>
  <si>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</si>
  <si>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</si>
  <si>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</si>
  <si>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</si>
  <si>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</si>
  <si>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VIGENTE USD $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</si>
  <si>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</si>
  <si>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</si>
  <si>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</si>
  <si>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</si>
  <si>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</si>
  <si>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</si>
  <si>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</si>
  <si>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</si>
  <si>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</si>
  <si>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</si>
  <si>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</si>
  <si>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</si>
  <si>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</si>
  <si>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</si>
  <si>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</si>
  <si>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</si>
  <si>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</si>
  <si>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</si>
  <si>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</si>
  <si>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</si>
  <si>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</si>
  <si>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</si>
  <si>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</si>
  <si>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</si>
  <si>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</si>
  <si>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</si>
  <si>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</si>
  <si>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</si>
  <si>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</si>
  <si>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</si>
  <si>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</si>
  <si>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</si>
  <si>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</si>
  <si>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</si>
  <si>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</si>
  <si>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</si>
  <si>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</si>
  <si>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</si>
  <si>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</si>
  <si>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</si>
  <si>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</si>
  <si>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</si>
  <si>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</si>
  <si>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</si>
  <si>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</si>
  <si>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</si>
  <si>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</si>
  <si>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</si>
  <si>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</si>
  <si>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</si>
  <si>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</si>
  <si>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</si>
  <si>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</si>
  <si>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</si>
  <si>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</si>
  <si>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</si>
  <si>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</si>
  <si>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</si>
  <si>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</si>
  <si>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</si>
  <si>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</si>
  <si>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</si>
  <si>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</si>
  <si>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</si>
  <si>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</si>
  <si>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</si>
  <si>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</si>
  <si>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</si>
  <si>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</si>
  <si>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</si>
  <si>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</si>
  <si>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</si>
  <si>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</si>
  <si>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</si>
  <si>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</si>
  <si>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</si>
  <si>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</si>
  <si>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</si>
  <si>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</si>
  <si>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</si>
  <si>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</si>
  <si>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</si>
  <si>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</si>
  <si>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</si>
  <si>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</si>
  <si>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</si>
  <si>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</si>
  <si>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</si>
  <si>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</si>
  <si>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</si>
  <si>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</si>
  <si>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</si>
  <si>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</si>
  <si>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</si>
  <si>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</si>
  <si>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</si>
  <si>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</si>
  <si>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</si>
  <si>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</si>
  <si>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</si>
  <si>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</si>
  <si>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</si>
  <si>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</si>
  <si>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ABRIGO DIAZ MARCO  ALBERTO</t>
  </si>
  <si>
    <t>GUARDIAN</t>
  </si>
  <si>
    <t>OPERADOR DE MOTONIVELADORA</t>
  </si>
  <si>
    <t>AGILA VASQUEZ JOSE ARMANDO</t>
  </si>
  <si>
    <t>AYUDANTE DE OPERADOR DE EQUIPOS Y/O MAQUINARIA</t>
  </si>
  <si>
    <t>AGUIRRE GUZMAN JORGE ROLANDO</t>
  </si>
  <si>
    <t>OPERADOR DE MAQUINARIA</t>
  </si>
  <si>
    <t>AGUIRRE PAZ RAMIRO GABRIEL</t>
  </si>
  <si>
    <t>AGURTO ERIQUE VICTOR VICENTE</t>
  </si>
  <si>
    <t>CHOFER DE VEHÍCULO LIVIANO Y PESADO</t>
  </si>
  <si>
    <t>0101325512</t>
  </si>
  <si>
    <t>ALARCON HUGO ANIBAL</t>
  </si>
  <si>
    <t>SUPERVISOR MECÁNICO DE EQUIPOS Y MOTORES A DIESEL</t>
  </si>
  <si>
    <t>ALBERCA ARMIJOS  CESARIO AGUSTIN</t>
  </si>
  <si>
    <t>CADENERO</t>
  </si>
  <si>
    <t>1101740460</t>
  </si>
  <si>
    <t>ALVARADO ALVARADO MANUEL IGNACIO</t>
  </si>
  <si>
    <t>OPERADOR DE DISTRIBUIDOR DE ASFALTO</t>
  </si>
  <si>
    <t>ALVARADO JARAMILLO JUAN CARLOS</t>
  </si>
  <si>
    <t>ALVARADO LEON ELEUTERIO</t>
  </si>
  <si>
    <t>OPERADOR DE EXCAVADORA</t>
  </si>
  <si>
    <t>ALVAREZ CHAVEZ JUAN PABLO</t>
  </si>
  <si>
    <t>AYUDANTE DE MECÁNICA DE VEHICULOS Y/O MAQUINARIA</t>
  </si>
  <si>
    <t>APOLO PINZA ELSA</t>
  </si>
  <si>
    <t>COCINERO-PROVEEDORA</t>
  </si>
  <si>
    <t>ARBOLEDA ORDOÑEZ MODESTO LOSTICO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</si>
  <si>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</si>
  <si>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</si>
  <si>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</si>
  <si>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</si>
  <si>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</si>
  <si>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</si>
  <si>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</si>
  <si>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</si>
  <si>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</si>
  <si>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</si>
  <si>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</si>
  <si>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TÉCNICO MECÁNICO DE EQUIPOS Y MOTORES A GASOLINA</t>
  </si>
  <si>
    <t>BARAJA JOSÉ HOMERO</t>
  </si>
  <si>
    <t>BARBA GORDILLO ESTEBAN NOE</t>
  </si>
  <si>
    <t>BECERRA LOPEZ LUIS MIGUEL</t>
  </si>
  <si>
    <t>BECERRA SANCHEZ HECTOR GENARO</t>
  </si>
  <si>
    <t>BENALCAZAR CASTILLO WILSON PATRICIO</t>
  </si>
  <si>
    <t>TOPÓGRAFO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</si>
  <si>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</si>
  <si>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</si>
  <si>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</si>
  <si>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</si>
  <si>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</si>
  <si>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</si>
  <si>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</si>
  <si>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</si>
  <si>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</si>
  <si>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MAQUINISTA-OPERADOR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</si>
  <si>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</si>
  <si>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</si>
  <si>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</si>
  <si>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</si>
  <si>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</si>
  <si>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</si>
  <si>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</si>
  <si>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</si>
  <si>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CARRERA RODRIGUEZ JOSE MANUEL</t>
  </si>
  <si>
    <t>SOLDADOR Y/O ACETILENO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</si>
  <si>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</si>
  <si>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</si>
  <si>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</si>
  <si>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</si>
  <si>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</si>
  <si>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</si>
  <si>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</si>
  <si>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</si>
  <si>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</si>
  <si>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</si>
  <si>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</si>
  <si>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</si>
  <si>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1102438197</t>
  </si>
  <si>
    <t>CHUQUIMARCA CHUQUIMARCA MARIA CARMITA</t>
  </si>
  <si>
    <t xml:space="preserve">CORDOVA PALADINES JUAN CARLOS 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</si>
  <si>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</si>
  <si>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</si>
  <si>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</si>
  <si>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</si>
  <si>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</si>
  <si>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</si>
  <si>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</si>
  <si>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</si>
  <si>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</si>
  <si>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</si>
  <si>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</si>
  <si>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</si>
  <si>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</si>
  <si>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</si>
  <si>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</si>
  <si>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</si>
  <si>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</si>
  <si>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</si>
  <si>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</si>
  <si>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 xml:space="preserve">SOLDADOR ELECTRICO </t>
  </si>
  <si>
    <t>ESPINOZA JIMENEZ LUIS EDUARDO</t>
  </si>
  <si>
    <t>ESTRELLA SILVA GERMANIA JANETH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</si>
  <si>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</si>
  <si>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</si>
  <si>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</si>
  <si>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</si>
  <si>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</si>
  <si>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</si>
  <si>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</si>
  <si>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</si>
  <si>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</si>
  <si>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</si>
  <si>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</si>
  <si>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 xml:space="preserve">OPERADOR DE MAQUINA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</si>
  <si>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</si>
  <si>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</si>
  <si>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</si>
  <si>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</si>
  <si>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</si>
  <si>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</si>
  <si>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</si>
  <si>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GUALAN GUALAN JULIA FERNANDA</t>
  </si>
  <si>
    <t>GUAMAN ALVARADO ANGEL MODESTO</t>
  </si>
  <si>
    <t>OPERADOR DE RODILLO</t>
  </si>
  <si>
    <t>GUAMAN CABRERA SEGUNDO EMILIANO</t>
  </si>
  <si>
    <t>GUAMAN CARLOS WASHINGTON</t>
  </si>
  <si>
    <t>GUAMAN CHAMBA MANUEL ANTONIO</t>
  </si>
  <si>
    <t>GUAMAN REYES HERMÁN ANIBAL</t>
  </si>
  <si>
    <t>GUARNIZO DELGADO HUGO ANIBAL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</si>
  <si>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</si>
  <si>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</si>
  <si>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</si>
  <si>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</si>
  <si>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</si>
  <si>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</si>
  <si>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</si>
  <si>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</si>
  <si>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</si>
  <si>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</si>
  <si>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</si>
  <si>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</si>
  <si>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</si>
  <si>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TÉCNICO MECÁNICO DE EQUIPO MOTORES A GASOLINA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</si>
  <si>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</si>
  <si>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</si>
  <si>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</si>
  <si>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</si>
  <si>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</si>
  <si>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</si>
  <si>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</si>
  <si>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</si>
  <si>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</si>
  <si>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</si>
  <si>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</si>
  <si>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</si>
  <si>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</si>
  <si>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</si>
  <si>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</si>
  <si>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</si>
  <si>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</si>
  <si>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</si>
  <si>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</si>
  <si>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</si>
  <si>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</si>
  <si>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</si>
  <si>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</si>
  <si>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</si>
  <si>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</si>
  <si>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</si>
  <si>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</si>
  <si>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</si>
  <si>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</si>
  <si>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</si>
  <si>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</si>
  <si>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SOLDADOR ELECTRICO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</si>
  <si>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</si>
  <si>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</si>
  <si>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</si>
  <si>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</si>
  <si>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</si>
  <si>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TÉCNICO MECÁNICO DE EQUIPO MOTORES A DIESEL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</si>
  <si>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</si>
  <si>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</si>
  <si>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</si>
  <si>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</si>
  <si>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</si>
  <si>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</si>
  <si>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</si>
  <si>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</si>
  <si>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</si>
  <si>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</si>
  <si>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OPERADOR DE DISTRIBUIDOR DE ASFALTO, (AGREGADOS)</t>
  </si>
  <si>
    <t>MONTOYA PUCHAICELA MANUEL DE JESUS</t>
  </si>
  <si>
    <t>MORA PALADINEZ WALTER GONZALO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</si>
  <si>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</si>
  <si>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</si>
  <si>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</si>
  <si>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</si>
  <si>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</si>
  <si>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</si>
  <si>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</si>
  <si>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</si>
  <si>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</si>
  <si>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</si>
  <si>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</si>
  <si>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</si>
  <si>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</si>
  <si>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</si>
  <si>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</si>
  <si>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</si>
  <si>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</si>
  <si>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</si>
  <si>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</si>
  <si>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</si>
  <si>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</si>
  <si>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</si>
  <si>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>AYUDANTE DE OPERADOR DE EQUIPO Y/O MAQUINARIA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</si>
  <si>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</si>
  <si>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</si>
  <si>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</si>
  <si>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</si>
  <si>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</si>
  <si>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</si>
  <si>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</si>
  <si>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</si>
  <si>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</si>
  <si>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</si>
  <si>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</si>
  <si>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</si>
  <si>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</si>
  <si>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</si>
  <si>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</si>
  <si>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</si>
  <si>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</si>
  <si>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PEÑA PEÑA VICTOR MANUEL</t>
  </si>
  <si>
    <t>SOLDADOR ELECTRICO Y/O ACETILENO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</si>
  <si>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</si>
  <si>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</si>
  <si>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</si>
  <si>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</si>
  <si>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</si>
  <si>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</si>
  <si>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AYUDANTE DEOPERADOR DE EQUIPOS Y/O MAQUINARIA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</si>
  <si>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</si>
  <si>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</si>
  <si>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</si>
  <si>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</si>
  <si>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</si>
  <si>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TÉCNICO MECÁNICODE EQUIPOS Y MOTORES A GASOLINA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</si>
  <si>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</si>
  <si>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</si>
  <si>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</si>
  <si>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</si>
  <si>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OPERADOR DE MAQUINARIA (MOTONIVELADORA)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</si>
  <si>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</si>
  <si>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</si>
  <si>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</si>
  <si>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</si>
  <si>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</si>
  <si>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</si>
  <si>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</si>
  <si>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</si>
  <si>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</si>
  <si>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</si>
  <si>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</si>
  <si>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</si>
  <si>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 xml:space="preserve">AYUDANTE DE OPERADOR DE EQUIPO Y/O MAQUINARIA 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</si>
  <si>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</si>
  <si>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</si>
  <si>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</si>
  <si>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</si>
  <si>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</si>
  <si>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</si>
  <si>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</si>
  <si>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</si>
  <si>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</si>
  <si>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</si>
  <si>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ROJAS ANDRADE MANUEL ANTONIO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</si>
  <si>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</si>
  <si>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</si>
  <si>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</si>
  <si>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</si>
  <si>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</si>
  <si>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</si>
  <si>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</si>
  <si>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</si>
  <si>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</si>
  <si>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</si>
  <si>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</si>
  <si>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</si>
  <si>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</si>
  <si>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</si>
  <si>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</si>
  <si>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</si>
  <si>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</si>
  <si>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</si>
  <si>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</si>
  <si>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</si>
  <si>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</si>
  <si>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</si>
  <si>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</si>
  <si>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</si>
  <si>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</si>
  <si>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</si>
  <si>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</si>
  <si>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</si>
  <si>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</si>
  <si>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</si>
  <si>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</si>
  <si>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</si>
  <si>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</si>
  <si>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</si>
  <si>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</si>
  <si>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</si>
  <si>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TORO RODRIGUEZ JAIME EDUARDO</t>
  </si>
  <si>
    <t>TORRES CAMPOVERDE JORGE VICENTE</t>
  </si>
  <si>
    <t>TORRES GUARNIZO VICTOR MANUEL</t>
  </si>
  <si>
    <t>VALAREZO VASQUEZ GALO EDUARDO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</si>
  <si>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</si>
  <si>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</si>
  <si>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</si>
  <si>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</si>
  <si>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</si>
  <si>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</si>
  <si>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</si>
  <si>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SUPERVISOR MECÁNICO DE EQUIPOS Y MOTORES A GASOLINA</t>
  </si>
  <si>
    <t>VINCES  CARLOS ALFREDO</t>
  </si>
  <si>
    <t>VIVANCO  BERYDDY NOVARINO</t>
  </si>
  <si>
    <t>VIVANCO CORDOVA ANGEL SALVADOR</t>
  </si>
  <si>
    <t>TÉCNICO MECÁNICO DE EQUIPO Y MOTORES A DIESEL</t>
  </si>
  <si>
    <t>ZHUNAULA CASTRO EDGAR PATRICIO</t>
  </si>
  <si>
    <t>GUERRERO BERMO DIEGO ESTUARDO</t>
  </si>
  <si>
    <t>EMPRESA PUBLICA DE VIALIDAD DEL SUR</t>
  </si>
  <si>
    <t>Nº PROYECTO CONTRATO COLECTIVO Proyecto Décimo Noveno</t>
  </si>
  <si>
    <t>Ing. Fabian Villamagua Aguirre</t>
  </si>
  <si>
    <t xml:space="preserve"> </t>
  </si>
  <si>
    <t>ARMIJOS VICENTE ARIELITO</t>
  </si>
  <si>
    <t xml:space="preserve">CANO ABAD MANUEL AGUSTIN </t>
  </si>
  <si>
    <t>CORDOVA ROMAN ERALDIO AUGUSTO</t>
  </si>
  <si>
    <t>MARIN JUAN PAUL</t>
  </si>
  <si>
    <t>Nº PROYECTO CONTRATO COLECTIVO</t>
  </si>
  <si>
    <t>COSTO REAL DEL CONTRATO COLECTIVO VIGENTE USD 2014</t>
  </si>
  <si>
    <t>COSTO REAL DEL CONTRATO COLECTIVO VIGENTE USD 2015</t>
  </si>
  <si>
    <t>COSTO ESTIMADO DEL CONTRATO COLECTIVO PROPUESTO USD 2016</t>
  </si>
  <si>
    <t>FINANCIAMIENTO REAL DEL CONTRATO COLECTIVO VIGENTE USD 2015</t>
  </si>
  <si>
    <t>FINANCIAMIENTO REAL DEL CONTRATO COLECTIVO VIGENTE USD 2014</t>
  </si>
  <si>
    <t>FINANCIAMIENTO ESTIMADO DEL   CONTRATO COLECTIVO PROPUESTO USD $ 2016</t>
  </si>
  <si>
    <t>TRASPASO GPL (DESDE EL 01/01/2016)</t>
  </si>
  <si>
    <t>RAMIREZ ENCALADA CELINA MARIA</t>
  </si>
  <si>
    <t>0700001035</t>
  </si>
  <si>
    <t>VIVANCO TACURI JACOBO VICTORIANO</t>
  </si>
  <si>
    <t>RENUNCIA VOLUNTARIA (08/10/15)</t>
  </si>
  <si>
    <t>BURI ANGAMARCA SERGIO AGUSTIN</t>
  </si>
  <si>
    <t>GOBIERNO AUTÓNOMO DESCENTRALIZADO:GOBIERNO PROVINCIAL DE LOJA</t>
  </si>
  <si>
    <t>Nº PROYECTO CONTRATO COLECTIVO: OCTAVO</t>
  </si>
  <si>
    <t>REMUNERACIÓN UNIFICADA 2014</t>
  </si>
  <si>
    <t>SOBREVALORADO</t>
  </si>
  <si>
    <t>FIRMA DIRECTOR (A) FINANCIERO (A)</t>
  </si>
  <si>
    <t xml:space="preserve">FIRMA DIRECTOR (A) FINANCIERO (A) </t>
  </si>
  <si>
    <t>FIRMA AUTORIDAD</t>
  </si>
  <si>
    <t>AÑO  (2015)</t>
  </si>
  <si>
    <t>AÑO 1 (2016)</t>
  </si>
  <si>
    <t>AÑO 2 (2017)</t>
  </si>
  <si>
    <t>EMPRESA PÚBLICA DE VIALIDAD DEL SUR</t>
  </si>
  <si>
    <t>VESTUARIO, LENCERIA Y PRENDAS DE PROTECCION</t>
  </si>
  <si>
    <t>AÑO 3 (2018)</t>
  </si>
  <si>
    <t>FECHA DE INGRESO A VIALSUR E.P.</t>
  </si>
  <si>
    <t>ABRIGO ORTEGA ANGEL BOLIVAR</t>
  </si>
  <si>
    <t>AYUDANTE DE ALBAÑIL</t>
  </si>
  <si>
    <t xml:space="preserve">SALIDA POR VISTO BUENO 235459(005135LOJ2015) DESDE EL 3/08/15 </t>
  </si>
  <si>
    <t>SALIDA POR DESHAUCIO PRESENTADO POR JUBILACIÓN POR ENFERMEDAD (01/02/15)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</si>
  <si>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</si>
  <si>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</si>
  <si>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r>
      <rPr>
        <b/>
        <sz val="8"/>
        <rFont val="Calibri"/>
        <family val="2"/>
        <scheme val="minor"/>
      </rPr>
      <t>OBSERVACIÓN</t>
    </r>
    <r>
      <rPr>
        <sz val="8"/>
        <rFont val="Calibri"/>
        <family val="2"/>
        <scheme val="minor"/>
      </rPr>
      <t>: Debe considerarse que adicional a la remuneración mensual unificada detallada, los trabajadores permanentes reciben un aproximado de $110 mensuales por concepto de alimentación, transporte, subsidio por antigüedad y cargas familiares</t>
    </r>
  </si>
  <si>
    <t>SALIDA POR VISTO BUENO DESDE EL 01/02/2017</t>
  </si>
  <si>
    <t>Nombre: Lic. Viviana Macas Toledo</t>
  </si>
  <si>
    <t>FIRMA DIRECTOR (A) TALENTO HUMANO (A) DEL GAD</t>
  </si>
  <si>
    <t>Nombre: Ing. Carlos Aguirre Montero</t>
  </si>
  <si>
    <t>Lugar y Fecha: Loja, 16 de febrero 2017</t>
  </si>
  <si>
    <t>Lugar y Fecha: 16 de febrero 2017</t>
  </si>
  <si>
    <t>Nombre:  Ing. Carlos Aguirre Montero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</si>
</sst>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[$€]* #,##0.00_);_([$€]* \(#,##0.00\);_([$€]* &quot;-&quot;??_);_(@_)"/>
    <numFmt numFmtId="166" formatCode="_ * #,##0.00_ ;_ * \-#,##0.00_ ;_ * &quot;-&quot;??_ ;_ @_ 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9"/>
      <color theme="5" tint="0.3999755851924192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  <font>
      <sz val="6"/>
      <color rgb="FFFF0000"/>
      <name val="Times New Roman"/>
      <family val="1"/>
    </font>
    <font>
      <b/>
      <sz val="8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5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6" fillId="0" borderId="0"/>
    <xf numFmtId="0" fontId="7" fillId="0" borderId="0"/>
    <xf numFmtId="0" fontId="7" fillId="0" borderId="0"/>
    <xf numFmtId="166" fontId="2" fillId="0" borderId="0" applyFont="0" applyFill="0" applyBorder="0" applyAlignment="0" applyProtection="0"/>
    <xf numFmtId="0" fontId="1" fillId="0" borderId="0"/>
  </cellStyleXfs>
  <cellXfs count="272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Border="1" applyAlignment="1"/>
    <xf numFmtId="0" fontId="12" fillId="0" borderId="0" xfId="6"/>
    <xf numFmtId="0" fontId="15" fillId="0" borderId="0" xfId="6" applyFont="1" applyAlignment="1">
      <alignment horizontal="center"/>
    </xf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3" fillId="2" borderId="6" xfId="6" applyFont="1" applyFill="1" applyBorder="1" applyAlignment="1">
      <alignment horizontal="center" vertical="center" wrapText="1"/>
    </xf>
    <xf numFmtId="0" fontId="13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2" fillId="0" borderId="13" xfId="6" applyBorder="1"/>
    <xf numFmtId="0" fontId="12" fillId="0" borderId="14" xfId="6" applyBorder="1"/>
    <xf numFmtId="0" fontId="12" fillId="0" borderId="12" xfId="6" applyBorder="1"/>
    <xf numFmtId="0" fontId="19" fillId="0" borderId="10" xfId="6" applyFont="1" applyBorder="1"/>
    <xf numFmtId="0" fontId="18" fillId="0" borderId="15" xfId="6" applyFont="1" applyBorder="1" applyAlignment="1">
      <alignment horizontal="left" indent="2"/>
    </xf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8" fillId="3" borderId="11" xfId="6" applyFont="1" applyFill="1" applyBorder="1"/>
    <xf numFmtId="0" fontId="18" fillId="3" borderId="12" xfId="6" applyFont="1" applyFill="1" applyBorder="1"/>
    <xf numFmtId="0" fontId="12" fillId="3" borderId="13" xfId="6" applyFill="1" applyBorder="1"/>
    <xf numFmtId="0" fontId="12" fillId="3" borderId="14" xfId="6" applyFill="1" applyBorder="1"/>
    <xf numFmtId="0" fontId="12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18" fillId="0" borderId="17" xfId="6" applyFont="1" applyBorder="1"/>
    <xf numFmtId="0" fontId="21" fillId="4" borderId="9" xfId="6" applyFont="1" applyFill="1" applyBorder="1"/>
    <xf numFmtId="0" fontId="21" fillId="4" borderId="11" xfId="6" applyFont="1" applyFill="1" applyBorder="1"/>
    <xf numFmtId="0" fontId="21" fillId="4" borderId="12" xfId="6" applyFont="1" applyFill="1" applyBorder="1"/>
    <xf numFmtId="0" fontId="22" fillId="4" borderId="13" xfId="6" applyFont="1" applyFill="1" applyBorder="1"/>
    <xf numFmtId="0" fontId="22" fillId="4" borderId="12" xfId="6" applyFont="1" applyFill="1" applyBorder="1"/>
    <xf numFmtId="0" fontId="23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8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3" fillId="2" borderId="15" xfId="6" applyFont="1" applyFill="1" applyBorder="1"/>
    <xf numFmtId="0" fontId="23" fillId="0" borderId="0" xfId="6" applyFont="1" applyFill="1" applyBorder="1" applyAlignment="1">
      <alignment horizontal="center"/>
    </xf>
    <xf numFmtId="0" fontId="23" fillId="0" borderId="0" xfId="6" applyFont="1" applyFill="1" applyBorder="1"/>
    <xf numFmtId="0" fontId="12" fillId="0" borderId="0" xfId="6" applyFill="1"/>
    <xf numFmtId="0" fontId="14" fillId="0" borderId="22" xfId="6" applyFont="1" applyFill="1" applyBorder="1" applyAlignment="1">
      <alignment horizontal="center"/>
    </xf>
    <xf numFmtId="0" fontId="14" fillId="0" borderId="23" xfId="6" applyFont="1" applyFill="1" applyBorder="1" applyAlignment="1">
      <alignment horizontal="center"/>
    </xf>
    <xf numFmtId="0" fontId="14" fillId="0" borderId="24" xfId="6" applyFont="1" applyFill="1" applyBorder="1" applyAlignment="1">
      <alignment horizontal="center"/>
    </xf>
    <xf numFmtId="0" fontId="14" fillId="0" borderId="25" xfId="6" applyFont="1" applyFill="1" applyBorder="1" applyAlignment="1">
      <alignment horizontal="center"/>
    </xf>
    <xf numFmtId="0" fontId="14" fillId="0" borderId="26" xfId="6" applyFont="1" applyFill="1" applyBorder="1" applyAlignment="1">
      <alignment horizontal="center"/>
    </xf>
    <xf numFmtId="0" fontId="23" fillId="0" borderId="26" xfId="6" applyFont="1" applyFill="1" applyBorder="1"/>
    <xf numFmtId="0" fontId="23" fillId="0" borderId="27" xfId="6" applyFont="1" applyFill="1" applyBorder="1"/>
    <xf numFmtId="0" fontId="18" fillId="0" borderId="0" xfId="6" applyFont="1" applyFill="1" applyBorder="1"/>
    <xf numFmtId="0" fontId="14" fillId="0" borderId="0" xfId="6" applyFont="1"/>
    <xf numFmtId="0" fontId="24" fillId="0" borderId="0" xfId="0" applyFont="1" applyFill="1" applyBorder="1" applyAlignment="1"/>
    <xf numFmtId="0" fontId="24" fillId="0" borderId="0" xfId="0" applyFont="1" applyBorder="1" applyAlignment="1"/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4" fontId="25" fillId="0" borderId="0" xfId="0" applyNumberFormat="1" applyFont="1" applyBorder="1"/>
    <xf numFmtId="0" fontId="25" fillId="0" borderId="28" xfId="0" applyFont="1" applyBorder="1"/>
    <xf numFmtId="0" fontId="25" fillId="0" borderId="0" xfId="0" applyFont="1"/>
    <xf numFmtId="0" fontId="27" fillId="0" borderId="0" xfId="0" applyFont="1" applyFill="1" applyBorder="1" applyAlignment="1"/>
    <xf numFmtId="0" fontId="27" fillId="0" borderId="0" xfId="0" applyFont="1" applyFill="1" applyBorder="1" applyAlignment="1">
      <alignment horizontal="center"/>
    </xf>
    <xf numFmtId="0" fontId="27" fillId="0" borderId="0" xfId="0" applyFont="1" applyBorder="1" applyAlignment="1"/>
    <xf numFmtId="0" fontId="24" fillId="0" borderId="0" xfId="0" applyFont="1" applyFill="1" applyBorder="1" applyAlignment="1">
      <alignment horizontal="left"/>
    </xf>
    <xf numFmtId="0" fontId="28" fillId="0" borderId="0" xfId="0" applyFont="1" applyFill="1" applyBorder="1" applyAlignment="1"/>
    <xf numFmtId="0" fontId="29" fillId="0" borderId="0" xfId="0" applyFont="1" applyBorder="1"/>
    <xf numFmtId="4" fontId="30" fillId="0" borderId="2" xfId="2" applyNumberFormat="1" applyFont="1" applyBorder="1" applyAlignment="1">
      <alignment horizontal="center"/>
    </xf>
    <xf numFmtId="0" fontId="14" fillId="0" borderId="31" xfId="6" applyFont="1" applyBorder="1" applyAlignment="1">
      <alignment horizontal="center"/>
    </xf>
    <xf numFmtId="4" fontId="28" fillId="0" borderId="32" xfId="0" applyNumberFormat="1" applyFont="1" applyFill="1" applyBorder="1" applyAlignment="1">
      <alignment horizontal="center"/>
    </xf>
    <xf numFmtId="4" fontId="28" fillId="0" borderId="33" xfId="0" applyNumberFormat="1" applyFont="1" applyFill="1" applyBorder="1" applyAlignment="1">
      <alignment horizontal="center"/>
    </xf>
    <xf numFmtId="4" fontId="24" fillId="0" borderId="33" xfId="0" applyNumberFormat="1" applyFont="1" applyFill="1" applyBorder="1" applyAlignment="1">
      <alignment horizontal="center"/>
    </xf>
    <xf numFmtId="4" fontId="30" fillId="0" borderId="33" xfId="2" applyNumberFormat="1" applyFont="1" applyBorder="1" applyAlignment="1">
      <alignment horizontal="center"/>
    </xf>
    <xf numFmtId="0" fontId="25" fillId="0" borderId="33" xfId="0" applyFont="1" applyBorder="1"/>
    <xf numFmtId="4" fontId="25" fillId="0" borderId="33" xfId="0" applyNumberFormat="1" applyFont="1" applyBorder="1"/>
    <xf numFmtId="4" fontId="24" fillId="0" borderId="9" xfId="0" applyNumberFormat="1" applyFont="1" applyFill="1" applyBorder="1" applyAlignment="1">
      <alignment horizontal="center"/>
    </xf>
    <xf numFmtId="4" fontId="28" fillId="0" borderId="10" xfId="0" applyNumberFormat="1" applyFont="1" applyFill="1" applyBorder="1" applyAlignment="1">
      <alignment horizontal="center"/>
    </xf>
    <xf numFmtId="4" fontId="24" fillId="0" borderId="10" xfId="0" applyNumberFormat="1" applyFont="1" applyFill="1" applyBorder="1" applyAlignment="1">
      <alignment horizontal="center"/>
    </xf>
    <xf numFmtId="4" fontId="30" fillId="0" borderId="10" xfId="2" applyNumberFormat="1" applyFont="1" applyBorder="1" applyAlignment="1">
      <alignment horizontal="center"/>
    </xf>
    <xf numFmtId="0" fontId="25" fillId="0" borderId="10" xfId="0" applyFont="1" applyBorder="1"/>
    <xf numFmtId="4" fontId="25" fillId="0" borderId="10" xfId="0" applyNumberFormat="1" applyFont="1" applyBorder="1"/>
    <xf numFmtId="0" fontId="25" fillId="0" borderId="15" xfId="0" applyFont="1" applyBorder="1"/>
    <xf numFmtId="0" fontId="24" fillId="0" borderId="34" xfId="0" applyFont="1" applyBorder="1" applyAlignment="1">
      <alignment horizontal="left"/>
    </xf>
    <xf numFmtId="0" fontId="18" fillId="0" borderId="35" xfId="6" applyFont="1" applyBorder="1" applyAlignment="1">
      <alignment horizontal="left" indent="2"/>
    </xf>
    <xf numFmtId="0" fontId="28" fillId="0" borderId="35" xfId="0" applyFont="1" applyBorder="1" applyAlignment="1">
      <alignment horizontal="left"/>
    </xf>
    <xf numFmtId="0" fontId="24" fillId="0" borderId="35" xfId="0" applyFont="1" applyBorder="1" applyAlignment="1">
      <alignment horizontal="left"/>
    </xf>
    <xf numFmtId="0" fontId="24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49" fontId="28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18" fillId="0" borderId="31" xfId="6" applyFont="1" applyBorder="1" applyAlignment="1">
      <alignment horizontal="left" indent="2"/>
    </xf>
    <xf numFmtId="0" fontId="25" fillId="0" borderId="17" xfId="0" applyFont="1" applyBorder="1"/>
    <xf numFmtId="0" fontId="25" fillId="0" borderId="36" xfId="0" applyFont="1" applyBorder="1" applyAlignment="1">
      <alignment horizontal="center"/>
    </xf>
    <xf numFmtId="0" fontId="28" fillId="0" borderId="9" xfId="0" applyFont="1" applyBorder="1"/>
    <xf numFmtId="0" fontId="26" fillId="0" borderId="6" xfId="0" applyFont="1" applyBorder="1" applyAlignment="1">
      <alignment horizontal="center"/>
    </xf>
    <xf numFmtId="0" fontId="25" fillId="0" borderId="3" xfId="0" applyFont="1" applyBorder="1"/>
    <xf numFmtId="0" fontId="25" fillId="0" borderId="38" xfId="0" applyFont="1" applyBorder="1"/>
    <xf numFmtId="0" fontId="14" fillId="0" borderId="0" xfId="6" applyFont="1" applyBorder="1" applyAlignment="1">
      <alignment horizontal="center"/>
    </xf>
    <xf numFmtId="4" fontId="28" fillId="0" borderId="10" xfId="2" applyNumberFormat="1" applyFont="1" applyFill="1" applyBorder="1" applyAlignment="1">
      <alignment horizontal="center"/>
    </xf>
    <xf numFmtId="4" fontId="28" fillId="0" borderId="41" xfId="0" applyNumberFormat="1" applyFont="1" applyBorder="1" applyAlignment="1">
      <alignment horizontal="center"/>
    </xf>
    <xf numFmtId="4" fontId="30" fillId="0" borderId="3" xfId="2" applyNumberFormat="1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49" fontId="28" fillId="0" borderId="7" xfId="0" applyNumberFormat="1" applyFont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28" fillId="0" borderId="3" xfId="0" applyFont="1" applyBorder="1"/>
    <xf numFmtId="0" fontId="17" fillId="2" borderId="24" xfId="0" applyFont="1" applyFill="1" applyBorder="1" applyAlignment="1">
      <alignment horizontal="center" vertical="center" wrapText="1"/>
    </xf>
    <xf numFmtId="2" fontId="24" fillId="0" borderId="7" xfId="0" applyNumberFormat="1" applyFont="1" applyFill="1" applyBorder="1" applyAlignment="1">
      <alignment horizontal="center"/>
    </xf>
    <xf numFmtId="0" fontId="13" fillId="2" borderId="25" xfId="6" applyFont="1" applyFill="1" applyBorder="1" applyAlignment="1"/>
    <xf numFmtId="0" fontId="13" fillId="2" borderId="26" xfId="6" applyFont="1" applyFill="1" applyBorder="1" applyAlignment="1"/>
    <xf numFmtId="0" fontId="20" fillId="0" borderId="13" xfId="6" applyFont="1" applyBorder="1"/>
    <xf numFmtId="0" fontId="18" fillId="0" borderId="13" xfId="6" applyFont="1" applyBorder="1"/>
    <xf numFmtId="0" fontId="18" fillId="4" borderId="10" xfId="6" applyFont="1" applyFill="1" applyBorder="1"/>
    <xf numFmtId="0" fontId="18" fillId="3" borderId="13" xfId="6" applyFont="1" applyFill="1" applyBorder="1"/>
    <xf numFmtId="0" fontId="20" fillId="0" borderId="14" xfId="6" applyFont="1" applyBorder="1"/>
    <xf numFmtId="0" fontId="20" fillId="3" borderId="14" xfId="6" applyFont="1" applyFill="1" applyBorder="1"/>
    <xf numFmtId="0" fontId="32" fillId="4" borderId="14" xfId="6" applyFont="1" applyFill="1" applyBorder="1"/>
    <xf numFmtId="0" fontId="33" fillId="2" borderId="10" xfId="6" applyFont="1" applyFill="1" applyBorder="1"/>
    <xf numFmtId="1" fontId="25" fillId="5" borderId="18" xfId="9" applyNumberFormat="1" applyFont="1" applyFill="1" applyBorder="1" applyAlignment="1">
      <alignment horizontal="center" vertical="center"/>
    </xf>
    <xf numFmtId="2" fontId="25" fillId="5" borderId="19" xfId="10" applyNumberFormat="1" applyFont="1" applyFill="1" applyBorder="1" applyAlignment="1">
      <alignment horizontal="center" vertical="center"/>
    </xf>
    <xf numFmtId="1" fontId="25" fillId="5" borderId="13" xfId="9" applyNumberFormat="1" applyFont="1" applyFill="1" applyBorder="1" applyAlignment="1">
      <alignment horizontal="center" vertical="center"/>
    </xf>
    <xf numFmtId="2" fontId="25" fillId="5" borderId="16" xfId="8" applyNumberFormat="1" applyFont="1" applyFill="1" applyBorder="1" applyAlignment="1">
      <alignment horizontal="center" vertical="center"/>
    </xf>
    <xf numFmtId="2" fontId="25" fillId="5" borderId="16" xfId="10" applyNumberFormat="1" applyFont="1" applyFill="1" applyBorder="1" applyAlignment="1">
      <alignment horizontal="center" vertical="center"/>
    </xf>
    <xf numFmtId="2" fontId="25" fillId="5" borderId="16" xfId="12" applyNumberFormat="1" applyFont="1" applyFill="1" applyBorder="1" applyAlignment="1">
      <alignment horizontal="center" vertical="center"/>
    </xf>
    <xf numFmtId="1" fontId="34" fillId="0" borderId="14" xfId="11" applyNumberFormat="1" applyFont="1" applyFill="1" applyBorder="1" applyAlignment="1">
      <alignment horizontal="right" vertical="center"/>
    </xf>
    <xf numFmtId="2" fontId="25" fillId="5" borderId="45" xfId="10" applyNumberFormat="1" applyFont="1" applyFill="1" applyBorder="1" applyAlignment="1">
      <alignment horizontal="center" vertical="center"/>
    </xf>
    <xf numFmtId="1" fontId="25" fillId="0" borderId="14" xfId="9" applyNumberFormat="1" applyFont="1" applyFill="1" applyBorder="1" applyAlignment="1">
      <alignment horizontal="center" vertical="center"/>
    </xf>
    <xf numFmtId="2" fontId="25" fillId="5" borderId="14" xfId="10" applyNumberFormat="1" applyFont="1" applyFill="1" applyBorder="1" applyAlignment="1">
      <alignment horizontal="center" vertical="center"/>
    </xf>
    <xf numFmtId="0" fontId="24" fillId="5" borderId="14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49" fontId="25" fillId="5" borderId="14" xfId="8" applyNumberFormat="1" applyFont="1" applyFill="1" applyBorder="1" applyAlignment="1">
      <alignment vertical="center" wrapText="1"/>
    </xf>
    <xf numFmtId="0" fontId="29" fillId="5" borderId="14" xfId="0" applyFont="1" applyFill="1" applyBorder="1" applyAlignment="1">
      <alignment horizontal="center" wrapText="1"/>
    </xf>
    <xf numFmtId="2" fontId="25" fillId="5" borderId="14" xfId="9" applyNumberFormat="1" applyFont="1" applyFill="1" applyBorder="1" applyAlignment="1">
      <alignment horizontal="center" vertical="center"/>
    </xf>
    <xf numFmtId="2" fontId="25" fillId="5" borderId="14" xfId="13" applyNumberFormat="1" applyFont="1" applyFill="1" applyBorder="1" applyAlignment="1">
      <alignment horizontal="center" vertical="center"/>
    </xf>
    <xf numFmtId="4" fontId="24" fillId="5" borderId="14" xfId="0" applyNumberFormat="1" applyFont="1" applyFill="1" applyBorder="1" applyAlignment="1">
      <alignment horizontal="center" vertical="center" wrapText="1"/>
    </xf>
    <xf numFmtId="4" fontId="24" fillId="5" borderId="14" xfId="0" applyNumberFormat="1" applyFont="1" applyFill="1" applyBorder="1" applyAlignment="1">
      <alignment horizontal="right" vertical="center" wrapText="1"/>
    </xf>
    <xf numFmtId="164" fontId="25" fillId="0" borderId="0" xfId="2" applyFont="1" applyBorder="1"/>
    <xf numFmtId="0" fontId="25" fillId="0" borderId="0" xfId="0" applyFont="1" applyBorder="1" applyAlignment="1">
      <alignment horizontal="center"/>
    </xf>
    <xf numFmtId="0" fontId="25" fillId="0" borderId="0" xfId="0" applyFont="1" applyBorder="1" applyAlignment="1"/>
    <xf numFmtId="0" fontId="25" fillId="0" borderId="0" xfId="0" applyFont="1" applyBorder="1" applyAlignment="1">
      <alignment horizontal="center" wrapText="1"/>
    </xf>
    <xf numFmtId="0" fontId="26" fillId="0" borderId="0" xfId="0" applyFont="1" applyBorder="1" applyAlignment="1"/>
    <xf numFmtId="2" fontId="24" fillId="0" borderId="28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 vertical="center" wrapText="1"/>
    </xf>
    <xf numFmtId="4" fontId="28" fillId="0" borderId="10" xfId="3" applyNumberFormat="1" applyFont="1" applyFill="1" applyBorder="1" applyAlignment="1">
      <alignment horizontal="center"/>
    </xf>
    <xf numFmtId="0" fontId="28" fillId="0" borderId="16" xfId="0" applyFont="1" applyFill="1" applyBorder="1" applyAlignment="1">
      <alignment horizontal="center"/>
    </xf>
    <xf numFmtId="1" fontId="25" fillId="5" borderId="14" xfId="9" applyNumberFormat="1" applyFont="1" applyFill="1" applyBorder="1" applyAlignment="1">
      <alignment horizontal="center" vertical="center"/>
    </xf>
    <xf numFmtId="4" fontId="35" fillId="0" borderId="14" xfId="0" applyNumberFormat="1" applyFont="1" applyFill="1" applyBorder="1" applyAlignment="1">
      <alignment horizontal="left" wrapText="1"/>
    </xf>
    <xf numFmtId="0" fontId="29" fillId="5" borderId="16" xfId="0" applyFont="1" applyFill="1" applyBorder="1" applyAlignment="1">
      <alignment horizontal="center" wrapText="1"/>
    </xf>
    <xf numFmtId="2" fontId="25" fillId="5" borderId="14" xfId="8" applyNumberFormat="1" applyFont="1" applyFill="1" applyBorder="1" applyAlignment="1">
      <alignment horizontal="center" vertical="center"/>
    </xf>
    <xf numFmtId="4" fontId="28" fillId="5" borderId="10" xfId="3" applyNumberFormat="1" applyFont="1" applyFill="1" applyBorder="1" applyAlignment="1">
      <alignment horizontal="center"/>
    </xf>
    <xf numFmtId="2" fontId="25" fillId="0" borderId="10" xfId="0" applyNumberFormat="1" applyFont="1" applyBorder="1" applyAlignment="1">
      <alignment horizontal="right"/>
    </xf>
    <xf numFmtId="2" fontId="25" fillId="0" borderId="15" xfId="0" applyNumberFormat="1" applyFont="1" applyBorder="1" applyAlignment="1">
      <alignment horizontal="right"/>
    </xf>
    <xf numFmtId="2" fontId="25" fillId="0" borderId="7" xfId="0" applyNumberFormat="1" applyFont="1" applyBorder="1" applyAlignment="1">
      <alignment horizontal="right"/>
    </xf>
    <xf numFmtId="4" fontId="24" fillId="0" borderId="10" xfId="2" applyNumberFormat="1" applyFont="1" applyBorder="1" applyAlignment="1">
      <alignment horizontal="right"/>
    </xf>
    <xf numFmtId="4" fontId="24" fillId="0" borderId="8" xfId="2" applyNumberFormat="1" applyFont="1" applyBorder="1" applyAlignment="1">
      <alignment horizontal="right"/>
    </xf>
    <xf numFmtId="4" fontId="24" fillId="0" borderId="49" xfId="0" applyNumberFormat="1" applyFont="1" applyFill="1" applyBorder="1" applyAlignment="1">
      <alignment horizontal="center"/>
    </xf>
    <xf numFmtId="4" fontId="28" fillId="0" borderId="8" xfId="0" applyNumberFormat="1" applyFont="1" applyFill="1" applyBorder="1" applyAlignment="1">
      <alignment horizontal="center"/>
    </xf>
    <xf numFmtId="4" fontId="24" fillId="0" borderId="8" xfId="0" applyNumberFormat="1" applyFont="1" applyFill="1" applyBorder="1" applyAlignment="1">
      <alignment horizontal="center"/>
    </xf>
    <xf numFmtId="4" fontId="30" fillId="0" borderId="8" xfId="2" applyNumberFormat="1" applyFont="1" applyBorder="1" applyAlignment="1">
      <alignment horizontal="center"/>
    </xf>
    <xf numFmtId="0" fontId="25" fillId="0" borderId="8" xfId="0" applyFont="1" applyBorder="1"/>
    <xf numFmtId="4" fontId="25" fillId="0" borderId="8" xfId="0" applyNumberFormat="1" applyFont="1" applyBorder="1"/>
    <xf numFmtId="0" fontId="25" fillId="0" borderId="50" xfId="0" applyFont="1" applyBorder="1"/>
    <xf numFmtId="2" fontId="25" fillId="0" borderId="51" xfId="0" applyNumberFormat="1" applyFont="1" applyBorder="1" applyAlignment="1">
      <alignment horizontal="right"/>
    </xf>
    <xf numFmtId="2" fontId="25" fillId="0" borderId="8" xfId="0" applyNumberFormat="1" applyFont="1" applyBorder="1" applyAlignment="1">
      <alignment horizontal="right"/>
    </xf>
    <xf numFmtId="2" fontId="25" fillId="0" borderId="52" xfId="0" applyNumberFormat="1" applyFont="1" applyBorder="1" applyAlignment="1">
      <alignment horizontal="right"/>
    </xf>
    <xf numFmtId="4" fontId="28" fillId="0" borderId="9" xfId="0" applyNumberFormat="1" applyFont="1" applyFill="1" applyBorder="1" applyAlignment="1">
      <alignment horizontal="center"/>
    </xf>
    <xf numFmtId="4" fontId="25" fillId="0" borderId="17" xfId="0" applyNumberFormat="1" applyFont="1" applyBorder="1"/>
    <xf numFmtId="0" fontId="24" fillId="0" borderId="28" xfId="0" applyFont="1" applyBorder="1" applyAlignment="1">
      <alignment horizontal="left"/>
    </xf>
    <xf numFmtId="0" fontId="28" fillId="0" borderId="28" xfId="0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4" fontId="28" fillId="0" borderId="35" xfId="3" applyNumberFormat="1" applyFont="1" applyFill="1" applyBorder="1" applyAlignment="1">
      <alignment horizontal="center"/>
    </xf>
    <xf numFmtId="4" fontId="28" fillId="0" borderId="0" xfId="0" applyNumberFormat="1" applyFont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4" fontId="28" fillId="0" borderId="42" xfId="0" applyNumberFormat="1" applyFont="1" applyBorder="1" applyAlignment="1">
      <alignment horizontal="center"/>
    </xf>
    <xf numFmtId="0" fontId="25" fillId="0" borderId="41" xfId="0" applyFont="1" applyBorder="1"/>
    <xf numFmtId="4" fontId="30" fillId="0" borderId="43" xfId="2" applyNumberFormat="1" applyFont="1" applyBorder="1" applyAlignment="1">
      <alignment horizontal="center"/>
    </xf>
    <xf numFmtId="4" fontId="30" fillId="0" borderId="43" xfId="2" applyNumberFormat="1" applyFont="1" applyBorder="1" applyAlignment="1">
      <alignment horizontal="right"/>
    </xf>
    <xf numFmtId="4" fontId="30" fillId="0" borderId="3" xfId="2" applyNumberFormat="1" applyFont="1" applyBorder="1" applyAlignment="1">
      <alignment horizontal="right"/>
    </xf>
    <xf numFmtId="0" fontId="30" fillId="0" borderId="3" xfId="0" applyFont="1" applyBorder="1" applyAlignment="1">
      <alignment horizontal="center"/>
    </xf>
    <xf numFmtId="49" fontId="17" fillId="2" borderId="3" xfId="0" applyNumberFormat="1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14" fontId="6" fillId="0" borderId="14" xfId="0" applyNumberFormat="1" applyFont="1" applyBorder="1"/>
    <xf numFmtId="0" fontId="6" fillId="5" borderId="14" xfId="0" applyFont="1" applyFill="1" applyBorder="1"/>
    <xf numFmtId="0" fontId="6" fillId="5" borderId="0" xfId="0" applyFont="1" applyFill="1"/>
    <xf numFmtId="0" fontId="24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right" vertical="center" wrapText="1"/>
    </xf>
    <xf numFmtId="0" fontId="36" fillId="0" borderId="0" xfId="0" applyFont="1" applyBorder="1"/>
    <xf numFmtId="0" fontId="38" fillId="2" borderId="30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53" xfId="0" applyFont="1" applyFill="1" applyBorder="1" applyAlignment="1">
      <alignment horizontal="center" vertical="center" wrapText="1"/>
    </xf>
    <xf numFmtId="1" fontId="34" fillId="5" borderId="14" xfId="8" applyNumberFormat="1" applyFont="1" applyFill="1" applyBorder="1" applyAlignment="1">
      <alignment horizontal="right" vertical="center" wrapText="1"/>
    </xf>
    <xf numFmtId="0" fontId="28" fillId="5" borderId="29" xfId="0" applyFont="1" applyFill="1" applyBorder="1" applyAlignment="1">
      <alignment horizontal="center"/>
    </xf>
    <xf numFmtId="4" fontId="28" fillId="5" borderId="29" xfId="0" applyNumberFormat="1" applyFont="1" applyFill="1" applyBorder="1" applyAlignment="1">
      <alignment horizontal="left"/>
    </xf>
    <xf numFmtId="14" fontId="6" fillId="5" borderId="14" xfId="0" applyNumberFormat="1" applyFont="1" applyFill="1" applyBorder="1"/>
    <xf numFmtId="1" fontId="25" fillId="5" borderId="14" xfId="8" applyNumberFormat="1" applyFont="1" applyFill="1" applyBorder="1" applyAlignment="1">
      <alignment horizontal="right" vertical="center" wrapText="1"/>
    </xf>
    <xf numFmtId="0" fontId="28" fillId="5" borderId="14" xfId="0" applyFont="1" applyFill="1" applyBorder="1" applyAlignment="1">
      <alignment horizontal="center"/>
    </xf>
    <xf numFmtId="0" fontId="34" fillId="5" borderId="14" xfId="1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/>
    </xf>
    <xf numFmtId="1" fontId="34" fillId="5" borderId="14" xfId="8" applyNumberFormat="1" applyFont="1" applyFill="1" applyBorder="1" applyAlignment="1">
      <alignment horizontal="right" vertical="center"/>
    </xf>
    <xf numFmtId="0" fontId="25" fillId="5" borderId="14" xfId="11" applyFont="1" applyFill="1" applyBorder="1" applyAlignment="1">
      <alignment horizontal="right" vertical="center"/>
    </xf>
    <xf numFmtId="1" fontId="34" fillId="5" borderId="14" xfId="11" applyNumberFormat="1" applyFont="1" applyFill="1" applyBorder="1" applyAlignment="1">
      <alignment horizontal="right" vertical="center"/>
    </xf>
    <xf numFmtId="0" fontId="34" fillId="5" borderId="14" xfId="8" applyFont="1" applyFill="1" applyBorder="1" applyAlignment="1">
      <alignment horizontal="right" vertical="center" wrapText="1"/>
    </xf>
    <xf numFmtId="4" fontId="28" fillId="5" borderId="14" xfId="0" applyNumberFormat="1" applyFont="1" applyFill="1" applyBorder="1" applyAlignment="1">
      <alignment horizontal="left"/>
    </xf>
    <xf numFmtId="1" fontId="25" fillId="5" borderId="14" xfId="8" applyNumberFormat="1" applyFont="1" applyFill="1" applyBorder="1" applyAlignment="1">
      <alignment horizontal="right" vertical="center"/>
    </xf>
    <xf numFmtId="1" fontId="25" fillId="5" borderId="14" xfId="11" applyNumberFormat="1" applyFont="1" applyFill="1" applyBorder="1" applyAlignment="1">
      <alignment horizontal="right" vertical="center"/>
    </xf>
    <xf numFmtId="0" fontId="28" fillId="5" borderId="16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wrapText="1"/>
    </xf>
    <xf numFmtId="0" fontId="24" fillId="0" borderId="0" xfId="0" applyFont="1" applyBorder="1" applyAlignment="1">
      <alignment wrapText="1"/>
    </xf>
    <xf numFmtId="0" fontId="24" fillId="5" borderId="14" xfId="0" applyFont="1" applyFill="1" applyBorder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wrapText="1"/>
    </xf>
    <xf numFmtId="0" fontId="14" fillId="0" borderId="0" xfId="6" applyFont="1" applyBorder="1" applyAlignment="1">
      <alignment horizontal="center" wrapText="1"/>
    </xf>
    <xf numFmtId="0" fontId="14" fillId="0" borderId="0" xfId="6" applyFont="1" applyAlignment="1">
      <alignment wrapText="1"/>
    </xf>
    <xf numFmtId="0" fontId="25" fillId="0" borderId="0" xfId="0" applyFont="1" applyAlignment="1">
      <alignment wrapText="1"/>
    </xf>
    <xf numFmtId="0" fontId="34" fillId="5" borderId="14" xfId="8" applyNumberFormat="1" applyFont="1" applyFill="1" applyBorder="1" applyAlignment="1">
      <alignment horizontal="right" vertical="center" wrapText="1"/>
    </xf>
    <xf numFmtId="0" fontId="14" fillId="0" borderId="31" xfId="6" applyFont="1" applyBorder="1" applyAlignment="1"/>
    <xf numFmtId="0" fontId="29" fillId="5" borderId="0" xfId="0" applyFont="1" applyFill="1" applyBorder="1" applyAlignment="1">
      <alignment horizontal="center" wrapText="1"/>
    </xf>
    <xf numFmtId="0" fontId="31" fillId="0" borderId="0" xfId="0" applyFont="1" applyFill="1" applyBorder="1" applyAlignment="1">
      <alignment horizontal="center"/>
    </xf>
    <xf numFmtId="49" fontId="17" fillId="2" borderId="6" xfId="0" applyNumberFormat="1" applyFont="1" applyFill="1" applyBorder="1" applyAlignment="1">
      <alignment horizontal="center" vertical="center" wrapText="1"/>
    </xf>
    <xf numFmtId="49" fontId="17" fillId="2" borderId="38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30" fillId="3" borderId="43" xfId="0" applyFont="1" applyFill="1" applyBorder="1" applyAlignment="1">
      <alignment horizontal="center"/>
    </xf>
    <xf numFmtId="0" fontId="30" fillId="3" borderId="38" xfId="0" applyFont="1" applyFill="1" applyBorder="1" applyAlignment="1">
      <alignment horizontal="center"/>
    </xf>
    <xf numFmtId="0" fontId="14" fillId="0" borderId="31" xfId="6" applyFont="1" applyBorder="1" applyAlignment="1">
      <alignment horizontal="center"/>
    </xf>
    <xf numFmtId="0" fontId="14" fillId="0" borderId="0" xfId="6" applyFont="1" applyAlignment="1">
      <alignment horizontal="left" wrapText="1"/>
    </xf>
    <xf numFmtId="0" fontId="31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left" wrapText="1"/>
    </xf>
    <xf numFmtId="0" fontId="13" fillId="2" borderId="37" xfId="6" applyFont="1" applyFill="1" applyBorder="1" applyAlignment="1">
      <alignment horizontal="center" vertical="center" wrapText="1"/>
    </xf>
    <xf numFmtId="0" fontId="13" fillId="2" borderId="41" xfId="6" applyFont="1" applyFill="1" applyBorder="1" applyAlignment="1">
      <alignment horizontal="center" vertical="center" wrapText="1"/>
    </xf>
    <xf numFmtId="0" fontId="13" fillId="2" borderId="42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4" fillId="0" borderId="0" xfId="6" applyFont="1" applyAlignment="1">
      <alignment horizontal="center"/>
    </xf>
    <xf numFmtId="0" fontId="13" fillId="2" borderId="22" xfId="6" applyFont="1" applyFill="1" applyBorder="1" applyAlignment="1">
      <alignment horizontal="center" vertical="center" wrapText="1"/>
    </xf>
    <xf numFmtId="0" fontId="13" fillId="2" borderId="23" xfId="6" applyFont="1" applyFill="1" applyBorder="1" applyAlignment="1">
      <alignment horizontal="center" vertical="center" wrapText="1"/>
    </xf>
    <xf numFmtId="0" fontId="13" fillId="2" borderId="47" xfId="6" applyFont="1" applyFill="1" applyBorder="1" applyAlignment="1">
      <alignment horizontal="center" vertical="center" wrapText="1"/>
    </xf>
    <xf numFmtId="0" fontId="13" fillId="2" borderId="0" xfId="6" applyFont="1" applyFill="1" applyBorder="1" applyAlignment="1">
      <alignment horizontal="center" vertical="center" wrapText="1"/>
    </xf>
    <xf numFmtId="0" fontId="13" fillId="2" borderId="24" xfId="6" applyFont="1" applyFill="1" applyBorder="1" applyAlignment="1">
      <alignment horizontal="center" vertical="center" wrapText="1"/>
    </xf>
    <xf numFmtId="0" fontId="13" fillId="2" borderId="48" xfId="6" applyFont="1" applyFill="1" applyBorder="1" applyAlignment="1">
      <alignment horizontal="center" vertical="center" wrapText="1"/>
    </xf>
    <xf numFmtId="0" fontId="13" fillId="2" borderId="25" xfId="6" applyFont="1" applyFill="1" applyBorder="1" applyAlignment="1">
      <alignment horizontal="center" vertical="center" wrapText="1"/>
    </xf>
    <xf numFmtId="0" fontId="13" fillId="2" borderId="26" xfId="6" applyFont="1" applyFill="1" applyBorder="1" applyAlignment="1">
      <alignment horizontal="center" vertical="center" wrapText="1"/>
    </xf>
    <xf numFmtId="0" fontId="19" fillId="3" borderId="13" xfId="6" applyFont="1" applyFill="1" applyBorder="1" applyAlignment="1">
      <alignment horizontal="left"/>
    </xf>
    <xf numFmtId="0" fontId="19" fillId="3" borderId="39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5" xfId="6" applyFont="1" applyFill="1" applyBorder="1" applyAlignment="1">
      <alignment horizontal="left"/>
    </xf>
    <xf numFmtId="0" fontId="23" fillId="2" borderId="13" xfId="6" applyFont="1" applyFill="1" applyBorder="1" applyAlignment="1">
      <alignment horizontal="center"/>
    </xf>
    <xf numFmtId="0" fontId="23" fillId="2" borderId="16" xfId="6" applyFont="1" applyFill="1" applyBorder="1" applyAlignment="1">
      <alignment horizontal="center"/>
    </xf>
    <xf numFmtId="0" fontId="19" fillId="3" borderId="44" xfId="6" applyFont="1" applyFill="1" applyBorder="1" applyAlignment="1">
      <alignment horizontal="left"/>
    </xf>
    <xf numFmtId="0" fontId="23" fillId="2" borderId="46" xfId="6" applyFont="1" applyFill="1" applyBorder="1" applyAlignment="1">
      <alignment horizontal="center"/>
    </xf>
    <xf numFmtId="0" fontId="23" fillId="2" borderId="40" xfId="6" applyFont="1" applyFill="1" applyBorder="1" applyAlignment="1">
      <alignment horizontal="center"/>
    </xf>
  </cellXfs>
  <cellStyles count="14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1"/>
  <sheetViews>
    <sheetView view="pageLayout" topLeftCell="A34" zoomScale="60" zoomScaleNormal="70" zoomScalePageLayoutView="60" workbookViewId="0">
      <selection sqref="A1:F48"/>
    </sheetView>
  </sheetViews>
  <sheetFormatPr baseColWidth="10" defaultRowHeight="20.100000000000001" customHeight="1" x14ac:dyDescent="0.2"/>
  <cols>
    <col min="1" max="1" width="13.140625" style="70" customWidth="1"/>
    <col min="2" max="2" width="41.140625" style="70" customWidth="1"/>
    <col min="3" max="4" width="19.85546875" style="70" customWidth="1"/>
    <col min="5" max="5" width="20.28515625" style="70" customWidth="1"/>
    <col min="6" max="6" width="27.5703125" style="2" customWidth="1"/>
    <col min="7" max="16384" width="11.42578125" style="2"/>
  </cols>
  <sheetData>
    <row r="1" spans="1:6" ht="20.100000000000001" customHeight="1" x14ac:dyDescent="0.3">
      <c r="A1" s="235" t="s">
        <v>20</v>
      </c>
      <c r="B1" s="235"/>
      <c r="C1" s="235"/>
      <c r="D1" s="235"/>
      <c r="E1" s="235"/>
    </row>
    <row r="2" spans="1:6" ht="20.100000000000001" customHeight="1" x14ac:dyDescent="0.25">
      <c r="A2" s="71" t="s">
        <v>113</v>
      </c>
      <c r="B2" s="71"/>
      <c r="C2" s="71"/>
      <c r="D2" s="71"/>
      <c r="E2" s="71"/>
    </row>
    <row r="3" spans="1:6" ht="20.100000000000001" customHeight="1" x14ac:dyDescent="0.25">
      <c r="A3" s="238" t="s">
        <v>31</v>
      </c>
      <c r="B3" s="238"/>
      <c r="C3" s="238"/>
      <c r="D3" s="238"/>
      <c r="E3" s="238"/>
    </row>
    <row r="4" spans="1:6" ht="20.100000000000001" customHeight="1" x14ac:dyDescent="0.25">
      <c r="A4" s="72"/>
      <c r="B4" s="72"/>
      <c r="C4" s="72"/>
      <c r="D4" s="142"/>
      <c r="E4" s="72"/>
    </row>
    <row r="5" spans="1:6" ht="20.100000000000001" customHeight="1" x14ac:dyDescent="0.25">
      <c r="A5" s="71" t="s">
        <v>469</v>
      </c>
      <c r="B5" s="72"/>
      <c r="C5" s="2"/>
      <c r="D5" s="2"/>
      <c r="E5" s="71"/>
    </row>
    <row r="6" spans="1:6" ht="20.100000000000001" customHeight="1" x14ac:dyDescent="0.25">
      <c r="A6" s="71" t="s">
        <v>470</v>
      </c>
      <c r="B6" s="72"/>
      <c r="C6" s="2"/>
      <c r="D6" s="2"/>
      <c r="E6" s="71"/>
    </row>
    <row r="7" spans="1:6" ht="20.100000000000001" customHeight="1" x14ac:dyDescent="0.25">
      <c r="A7" s="73" t="s">
        <v>117</v>
      </c>
      <c r="B7" s="73"/>
      <c r="C7" s="2"/>
      <c r="D7" s="2"/>
      <c r="E7" s="73"/>
    </row>
    <row r="8" spans="1:6" ht="20.100000000000001" customHeight="1" thickBot="1" x14ac:dyDescent="0.3">
      <c r="A8" s="73"/>
      <c r="B8" s="73"/>
      <c r="C8" s="2"/>
      <c r="D8" s="2"/>
      <c r="E8" s="73"/>
    </row>
    <row r="9" spans="1:6" ht="78" customHeight="1" thickBot="1" x14ac:dyDescent="0.25">
      <c r="A9" s="236" t="s">
        <v>1</v>
      </c>
      <c r="B9" s="237"/>
      <c r="C9" s="192" t="s">
        <v>482</v>
      </c>
      <c r="D9" s="192" t="s">
        <v>481</v>
      </c>
      <c r="E9" s="192" t="s">
        <v>483</v>
      </c>
      <c r="F9" s="192" t="s">
        <v>128</v>
      </c>
    </row>
    <row r="10" spans="1:6" ht="20.100000000000001" customHeight="1" thickBot="1" x14ac:dyDescent="0.3">
      <c r="A10" s="239" t="s">
        <v>124</v>
      </c>
      <c r="B10" s="240"/>
      <c r="C10" s="240"/>
      <c r="D10" s="240"/>
      <c r="E10" s="240"/>
      <c r="F10" s="241"/>
    </row>
    <row r="11" spans="1:6" ht="20.100000000000001" customHeight="1" x14ac:dyDescent="0.2">
      <c r="A11" s="96">
        <v>11</v>
      </c>
      <c r="B11" s="92" t="s">
        <v>2</v>
      </c>
      <c r="C11" s="168"/>
      <c r="D11" s="85"/>
      <c r="E11" s="178"/>
      <c r="F11" s="79"/>
    </row>
    <row r="12" spans="1:6" ht="20.100000000000001" customHeight="1" x14ac:dyDescent="0.2">
      <c r="A12" s="97">
        <v>1101</v>
      </c>
      <c r="B12" s="93" t="s">
        <v>44</v>
      </c>
      <c r="C12" s="169"/>
      <c r="D12" s="86"/>
      <c r="E12" s="86"/>
      <c r="F12" s="80"/>
    </row>
    <row r="13" spans="1:6" ht="20.100000000000001" customHeight="1" x14ac:dyDescent="0.2">
      <c r="A13" s="97">
        <v>1102</v>
      </c>
      <c r="B13" s="93" t="s">
        <v>45</v>
      </c>
      <c r="C13" s="169"/>
      <c r="D13" s="86"/>
      <c r="E13" s="86"/>
      <c r="F13" s="80"/>
    </row>
    <row r="14" spans="1:6" ht="20.100000000000001" customHeight="1" x14ac:dyDescent="0.2">
      <c r="A14" s="97">
        <v>1103</v>
      </c>
      <c r="B14" s="93" t="s">
        <v>46</v>
      </c>
      <c r="C14" s="169"/>
      <c r="D14" s="86"/>
      <c r="E14" s="86"/>
      <c r="F14" s="80"/>
    </row>
    <row r="15" spans="1:6" ht="20.100000000000001" customHeight="1" x14ac:dyDescent="0.2">
      <c r="A15" s="97">
        <v>1107</v>
      </c>
      <c r="B15" s="93" t="s">
        <v>47</v>
      </c>
      <c r="C15" s="169"/>
      <c r="D15" s="86"/>
      <c r="E15" s="86"/>
      <c r="F15" s="80"/>
    </row>
    <row r="16" spans="1:6" ht="20.100000000000001" customHeight="1" x14ac:dyDescent="0.2">
      <c r="A16" s="98"/>
      <c r="B16" s="94"/>
      <c r="C16" s="170"/>
      <c r="D16" s="87"/>
      <c r="E16" s="87"/>
      <c r="F16" s="81"/>
    </row>
    <row r="17" spans="1:6" ht="20.100000000000001" customHeight="1" x14ac:dyDescent="0.2">
      <c r="A17" s="99">
        <v>13</v>
      </c>
      <c r="B17" s="95" t="s">
        <v>3</v>
      </c>
      <c r="C17" s="169"/>
      <c r="D17" s="86"/>
      <c r="E17" s="86"/>
      <c r="F17" s="80"/>
    </row>
    <row r="18" spans="1:6" ht="20.100000000000001" customHeight="1" x14ac:dyDescent="0.2">
      <c r="A18" s="97">
        <v>1301</v>
      </c>
      <c r="B18" s="93" t="s">
        <v>49</v>
      </c>
      <c r="C18" s="169"/>
      <c r="D18" s="86"/>
      <c r="E18" s="86"/>
      <c r="F18" s="80"/>
    </row>
    <row r="19" spans="1:6" ht="20.100000000000001" customHeight="1" x14ac:dyDescent="0.2">
      <c r="A19" s="97">
        <v>1302</v>
      </c>
      <c r="B19" s="93" t="s">
        <v>50</v>
      </c>
      <c r="C19" s="169"/>
      <c r="D19" s="86"/>
      <c r="E19" s="86"/>
      <c r="F19" s="80"/>
    </row>
    <row r="20" spans="1:6" ht="20.100000000000001" customHeight="1" x14ac:dyDescent="0.2">
      <c r="A20" s="97">
        <v>1303</v>
      </c>
      <c r="B20" s="93" t="s">
        <v>51</v>
      </c>
      <c r="C20" s="170"/>
      <c r="D20" s="87"/>
      <c r="E20" s="87"/>
      <c r="F20" s="81"/>
    </row>
    <row r="21" spans="1:6" ht="20.100000000000001" customHeight="1" x14ac:dyDescent="0.2">
      <c r="A21" s="97">
        <v>1304</v>
      </c>
      <c r="B21" s="93" t="s">
        <v>52</v>
      </c>
      <c r="C21" s="170"/>
      <c r="D21" s="87"/>
      <c r="E21" s="87"/>
      <c r="F21" s="81"/>
    </row>
    <row r="22" spans="1:6" ht="20.100000000000001" customHeight="1" x14ac:dyDescent="0.2">
      <c r="A22" s="98"/>
      <c r="B22" s="94"/>
      <c r="C22" s="170"/>
      <c r="D22" s="87"/>
      <c r="E22" s="86"/>
      <c r="F22" s="80"/>
    </row>
    <row r="23" spans="1:6" ht="20.100000000000001" customHeight="1" x14ac:dyDescent="0.25">
      <c r="A23" s="99">
        <v>14</v>
      </c>
      <c r="B23" s="95" t="s">
        <v>4</v>
      </c>
      <c r="C23" s="171"/>
      <c r="D23" s="88"/>
      <c r="E23" s="88"/>
      <c r="F23" s="82"/>
    </row>
    <row r="24" spans="1:6" ht="20.100000000000001" customHeight="1" x14ac:dyDescent="0.2">
      <c r="A24" s="100"/>
      <c r="B24" s="94"/>
      <c r="C24" s="172"/>
      <c r="D24" s="89"/>
      <c r="E24" s="89"/>
      <c r="F24" s="83"/>
    </row>
    <row r="25" spans="1:6" ht="20.100000000000001" customHeight="1" x14ac:dyDescent="0.2">
      <c r="A25" s="99">
        <v>17</v>
      </c>
      <c r="B25" s="95" t="s">
        <v>5</v>
      </c>
      <c r="C25" s="172"/>
      <c r="D25" s="89"/>
      <c r="E25" s="89"/>
      <c r="F25" s="83"/>
    </row>
    <row r="26" spans="1:6" ht="20.100000000000001" customHeight="1" x14ac:dyDescent="0.2">
      <c r="A26" s="98"/>
      <c r="B26" s="94"/>
      <c r="C26" s="173"/>
      <c r="D26" s="90"/>
      <c r="E26" s="90"/>
      <c r="F26" s="84"/>
    </row>
    <row r="27" spans="1:6" ht="20.100000000000001" customHeight="1" x14ac:dyDescent="0.2">
      <c r="A27" s="99">
        <v>18</v>
      </c>
      <c r="B27" s="95" t="s">
        <v>30</v>
      </c>
      <c r="C27" s="174"/>
      <c r="D27" s="103"/>
      <c r="E27" s="179"/>
      <c r="F27" s="84"/>
    </row>
    <row r="28" spans="1:6" ht="20.100000000000001" customHeight="1" x14ac:dyDescent="0.2">
      <c r="A28" s="98"/>
      <c r="B28" s="93" t="s">
        <v>131</v>
      </c>
      <c r="C28" s="167">
        <f>'FORMULARIO 2'!C36</f>
        <v>3892571.17</v>
      </c>
      <c r="D28" s="166">
        <f>'FORMULARIO 2'!D36</f>
        <v>4087320.8999999994</v>
      </c>
      <c r="E28" s="166">
        <f>'FORMULARIO 2'!E36</f>
        <v>3735140.1560799936</v>
      </c>
      <c r="F28" s="84"/>
    </row>
    <row r="29" spans="1:6" ht="20.100000000000001" customHeight="1" x14ac:dyDescent="0.2">
      <c r="A29" s="99">
        <v>19</v>
      </c>
      <c r="B29" s="95" t="s">
        <v>125</v>
      </c>
      <c r="C29" s="175"/>
      <c r="D29" s="165"/>
      <c r="E29" s="165"/>
      <c r="F29" s="84"/>
    </row>
    <row r="30" spans="1:6" ht="20.100000000000001" customHeight="1" x14ac:dyDescent="0.2">
      <c r="A30" s="97">
        <v>1901</v>
      </c>
      <c r="B30" s="93" t="s">
        <v>57</v>
      </c>
      <c r="C30" s="176"/>
      <c r="D30" s="163"/>
      <c r="E30" s="163"/>
      <c r="F30" s="84"/>
    </row>
    <row r="31" spans="1:6" ht="20.100000000000001" customHeight="1" x14ac:dyDescent="0.2">
      <c r="A31" s="97">
        <v>1902</v>
      </c>
      <c r="B31" s="93" t="s">
        <v>58</v>
      </c>
      <c r="C31" s="176"/>
      <c r="D31" s="163"/>
      <c r="E31" s="163"/>
      <c r="F31" s="83"/>
    </row>
    <row r="32" spans="1:6" ht="20.100000000000001" customHeight="1" thickBot="1" x14ac:dyDescent="0.25">
      <c r="A32" s="101">
        <v>1904</v>
      </c>
      <c r="B32" s="102" t="s">
        <v>59</v>
      </c>
      <c r="C32" s="177"/>
      <c r="D32" s="164"/>
      <c r="E32" s="164"/>
      <c r="F32" s="104"/>
    </row>
    <row r="33" spans="1:6" ht="20.100000000000001" customHeight="1" thickBot="1" x14ac:dyDescent="0.3">
      <c r="A33" s="105"/>
      <c r="B33" s="191" t="s">
        <v>6</v>
      </c>
      <c r="C33" s="189">
        <f>C28</f>
        <v>3892571.17</v>
      </c>
      <c r="D33" s="190">
        <f>D28</f>
        <v>4087320.8999999994</v>
      </c>
      <c r="E33" s="189">
        <f>E28</f>
        <v>3735140.1560799936</v>
      </c>
      <c r="F33" s="107"/>
    </row>
    <row r="34" spans="1:6" ht="20.100000000000001" customHeight="1" thickBot="1" x14ac:dyDescent="0.25">
      <c r="A34" s="91"/>
      <c r="B34" s="106"/>
      <c r="C34" s="107"/>
      <c r="D34" s="108"/>
      <c r="E34" s="108"/>
      <c r="F34" s="108"/>
    </row>
    <row r="35" spans="1:6" ht="20.100000000000001" customHeight="1" x14ac:dyDescent="0.2">
      <c r="A35" s="66"/>
      <c r="B35" s="67"/>
      <c r="C35" s="66"/>
      <c r="D35" s="66"/>
      <c r="E35" s="66"/>
    </row>
    <row r="36" spans="1:6" ht="20.100000000000001" customHeight="1" x14ac:dyDescent="0.2">
      <c r="A36" s="76" t="s">
        <v>120</v>
      </c>
      <c r="B36" s="67"/>
      <c r="C36" s="66"/>
      <c r="D36" s="66"/>
      <c r="E36" s="66"/>
    </row>
    <row r="37" spans="1:6" ht="20.100000000000001" customHeight="1" x14ac:dyDescent="0.2">
      <c r="A37" s="76" t="s">
        <v>118</v>
      </c>
      <c r="B37" s="67"/>
      <c r="C37" s="66"/>
      <c r="D37" s="66"/>
      <c r="E37" s="66"/>
    </row>
    <row r="38" spans="1:6" ht="20.100000000000001" customHeight="1" x14ac:dyDescent="0.2">
      <c r="A38" s="76" t="s">
        <v>121</v>
      </c>
      <c r="B38" s="66"/>
      <c r="C38" s="66"/>
      <c r="D38" s="66"/>
      <c r="E38" s="66"/>
    </row>
    <row r="39" spans="1:6" ht="20.100000000000001" customHeight="1" x14ac:dyDescent="0.2">
      <c r="A39" s="66"/>
      <c r="B39" s="67"/>
      <c r="C39" s="66"/>
      <c r="D39" s="66"/>
      <c r="E39" s="66"/>
    </row>
    <row r="40" spans="1:6" ht="20.100000000000001" customHeight="1" x14ac:dyDescent="0.2">
      <c r="A40" s="66"/>
      <c r="B40" s="67"/>
      <c r="C40" s="66"/>
      <c r="D40" s="66"/>
      <c r="E40" s="66"/>
    </row>
    <row r="41" spans="1:6" ht="20.100000000000001" customHeight="1" x14ac:dyDescent="0.2">
      <c r="A41" s="66"/>
      <c r="B41" s="66"/>
      <c r="C41" s="66"/>
      <c r="D41" s="66"/>
      <c r="E41" s="66"/>
    </row>
    <row r="42" spans="1:6" ht="20.100000000000001" customHeight="1" x14ac:dyDescent="0.2">
      <c r="A42" s="66"/>
      <c r="B42" s="69"/>
      <c r="C42" s="66"/>
      <c r="D42" s="66"/>
      <c r="E42" s="66"/>
    </row>
    <row r="43" spans="1:6" ht="20.100000000000001" customHeight="1" x14ac:dyDescent="0.25">
      <c r="A43" s="2"/>
      <c r="B43" s="78" t="s">
        <v>495</v>
      </c>
      <c r="C43" s="78"/>
      <c r="D43" s="109"/>
      <c r="E43" s="66"/>
    </row>
    <row r="44" spans="1:6" ht="20.100000000000001" customHeight="1" x14ac:dyDescent="0.25">
      <c r="A44" s="2"/>
      <c r="B44" s="109"/>
      <c r="C44" s="109"/>
      <c r="D44" s="109"/>
      <c r="E44" s="66"/>
    </row>
    <row r="45" spans="1:6" ht="20.100000000000001" customHeight="1" x14ac:dyDescent="0.25">
      <c r="A45" s="2"/>
      <c r="B45" s="63" t="s">
        <v>514</v>
      </c>
      <c r="C45" s="66"/>
      <c r="D45" s="66"/>
      <c r="E45" s="66"/>
    </row>
    <row r="46" spans="1:6" ht="20.100000000000001" customHeight="1" x14ac:dyDescent="0.2">
      <c r="A46" s="2"/>
      <c r="B46" s="66"/>
      <c r="C46" s="66"/>
      <c r="D46" s="66"/>
      <c r="E46" s="66"/>
    </row>
    <row r="47" spans="1:6" ht="20.100000000000001" customHeight="1" x14ac:dyDescent="0.25">
      <c r="A47" s="2"/>
      <c r="B47" s="63" t="s">
        <v>516</v>
      </c>
      <c r="C47" s="66"/>
      <c r="D47" s="66"/>
      <c r="E47" s="66"/>
    </row>
    <row r="48" spans="1:6" ht="20.100000000000001" customHeight="1" x14ac:dyDescent="0.25">
      <c r="A48" s="2"/>
      <c r="B48" s="63" t="s">
        <v>119</v>
      </c>
      <c r="C48" s="66"/>
      <c r="D48" s="66"/>
      <c r="E48" s="66"/>
    </row>
    <row r="49" spans="1:2" ht="20.100000000000001" customHeight="1" x14ac:dyDescent="0.2">
      <c r="A49" s="66"/>
      <c r="B49" s="66"/>
    </row>
    <row r="50" spans="1:2" ht="20.100000000000001" customHeight="1" x14ac:dyDescent="0.2">
      <c r="A50" s="66"/>
      <c r="B50" s="66"/>
    </row>
    <row r="51" spans="1:2" ht="20.100000000000001" customHeight="1" x14ac:dyDescent="0.2">
      <c r="A51" s="66"/>
      <c r="B51" s="66"/>
    </row>
    <row r="52" spans="1:2" ht="20.100000000000001" customHeight="1" x14ac:dyDescent="0.2">
      <c r="A52" s="66"/>
      <c r="B52" s="66"/>
    </row>
    <row r="53" spans="1:2" ht="20.100000000000001" customHeight="1" x14ac:dyDescent="0.2">
      <c r="A53" s="66"/>
      <c r="B53" s="66"/>
    </row>
    <row r="54" spans="1:2" ht="45.75" customHeight="1" x14ac:dyDescent="0.2">
      <c r="A54" s="66"/>
      <c r="B54" s="66"/>
    </row>
    <row r="55" spans="1:2" ht="20.100000000000001" customHeight="1" x14ac:dyDescent="0.2">
      <c r="A55" s="66"/>
      <c r="B55" s="66"/>
    </row>
    <row r="56" spans="1:2" ht="20.100000000000001" customHeight="1" x14ac:dyDescent="0.2">
      <c r="A56" s="66"/>
      <c r="B56" s="66"/>
    </row>
    <row r="57" spans="1:2" ht="20.100000000000001" customHeight="1" x14ac:dyDescent="0.2">
      <c r="A57" s="66"/>
      <c r="B57" s="66"/>
    </row>
    <row r="58" spans="1:2" ht="20.100000000000001" customHeight="1" x14ac:dyDescent="0.2">
      <c r="A58" s="66"/>
      <c r="B58" s="66"/>
    </row>
    <row r="59" spans="1:2" ht="20.100000000000001" customHeight="1" x14ac:dyDescent="0.2">
      <c r="A59" s="66"/>
      <c r="B59" s="66"/>
    </row>
    <row r="60" spans="1:2" ht="20.100000000000001" customHeight="1" x14ac:dyDescent="0.2">
      <c r="A60" s="66"/>
      <c r="B60" s="66"/>
    </row>
    <row r="131" ht="27.75" customHeight="1" x14ac:dyDescent="0.2"/>
  </sheetData>
  <mergeCells count="4">
    <mergeCell ref="A1:E1"/>
    <mergeCell ref="A9:B9"/>
    <mergeCell ref="A3:E3"/>
    <mergeCell ref="A10:F10"/>
  </mergeCells>
  <phoneticPr fontId="0" type="noConversion"/>
  <printOptions horizontalCentered="1" verticalCentered="1"/>
  <pageMargins left="0.18229166666666666" right="0.4375" top="0.39370078740157483" bottom="0.39370078740157483" header="0" footer="0"/>
  <pageSetup paperSize="9" scale="7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view="pageLayout" topLeftCell="A34" zoomScale="70" zoomScaleNormal="100" zoomScalePageLayoutView="70" workbookViewId="0">
      <selection sqref="A1:F48"/>
    </sheetView>
  </sheetViews>
  <sheetFormatPr baseColWidth="10" defaultRowHeight="20.100000000000001" customHeight="1" x14ac:dyDescent="0.2"/>
  <cols>
    <col min="1" max="1" width="18.28515625" style="70" customWidth="1"/>
    <col min="2" max="2" width="47.42578125" style="70" customWidth="1"/>
    <col min="3" max="3" width="18.7109375" style="70" customWidth="1"/>
    <col min="4" max="4" width="20.5703125" style="70" customWidth="1"/>
    <col min="5" max="5" width="20.140625" style="70" customWidth="1"/>
    <col min="6" max="6" width="14.140625" style="2" customWidth="1"/>
    <col min="7" max="16384" width="11.42578125" style="2"/>
  </cols>
  <sheetData>
    <row r="1" spans="1:9" ht="20.100000000000001" customHeight="1" x14ac:dyDescent="0.25">
      <c r="A1" s="238" t="s">
        <v>115</v>
      </c>
      <c r="B1" s="238"/>
      <c r="C1" s="238"/>
      <c r="D1" s="238"/>
      <c r="E1" s="238"/>
      <c r="F1" s="4"/>
      <c r="G1" s="4"/>
      <c r="H1" s="4"/>
    </row>
    <row r="2" spans="1:9" ht="20.100000000000001" customHeight="1" x14ac:dyDescent="0.25">
      <c r="A2" s="72"/>
      <c r="B2" s="72"/>
      <c r="C2" s="72"/>
      <c r="D2" s="142"/>
      <c r="E2" s="72"/>
      <c r="F2" s="4"/>
      <c r="G2" s="4"/>
      <c r="H2" s="4"/>
    </row>
    <row r="3" spans="1:9" ht="20.100000000000001" customHeight="1" x14ac:dyDescent="0.25">
      <c r="A3" s="71" t="s">
        <v>469</v>
      </c>
      <c r="B3" s="72"/>
      <c r="C3" s="72"/>
      <c r="D3" s="142"/>
      <c r="E3" s="72"/>
      <c r="F3" s="72"/>
      <c r="G3" s="4"/>
      <c r="H3" s="4"/>
    </row>
    <row r="4" spans="1:9" ht="20.100000000000001" customHeight="1" x14ac:dyDescent="0.25">
      <c r="A4" s="71" t="s">
        <v>477</v>
      </c>
      <c r="B4" s="74"/>
      <c r="C4" s="75"/>
      <c r="D4" s="75"/>
      <c r="E4" s="75"/>
      <c r="F4" s="64"/>
      <c r="G4" s="4"/>
      <c r="H4" s="4"/>
    </row>
    <row r="5" spans="1:9" ht="20.100000000000001" customHeight="1" x14ac:dyDescent="0.25">
      <c r="A5" s="73" t="s">
        <v>117</v>
      </c>
      <c r="B5" s="65"/>
      <c r="C5" s="65"/>
      <c r="D5" s="65"/>
      <c r="E5" s="65"/>
      <c r="F5" s="65"/>
      <c r="G5" s="5"/>
      <c r="H5" s="5"/>
      <c r="I5" s="3"/>
    </row>
    <row r="6" spans="1:9" ht="20.100000000000001" customHeight="1" thickBot="1" x14ac:dyDescent="0.3">
      <c r="A6" s="73"/>
      <c r="B6" s="65"/>
      <c r="C6" s="65"/>
      <c r="D6" s="65"/>
      <c r="E6" s="65"/>
      <c r="F6" s="65"/>
      <c r="G6" s="5"/>
      <c r="H6" s="5"/>
      <c r="I6" s="3"/>
    </row>
    <row r="7" spans="1:9" ht="81.75" customHeight="1" thickBot="1" x14ac:dyDescent="0.25">
      <c r="A7" s="192" t="s">
        <v>19</v>
      </c>
      <c r="B7" s="192" t="s">
        <v>15</v>
      </c>
      <c r="C7" s="193" t="s">
        <v>478</v>
      </c>
      <c r="D7" s="155" t="s">
        <v>479</v>
      </c>
      <c r="E7" s="194" t="s">
        <v>480</v>
      </c>
      <c r="F7" s="119" t="s">
        <v>128</v>
      </c>
    </row>
    <row r="8" spans="1:9" ht="20.100000000000001" customHeight="1" thickBot="1" x14ac:dyDescent="0.3">
      <c r="A8" s="239" t="s">
        <v>123</v>
      </c>
      <c r="B8" s="240"/>
      <c r="C8" s="240"/>
      <c r="D8" s="240"/>
      <c r="E8" s="240"/>
      <c r="F8" s="241"/>
    </row>
    <row r="9" spans="1:9" ht="20.100000000000001" customHeight="1" x14ac:dyDescent="0.2">
      <c r="A9" s="115">
        <v>7101</v>
      </c>
      <c r="B9" s="180" t="s">
        <v>7</v>
      </c>
      <c r="C9" s="185"/>
      <c r="D9" s="154"/>
      <c r="E9" s="185"/>
      <c r="F9" s="120"/>
    </row>
    <row r="10" spans="1:9" ht="20.100000000000001" customHeight="1" x14ac:dyDescent="0.2">
      <c r="A10" s="114">
        <v>710106</v>
      </c>
      <c r="B10" s="181" t="s">
        <v>25</v>
      </c>
      <c r="C10" s="156">
        <v>1982340</v>
      </c>
      <c r="D10" s="183">
        <v>1991511.72</v>
      </c>
      <c r="E10" s="156">
        <v>1941159.5999999936</v>
      </c>
      <c r="F10" s="110"/>
      <c r="G10" s="3"/>
      <c r="H10" s="3"/>
    </row>
    <row r="11" spans="1:9" ht="20.100000000000001" customHeight="1" x14ac:dyDescent="0.2">
      <c r="A11" s="114"/>
      <c r="B11" s="181"/>
      <c r="C11" s="156"/>
      <c r="D11" s="183"/>
      <c r="E11" s="156"/>
      <c r="F11" s="86"/>
    </row>
    <row r="12" spans="1:9" ht="20.100000000000001" customHeight="1" x14ac:dyDescent="0.2">
      <c r="A12" s="115">
        <v>7102</v>
      </c>
      <c r="B12" s="180" t="s">
        <v>8</v>
      </c>
      <c r="C12" s="156"/>
      <c r="D12" s="183"/>
      <c r="E12" s="156"/>
      <c r="F12" s="86"/>
    </row>
    <row r="13" spans="1:9" ht="20.100000000000001" customHeight="1" x14ac:dyDescent="0.2">
      <c r="A13" s="114">
        <v>710203</v>
      </c>
      <c r="B13" s="181" t="s">
        <v>26</v>
      </c>
      <c r="C13" s="156">
        <v>165195</v>
      </c>
      <c r="D13" s="183">
        <v>165959.31</v>
      </c>
      <c r="E13" s="156">
        <v>161763.3000000001</v>
      </c>
      <c r="F13" s="110"/>
    </row>
    <row r="14" spans="1:9" ht="20.100000000000001" customHeight="1" x14ac:dyDescent="0.2">
      <c r="A14" s="114">
        <v>710204</v>
      </c>
      <c r="B14" s="181" t="s">
        <v>27</v>
      </c>
      <c r="C14" s="156">
        <v>86020</v>
      </c>
      <c r="D14" s="183">
        <v>89562</v>
      </c>
      <c r="E14" s="156">
        <v>90036</v>
      </c>
      <c r="F14" s="110"/>
    </row>
    <row r="15" spans="1:9" ht="20.100000000000001" customHeight="1" x14ac:dyDescent="0.2">
      <c r="A15" s="114"/>
      <c r="B15" s="181"/>
      <c r="C15" s="156"/>
      <c r="D15" s="183"/>
      <c r="E15" s="156"/>
      <c r="F15" s="110"/>
    </row>
    <row r="16" spans="1:9" ht="20.100000000000001" customHeight="1" x14ac:dyDescent="0.2">
      <c r="A16" s="115">
        <v>7103</v>
      </c>
      <c r="B16" s="180" t="s">
        <v>28</v>
      </c>
      <c r="C16" s="156"/>
      <c r="D16" s="183"/>
      <c r="E16" s="156"/>
      <c r="F16" s="110"/>
    </row>
    <row r="17" spans="1:6" ht="20.100000000000001" customHeight="1" x14ac:dyDescent="0.2">
      <c r="A17" s="114">
        <v>710304</v>
      </c>
      <c r="B17" s="181" t="s">
        <v>29</v>
      </c>
      <c r="C17" s="156">
        <v>33396</v>
      </c>
      <c r="D17" s="183">
        <v>33187</v>
      </c>
      <c r="E17" s="156">
        <v>32472</v>
      </c>
      <c r="F17" s="110"/>
    </row>
    <row r="18" spans="1:6" ht="20.100000000000001" customHeight="1" x14ac:dyDescent="0.2">
      <c r="A18" s="114">
        <v>710306</v>
      </c>
      <c r="B18" s="181" t="s">
        <v>137</v>
      </c>
      <c r="C18" s="156">
        <v>267168</v>
      </c>
      <c r="D18" s="183">
        <v>265496</v>
      </c>
      <c r="E18" s="156">
        <v>259776</v>
      </c>
      <c r="F18" s="110"/>
    </row>
    <row r="19" spans="1:6" ht="20.100000000000001" customHeight="1" x14ac:dyDescent="0.2">
      <c r="A19" s="114"/>
      <c r="B19" s="181"/>
      <c r="C19" s="156"/>
      <c r="D19" s="183"/>
      <c r="E19" s="187"/>
      <c r="F19" s="110"/>
    </row>
    <row r="20" spans="1:6" ht="20.100000000000001" customHeight="1" x14ac:dyDescent="0.2">
      <c r="A20" s="115">
        <v>7104</v>
      </c>
      <c r="B20" s="180" t="s">
        <v>17</v>
      </c>
      <c r="C20" s="156"/>
      <c r="D20" s="183"/>
      <c r="E20" s="156"/>
      <c r="F20" s="110"/>
    </row>
    <row r="21" spans="1:6" ht="20.100000000000001" customHeight="1" x14ac:dyDescent="0.2">
      <c r="A21" s="114">
        <v>710401</v>
      </c>
      <c r="B21" s="181" t="s">
        <v>126</v>
      </c>
      <c r="C21" s="156">
        <v>8690.4</v>
      </c>
      <c r="D21" s="183">
        <v>13211</v>
      </c>
      <c r="E21" s="156">
        <v>13395.600000000017</v>
      </c>
      <c r="F21" s="110"/>
    </row>
    <row r="22" spans="1:6" ht="20.100000000000001" customHeight="1" x14ac:dyDescent="0.2">
      <c r="A22" s="114">
        <v>710408</v>
      </c>
      <c r="B22" s="181" t="s">
        <v>132</v>
      </c>
      <c r="C22" s="156">
        <v>19818.72</v>
      </c>
      <c r="D22" s="183">
        <v>23006.52</v>
      </c>
      <c r="E22" s="156">
        <v>27226.199999999975</v>
      </c>
      <c r="F22" s="110"/>
    </row>
    <row r="23" spans="1:6" ht="20.100000000000001" customHeight="1" x14ac:dyDescent="0.2">
      <c r="A23" s="115">
        <v>7105</v>
      </c>
      <c r="B23" s="180" t="s">
        <v>9</v>
      </c>
      <c r="C23" s="156"/>
      <c r="D23" s="183"/>
      <c r="E23" s="156"/>
      <c r="F23" s="86"/>
    </row>
    <row r="24" spans="1:6" ht="20.100000000000001" customHeight="1" x14ac:dyDescent="0.2">
      <c r="A24" s="116" t="s">
        <v>133</v>
      </c>
      <c r="B24" s="181" t="s">
        <v>10</v>
      </c>
      <c r="C24" s="156">
        <v>0</v>
      </c>
      <c r="D24" s="183">
        <v>0</v>
      </c>
      <c r="E24" s="156">
        <v>0</v>
      </c>
      <c r="F24" s="86"/>
    </row>
    <row r="25" spans="1:6" ht="20.100000000000001" customHeight="1" x14ac:dyDescent="0.2">
      <c r="A25" s="114"/>
      <c r="B25" s="181"/>
      <c r="C25" s="156"/>
      <c r="D25" s="183"/>
      <c r="E25" s="156"/>
      <c r="F25" s="86"/>
    </row>
    <row r="26" spans="1:6" ht="20.100000000000001" customHeight="1" x14ac:dyDescent="0.2">
      <c r="A26" s="115">
        <v>7106</v>
      </c>
      <c r="B26" s="180" t="s">
        <v>11</v>
      </c>
      <c r="C26" s="156"/>
      <c r="D26" s="183"/>
      <c r="E26" s="156"/>
      <c r="F26" s="86"/>
    </row>
    <row r="27" spans="1:6" ht="20.100000000000001" customHeight="1" x14ac:dyDescent="0.2">
      <c r="A27" s="116" t="s">
        <v>134</v>
      </c>
      <c r="B27" s="181" t="s">
        <v>12</v>
      </c>
      <c r="C27" s="156">
        <v>240854.31</v>
      </c>
      <c r="D27" s="183">
        <v>240149.82</v>
      </c>
      <c r="E27" s="156">
        <v>235850.89139999976</v>
      </c>
      <c r="F27" s="110"/>
    </row>
    <row r="28" spans="1:6" ht="20.100000000000001" customHeight="1" x14ac:dyDescent="0.2">
      <c r="A28" s="116" t="s">
        <v>135</v>
      </c>
      <c r="B28" s="181" t="s">
        <v>13</v>
      </c>
      <c r="C28" s="156">
        <v>165128.92000000001</v>
      </c>
      <c r="D28" s="183">
        <v>164645.42000000001</v>
      </c>
      <c r="E28" s="156">
        <v>161698.59468000018</v>
      </c>
      <c r="F28" s="110"/>
    </row>
    <row r="29" spans="1:6" ht="20.100000000000001" customHeight="1" x14ac:dyDescent="0.2">
      <c r="A29" s="116" t="s">
        <v>136</v>
      </c>
      <c r="B29" s="181" t="s">
        <v>16</v>
      </c>
      <c r="C29" s="156">
        <v>39230.65</v>
      </c>
      <c r="D29" s="183">
        <v>46911.25</v>
      </c>
      <c r="E29" s="162">
        <v>44318.96</v>
      </c>
      <c r="F29" s="110"/>
    </row>
    <row r="30" spans="1:6" ht="20.100000000000001" customHeight="1" x14ac:dyDescent="0.2">
      <c r="A30" s="114"/>
      <c r="B30" s="181"/>
      <c r="C30" s="156"/>
      <c r="D30" s="183"/>
      <c r="E30" s="162"/>
      <c r="F30" s="86"/>
    </row>
    <row r="31" spans="1:6" ht="20.100000000000001" customHeight="1" x14ac:dyDescent="0.2">
      <c r="A31" s="115">
        <v>7107</v>
      </c>
      <c r="B31" s="180" t="s">
        <v>14</v>
      </c>
      <c r="C31" s="156"/>
      <c r="D31" s="183"/>
      <c r="E31" s="162"/>
      <c r="F31" s="86"/>
    </row>
    <row r="32" spans="1:6" ht="20.100000000000001" customHeight="1" x14ac:dyDescent="0.2">
      <c r="A32" s="114">
        <v>710704</v>
      </c>
      <c r="B32" s="181" t="s">
        <v>32</v>
      </c>
      <c r="C32" s="156">
        <v>0</v>
      </c>
      <c r="D32" s="183">
        <v>0</v>
      </c>
      <c r="E32" s="162">
        <v>0</v>
      </c>
      <c r="F32" s="86"/>
    </row>
    <row r="33" spans="1:6" ht="20.100000000000001" customHeight="1" x14ac:dyDescent="0.2">
      <c r="A33" s="114">
        <v>710705</v>
      </c>
      <c r="B33" s="181" t="s">
        <v>127</v>
      </c>
      <c r="C33" s="156">
        <v>716036.22</v>
      </c>
      <c r="D33" s="183">
        <v>851819.38</v>
      </c>
      <c r="E33" s="162">
        <v>736502.9</v>
      </c>
      <c r="F33" s="86"/>
    </row>
    <row r="34" spans="1:6" ht="20.100000000000001" customHeight="1" x14ac:dyDescent="0.2">
      <c r="A34" s="114">
        <v>730802</v>
      </c>
      <c r="B34" s="181" t="s">
        <v>501</v>
      </c>
      <c r="C34" s="86">
        <v>168692.95</v>
      </c>
      <c r="D34" s="86">
        <v>201861.48</v>
      </c>
      <c r="E34" s="86">
        <v>30940.11</v>
      </c>
      <c r="F34" s="86"/>
    </row>
    <row r="35" spans="1:6" ht="20.100000000000001" customHeight="1" thickBot="1" x14ac:dyDescent="0.25">
      <c r="A35" s="117"/>
      <c r="B35" s="182"/>
      <c r="C35" s="186"/>
      <c r="D35" s="184" t="s">
        <v>472</v>
      </c>
      <c r="E35" s="186"/>
      <c r="F35" s="111"/>
    </row>
    <row r="36" spans="1:6" ht="20.100000000000001" customHeight="1" thickBot="1" x14ac:dyDescent="0.3">
      <c r="A36" s="118"/>
      <c r="B36" s="113" t="s">
        <v>6</v>
      </c>
      <c r="C36" s="77">
        <f>SUM(C9:C35)</f>
        <v>3892571.17</v>
      </c>
      <c r="D36" s="112">
        <f>SUM(D10:D35)</f>
        <v>4087320.8999999994</v>
      </c>
      <c r="E36" s="188">
        <f>SUM(E9:E35)</f>
        <v>3735140.1560799936</v>
      </c>
      <c r="F36" s="112"/>
    </row>
    <row r="37" spans="1:6" ht="20.100000000000001" customHeight="1" x14ac:dyDescent="0.2">
      <c r="A37" s="76" t="s">
        <v>120</v>
      </c>
      <c r="B37" s="67"/>
      <c r="C37" s="66"/>
      <c r="D37" s="66"/>
      <c r="E37" s="66"/>
      <c r="F37" s="3"/>
    </row>
    <row r="38" spans="1:6" ht="20.100000000000001" customHeight="1" x14ac:dyDescent="0.2">
      <c r="A38" s="76" t="s">
        <v>118</v>
      </c>
      <c r="B38" s="66"/>
      <c r="C38" s="66"/>
      <c r="D38" s="66"/>
      <c r="E38" s="68"/>
      <c r="F38" s="3"/>
    </row>
    <row r="39" spans="1:6" ht="20.100000000000001" customHeight="1" x14ac:dyDescent="0.2">
      <c r="A39" s="76" t="s">
        <v>121</v>
      </c>
      <c r="B39" s="66"/>
      <c r="C39" s="66"/>
      <c r="D39" s="66"/>
      <c r="E39" s="68"/>
      <c r="F39" s="3"/>
    </row>
    <row r="40" spans="1:6" ht="20.100000000000001" customHeight="1" x14ac:dyDescent="0.2">
      <c r="A40" s="76"/>
      <c r="B40" s="66"/>
      <c r="C40" s="66"/>
      <c r="D40" s="66"/>
      <c r="E40" s="68"/>
      <c r="F40" s="3"/>
    </row>
    <row r="41" spans="1:6" ht="20.100000000000001" customHeight="1" x14ac:dyDescent="0.2">
      <c r="A41" s="76"/>
      <c r="B41" s="66"/>
      <c r="C41" s="66"/>
      <c r="D41" s="66"/>
      <c r="E41" s="68"/>
      <c r="F41" s="3"/>
    </row>
    <row r="42" spans="1:6" ht="20.100000000000001" customHeight="1" x14ac:dyDescent="0.2">
      <c r="A42" s="66"/>
      <c r="B42" s="66"/>
      <c r="C42" s="66"/>
      <c r="D42" s="66"/>
      <c r="E42" s="68"/>
      <c r="F42" s="3"/>
    </row>
    <row r="43" spans="1:6" ht="20.100000000000001" customHeight="1" x14ac:dyDescent="0.2">
      <c r="A43" s="2"/>
      <c r="B43" s="66"/>
      <c r="C43" s="66"/>
      <c r="D43" s="66"/>
      <c r="E43" s="66"/>
      <c r="F43" s="3"/>
    </row>
    <row r="44" spans="1:6" ht="20.100000000000001" customHeight="1" x14ac:dyDescent="0.25">
      <c r="A44" s="2"/>
      <c r="B44" s="242" t="s">
        <v>494</v>
      </c>
      <c r="C44" s="242"/>
      <c r="D44" s="109"/>
      <c r="E44" s="109"/>
      <c r="F44" s="3"/>
    </row>
    <row r="45" spans="1:6" ht="20.100000000000001" customHeight="1" x14ac:dyDescent="0.25">
      <c r="A45" s="2"/>
      <c r="B45" s="109"/>
      <c r="C45" s="109"/>
      <c r="D45" s="109"/>
      <c r="E45" s="109"/>
      <c r="F45" s="3"/>
    </row>
    <row r="46" spans="1:6" ht="15" x14ac:dyDescent="0.25">
      <c r="A46" s="2"/>
      <c r="B46" s="63" t="s">
        <v>514</v>
      </c>
      <c r="C46" s="6"/>
      <c r="D46" s="6"/>
      <c r="E46" s="6"/>
      <c r="F46" s="3"/>
    </row>
    <row r="47" spans="1:6" ht="20.100000000000001" customHeight="1" x14ac:dyDescent="0.25">
      <c r="A47" s="2"/>
      <c r="B47" s="63" t="s">
        <v>516</v>
      </c>
      <c r="C47" s="66"/>
      <c r="D47" s="66"/>
      <c r="E47" s="66"/>
    </row>
    <row r="48" spans="1:6" ht="20.100000000000001" customHeight="1" x14ac:dyDescent="0.25">
      <c r="A48" s="2"/>
      <c r="B48" s="63" t="s">
        <v>119</v>
      </c>
      <c r="C48" s="66"/>
      <c r="D48" s="66"/>
      <c r="E48" s="66"/>
    </row>
  </sheetData>
  <mergeCells count="3">
    <mergeCell ref="A1:E1"/>
    <mergeCell ref="B44:C44"/>
    <mergeCell ref="A8:F8"/>
  </mergeCells>
  <phoneticPr fontId="0" type="noConversion"/>
  <pageMargins left="0.48958333333333331" right="0.52083333333333337" top="0.625" bottom="0.74803149606299213" header="0.31496062992125984" footer="0.31496062992125984"/>
  <pageSetup scale="7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4"/>
  <sheetViews>
    <sheetView tabSelected="1" view="pageLayout" topLeftCell="A255" zoomScaleNormal="100" workbookViewId="0">
      <selection activeCell="E270" sqref="E270"/>
    </sheetView>
  </sheetViews>
  <sheetFormatPr baseColWidth="10" defaultRowHeight="12.75" x14ac:dyDescent="0.2"/>
  <cols>
    <col min="1" max="1" width="11.42578125" style="70" customWidth="1"/>
    <col min="2" max="2" width="23.85546875" style="231" customWidth="1"/>
    <col min="3" max="3" width="8" style="70" customWidth="1"/>
    <col min="4" max="4" width="9.28515625" style="70" customWidth="1"/>
    <col min="5" max="5" width="24.140625" style="70" customWidth="1"/>
    <col min="6" max="6" width="15.140625" style="70" customWidth="1"/>
    <col min="7" max="8" width="17.140625" style="70" customWidth="1"/>
    <col min="9" max="9" width="17.7109375" style="2" customWidth="1"/>
    <col min="10" max="10" width="13.140625" style="2" customWidth="1"/>
    <col min="11" max="256" width="11.42578125" style="2"/>
    <col min="257" max="257" width="13.85546875" style="2" customWidth="1"/>
    <col min="258" max="258" width="37.28515625" style="2" bestFit="1" customWidth="1"/>
    <col min="259" max="259" width="12.5703125" style="2" customWidth="1"/>
    <col min="260" max="260" width="9.28515625" style="2" customWidth="1"/>
    <col min="261" max="261" width="36" style="2" bestFit="1" customWidth="1"/>
    <col min="262" max="263" width="15.7109375" style="2" customWidth="1"/>
    <col min="264" max="264" width="25" style="2" customWidth="1"/>
    <col min="265" max="512" width="11.42578125" style="2"/>
    <col min="513" max="513" width="13.85546875" style="2" customWidth="1"/>
    <col min="514" max="514" width="37.28515625" style="2" bestFit="1" customWidth="1"/>
    <col min="515" max="515" width="12.5703125" style="2" customWidth="1"/>
    <col min="516" max="516" width="9.28515625" style="2" customWidth="1"/>
    <col min="517" max="517" width="36" style="2" bestFit="1" customWidth="1"/>
    <col min="518" max="519" width="15.7109375" style="2" customWidth="1"/>
    <col min="520" max="520" width="25" style="2" customWidth="1"/>
    <col min="521" max="768" width="11.42578125" style="2"/>
    <col min="769" max="769" width="13.85546875" style="2" customWidth="1"/>
    <col min="770" max="770" width="37.28515625" style="2" bestFit="1" customWidth="1"/>
    <col min="771" max="771" width="12.5703125" style="2" customWidth="1"/>
    <col min="772" max="772" width="9.28515625" style="2" customWidth="1"/>
    <col min="773" max="773" width="36" style="2" bestFit="1" customWidth="1"/>
    <col min="774" max="775" width="15.7109375" style="2" customWidth="1"/>
    <col min="776" max="776" width="25" style="2" customWidth="1"/>
    <col min="777" max="1024" width="11.42578125" style="2"/>
    <col min="1025" max="1025" width="13.85546875" style="2" customWidth="1"/>
    <col min="1026" max="1026" width="37.28515625" style="2" bestFit="1" customWidth="1"/>
    <col min="1027" max="1027" width="12.5703125" style="2" customWidth="1"/>
    <col min="1028" max="1028" width="9.28515625" style="2" customWidth="1"/>
    <col min="1029" max="1029" width="36" style="2" bestFit="1" customWidth="1"/>
    <col min="1030" max="1031" width="15.7109375" style="2" customWidth="1"/>
    <col min="1032" max="1032" width="25" style="2" customWidth="1"/>
    <col min="1033" max="1280" width="11.42578125" style="2"/>
    <col min="1281" max="1281" width="13.85546875" style="2" customWidth="1"/>
    <col min="1282" max="1282" width="37.28515625" style="2" bestFit="1" customWidth="1"/>
    <col min="1283" max="1283" width="12.5703125" style="2" customWidth="1"/>
    <col min="1284" max="1284" width="9.28515625" style="2" customWidth="1"/>
    <col min="1285" max="1285" width="36" style="2" bestFit="1" customWidth="1"/>
    <col min="1286" max="1287" width="15.7109375" style="2" customWidth="1"/>
    <col min="1288" max="1288" width="25" style="2" customWidth="1"/>
    <col min="1289" max="1536" width="11.42578125" style="2"/>
    <col min="1537" max="1537" width="13.85546875" style="2" customWidth="1"/>
    <col min="1538" max="1538" width="37.28515625" style="2" bestFit="1" customWidth="1"/>
    <col min="1539" max="1539" width="12.5703125" style="2" customWidth="1"/>
    <col min="1540" max="1540" width="9.28515625" style="2" customWidth="1"/>
    <col min="1541" max="1541" width="36" style="2" bestFit="1" customWidth="1"/>
    <col min="1542" max="1543" width="15.7109375" style="2" customWidth="1"/>
    <col min="1544" max="1544" width="25" style="2" customWidth="1"/>
    <col min="1545" max="1792" width="11.42578125" style="2"/>
    <col min="1793" max="1793" width="13.85546875" style="2" customWidth="1"/>
    <col min="1794" max="1794" width="37.28515625" style="2" bestFit="1" customWidth="1"/>
    <col min="1795" max="1795" width="12.5703125" style="2" customWidth="1"/>
    <col min="1796" max="1796" width="9.28515625" style="2" customWidth="1"/>
    <col min="1797" max="1797" width="36" style="2" bestFit="1" customWidth="1"/>
    <col min="1798" max="1799" width="15.7109375" style="2" customWidth="1"/>
    <col min="1800" max="1800" width="25" style="2" customWidth="1"/>
    <col min="1801" max="2048" width="11.42578125" style="2"/>
    <col min="2049" max="2049" width="13.85546875" style="2" customWidth="1"/>
    <col min="2050" max="2050" width="37.28515625" style="2" bestFit="1" customWidth="1"/>
    <col min="2051" max="2051" width="12.5703125" style="2" customWidth="1"/>
    <col min="2052" max="2052" width="9.28515625" style="2" customWidth="1"/>
    <col min="2053" max="2053" width="36" style="2" bestFit="1" customWidth="1"/>
    <col min="2054" max="2055" width="15.7109375" style="2" customWidth="1"/>
    <col min="2056" max="2056" width="25" style="2" customWidth="1"/>
    <col min="2057" max="2304" width="11.42578125" style="2"/>
    <col min="2305" max="2305" width="13.85546875" style="2" customWidth="1"/>
    <col min="2306" max="2306" width="37.28515625" style="2" bestFit="1" customWidth="1"/>
    <col min="2307" max="2307" width="12.5703125" style="2" customWidth="1"/>
    <col min="2308" max="2308" width="9.28515625" style="2" customWidth="1"/>
    <col min="2309" max="2309" width="36" style="2" bestFit="1" customWidth="1"/>
    <col min="2310" max="2311" width="15.7109375" style="2" customWidth="1"/>
    <col min="2312" max="2312" width="25" style="2" customWidth="1"/>
    <col min="2313" max="2560" width="11.42578125" style="2"/>
    <col min="2561" max="2561" width="13.85546875" style="2" customWidth="1"/>
    <col min="2562" max="2562" width="37.28515625" style="2" bestFit="1" customWidth="1"/>
    <col min="2563" max="2563" width="12.5703125" style="2" customWidth="1"/>
    <col min="2564" max="2564" width="9.28515625" style="2" customWidth="1"/>
    <col min="2565" max="2565" width="36" style="2" bestFit="1" customWidth="1"/>
    <col min="2566" max="2567" width="15.7109375" style="2" customWidth="1"/>
    <col min="2568" max="2568" width="25" style="2" customWidth="1"/>
    <col min="2569" max="2816" width="11.42578125" style="2"/>
    <col min="2817" max="2817" width="13.85546875" style="2" customWidth="1"/>
    <col min="2818" max="2818" width="37.28515625" style="2" bestFit="1" customWidth="1"/>
    <col min="2819" max="2819" width="12.5703125" style="2" customWidth="1"/>
    <col min="2820" max="2820" width="9.28515625" style="2" customWidth="1"/>
    <col min="2821" max="2821" width="36" style="2" bestFit="1" customWidth="1"/>
    <col min="2822" max="2823" width="15.7109375" style="2" customWidth="1"/>
    <col min="2824" max="2824" width="25" style="2" customWidth="1"/>
    <col min="2825" max="3072" width="11.42578125" style="2"/>
    <col min="3073" max="3073" width="13.85546875" style="2" customWidth="1"/>
    <col min="3074" max="3074" width="37.28515625" style="2" bestFit="1" customWidth="1"/>
    <col min="3075" max="3075" width="12.5703125" style="2" customWidth="1"/>
    <col min="3076" max="3076" width="9.28515625" style="2" customWidth="1"/>
    <col min="3077" max="3077" width="36" style="2" bestFit="1" customWidth="1"/>
    <col min="3078" max="3079" width="15.7109375" style="2" customWidth="1"/>
    <col min="3080" max="3080" width="25" style="2" customWidth="1"/>
    <col min="3081" max="3328" width="11.42578125" style="2"/>
    <col min="3329" max="3329" width="13.85546875" style="2" customWidth="1"/>
    <col min="3330" max="3330" width="37.28515625" style="2" bestFit="1" customWidth="1"/>
    <col min="3331" max="3331" width="12.5703125" style="2" customWidth="1"/>
    <col min="3332" max="3332" width="9.28515625" style="2" customWidth="1"/>
    <col min="3333" max="3333" width="36" style="2" bestFit="1" customWidth="1"/>
    <col min="3334" max="3335" width="15.7109375" style="2" customWidth="1"/>
    <col min="3336" max="3336" width="25" style="2" customWidth="1"/>
    <col min="3337" max="3584" width="11.42578125" style="2"/>
    <col min="3585" max="3585" width="13.85546875" style="2" customWidth="1"/>
    <col min="3586" max="3586" width="37.28515625" style="2" bestFit="1" customWidth="1"/>
    <col min="3587" max="3587" width="12.5703125" style="2" customWidth="1"/>
    <col min="3588" max="3588" width="9.28515625" style="2" customWidth="1"/>
    <col min="3589" max="3589" width="36" style="2" bestFit="1" customWidth="1"/>
    <col min="3590" max="3591" width="15.7109375" style="2" customWidth="1"/>
    <col min="3592" max="3592" width="25" style="2" customWidth="1"/>
    <col min="3593" max="3840" width="11.42578125" style="2"/>
    <col min="3841" max="3841" width="13.85546875" style="2" customWidth="1"/>
    <col min="3842" max="3842" width="37.28515625" style="2" bestFit="1" customWidth="1"/>
    <col min="3843" max="3843" width="12.5703125" style="2" customWidth="1"/>
    <col min="3844" max="3844" width="9.28515625" style="2" customWidth="1"/>
    <col min="3845" max="3845" width="36" style="2" bestFit="1" customWidth="1"/>
    <col min="3846" max="3847" width="15.7109375" style="2" customWidth="1"/>
    <col min="3848" max="3848" width="25" style="2" customWidth="1"/>
    <col min="3849" max="4096" width="11.42578125" style="2"/>
    <col min="4097" max="4097" width="13.85546875" style="2" customWidth="1"/>
    <col min="4098" max="4098" width="37.28515625" style="2" bestFit="1" customWidth="1"/>
    <col min="4099" max="4099" width="12.5703125" style="2" customWidth="1"/>
    <col min="4100" max="4100" width="9.28515625" style="2" customWidth="1"/>
    <col min="4101" max="4101" width="36" style="2" bestFit="1" customWidth="1"/>
    <col min="4102" max="4103" width="15.7109375" style="2" customWidth="1"/>
    <col min="4104" max="4104" width="25" style="2" customWidth="1"/>
    <col min="4105" max="4352" width="11.42578125" style="2"/>
    <col min="4353" max="4353" width="13.85546875" style="2" customWidth="1"/>
    <col min="4354" max="4354" width="37.28515625" style="2" bestFit="1" customWidth="1"/>
    <col min="4355" max="4355" width="12.5703125" style="2" customWidth="1"/>
    <col min="4356" max="4356" width="9.28515625" style="2" customWidth="1"/>
    <col min="4357" max="4357" width="36" style="2" bestFit="1" customWidth="1"/>
    <col min="4358" max="4359" width="15.7109375" style="2" customWidth="1"/>
    <col min="4360" max="4360" width="25" style="2" customWidth="1"/>
    <col min="4361" max="4608" width="11.42578125" style="2"/>
    <col min="4609" max="4609" width="13.85546875" style="2" customWidth="1"/>
    <col min="4610" max="4610" width="37.28515625" style="2" bestFit="1" customWidth="1"/>
    <col min="4611" max="4611" width="12.5703125" style="2" customWidth="1"/>
    <col min="4612" max="4612" width="9.28515625" style="2" customWidth="1"/>
    <col min="4613" max="4613" width="36" style="2" bestFit="1" customWidth="1"/>
    <col min="4614" max="4615" width="15.7109375" style="2" customWidth="1"/>
    <col min="4616" max="4616" width="25" style="2" customWidth="1"/>
    <col min="4617" max="4864" width="11.42578125" style="2"/>
    <col min="4865" max="4865" width="13.85546875" style="2" customWidth="1"/>
    <col min="4866" max="4866" width="37.28515625" style="2" bestFit="1" customWidth="1"/>
    <col min="4867" max="4867" width="12.5703125" style="2" customWidth="1"/>
    <col min="4868" max="4868" width="9.28515625" style="2" customWidth="1"/>
    <col min="4869" max="4869" width="36" style="2" bestFit="1" customWidth="1"/>
    <col min="4870" max="4871" width="15.7109375" style="2" customWidth="1"/>
    <col min="4872" max="4872" width="25" style="2" customWidth="1"/>
    <col min="4873" max="5120" width="11.42578125" style="2"/>
    <col min="5121" max="5121" width="13.85546875" style="2" customWidth="1"/>
    <col min="5122" max="5122" width="37.28515625" style="2" bestFit="1" customWidth="1"/>
    <col min="5123" max="5123" width="12.5703125" style="2" customWidth="1"/>
    <col min="5124" max="5124" width="9.28515625" style="2" customWidth="1"/>
    <col min="5125" max="5125" width="36" style="2" bestFit="1" customWidth="1"/>
    <col min="5126" max="5127" width="15.7109375" style="2" customWidth="1"/>
    <col min="5128" max="5128" width="25" style="2" customWidth="1"/>
    <col min="5129" max="5376" width="11.42578125" style="2"/>
    <col min="5377" max="5377" width="13.85546875" style="2" customWidth="1"/>
    <col min="5378" max="5378" width="37.28515625" style="2" bestFit="1" customWidth="1"/>
    <col min="5379" max="5379" width="12.5703125" style="2" customWidth="1"/>
    <col min="5380" max="5380" width="9.28515625" style="2" customWidth="1"/>
    <col min="5381" max="5381" width="36" style="2" bestFit="1" customWidth="1"/>
    <col min="5382" max="5383" width="15.7109375" style="2" customWidth="1"/>
    <col min="5384" max="5384" width="25" style="2" customWidth="1"/>
    <col min="5385" max="5632" width="11.42578125" style="2"/>
    <col min="5633" max="5633" width="13.85546875" style="2" customWidth="1"/>
    <col min="5634" max="5634" width="37.28515625" style="2" bestFit="1" customWidth="1"/>
    <col min="5635" max="5635" width="12.5703125" style="2" customWidth="1"/>
    <col min="5636" max="5636" width="9.28515625" style="2" customWidth="1"/>
    <col min="5637" max="5637" width="36" style="2" bestFit="1" customWidth="1"/>
    <col min="5638" max="5639" width="15.7109375" style="2" customWidth="1"/>
    <col min="5640" max="5640" width="25" style="2" customWidth="1"/>
    <col min="5641" max="5888" width="11.42578125" style="2"/>
    <col min="5889" max="5889" width="13.85546875" style="2" customWidth="1"/>
    <col min="5890" max="5890" width="37.28515625" style="2" bestFit="1" customWidth="1"/>
    <col min="5891" max="5891" width="12.5703125" style="2" customWidth="1"/>
    <col min="5892" max="5892" width="9.28515625" style="2" customWidth="1"/>
    <col min="5893" max="5893" width="36" style="2" bestFit="1" customWidth="1"/>
    <col min="5894" max="5895" width="15.7109375" style="2" customWidth="1"/>
    <col min="5896" max="5896" width="25" style="2" customWidth="1"/>
    <col min="5897" max="6144" width="11.42578125" style="2"/>
    <col min="6145" max="6145" width="13.85546875" style="2" customWidth="1"/>
    <col min="6146" max="6146" width="37.28515625" style="2" bestFit="1" customWidth="1"/>
    <col min="6147" max="6147" width="12.5703125" style="2" customWidth="1"/>
    <col min="6148" max="6148" width="9.28515625" style="2" customWidth="1"/>
    <col min="6149" max="6149" width="36" style="2" bestFit="1" customWidth="1"/>
    <col min="6150" max="6151" width="15.7109375" style="2" customWidth="1"/>
    <col min="6152" max="6152" width="25" style="2" customWidth="1"/>
    <col min="6153" max="6400" width="11.42578125" style="2"/>
    <col min="6401" max="6401" width="13.85546875" style="2" customWidth="1"/>
    <col min="6402" max="6402" width="37.28515625" style="2" bestFit="1" customWidth="1"/>
    <col min="6403" max="6403" width="12.5703125" style="2" customWidth="1"/>
    <col min="6404" max="6404" width="9.28515625" style="2" customWidth="1"/>
    <col min="6405" max="6405" width="36" style="2" bestFit="1" customWidth="1"/>
    <col min="6406" max="6407" width="15.7109375" style="2" customWidth="1"/>
    <col min="6408" max="6408" width="25" style="2" customWidth="1"/>
    <col min="6409" max="6656" width="11.42578125" style="2"/>
    <col min="6657" max="6657" width="13.85546875" style="2" customWidth="1"/>
    <col min="6658" max="6658" width="37.28515625" style="2" bestFit="1" customWidth="1"/>
    <col min="6659" max="6659" width="12.5703125" style="2" customWidth="1"/>
    <col min="6660" max="6660" width="9.28515625" style="2" customWidth="1"/>
    <col min="6661" max="6661" width="36" style="2" bestFit="1" customWidth="1"/>
    <col min="6662" max="6663" width="15.7109375" style="2" customWidth="1"/>
    <col min="6664" max="6664" width="25" style="2" customWidth="1"/>
    <col min="6665" max="6912" width="11.42578125" style="2"/>
    <col min="6913" max="6913" width="13.85546875" style="2" customWidth="1"/>
    <col min="6914" max="6914" width="37.28515625" style="2" bestFit="1" customWidth="1"/>
    <col min="6915" max="6915" width="12.5703125" style="2" customWidth="1"/>
    <col min="6916" max="6916" width="9.28515625" style="2" customWidth="1"/>
    <col min="6917" max="6917" width="36" style="2" bestFit="1" customWidth="1"/>
    <col min="6918" max="6919" width="15.7109375" style="2" customWidth="1"/>
    <col min="6920" max="6920" width="25" style="2" customWidth="1"/>
    <col min="6921" max="7168" width="11.42578125" style="2"/>
    <col min="7169" max="7169" width="13.85546875" style="2" customWidth="1"/>
    <col min="7170" max="7170" width="37.28515625" style="2" bestFit="1" customWidth="1"/>
    <col min="7171" max="7171" width="12.5703125" style="2" customWidth="1"/>
    <col min="7172" max="7172" width="9.28515625" style="2" customWidth="1"/>
    <col min="7173" max="7173" width="36" style="2" bestFit="1" customWidth="1"/>
    <col min="7174" max="7175" width="15.7109375" style="2" customWidth="1"/>
    <col min="7176" max="7176" width="25" style="2" customWidth="1"/>
    <col min="7177" max="7424" width="11.42578125" style="2"/>
    <col min="7425" max="7425" width="13.85546875" style="2" customWidth="1"/>
    <col min="7426" max="7426" width="37.28515625" style="2" bestFit="1" customWidth="1"/>
    <col min="7427" max="7427" width="12.5703125" style="2" customWidth="1"/>
    <col min="7428" max="7428" width="9.28515625" style="2" customWidth="1"/>
    <col min="7429" max="7429" width="36" style="2" bestFit="1" customWidth="1"/>
    <col min="7430" max="7431" width="15.7109375" style="2" customWidth="1"/>
    <col min="7432" max="7432" width="25" style="2" customWidth="1"/>
    <col min="7433" max="7680" width="11.42578125" style="2"/>
    <col min="7681" max="7681" width="13.85546875" style="2" customWidth="1"/>
    <col min="7682" max="7682" width="37.28515625" style="2" bestFit="1" customWidth="1"/>
    <col min="7683" max="7683" width="12.5703125" style="2" customWidth="1"/>
    <col min="7684" max="7684" width="9.28515625" style="2" customWidth="1"/>
    <col min="7685" max="7685" width="36" style="2" bestFit="1" customWidth="1"/>
    <col min="7686" max="7687" width="15.7109375" style="2" customWidth="1"/>
    <col min="7688" max="7688" width="25" style="2" customWidth="1"/>
    <col min="7689" max="7936" width="11.42578125" style="2"/>
    <col min="7937" max="7937" width="13.85546875" style="2" customWidth="1"/>
    <col min="7938" max="7938" width="37.28515625" style="2" bestFit="1" customWidth="1"/>
    <col min="7939" max="7939" width="12.5703125" style="2" customWidth="1"/>
    <col min="7940" max="7940" width="9.28515625" style="2" customWidth="1"/>
    <col min="7941" max="7941" width="36" style="2" bestFit="1" customWidth="1"/>
    <col min="7942" max="7943" width="15.7109375" style="2" customWidth="1"/>
    <col min="7944" max="7944" width="25" style="2" customWidth="1"/>
    <col min="7945" max="8192" width="11.42578125" style="2"/>
    <col min="8193" max="8193" width="13.85546875" style="2" customWidth="1"/>
    <col min="8194" max="8194" width="37.28515625" style="2" bestFit="1" customWidth="1"/>
    <col min="8195" max="8195" width="12.5703125" style="2" customWidth="1"/>
    <col min="8196" max="8196" width="9.28515625" style="2" customWidth="1"/>
    <col min="8197" max="8197" width="36" style="2" bestFit="1" customWidth="1"/>
    <col min="8198" max="8199" width="15.7109375" style="2" customWidth="1"/>
    <col min="8200" max="8200" width="25" style="2" customWidth="1"/>
    <col min="8201" max="8448" width="11.42578125" style="2"/>
    <col min="8449" max="8449" width="13.85546875" style="2" customWidth="1"/>
    <col min="8450" max="8450" width="37.28515625" style="2" bestFit="1" customWidth="1"/>
    <col min="8451" max="8451" width="12.5703125" style="2" customWidth="1"/>
    <col min="8452" max="8452" width="9.28515625" style="2" customWidth="1"/>
    <col min="8453" max="8453" width="36" style="2" bestFit="1" customWidth="1"/>
    <col min="8454" max="8455" width="15.7109375" style="2" customWidth="1"/>
    <col min="8456" max="8456" width="25" style="2" customWidth="1"/>
    <col min="8457" max="8704" width="11.42578125" style="2"/>
    <col min="8705" max="8705" width="13.85546875" style="2" customWidth="1"/>
    <col min="8706" max="8706" width="37.28515625" style="2" bestFit="1" customWidth="1"/>
    <col min="8707" max="8707" width="12.5703125" style="2" customWidth="1"/>
    <col min="8708" max="8708" width="9.28515625" style="2" customWidth="1"/>
    <col min="8709" max="8709" width="36" style="2" bestFit="1" customWidth="1"/>
    <col min="8710" max="8711" width="15.7109375" style="2" customWidth="1"/>
    <col min="8712" max="8712" width="25" style="2" customWidth="1"/>
    <col min="8713" max="8960" width="11.42578125" style="2"/>
    <col min="8961" max="8961" width="13.85546875" style="2" customWidth="1"/>
    <col min="8962" max="8962" width="37.28515625" style="2" bestFit="1" customWidth="1"/>
    <col min="8963" max="8963" width="12.5703125" style="2" customWidth="1"/>
    <col min="8964" max="8964" width="9.28515625" style="2" customWidth="1"/>
    <col min="8965" max="8965" width="36" style="2" bestFit="1" customWidth="1"/>
    <col min="8966" max="8967" width="15.7109375" style="2" customWidth="1"/>
    <col min="8968" max="8968" width="25" style="2" customWidth="1"/>
    <col min="8969" max="9216" width="11.42578125" style="2"/>
    <col min="9217" max="9217" width="13.85546875" style="2" customWidth="1"/>
    <col min="9218" max="9218" width="37.28515625" style="2" bestFit="1" customWidth="1"/>
    <col min="9219" max="9219" width="12.5703125" style="2" customWidth="1"/>
    <col min="9220" max="9220" width="9.28515625" style="2" customWidth="1"/>
    <col min="9221" max="9221" width="36" style="2" bestFit="1" customWidth="1"/>
    <col min="9222" max="9223" width="15.7109375" style="2" customWidth="1"/>
    <col min="9224" max="9224" width="25" style="2" customWidth="1"/>
    <col min="9225" max="9472" width="11.42578125" style="2"/>
    <col min="9473" max="9473" width="13.85546875" style="2" customWidth="1"/>
    <col min="9474" max="9474" width="37.28515625" style="2" bestFit="1" customWidth="1"/>
    <col min="9475" max="9475" width="12.5703125" style="2" customWidth="1"/>
    <col min="9476" max="9476" width="9.28515625" style="2" customWidth="1"/>
    <col min="9477" max="9477" width="36" style="2" bestFit="1" customWidth="1"/>
    <col min="9478" max="9479" width="15.7109375" style="2" customWidth="1"/>
    <col min="9480" max="9480" width="25" style="2" customWidth="1"/>
    <col min="9481" max="9728" width="11.42578125" style="2"/>
    <col min="9729" max="9729" width="13.85546875" style="2" customWidth="1"/>
    <col min="9730" max="9730" width="37.28515625" style="2" bestFit="1" customWidth="1"/>
    <col min="9731" max="9731" width="12.5703125" style="2" customWidth="1"/>
    <col min="9732" max="9732" width="9.28515625" style="2" customWidth="1"/>
    <col min="9733" max="9733" width="36" style="2" bestFit="1" customWidth="1"/>
    <col min="9734" max="9735" width="15.7109375" style="2" customWidth="1"/>
    <col min="9736" max="9736" width="25" style="2" customWidth="1"/>
    <col min="9737" max="9984" width="11.42578125" style="2"/>
    <col min="9985" max="9985" width="13.85546875" style="2" customWidth="1"/>
    <col min="9986" max="9986" width="37.28515625" style="2" bestFit="1" customWidth="1"/>
    <col min="9987" max="9987" width="12.5703125" style="2" customWidth="1"/>
    <col min="9988" max="9988" width="9.28515625" style="2" customWidth="1"/>
    <col min="9989" max="9989" width="36" style="2" bestFit="1" customWidth="1"/>
    <col min="9990" max="9991" width="15.7109375" style="2" customWidth="1"/>
    <col min="9992" max="9992" width="25" style="2" customWidth="1"/>
    <col min="9993" max="10240" width="11.42578125" style="2"/>
    <col min="10241" max="10241" width="13.85546875" style="2" customWidth="1"/>
    <col min="10242" max="10242" width="37.28515625" style="2" bestFit="1" customWidth="1"/>
    <col min="10243" max="10243" width="12.5703125" style="2" customWidth="1"/>
    <col min="10244" max="10244" width="9.28515625" style="2" customWidth="1"/>
    <col min="10245" max="10245" width="36" style="2" bestFit="1" customWidth="1"/>
    <col min="10246" max="10247" width="15.7109375" style="2" customWidth="1"/>
    <col min="10248" max="10248" width="25" style="2" customWidth="1"/>
    <col min="10249" max="10496" width="11.42578125" style="2"/>
    <col min="10497" max="10497" width="13.85546875" style="2" customWidth="1"/>
    <col min="10498" max="10498" width="37.28515625" style="2" bestFit="1" customWidth="1"/>
    <col min="10499" max="10499" width="12.5703125" style="2" customWidth="1"/>
    <col min="10500" max="10500" width="9.28515625" style="2" customWidth="1"/>
    <col min="10501" max="10501" width="36" style="2" bestFit="1" customWidth="1"/>
    <col min="10502" max="10503" width="15.7109375" style="2" customWidth="1"/>
    <col min="10504" max="10504" width="25" style="2" customWidth="1"/>
    <col min="10505" max="10752" width="11.42578125" style="2"/>
    <col min="10753" max="10753" width="13.85546875" style="2" customWidth="1"/>
    <col min="10754" max="10754" width="37.28515625" style="2" bestFit="1" customWidth="1"/>
    <col min="10755" max="10755" width="12.5703125" style="2" customWidth="1"/>
    <col min="10756" max="10756" width="9.28515625" style="2" customWidth="1"/>
    <col min="10757" max="10757" width="36" style="2" bestFit="1" customWidth="1"/>
    <col min="10758" max="10759" width="15.7109375" style="2" customWidth="1"/>
    <col min="10760" max="10760" width="25" style="2" customWidth="1"/>
    <col min="10761" max="11008" width="11.42578125" style="2"/>
    <col min="11009" max="11009" width="13.85546875" style="2" customWidth="1"/>
    <col min="11010" max="11010" width="37.28515625" style="2" bestFit="1" customWidth="1"/>
    <col min="11011" max="11011" width="12.5703125" style="2" customWidth="1"/>
    <col min="11012" max="11012" width="9.28515625" style="2" customWidth="1"/>
    <col min="11013" max="11013" width="36" style="2" bestFit="1" customWidth="1"/>
    <col min="11014" max="11015" width="15.7109375" style="2" customWidth="1"/>
    <col min="11016" max="11016" width="25" style="2" customWidth="1"/>
    <col min="11017" max="11264" width="11.42578125" style="2"/>
    <col min="11265" max="11265" width="13.85546875" style="2" customWidth="1"/>
    <col min="11266" max="11266" width="37.28515625" style="2" bestFit="1" customWidth="1"/>
    <col min="11267" max="11267" width="12.5703125" style="2" customWidth="1"/>
    <col min="11268" max="11268" width="9.28515625" style="2" customWidth="1"/>
    <col min="11269" max="11269" width="36" style="2" bestFit="1" customWidth="1"/>
    <col min="11270" max="11271" width="15.7109375" style="2" customWidth="1"/>
    <col min="11272" max="11272" width="25" style="2" customWidth="1"/>
    <col min="11273" max="11520" width="11.42578125" style="2"/>
    <col min="11521" max="11521" width="13.85546875" style="2" customWidth="1"/>
    <col min="11522" max="11522" width="37.28515625" style="2" bestFit="1" customWidth="1"/>
    <col min="11523" max="11523" width="12.5703125" style="2" customWidth="1"/>
    <col min="11524" max="11524" width="9.28515625" style="2" customWidth="1"/>
    <col min="11525" max="11525" width="36" style="2" bestFit="1" customWidth="1"/>
    <col min="11526" max="11527" width="15.7109375" style="2" customWidth="1"/>
    <col min="11528" max="11528" width="25" style="2" customWidth="1"/>
    <col min="11529" max="11776" width="11.42578125" style="2"/>
    <col min="11777" max="11777" width="13.85546875" style="2" customWidth="1"/>
    <col min="11778" max="11778" width="37.28515625" style="2" bestFit="1" customWidth="1"/>
    <col min="11779" max="11779" width="12.5703125" style="2" customWidth="1"/>
    <col min="11780" max="11780" width="9.28515625" style="2" customWidth="1"/>
    <col min="11781" max="11781" width="36" style="2" bestFit="1" customWidth="1"/>
    <col min="11782" max="11783" width="15.7109375" style="2" customWidth="1"/>
    <col min="11784" max="11784" width="25" style="2" customWidth="1"/>
    <col min="11785" max="12032" width="11.42578125" style="2"/>
    <col min="12033" max="12033" width="13.85546875" style="2" customWidth="1"/>
    <col min="12034" max="12034" width="37.28515625" style="2" bestFit="1" customWidth="1"/>
    <col min="12035" max="12035" width="12.5703125" style="2" customWidth="1"/>
    <col min="12036" max="12036" width="9.28515625" style="2" customWidth="1"/>
    <col min="12037" max="12037" width="36" style="2" bestFit="1" customWidth="1"/>
    <col min="12038" max="12039" width="15.7109375" style="2" customWidth="1"/>
    <col min="12040" max="12040" width="25" style="2" customWidth="1"/>
    <col min="12041" max="12288" width="11.42578125" style="2"/>
    <col min="12289" max="12289" width="13.85546875" style="2" customWidth="1"/>
    <col min="12290" max="12290" width="37.28515625" style="2" bestFit="1" customWidth="1"/>
    <col min="12291" max="12291" width="12.5703125" style="2" customWidth="1"/>
    <col min="12292" max="12292" width="9.28515625" style="2" customWidth="1"/>
    <col min="12293" max="12293" width="36" style="2" bestFit="1" customWidth="1"/>
    <col min="12294" max="12295" width="15.7109375" style="2" customWidth="1"/>
    <col min="12296" max="12296" width="25" style="2" customWidth="1"/>
    <col min="12297" max="12544" width="11.42578125" style="2"/>
    <col min="12545" max="12545" width="13.85546875" style="2" customWidth="1"/>
    <col min="12546" max="12546" width="37.28515625" style="2" bestFit="1" customWidth="1"/>
    <col min="12547" max="12547" width="12.5703125" style="2" customWidth="1"/>
    <col min="12548" max="12548" width="9.28515625" style="2" customWidth="1"/>
    <col min="12549" max="12549" width="36" style="2" bestFit="1" customWidth="1"/>
    <col min="12550" max="12551" width="15.7109375" style="2" customWidth="1"/>
    <col min="12552" max="12552" width="25" style="2" customWidth="1"/>
    <col min="12553" max="12800" width="11.42578125" style="2"/>
    <col min="12801" max="12801" width="13.85546875" style="2" customWidth="1"/>
    <col min="12802" max="12802" width="37.28515625" style="2" bestFit="1" customWidth="1"/>
    <col min="12803" max="12803" width="12.5703125" style="2" customWidth="1"/>
    <col min="12804" max="12804" width="9.28515625" style="2" customWidth="1"/>
    <col min="12805" max="12805" width="36" style="2" bestFit="1" customWidth="1"/>
    <col min="12806" max="12807" width="15.7109375" style="2" customWidth="1"/>
    <col min="12808" max="12808" width="25" style="2" customWidth="1"/>
    <col min="12809" max="13056" width="11.42578125" style="2"/>
    <col min="13057" max="13057" width="13.85546875" style="2" customWidth="1"/>
    <col min="13058" max="13058" width="37.28515625" style="2" bestFit="1" customWidth="1"/>
    <col min="13059" max="13059" width="12.5703125" style="2" customWidth="1"/>
    <col min="13060" max="13060" width="9.28515625" style="2" customWidth="1"/>
    <col min="13061" max="13061" width="36" style="2" bestFit="1" customWidth="1"/>
    <col min="13062" max="13063" width="15.7109375" style="2" customWidth="1"/>
    <col min="13064" max="13064" width="25" style="2" customWidth="1"/>
    <col min="13065" max="13312" width="11.42578125" style="2"/>
    <col min="13313" max="13313" width="13.85546875" style="2" customWidth="1"/>
    <col min="13314" max="13314" width="37.28515625" style="2" bestFit="1" customWidth="1"/>
    <col min="13315" max="13315" width="12.5703125" style="2" customWidth="1"/>
    <col min="13316" max="13316" width="9.28515625" style="2" customWidth="1"/>
    <col min="13317" max="13317" width="36" style="2" bestFit="1" customWidth="1"/>
    <col min="13318" max="13319" width="15.7109375" style="2" customWidth="1"/>
    <col min="13320" max="13320" width="25" style="2" customWidth="1"/>
    <col min="13321" max="13568" width="11.42578125" style="2"/>
    <col min="13569" max="13569" width="13.85546875" style="2" customWidth="1"/>
    <col min="13570" max="13570" width="37.28515625" style="2" bestFit="1" customWidth="1"/>
    <col min="13571" max="13571" width="12.5703125" style="2" customWidth="1"/>
    <col min="13572" max="13572" width="9.28515625" style="2" customWidth="1"/>
    <col min="13573" max="13573" width="36" style="2" bestFit="1" customWidth="1"/>
    <col min="13574" max="13575" width="15.7109375" style="2" customWidth="1"/>
    <col min="13576" max="13576" width="25" style="2" customWidth="1"/>
    <col min="13577" max="13824" width="11.42578125" style="2"/>
    <col min="13825" max="13825" width="13.85546875" style="2" customWidth="1"/>
    <col min="13826" max="13826" width="37.28515625" style="2" bestFit="1" customWidth="1"/>
    <col min="13827" max="13827" width="12.5703125" style="2" customWidth="1"/>
    <col min="13828" max="13828" width="9.28515625" style="2" customWidth="1"/>
    <col min="13829" max="13829" width="36" style="2" bestFit="1" customWidth="1"/>
    <col min="13830" max="13831" width="15.7109375" style="2" customWidth="1"/>
    <col min="13832" max="13832" width="25" style="2" customWidth="1"/>
    <col min="13833" max="14080" width="11.42578125" style="2"/>
    <col min="14081" max="14081" width="13.85546875" style="2" customWidth="1"/>
    <col min="14082" max="14082" width="37.28515625" style="2" bestFit="1" customWidth="1"/>
    <col min="14083" max="14083" width="12.5703125" style="2" customWidth="1"/>
    <col min="14084" max="14084" width="9.28515625" style="2" customWidth="1"/>
    <col min="14085" max="14085" width="36" style="2" bestFit="1" customWidth="1"/>
    <col min="14086" max="14087" width="15.7109375" style="2" customWidth="1"/>
    <col min="14088" max="14088" width="25" style="2" customWidth="1"/>
    <col min="14089" max="14336" width="11.42578125" style="2"/>
    <col min="14337" max="14337" width="13.85546875" style="2" customWidth="1"/>
    <col min="14338" max="14338" width="37.28515625" style="2" bestFit="1" customWidth="1"/>
    <col min="14339" max="14339" width="12.5703125" style="2" customWidth="1"/>
    <col min="14340" max="14340" width="9.28515625" style="2" customWidth="1"/>
    <col min="14341" max="14341" width="36" style="2" bestFit="1" customWidth="1"/>
    <col min="14342" max="14343" width="15.7109375" style="2" customWidth="1"/>
    <col min="14344" max="14344" width="25" style="2" customWidth="1"/>
    <col min="14345" max="14592" width="11.42578125" style="2"/>
    <col min="14593" max="14593" width="13.85546875" style="2" customWidth="1"/>
    <col min="14594" max="14594" width="37.28515625" style="2" bestFit="1" customWidth="1"/>
    <col min="14595" max="14595" width="12.5703125" style="2" customWidth="1"/>
    <col min="14596" max="14596" width="9.28515625" style="2" customWidth="1"/>
    <col min="14597" max="14597" width="36" style="2" bestFit="1" customWidth="1"/>
    <col min="14598" max="14599" width="15.7109375" style="2" customWidth="1"/>
    <col min="14600" max="14600" width="25" style="2" customWidth="1"/>
    <col min="14601" max="14848" width="11.42578125" style="2"/>
    <col min="14849" max="14849" width="13.85546875" style="2" customWidth="1"/>
    <col min="14850" max="14850" width="37.28515625" style="2" bestFit="1" customWidth="1"/>
    <col min="14851" max="14851" width="12.5703125" style="2" customWidth="1"/>
    <col min="14852" max="14852" width="9.28515625" style="2" customWidth="1"/>
    <col min="14853" max="14853" width="36" style="2" bestFit="1" customWidth="1"/>
    <col min="14854" max="14855" width="15.7109375" style="2" customWidth="1"/>
    <col min="14856" max="14856" width="25" style="2" customWidth="1"/>
    <col min="14857" max="15104" width="11.42578125" style="2"/>
    <col min="15105" max="15105" width="13.85546875" style="2" customWidth="1"/>
    <col min="15106" max="15106" width="37.28515625" style="2" bestFit="1" customWidth="1"/>
    <col min="15107" max="15107" width="12.5703125" style="2" customWidth="1"/>
    <col min="15108" max="15108" width="9.28515625" style="2" customWidth="1"/>
    <col min="15109" max="15109" width="36" style="2" bestFit="1" customWidth="1"/>
    <col min="15110" max="15111" width="15.7109375" style="2" customWidth="1"/>
    <col min="15112" max="15112" width="25" style="2" customWidth="1"/>
    <col min="15113" max="15360" width="11.42578125" style="2"/>
    <col min="15361" max="15361" width="13.85546875" style="2" customWidth="1"/>
    <col min="15362" max="15362" width="37.28515625" style="2" bestFit="1" customWidth="1"/>
    <col min="15363" max="15363" width="12.5703125" style="2" customWidth="1"/>
    <col min="15364" max="15364" width="9.28515625" style="2" customWidth="1"/>
    <col min="15365" max="15365" width="36" style="2" bestFit="1" customWidth="1"/>
    <col min="15366" max="15367" width="15.7109375" style="2" customWidth="1"/>
    <col min="15368" max="15368" width="25" style="2" customWidth="1"/>
    <col min="15369" max="15616" width="11.42578125" style="2"/>
    <col min="15617" max="15617" width="13.85546875" style="2" customWidth="1"/>
    <col min="15618" max="15618" width="37.28515625" style="2" bestFit="1" customWidth="1"/>
    <col min="15619" max="15619" width="12.5703125" style="2" customWidth="1"/>
    <col min="15620" max="15620" width="9.28515625" style="2" customWidth="1"/>
    <col min="15621" max="15621" width="36" style="2" bestFit="1" customWidth="1"/>
    <col min="15622" max="15623" width="15.7109375" style="2" customWidth="1"/>
    <col min="15624" max="15624" width="25" style="2" customWidth="1"/>
    <col min="15625" max="15872" width="11.42578125" style="2"/>
    <col min="15873" max="15873" width="13.85546875" style="2" customWidth="1"/>
    <col min="15874" max="15874" width="37.28515625" style="2" bestFit="1" customWidth="1"/>
    <col min="15875" max="15875" width="12.5703125" style="2" customWidth="1"/>
    <col min="15876" max="15876" width="9.28515625" style="2" customWidth="1"/>
    <col min="15877" max="15877" width="36" style="2" bestFit="1" customWidth="1"/>
    <col min="15878" max="15879" width="15.7109375" style="2" customWidth="1"/>
    <col min="15880" max="15880" width="25" style="2" customWidth="1"/>
    <col min="15881" max="16128" width="11.42578125" style="2"/>
    <col min="16129" max="16129" width="13.85546875" style="2" customWidth="1"/>
    <col min="16130" max="16130" width="37.28515625" style="2" bestFit="1" customWidth="1"/>
    <col min="16131" max="16131" width="12.5703125" style="2" customWidth="1"/>
    <col min="16132" max="16132" width="9.28515625" style="2" customWidth="1"/>
    <col min="16133" max="16133" width="36" style="2" bestFit="1" customWidth="1"/>
    <col min="16134" max="16135" width="15.7109375" style="2" customWidth="1"/>
    <col min="16136" max="16136" width="25" style="2" customWidth="1"/>
    <col min="16137" max="16384" width="11.42578125" style="2"/>
  </cols>
  <sheetData>
    <row r="1" spans="1:10" ht="19.5" customHeight="1" x14ac:dyDescent="0.2">
      <c r="A1" s="244" t="s">
        <v>20</v>
      </c>
      <c r="B1" s="244"/>
      <c r="C1" s="244"/>
      <c r="D1" s="244"/>
      <c r="E1" s="244"/>
      <c r="F1" s="244"/>
      <c r="G1" s="244"/>
      <c r="H1" s="244"/>
    </row>
    <row r="2" spans="1:10" ht="23.25" customHeight="1" x14ac:dyDescent="0.2">
      <c r="A2" s="245" t="s">
        <v>116</v>
      </c>
      <c r="B2" s="245"/>
      <c r="C2" s="245"/>
      <c r="D2" s="245"/>
      <c r="E2" s="245"/>
      <c r="F2" s="245"/>
      <c r="G2" s="245"/>
      <c r="H2" s="245"/>
    </row>
    <row r="3" spans="1:10" ht="15.95" customHeight="1" x14ac:dyDescent="0.25">
      <c r="A3" s="238" t="s">
        <v>21</v>
      </c>
      <c r="B3" s="238"/>
      <c r="C3" s="238"/>
      <c r="D3" s="238"/>
      <c r="E3" s="238"/>
      <c r="F3" s="238"/>
      <c r="G3" s="238"/>
      <c r="H3" s="238"/>
    </row>
    <row r="4" spans="1:10" ht="15.95" customHeight="1" x14ac:dyDescent="0.25">
      <c r="A4" s="195"/>
      <c r="B4" s="223"/>
      <c r="C4" s="195"/>
      <c r="D4" s="195"/>
      <c r="E4" s="195"/>
      <c r="F4" s="195"/>
      <c r="G4" s="195"/>
      <c r="H4" s="195"/>
    </row>
    <row r="5" spans="1:10" ht="15.95" customHeight="1" x14ac:dyDescent="0.25">
      <c r="A5" s="71" t="s">
        <v>490</v>
      </c>
      <c r="B5" s="223"/>
      <c r="C5" s="195"/>
      <c r="D5" s="195"/>
      <c r="E5" s="195"/>
      <c r="F5" s="195"/>
      <c r="G5" s="195"/>
      <c r="H5" s="195"/>
    </row>
    <row r="6" spans="1:10" ht="15.95" customHeight="1" x14ac:dyDescent="0.25">
      <c r="A6" s="71" t="s">
        <v>491</v>
      </c>
      <c r="B6" s="224"/>
      <c r="C6" s="75"/>
      <c r="D6" s="75"/>
      <c r="E6" s="64"/>
      <c r="F6" s="64"/>
      <c r="G6" s="64"/>
      <c r="H6" s="64"/>
    </row>
    <row r="7" spans="1:10" ht="15.95" customHeight="1" x14ac:dyDescent="0.25">
      <c r="A7" s="73" t="s">
        <v>117</v>
      </c>
      <c r="B7" s="225"/>
      <c r="C7" s="65"/>
      <c r="D7" s="65"/>
      <c r="E7" s="65"/>
      <c r="F7" s="65"/>
      <c r="G7" s="65"/>
      <c r="H7" s="65"/>
    </row>
    <row r="8" spans="1:10" ht="15.95" customHeight="1" thickBot="1" x14ac:dyDescent="0.3">
      <c r="A8" s="73"/>
      <c r="B8" s="225"/>
      <c r="C8" s="65"/>
      <c r="D8" s="65"/>
      <c r="E8" s="65"/>
      <c r="F8" s="65">
        <v>2014</v>
      </c>
      <c r="G8" s="65">
        <v>2015</v>
      </c>
      <c r="H8" s="65">
        <v>2016</v>
      </c>
    </row>
    <row r="9" spans="1:10" s="1" customFormat="1" ht="75" customHeight="1" thickBot="1" x14ac:dyDescent="0.25">
      <c r="A9" s="204" t="s">
        <v>22</v>
      </c>
      <c r="B9" s="203" t="s">
        <v>0</v>
      </c>
      <c r="C9" s="203" t="s">
        <v>23</v>
      </c>
      <c r="D9" s="203" t="s">
        <v>24</v>
      </c>
      <c r="E9" s="203" t="s">
        <v>33</v>
      </c>
      <c r="F9" s="203" t="s">
        <v>492</v>
      </c>
      <c r="G9" s="203" t="s">
        <v>34</v>
      </c>
      <c r="H9" s="205" t="s">
        <v>35</v>
      </c>
      <c r="I9" s="205" t="s">
        <v>128</v>
      </c>
      <c r="J9" s="206" t="s">
        <v>503</v>
      </c>
    </row>
    <row r="10" spans="1:10" ht="24" customHeight="1" x14ac:dyDescent="0.2">
      <c r="A10" s="207">
        <v>1101414793</v>
      </c>
      <c r="B10" s="143" t="s">
        <v>138</v>
      </c>
      <c r="C10" s="208">
        <v>1</v>
      </c>
      <c r="D10" s="131">
        <v>1</v>
      </c>
      <c r="E10" s="144" t="s">
        <v>139</v>
      </c>
      <c r="F10" s="132">
        <v>565.22</v>
      </c>
      <c r="G10" s="132">
        <v>565.22</v>
      </c>
      <c r="H10" s="132">
        <v>565.22</v>
      </c>
      <c r="I10" s="209" t="s">
        <v>493</v>
      </c>
      <c r="J10" s="210">
        <v>40909</v>
      </c>
    </row>
    <row r="11" spans="1:10" ht="21" customHeight="1" x14ac:dyDescent="0.2">
      <c r="A11" s="211">
        <v>1101891743</v>
      </c>
      <c r="B11" s="143" t="s">
        <v>504</v>
      </c>
      <c r="C11" s="212">
        <v>2</v>
      </c>
      <c r="D11" s="133">
        <v>5</v>
      </c>
      <c r="E11" s="144" t="s">
        <v>140</v>
      </c>
      <c r="F11" s="134">
        <v>889.33</v>
      </c>
      <c r="G11" s="134">
        <v>889.33</v>
      </c>
      <c r="H11" s="134">
        <v>889.33</v>
      </c>
      <c r="I11" s="209" t="s">
        <v>493</v>
      </c>
      <c r="J11" s="210">
        <v>40909</v>
      </c>
    </row>
    <row r="12" spans="1:10" ht="21" customHeight="1" x14ac:dyDescent="0.2">
      <c r="A12" s="207">
        <v>1102409362</v>
      </c>
      <c r="B12" s="143" t="s">
        <v>141</v>
      </c>
      <c r="C12" s="212">
        <v>3</v>
      </c>
      <c r="D12" s="133">
        <v>1</v>
      </c>
      <c r="E12" s="144" t="s">
        <v>142</v>
      </c>
      <c r="F12" s="135">
        <v>565.22</v>
      </c>
      <c r="G12" s="135">
        <v>565.22</v>
      </c>
      <c r="H12" s="135">
        <v>565.22</v>
      </c>
      <c r="I12" s="209" t="s">
        <v>493</v>
      </c>
      <c r="J12" s="210">
        <v>40909</v>
      </c>
    </row>
    <row r="13" spans="1:10" ht="21" customHeight="1" x14ac:dyDescent="0.2">
      <c r="A13" s="213">
        <v>1102462072</v>
      </c>
      <c r="B13" s="143" t="s">
        <v>143</v>
      </c>
      <c r="C13" s="212">
        <f>+C12+1</f>
        <v>4</v>
      </c>
      <c r="D13" s="133">
        <v>5</v>
      </c>
      <c r="E13" s="144" t="s">
        <v>144</v>
      </c>
      <c r="F13" s="134">
        <v>733</v>
      </c>
      <c r="G13" s="134">
        <v>733</v>
      </c>
      <c r="H13" s="134">
        <v>733</v>
      </c>
      <c r="I13" s="209" t="s">
        <v>493</v>
      </c>
      <c r="J13" s="210">
        <v>41640</v>
      </c>
    </row>
    <row r="14" spans="1:10" ht="21" customHeight="1" x14ac:dyDescent="0.2">
      <c r="A14" s="214">
        <v>1104225295</v>
      </c>
      <c r="B14" s="143" t="s">
        <v>145</v>
      </c>
      <c r="C14" s="212">
        <f t="shared" ref="C14:C77" si="0">+C13+1</f>
        <v>5</v>
      </c>
      <c r="D14" s="133">
        <v>1</v>
      </c>
      <c r="E14" s="144" t="s">
        <v>142</v>
      </c>
      <c r="F14" s="135">
        <v>565.22</v>
      </c>
      <c r="G14" s="135">
        <v>565.22</v>
      </c>
      <c r="H14" s="135">
        <v>565.22</v>
      </c>
      <c r="I14" s="209" t="s">
        <v>493</v>
      </c>
      <c r="J14" s="210">
        <v>40909</v>
      </c>
    </row>
    <row r="15" spans="1:10" ht="21" customHeight="1" x14ac:dyDescent="0.2">
      <c r="A15" s="215">
        <v>1101977617</v>
      </c>
      <c r="B15" s="143" t="s">
        <v>146</v>
      </c>
      <c r="C15" s="212">
        <f t="shared" si="0"/>
        <v>6</v>
      </c>
      <c r="D15" s="133">
        <v>4</v>
      </c>
      <c r="E15" s="144" t="s">
        <v>147</v>
      </c>
      <c r="F15" s="135">
        <v>615.22</v>
      </c>
      <c r="G15" s="135">
        <v>615.22</v>
      </c>
      <c r="H15" s="135">
        <v>615.22</v>
      </c>
      <c r="I15" s="209" t="s">
        <v>493</v>
      </c>
      <c r="J15" s="210">
        <v>40909</v>
      </c>
    </row>
    <row r="16" spans="1:10" ht="21" customHeight="1" x14ac:dyDescent="0.2">
      <c r="A16" s="215" t="s">
        <v>148</v>
      </c>
      <c r="B16" s="143" t="s">
        <v>149</v>
      </c>
      <c r="C16" s="212">
        <f t="shared" si="0"/>
        <v>7</v>
      </c>
      <c r="D16" s="133">
        <v>9</v>
      </c>
      <c r="E16" s="144" t="s">
        <v>150</v>
      </c>
      <c r="F16" s="134">
        <v>1067.8599999999999</v>
      </c>
      <c r="G16" s="134">
        <v>1067.8599999999999</v>
      </c>
      <c r="H16" s="134">
        <v>1067.8599999999999</v>
      </c>
      <c r="I16" s="209" t="s">
        <v>493</v>
      </c>
      <c r="J16" s="210">
        <v>40909</v>
      </c>
    </row>
    <row r="17" spans="1:10" ht="21" customHeight="1" x14ac:dyDescent="0.2">
      <c r="A17" s="215">
        <v>1101705117</v>
      </c>
      <c r="B17" s="143" t="s">
        <v>151</v>
      </c>
      <c r="C17" s="212">
        <f t="shared" si="0"/>
        <v>8</v>
      </c>
      <c r="D17" s="133">
        <v>1</v>
      </c>
      <c r="E17" s="144" t="s">
        <v>152</v>
      </c>
      <c r="F17" s="135">
        <v>565.22</v>
      </c>
      <c r="G17" s="135">
        <v>565.22</v>
      </c>
      <c r="H17" s="135">
        <v>565.22</v>
      </c>
      <c r="I17" s="209" t="s">
        <v>493</v>
      </c>
      <c r="J17" s="210">
        <v>40909</v>
      </c>
    </row>
    <row r="18" spans="1:10" ht="21" customHeight="1" x14ac:dyDescent="0.2">
      <c r="A18" s="215" t="s">
        <v>153</v>
      </c>
      <c r="B18" s="143" t="s">
        <v>154</v>
      </c>
      <c r="C18" s="212">
        <f t="shared" si="0"/>
        <v>9</v>
      </c>
      <c r="D18" s="133">
        <v>5</v>
      </c>
      <c r="E18" s="144" t="s">
        <v>155</v>
      </c>
      <c r="F18" s="135">
        <v>733.22</v>
      </c>
      <c r="G18" s="135">
        <v>733.22</v>
      </c>
      <c r="H18" s="135">
        <v>733.22</v>
      </c>
      <c r="I18" s="209" t="s">
        <v>493</v>
      </c>
      <c r="J18" s="210">
        <v>40909</v>
      </c>
    </row>
    <row r="19" spans="1:10" ht="21" customHeight="1" x14ac:dyDescent="0.2">
      <c r="A19" s="215">
        <v>1102957576</v>
      </c>
      <c r="B19" s="143" t="s">
        <v>156</v>
      </c>
      <c r="C19" s="212">
        <f t="shared" si="0"/>
        <v>10</v>
      </c>
      <c r="D19" s="133">
        <v>1</v>
      </c>
      <c r="E19" s="144" t="s">
        <v>139</v>
      </c>
      <c r="F19" s="135">
        <v>565.22</v>
      </c>
      <c r="G19" s="135">
        <v>565.22</v>
      </c>
      <c r="H19" s="135">
        <v>565.22</v>
      </c>
      <c r="I19" s="209" t="s">
        <v>493</v>
      </c>
      <c r="J19" s="210">
        <v>40909</v>
      </c>
    </row>
    <row r="20" spans="1:10" ht="21" customHeight="1" x14ac:dyDescent="0.2">
      <c r="A20" s="215">
        <v>1100202439</v>
      </c>
      <c r="B20" s="143" t="s">
        <v>157</v>
      </c>
      <c r="C20" s="212">
        <f t="shared" si="0"/>
        <v>11</v>
      </c>
      <c r="D20" s="133">
        <v>5</v>
      </c>
      <c r="E20" s="144" t="s">
        <v>158</v>
      </c>
      <c r="F20" s="135">
        <v>733.22</v>
      </c>
      <c r="G20" s="135">
        <v>733.22</v>
      </c>
      <c r="H20" s="135">
        <v>733.22</v>
      </c>
      <c r="I20" s="209" t="s">
        <v>493</v>
      </c>
      <c r="J20" s="210">
        <v>40909</v>
      </c>
    </row>
    <row r="21" spans="1:10" ht="21" customHeight="1" x14ac:dyDescent="0.2">
      <c r="A21" s="215">
        <v>1104163082</v>
      </c>
      <c r="B21" s="143" t="s">
        <v>159</v>
      </c>
      <c r="C21" s="212">
        <f t="shared" si="0"/>
        <v>12</v>
      </c>
      <c r="D21" s="133">
        <v>1</v>
      </c>
      <c r="E21" s="144" t="s">
        <v>160</v>
      </c>
      <c r="F21" s="135">
        <v>565.22</v>
      </c>
      <c r="G21" s="135">
        <v>565.22</v>
      </c>
      <c r="H21" s="135">
        <v>565.22</v>
      </c>
      <c r="I21" s="209" t="s">
        <v>493</v>
      </c>
      <c r="J21" s="210">
        <v>40909</v>
      </c>
    </row>
    <row r="22" spans="1:10" ht="21" customHeight="1" x14ac:dyDescent="0.2">
      <c r="A22" s="215">
        <v>1102165659</v>
      </c>
      <c r="B22" s="143" t="s">
        <v>161</v>
      </c>
      <c r="C22" s="212">
        <f t="shared" si="0"/>
        <v>13</v>
      </c>
      <c r="D22" s="133">
        <v>2</v>
      </c>
      <c r="E22" s="144" t="s">
        <v>162</v>
      </c>
      <c r="F22" s="135">
        <v>581.22</v>
      </c>
      <c r="G22" s="135">
        <v>581.22</v>
      </c>
      <c r="H22" s="135">
        <v>581.22</v>
      </c>
      <c r="I22" s="209" t="s">
        <v>493</v>
      </c>
      <c r="J22" s="210">
        <v>40909</v>
      </c>
    </row>
    <row r="23" spans="1:10" ht="21" customHeight="1" x14ac:dyDescent="0.2">
      <c r="A23" s="207">
        <v>1703633683</v>
      </c>
      <c r="B23" s="143" t="s">
        <v>163</v>
      </c>
      <c r="C23" s="212">
        <f t="shared" si="0"/>
        <v>14</v>
      </c>
      <c r="D23" s="133">
        <v>1</v>
      </c>
      <c r="E23" s="144" t="s">
        <v>164</v>
      </c>
      <c r="F23" s="135">
        <v>565.22</v>
      </c>
      <c r="G23" s="135">
        <v>565.22</v>
      </c>
      <c r="H23" s="135">
        <v>565.22</v>
      </c>
      <c r="I23" s="209" t="s">
        <v>493</v>
      </c>
      <c r="J23" s="210">
        <v>40909</v>
      </c>
    </row>
    <row r="24" spans="1:10" ht="21" customHeight="1" x14ac:dyDescent="0.2">
      <c r="A24" s="215">
        <v>1102863857</v>
      </c>
      <c r="B24" s="143" t="s">
        <v>165</v>
      </c>
      <c r="C24" s="212">
        <f t="shared" si="0"/>
        <v>15</v>
      </c>
      <c r="D24" s="133">
        <v>4</v>
      </c>
      <c r="E24" s="144" t="s">
        <v>147</v>
      </c>
      <c r="F24" s="135">
        <v>615.22</v>
      </c>
      <c r="G24" s="135">
        <v>615.22</v>
      </c>
      <c r="H24" s="135">
        <v>615.22</v>
      </c>
      <c r="I24" s="209" t="s">
        <v>493</v>
      </c>
      <c r="J24" s="210">
        <v>40909</v>
      </c>
    </row>
    <row r="25" spans="1:10" ht="21" customHeight="1" x14ac:dyDescent="0.2">
      <c r="A25" s="216">
        <v>1102175229</v>
      </c>
      <c r="B25" s="143" t="s">
        <v>166</v>
      </c>
      <c r="C25" s="212">
        <f t="shared" si="0"/>
        <v>16</v>
      </c>
      <c r="D25" s="133">
        <v>1</v>
      </c>
      <c r="E25" s="144" t="s">
        <v>167</v>
      </c>
      <c r="F25" s="136">
        <v>565</v>
      </c>
      <c r="G25" s="136">
        <v>565</v>
      </c>
      <c r="H25" s="136">
        <v>565</v>
      </c>
      <c r="I25" s="209" t="s">
        <v>493</v>
      </c>
      <c r="J25" s="210">
        <v>41640</v>
      </c>
    </row>
    <row r="26" spans="1:10" ht="21" customHeight="1" x14ac:dyDescent="0.2">
      <c r="A26" s="215">
        <v>1103403760</v>
      </c>
      <c r="B26" s="143" t="s">
        <v>168</v>
      </c>
      <c r="C26" s="212">
        <f t="shared" si="0"/>
        <v>17</v>
      </c>
      <c r="D26" s="133">
        <v>4</v>
      </c>
      <c r="E26" s="144" t="s">
        <v>147</v>
      </c>
      <c r="F26" s="135">
        <v>615.22</v>
      </c>
      <c r="G26" s="135">
        <v>615.22</v>
      </c>
      <c r="H26" s="135">
        <v>615.22</v>
      </c>
      <c r="I26" s="209" t="s">
        <v>493</v>
      </c>
      <c r="J26" s="210">
        <v>40909</v>
      </c>
    </row>
    <row r="27" spans="1:10" ht="21" customHeight="1" x14ac:dyDescent="0.2">
      <c r="A27" s="215">
        <v>1104398951</v>
      </c>
      <c r="B27" s="143" t="s">
        <v>169</v>
      </c>
      <c r="C27" s="212">
        <f t="shared" si="0"/>
        <v>18</v>
      </c>
      <c r="D27" s="133">
        <v>5</v>
      </c>
      <c r="E27" s="144" t="s">
        <v>158</v>
      </c>
      <c r="F27" s="135">
        <v>733.22</v>
      </c>
      <c r="G27" s="135">
        <v>733.22</v>
      </c>
      <c r="H27" s="135">
        <v>733.22</v>
      </c>
      <c r="I27" s="209" t="s">
        <v>493</v>
      </c>
      <c r="J27" s="210">
        <v>40909</v>
      </c>
    </row>
    <row r="28" spans="1:10" ht="21" customHeight="1" x14ac:dyDescent="0.2">
      <c r="A28" s="215" t="s">
        <v>170</v>
      </c>
      <c r="B28" s="143" t="s">
        <v>171</v>
      </c>
      <c r="C28" s="212">
        <f t="shared" si="0"/>
        <v>19</v>
      </c>
      <c r="D28" s="133">
        <v>4</v>
      </c>
      <c r="E28" s="144" t="s">
        <v>147</v>
      </c>
      <c r="F28" s="135">
        <v>615.22</v>
      </c>
      <c r="G28" s="135">
        <v>615.22</v>
      </c>
      <c r="H28" s="135">
        <v>615.22</v>
      </c>
      <c r="I28" s="209" t="s">
        <v>493</v>
      </c>
      <c r="J28" s="210">
        <v>40909</v>
      </c>
    </row>
    <row r="29" spans="1:10" ht="21" customHeight="1" x14ac:dyDescent="0.2">
      <c r="A29" s="215">
        <v>1804035937</v>
      </c>
      <c r="B29" s="143" t="s">
        <v>172</v>
      </c>
      <c r="C29" s="212">
        <f t="shared" si="0"/>
        <v>20</v>
      </c>
      <c r="D29" s="133">
        <v>2</v>
      </c>
      <c r="E29" s="144" t="s">
        <v>173</v>
      </c>
      <c r="F29" s="135">
        <v>581.22</v>
      </c>
      <c r="G29" s="135">
        <v>581.22</v>
      </c>
      <c r="H29" s="135">
        <v>581.22</v>
      </c>
      <c r="I29" s="209" t="s">
        <v>493</v>
      </c>
      <c r="J29" s="210">
        <v>40909</v>
      </c>
    </row>
    <row r="30" spans="1:10" ht="21" customHeight="1" x14ac:dyDescent="0.2">
      <c r="A30" s="215">
        <v>1103015093</v>
      </c>
      <c r="B30" s="143" t="s">
        <v>174</v>
      </c>
      <c r="C30" s="212">
        <f t="shared" si="0"/>
        <v>21</v>
      </c>
      <c r="D30" s="133">
        <v>8</v>
      </c>
      <c r="E30" s="144" t="s">
        <v>175</v>
      </c>
      <c r="F30" s="135">
        <v>816.22</v>
      </c>
      <c r="G30" s="135">
        <v>816.22</v>
      </c>
      <c r="H30" s="135">
        <v>816.22</v>
      </c>
      <c r="I30" s="209" t="s">
        <v>493</v>
      </c>
      <c r="J30" s="210">
        <v>40909</v>
      </c>
    </row>
    <row r="31" spans="1:10" ht="21" customHeight="1" x14ac:dyDescent="0.2">
      <c r="A31" s="207">
        <v>1703099513</v>
      </c>
      <c r="B31" s="143" t="s">
        <v>176</v>
      </c>
      <c r="C31" s="212">
        <f t="shared" si="0"/>
        <v>22</v>
      </c>
      <c r="D31" s="133">
        <v>5</v>
      </c>
      <c r="E31" s="144" t="s">
        <v>158</v>
      </c>
      <c r="F31" s="135">
        <v>733.22</v>
      </c>
      <c r="G31" s="135">
        <v>733.22</v>
      </c>
      <c r="H31" s="135">
        <v>733.22</v>
      </c>
      <c r="I31" s="209" t="s">
        <v>493</v>
      </c>
      <c r="J31" s="210">
        <v>40909</v>
      </c>
    </row>
    <row r="32" spans="1:10" ht="21" customHeight="1" x14ac:dyDescent="0.2">
      <c r="A32" s="207">
        <v>1100587060</v>
      </c>
      <c r="B32" s="143" t="s">
        <v>177</v>
      </c>
      <c r="C32" s="212">
        <f t="shared" si="0"/>
        <v>23</v>
      </c>
      <c r="D32" s="133">
        <v>4</v>
      </c>
      <c r="E32" s="144" t="s">
        <v>147</v>
      </c>
      <c r="F32" s="135">
        <v>615.22</v>
      </c>
      <c r="G32" s="135">
        <v>615.22</v>
      </c>
      <c r="H32" s="135">
        <v>615.22</v>
      </c>
      <c r="I32" s="209" t="s">
        <v>493</v>
      </c>
      <c r="J32" s="210">
        <v>40909</v>
      </c>
    </row>
    <row r="33" spans="1:10" ht="21" customHeight="1" x14ac:dyDescent="0.2">
      <c r="A33" s="213">
        <v>1105035883</v>
      </c>
      <c r="B33" s="143" t="s">
        <v>178</v>
      </c>
      <c r="C33" s="212">
        <f t="shared" si="0"/>
        <v>24</v>
      </c>
      <c r="D33" s="133">
        <v>1</v>
      </c>
      <c r="E33" s="144" t="s">
        <v>353</v>
      </c>
      <c r="F33" s="136">
        <v>565</v>
      </c>
      <c r="G33" s="136">
        <v>565</v>
      </c>
      <c r="H33" s="136">
        <v>565</v>
      </c>
      <c r="I33" s="209" t="s">
        <v>493</v>
      </c>
      <c r="J33" s="210">
        <v>41640</v>
      </c>
    </row>
    <row r="34" spans="1:10" ht="21" customHeight="1" x14ac:dyDescent="0.2">
      <c r="A34" s="207">
        <v>1900383090</v>
      </c>
      <c r="B34" s="143" t="s">
        <v>179</v>
      </c>
      <c r="C34" s="212">
        <f t="shared" si="0"/>
        <v>25</v>
      </c>
      <c r="D34" s="133">
        <v>5</v>
      </c>
      <c r="E34" s="144" t="s">
        <v>140</v>
      </c>
      <c r="F34" s="135">
        <v>733.22</v>
      </c>
      <c r="G34" s="135">
        <v>733.22</v>
      </c>
      <c r="H34" s="135">
        <v>733.22</v>
      </c>
      <c r="I34" s="209" t="s">
        <v>493</v>
      </c>
      <c r="J34" s="210">
        <v>40909</v>
      </c>
    </row>
    <row r="35" spans="1:10" ht="21" customHeight="1" x14ac:dyDescent="0.2">
      <c r="A35" s="215">
        <v>1103650055</v>
      </c>
      <c r="B35" s="143" t="s">
        <v>180</v>
      </c>
      <c r="C35" s="212">
        <f t="shared" si="0"/>
        <v>26</v>
      </c>
      <c r="D35" s="133">
        <v>6</v>
      </c>
      <c r="E35" s="144" t="s">
        <v>181</v>
      </c>
      <c r="F35" s="135">
        <v>615.22</v>
      </c>
      <c r="G35" s="135">
        <v>615.22</v>
      </c>
      <c r="H35" s="135">
        <v>709</v>
      </c>
      <c r="I35" s="209"/>
      <c r="J35" s="210">
        <v>40909</v>
      </c>
    </row>
    <row r="36" spans="1:10" ht="21" customHeight="1" x14ac:dyDescent="0.2">
      <c r="A36" s="215">
        <v>1103812838</v>
      </c>
      <c r="B36" s="143" t="s">
        <v>182</v>
      </c>
      <c r="C36" s="212">
        <f t="shared" si="0"/>
        <v>27</v>
      </c>
      <c r="D36" s="133">
        <v>4</v>
      </c>
      <c r="E36" s="144" t="s">
        <v>147</v>
      </c>
      <c r="F36" s="135">
        <v>615.22</v>
      </c>
      <c r="G36" s="135">
        <v>615.22</v>
      </c>
      <c r="H36" s="135">
        <v>615.22</v>
      </c>
      <c r="I36" s="209" t="s">
        <v>493</v>
      </c>
      <c r="J36" s="210">
        <v>40909</v>
      </c>
    </row>
    <row r="37" spans="1:10" ht="21" customHeight="1" x14ac:dyDescent="0.2">
      <c r="A37" s="207">
        <v>1103632095</v>
      </c>
      <c r="B37" s="143" t="s">
        <v>183</v>
      </c>
      <c r="C37" s="212">
        <f t="shared" si="0"/>
        <v>28</v>
      </c>
      <c r="D37" s="133">
        <v>1</v>
      </c>
      <c r="E37" s="144" t="s">
        <v>139</v>
      </c>
      <c r="F37" s="135">
        <v>565.22</v>
      </c>
      <c r="G37" s="135">
        <v>565.22</v>
      </c>
      <c r="H37" s="135">
        <v>565.22</v>
      </c>
      <c r="I37" s="209" t="s">
        <v>493</v>
      </c>
      <c r="J37" s="210">
        <v>40909</v>
      </c>
    </row>
    <row r="38" spans="1:10" ht="21" customHeight="1" x14ac:dyDescent="0.2">
      <c r="A38" s="213">
        <v>1104565468</v>
      </c>
      <c r="B38" s="143" t="s">
        <v>184</v>
      </c>
      <c r="C38" s="212">
        <f t="shared" si="0"/>
        <v>29</v>
      </c>
      <c r="D38" s="133">
        <v>1</v>
      </c>
      <c r="E38" s="144" t="s">
        <v>185</v>
      </c>
      <c r="F38" s="136">
        <v>565</v>
      </c>
      <c r="G38" s="136">
        <v>565</v>
      </c>
      <c r="H38" s="136">
        <v>565</v>
      </c>
      <c r="I38" s="209" t="s">
        <v>493</v>
      </c>
      <c r="J38" s="210">
        <v>41640</v>
      </c>
    </row>
    <row r="39" spans="1:10" ht="21" customHeight="1" x14ac:dyDescent="0.2">
      <c r="A39" s="215">
        <v>1102803457</v>
      </c>
      <c r="B39" s="143" t="s">
        <v>186</v>
      </c>
      <c r="C39" s="212">
        <f t="shared" si="0"/>
        <v>30</v>
      </c>
      <c r="D39" s="133">
        <v>1</v>
      </c>
      <c r="E39" s="144" t="s">
        <v>187</v>
      </c>
      <c r="F39" s="135">
        <v>565.22</v>
      </c>
      <c r="G39" s="135">
        <v>565.22</v>
      </c>
      <c r="H39" s="135">
        <v>565.22</v>
      </c>
      <c r="I39" s="209" t="s">
        <v>493</v>
      </c>
      <c r="J39" s="210">
        <v>40909</v>
      </c>
    </row>
    <row r="40" spans="1:10" ht="21" customHeight="1" x14ac:dyDescent="0.2">
      <c r="A40" s="213">
        <v>1104063274</v>
      </c>
      <c r="B40" s="143" t="s">
        <v>188</v>
      </c>
      <c r="C40" s="212">
        <f t="shared" si="0"/>
        <v>31</v>
      </c>
      <c r="D40" s="133">
        <v>1</v>
      </c>
      <c r="E40" s="144" t="s">
        <v>185</v>
      </c>
      <c r="F40" s="136">
        <v>565</v>
      </c>
      <c r="G40" s="136">
        <v>565</v>
      </c>
      <c r="H40" s="136">
        <v>565</v>
      </c>
      <c r="I40" s="209" t="s">
        <v>493</v>
      </c>
      <c r="J40" s="210">
        <v>41640</v>
      </c>
    </row>
    <row r="41" spans="1:10" ht="21" customHeight="1" x14ac:dyDescent="0.2">
      <c r="A41" s="214">
        <v>1100112141</v>
      </c>
      <c r="B41" s="143" t="s">
        <v>189</v>
      </c>
      <c r="C41" s="212">
        <f t="shared" si="0"/>
        <v>32</v>
      </c>
      <c r="D41" s="133">
        <v>4</v>
      </c>
      <c r="E41" s="144" t="s">
        <v>147</v>
      </c>
      <c r="F41" s="135">
        <v>615.22</v>
      </c>
      <c r="G41" s="135">
        <v>615.22</v>
      </c>
      <c r="H41" s="135">
        <v>615.22</v>
      </c>
      <c r="I41" s="209" t="s">
        <v>493</v>
      </c>
      <c r="J41" s="210">
        <v>40909</v>
      </c>
    </row>
    <row r="42" spans="1:10" ht="21" customHeight="1" x14ac:dyDescent="0.2">
      <c r="A42" s="215">
        <v>1103023204</v>
      </c>
      <c r="B42" s="143" t="s">
        <v>190</v>
      </c>
      <c r="C42" s="212">
        <f t="shared" si="0"/>
        <v>33</v>
      </c>
      <c r="D42" s="133">
        <v>4</v>
      </c>
      <c r="E42" s="144" t="s">
        <v>191</v>
      </c>
      <c r="F42" s="135">
        <v>615.22</v>
      </c>
      <c r="G42" s="135">
        <v>615.22</v>
      </c>
      <c r="H42" s="135">
        <v>615.22</v>
      </c>
      <c r="I42" s="209" t="s">
        <v>493</v>
      </c>
      <c r="J42" s="210">
        <v>40909</v>
      </c>
    </row>
    <row r="43" spans="1:10" ht="21" customHeight="1" x14ac:dyDescent="0.2">
      <c r="A43" s="215">
        <v>1101484457</v>
      </c>
      <c r="B43" s="143" t="s">
        <v>192</v>
      </c>
      <c r="C43" s="212">
        <f t="shared" si="0"/>
        <v>34</v>
      </c>
      <c r="D43" s="133">
        <v>1</v>
      </c>
      <c r="E43" s="144" t="s">
        <v>152</v>
      </c>
      <c r="F43" s="135">
        <v>565.22</v>
      </c>
      <c r="G43" s="135">
        <v>565.22</v>
      </c>
      <c r="H43" s="135">
        <v>565.22</v>
      </c>
      <c r="I43" s="209" t="s">
        <v>493</v>
      </c>
      <c r="J43" s="210">
        <v>40909</v>
      </c>
    </row>
    <row r="44" spans="1:10" ht="21" customHeight="1" x14ac:dyDescent="0.2">
      <c r="A44" s="207">
        <v>1102410907</v>
      </c>
      <c r="B44" s="143" t="s">
        <v>193</v>
      </c>
      <c r="C44" s="212">
        <f t="shared" si="0"/>
        <v>35</v>
      </c>
      <c r="D44" s="133">
        <v>2</v>
      </c>
      <c r="E44" s="144" t="s">
        <v>162</v>
      </c>
      <c r="F44" s="135">
        <v>581.22</v>
      </c>
      <c r="G44" s="135">
        <v>581.22</v>
      </c>
      <c r="H44" s="135">
        <v>581.22</v>
      </c>
      <c r="I44" s="209" t="s">
        <v>493</v>
      </c>
      <c r="J44" s="210">
        <v>40909</v>
      </c>
    </row>
    <row r="45" spans="1:10" ht="21" customHeight="1" x14ac:dyDescent="0.2">
      <c r="A45" s="215">
        <v>1102789359</v>
      </c>
      <c r="B45" s="143" t="s">
        <v>194</v>
      </c>
      <c r="C45" s="212">
        <f t="shared" si="0"/>
        <v>36</v>
      </c>
      <c r="D45" s="133">
        <v>1</v>
      </c>
      <c r="E45" s="144" t="s">
        <v>152</v>
      </c>
      <c r="F45" s="135">
        <v>565.22</v>
      </c>
      <c r="G45" s="135">
        <v>565.22</v>
      </c>
      <c r="H45" s="135">
        <v>565.22</v>
      </c>
      <c r="I45" s="209" t="s">
        <v>493</v>
      </c>
      <c r="J45" s="210">
        <v>40909</v>
      </c>
    </row>
    <row r="46" spans="1:10" ht="21" customHeight="1" x14ac:dyDescent="0.2">
      <c r="A46" s="215">
        <v>1104466279</v>
      </c>
      <c r="B46" s="143" t="s">
        <v>195</v>
      </c>
      <c r="C46" s="212">
        <f t="shared" si="0"/>
        <v>37</v>
      </c>
      <c r="D46" s="133">
        <v>5</v>
      </c>
      <c r="E46" s="144" t="s">
        <v>140</v>
      </c>
      <c r="F46" s="135">
        <v>733.22</v>
      </c>
      <c r="G46" s="135">
        <v>733.22</v>
      </c>
      <c r="H46" s="135">
        <v>733.22</v>
      </c>
      <c r="I46" s="209" t="s">
        <v>493</v>
      </c>
      <c r="J46" s="210">
        <v>40909</v>
      </c>
    </row>
    <row r="47" spans="1:10" ht="21" customHeight="1" x14ac:dyDescent="0.2">
      <c r="A47" s="207" t="s">
        <v>196</v>
      </c>
      <c r="B47" s="143" t="s">
        <v>197</v>
      </c>
      <c r="C47" s="212">
        <f t="shared" si="0"/>
        <v>38</v>
      </c>
      <c r="D47" s="133">
        <v>5</v>
      </c>
      <c r="E47" s="144" t="s">
        <v>198</v>
      </c>
      <c r="F47" s="135">
        <v>733.22</v>
      </c>
      <c r="G47" s="135">
        <v>733.22</v>
      </c>
      <c r="H47" s="135">
        <v>733.22</v>
      </c>
      <c r="I47" s="209" t="s">
        <v>493</v>
      </c>
      <c r="J47" s="210">
        <v>40909</v>
      </c>
    </row>
    <row r="48" spans="1:10" ht="21" customHeight="1" x14ac:dyDescent="0.2">
      <c r="A48" s="215">
        <v>1102052071</v>
      </c>
      <c r="B48" s="143" t="s">
        <v>199</v>
      </c>
      <c r="C48" s="212">
        <f t="shared" si="0"/>
        <v>39</v>
      </c>
      <c r="D48" s="133">
        <v>1</v>
      </c>
      <c r="E48" s="144" t="s">
        <v>152</v>
      </c>
      <c r="F48" s="135">
        <v>565.22</v>
      </c>
      <c r="G48" s="135">
        <v>565.22</v>
      </c>
      <c r="H48" s="135">
        <v>565.22</v>
      </c>
      <c r="I48" s="209" t="s">
        <v>493</v>
      </c>
      <c r="J48" s="210">
        <v>40909</v>
      </c>
    </row>
    <row r="49" spans="1:10" ht="21" customHeight="1" x14ac:dyDescent="0.2">
      <c r="A49" s="215">
        <v>1103198501</v>
      </c>
      <c r="B49" s="143" t="s">
        <v>200</v>
      </c>
      <c r="C49" s="212">
        <f t="shared" si="0"/>
        <v>40</v>
      </c>
      <c r="D49" s="133">
        <v>5</v>
      </c>
      <c r="E49" s="144" t="s">
        <v>201</v>
      </c>
      <c r="F49" s="135">
        <v>733.22</v>
      </c>
      <c r="G49" s="135">
        <v>733.22</v>
      </c>
      <c r="H49" s="135">
        <v>733.22</v>
      </c>
      <c r="I49" s="209" t="s">
        <v>493</v>
      </c>
      <c r="J49" s="210">
        <v>40909</v>
      </c>
    </row>
    <row r="50" spans="1:10" ht="21" customHeight="1" x14ac:dyDescent="0.2">
      <c r="A50" s="215">
        <v>1103144984</v>
      </c>
      <c r="B50" s="143" t="s">
        <v>202</v>
      </c>
      <c r="C50" s="212">
        <f t="shared" si="0"/>
        <v>41</v>
      </c>
      <c r="D50" s="133">
        <v>4</v>
      </c>
      <c r="E50" s="144" t="s">
        <v>191</v>
      </c>
      <c r="F50" s="135">
        <v>615.22</v>
      </c>
      <c r="G50" s="135">
        <v>615.22</v>
      </c>
      <c r="H50" s="135">
        <v>615.22</v>
      </c>
      <c r="I50" s="209" t="s">
        <v>493</v>
      </c>
      <c r="J50" s="210">
        <v>40909</v>
      </c>
    </row>
    <row r="51" spans="1:10" ht="21" customHeight="1" x14ac:dyDescent="0.2">
      <c r="A51" s="215">
        <v>1100835873</v>
      </c>
      <c r="B51" s="143" t="s">
        <v>203</v>
      </c>
      <c r="C51" s="212">
        <f t="shared" si="0"/>
        <v>42</v>
      </c>
      <c r="D51" s="133">
        <v>5</v>
      </c>
      <c r="E51" s="144" t="s">
        <v>204</v>
      </c>
      <c r="F51" s="135">
        <v>733.22</v>
      </c>
      <c r="G51" s="135">
        <v>733.22</v>
      </c>
      <c r="H51" s="135">
        <v>733.22</v>
      </c>
      <c r="I51" s="209" t="s">
        <v>493</v>
      </c>
      <c r="J51" s="210">
        <v>40909</v>
      </c>
    </row>
    <row r="52" spans="1:10" ht="21" customHeight="1" x14ac:dyDescent="0.2">
      <c r="A52" s="215">
        <v>1101848859</v>
      </c>
      <c r="B52" s="143" t="s">
        <v>205</v>
      </c>
      <c r="C52" s="212">
        <f t="shared" si="0"/>
        <v>43</v>
      </c>
      <c r="D52" s="133">
        <v>4</v>
      </c>
      <c r="E52" s="144" t="s">
        <v>147</v>
      </c>
      <c r="F52" s="134">
        <v>821.82</v>
      </c>
      <c r="G52" s="134">
        <v>821.82</v>
      </c>
      <c r="H52" s="134">
        <v>821.82</v>
      </c>
      <c r="I52" s="209" t="s">
        <v>493</v>
      </c>
      <c r="J52" s="210">
        <v>40909</v>
      </c>
    </row>
    <row r="53" spans="1:10" ht="21" customHeight="1" x14ac:dyDescent="0.2">
      <c r="A53" s="215">
        <v>1102240403</v>
      </c>
      <c r="B53" s="143" t="s">
        <v>206</v>
      </c>
      <c r="C53" s="212">
        <f t="shared" si="0"/>
        <v>44</v>
      </c>
      <c r="D53" s="133">
        <v>4</v>
      </c>
      <c r="E53" s="144" t="s">
        <v>147</v>
      </c>
      <c r="F53" s="135">
        <v>615.22</v>
      </c>
      <c r="G53" s="135">
        <v>615.22</v>
      </c>
      <c r="H53" s="135">
        <v>615.22</v>
      </c>
      <c r="I53" s="209" t="s">
        <v>493</v>
      </c>
      <c r="J53" s="210">
        <v>40909</v>
      </c>
    </row>
    <row r="54" spans="1:10" ht="21" customHeight="1" x14ac:dyDescent="0.2">
      <c r="A54" s="215">
        <v>1101984449</v>
      </c>
      <c r="B54" s="143" t="s">
        <v>207</v>
      </c>
      <c r="C54" s="212">
        <f t="shared" si="0"/>
        <v>45</v>
      </c>
      <c r="D54" s="133">
        <v>6</v>
      </c>
      <c r="E54" s="144" t="s">
        <v>181</v>
      </c>
      <c r="F54" s="134">
        <v>825.31</v>
      </c>
      <c r="G54" s="134">
        <v>825.31</v>
      </c>
      <c r="H54" s="134">
        <v>825.31</v>
      </c>
      <c r="I54" s="209" t="s">
        <v>493</v>
      </c>
      <c r="J54" s="210">
        <v>40909</v>
      </c>
    </row>
    <row r="55" spans="1:10" ht="21" customHeight="1" x14ac:dyDescent="0.2">
      <c r="A55" s="207">
        <v>1102045687</v>
      </c>
      <c r="B55" s="143" t="s">
        <v>208</v>
      </c>
      <c r="C55" s="212">
        <f t="shared" si="0"/>
        <v>46</v>
      </c>
      <c r="D55" s="133">
        <v>1</v>
      </c>
      <c r="E55" s="144" t="s">
        <v>142</v>
      </c>
      <c r="F55" s="135">
        <v>565.22</v>
      </c>
      <c r="G55" s="135">
        <v>565.22</v>
      </c>
      <c r="H55" s="135">
        <v>565.22</v>
      </c>
      <c r="I55" s="209" t="s">
        <v>493</v>
      </c>
      <c r="J55" s="210">
        <v>40909</v>
      </c>
    </row>
    <row r="56" spans="1:10" ht="21" customHeight="1" x14ac:dyDescent="0.2">
      <c r="A56" s="215">
        <v>1104277346</v>
      </c>
      <c r="B56" s="143" t="s">
        <v>209</v>
      </c>
      <c r="C56" s="212">
        <f t="shared" si="0"/>
        <v>47</v>
      </c>
      <c r="D56" s="133">
        <v>5</v>
      </c>
      <c r="E56" s="144" t="s">
        <v>198</v>
      </c>
      <c r="F56" s="135">
        <v>733.22</v>
      </c>
      <c r="G56" s="135">
        <v>733.22</v>
      </c>
      <c r="H56" s="135">
        <v>733.22</v>
      </c>
      <c r="I56" s="209" t="s">
        <v>493</v>
      </c>
      <c r="J56" s="210">
        <v>40909</v>
      </c>
    </row>
    <row r="57" spans="1:10" ht="21" customHeight="1" x14ac:dyDescent="0.2">
      <c r="A57" s="207">
        <v>1900408590</v>
      </c>
      <c r="B57" s="143" t="s">
        <v>210</v>
      </c>
      <c r="C57" s="212">
        <f t="shared" si="0"/>
        <v>48</v>
      </c>
      <c r="D57" s="133">
        <v>5</v>
      </c>
      <c r="E57" s="144" t="s">
        <v>198</v>
      </c>
      <c r="F57" s="135">
        <v>733.22</v>
      </c>
      <c r="G57" s="135">
        <v>733.22</v>
      </c>
      <c r="H57" s="135">
        <v>733.22</v>
      </c>
      <c r="I57" s="209" t="s">
        <v>493</v>
      </c>
      <c r="J57" s="210">
        <v>40909</v>
      </c>
    </row>
    <row r="58" spans="1:10" ht="21" customHeight="1" x14ac:dyDescent="0.2">
      <c r="A58" s="213">
        <v>1102745450</v>
      </c>
      <c r="B58" s="143" t="s">
        <v>211</v>
      </c>
      <c r="C58" s="212">
        <f t="shared" si="0"/>
        <v>49</v>
      </c>
      <c r="D58" s="133">
        <v>4</v>
      </c>
      <c r="E58" s="144" t="s">
        <v>147</v>
      </c>
      <c r="F58" s="136">
        <v>598</v>
      </c>
      <c r="G58" s="136">
        <v>598</v>
      </c>
      <c r="H58" s="136">
        <v>598</v>
      </c>
      <c r="I58" s="209" t="s">
        <v>493</v>
      </c>
      <c r="J58" s="210">
        <v>41640</v>
      </c>
    </row>
    <row r="59" spans="1:10" ht="21" customHeight="1" x14ac:dyDescent="0.2">
      <c r="A59" s="217" t="s">
        <v>212</v>
      </c>
      <c r="B59" s="143" t="s">
        <v>213</v>
      </c>
      <c r="C59" s="212">
        <f t="shared" si="0"/>
        <v>50</v>
      </c>
      <c r="D59" s="133">
        <v>1</v>
      </c>
      <c r="E59" s="144" t="s">
        <v>505</v>
      </c>
      <c r="F59" s="136">
        <v>565</v>
      </c>
      <c r="G59" s="136">
        <v>565</v>
      </c>
      <c r="H59" s="136">
        <v>565</v>
      </c>
      <c r="I59" s="209" t="s">
        <v>493</v>
      </c>
      <c r="J59" s="210">
        <v>41640</v>
      </c>
    </row>
    <row r="60" spans="1:10" ht="21" customHeight="1" x14ac:dyDescent="0.2">
      <c r="A60" s="207" t="s">
        <v>214</v>
      </c>
      <c r="B60" s="143" t="s">
        <v>215</v>
      </c>
      <c r="C60" s="212">
        <f t="shared" si="0"/>
        <v>51</v>
      </c>
      <c r="D60" s="133">
        <v>2</v>
      </c>
      <c r="E60" s="144" t="s">
        <v>162</v>
      </c>
      <c r="F60" s="135">
        <v>581.22</v>
      </c>
      <c r="G60" s="135">
        <v>581.22</v>
      </c>
      <c r="H60" s="135">
        <v>581.22</v>
      </c>
      <c r="I60" s="209" t="s">
        <v>493</v>
      </c>
      <c r="J60" s="210">
        <v>40909</v>
      </c>
    </row>
    <row r="61" spans="1:10" ht="21" customHeight="1" x14ac:dyDescent="0.2">
      <c r="A61" s="218">
        <v>1804187456</v>
      </c>
      <c r="B61" s="143" t="s">
        <v>216</v>
      </c>
      <c r="C61" s="212">
        <f t="shared" si="0"/>
        <v>52</v>
      </c>
      <c r="D61" s="133">
        <v>4</v>
      </c>
      <c r="E61" s="144" t="s">
        <v>147</v>
      </c>
      <c r="F61" s="136">
        <v>598</v>
      </c>
      <c r="G61" s="136">
        <v>598</v>
      </c>
      <c r="H61" s="136">
        <v>598</v>
      </c>
      <c r="I61" s="219" t="s">
        <v>493</v>
      </c>
      <c r="J61" s="210">
        <v>41640</v>
      </c>
    </row>
    <row r="62" spans="1:10" ht="21" customHeight="1" x14ac:dyDescent="0.2">
      <c r="A62" s="215">
        <v>1104411390</v>
      </c>
      <c r="B62" s="143" t="s">
        <v>217</v>
      </c>
      <c r="C62" s="212">
        <f t="shared" si="0"/>
        <v>53</v>
      </c>
      <c r="D62" s="133">
        <v>5</v>
      </c>
      <c r="E62" s="144" t="s">
        <v>218</v>
      </c>
      <c r="F62" s="135">
        <v>733.22</v>
      </c>
      <c r="G62" s="135">
        <v>733.22</v>
      </c>
      <c r="H62" s="135">
        <v>733.22</v>
      </c>
      <c r="I62" s="209" t="s">
        <v>493</v>
      </c>
      <c r="J62" s="210">
        <v>40909</v>
      </c>
    </row>
    <row r="63" spans="1:10" ht="21" customHeight="1" x14ac:dyDescent="0.2">
      <c r="A63" s="215">
        <v>1102343967</v>
      </c>
      <c r="B63" s="143" t="s">
        <v>219</v>
      </c>
      <c r="C63" s="212">
        <f t="shared" si="0"/>
        <v>54</v>
      </c>
      <c r="D63" s="133">
        <v>1</v>
      </c>
      <c r="E63" s="144" t="s">
        <v>152</v>
      </c>
      <c r="F63" s="135">
        <v>565.22</v>
      </c>
      <c r="G63" s="135">
        <v>565.22</v>
      </c>
      <c r="H63" s="135">
        <v>565.22</v>
      </c>
      <c r="I63" s="209" t="s">
        <v>493</v>
      </c>
      <c r="J63" s="210">
        <v>40909</v>
      </c>
    </row>
    <row r="64" spans="1:10" ht="21" customHeight="1" x14ac:dyDescent="0.2">
      <c r="A64" s="213">
        <v>1103143291</v>
      </c>
      <c r="B64" s="143" t="s">
        <v>220</v>
      </c>
      <c r="C64" s="212">
        <f t="shared" si="0"/>
        <v>55</v>
      </c>
      <c r="D64" s="133">
        <v>4</v>
      </c>
      <c r="E64" s="144" t="s">
        <v>147</v>
      </c>
      <c r="F64" s="136">
        <v>598</v>
      </c>
      <c r="G64" s="136">
        <v>598</v>
      </c>
      <c r="H64" s="136">
        <v>598</v>
      </c>
      <c r="I64" s="209" t="s">
        <v>493</v>
      </c>
      <c r="J64" s="210">
        <v>41640</v>
      </c>
    </row>
    <row r="65" spans="1:10" ht="21" customHeight="1" x14ac:dyDescent="0.2">
      <c r="A65" s="215">
        <v>1102980339</v>
      </c>
      <c r="B65" s="143" t="s">
        <v>221</v>
      </c>
      <c r="C65" s="212">
        <f t="shared" si="0"/>
        <v>56</v>
      </c>
      <c r="D65" s="133">
        <v>4</v>
      </c>
      <c r="E65" s="144" t="s">
        <v>147</v>
      </c>
      <c r="F65" s="135">
        <v>615.22</v>
      </c>
      <c r="G65" s="135">
        <v>615.22</v>
      </c>
      <c r="H65" s="135">
        <v>615.22</v>
      </c>
      <c r="I65" s="209" t="s">
        <v>493</v>
      </c>
      <c r="J65" s="210">
        <v>40909</v>
      </c>
    </row>
    <row r="66" spans="1:10" ht="21" customHeight="1" x14ac:dyDescent="0.2">
      <c r="A66" s="215">
        <v>1103740831</v>
      </c>
      <c r="B66" s="143" t="s">
        <v>222</v>
      </c>
      <c r="C66" s="212">
        <f t="shared" si="0"/>
        <v>57</v>
      </c>
      <c r="D66" s="133">
        <v>4</v>
      </c>
      <c r="E66" s="144" t="s">
        <v>191</v>
      </c>
      <c r="F66" s="135">
        <v>615.22</v>
      </c>
      <c r="G66" s="135">
        <v>615.22</v>
      </c>
      <c r="H66" s="135">
        <v>615.22</v>
      </c>
      <c r="I66" s="209" t="s">
        <v>493</v>
      </c>
      <c r="J66" s="210">
        <v>40909</v>
      </c>
    </row>
    <row r="67" spans="1:10" ht="21" customHeight="1" x14ac:dyDescent="0.2">
      <c r="A67" s="215">
        <v>1103679427</v>
      </c>
      <c r="B67" s="143" t="s">
        <v>223</v>
      </c>
      <c r="C67" s="212">
        <f t="shared" si="0"/>
        <v>58</v>
      </c>
      <c r="D67" s="133">
        <v>1</v>
      </c>
      <c r="E67" s="144" t="s">
        <v>160</v>
      </c>
      <c r="F67" s="135">
        <v>565.22</v>
      </c>
      <c r="G67" s="135">
        <v>565.22</v>
      </c>
      <c r="H67" s="135">
        <v>565.22</v>
      </c>
      <c r="I67" s="209" t="s">
        <v>493</v>
      </c>
      <c r="J67" s="210">
        <v>40909</v>
      </c>
    </row>
    <row r="68" spans="1:10" ht="21" customHeight="1" x14ac:dyDescent="0.2">
      <c r="A68" s="215">
        <v>1104109333</v>
      </c>
      <c r="B68" s="143" t="s">
        <v>224</v>
      </c>
      <c r="C68" s="212">
        <f t="shared" si="0"/>
        <v>59</v>
      </c>
      <c r="D68" s="133">
        <v>1</v>
      </c>
      <c r="E68" s="144" t="s">
        <v>142</v>
      </c>
      <c r="F68" s="135">
        <v>565.22</v>
      </c>
      <c r="G68" s="135">
        <v>565.22</v>
      </c>
      <c r="H68" s="135">
        <v>565.22</v>
      </c>
      <c r="I68" s="209" t="s">
        <v>493</v>
      </c>
      <c r="J68" s="210">
        <v>40909</v>
      </c>
    </row>
    <row r="69" spans="1:10" ht="21" customHeight="1" x14ac:dyDescent="0.2">
      <c r="A69" s="215">
        <v>1104018294</v>
      </c>
      <c r="B69" s="143" t="s">
        <v>225</v>
      </c>
      <c r="C69" s="212">
        <f t="shared" si="0"/>
        <v>60</v>
      </c>
      <c r="D69" s="133">
        <v>1</v>
      </c>
      <c r="E69" s="144" t="s">
        <v>226</v>
      </c>
      <c r="F69" s="135">
        <v>565.22</v>
      </c>
      <c r="G69" s="135">
        <v>565.22</v>
      </c>
      <c r="H69" s="135">
        <v>565.22</v>
      </c>
      <c r="I69" s="209" t="s">
        <v>493</v>
      </c>
      <c r="J69" s="210">
        <v>40909</v>
      </c>
    </row>
    <row r="70" spans="1:10" ht="21" customHeight="1" x14ac:dyDescent="0.2">
      <c r="A70" s="215" t="s">
        <v>227</v>
      </c>
      <c r="B70" s="143" t="s">
        <v>228</v>
      </c>
      <c r="C70" s="212">
        <f t="shared" si="0"/>
        <v>61</v>
      </c>
      <c r="D70" s="133">
        <v>1</v>
      </c>
      <c r="E70" s="144" t="s">
        <v>229</v>
      </c>
      <c r="F70" s="135">
        <v>565.22</v>
      </c>
      <c r="G70" s="135">
        <v>565.22</v>
      </c>
      <c r="H70" s="135">
        <v>565.22</v>
      </c>
      <c r="I70" s="209" t="s">
        <v>493</v>
      </c>
      <c r="J70" s="210">
        <v>40909</v>
      </c>
    </row>
    <row r="71" spans="1:10" ht="21" customHeight="1" x14ac:dyDescent="0.2">
      <c r="A71" s="215">
        <v>1103203590</v>
      </c>
      <c r="B71" s="143" t="s">
        <v>230</v>
      </c>
      <c r="C71" s="212">
        <f t="shared" si="0"/>
        <v>62</v>
      </c>
      <c r="D71" s="133">
        <v>3</v>
      </c>
      <c r="E71" s="144" t="s">
        <v>231</v>
      </c>
      <c r="F71" s="134">
        <v>724.43</v>
      </c>
      <c r="G71" s="134">
        <v>724.43</v>
      </c>
      <c r="H71" s="134">
        <v>724.43</v>
      </c>
      <c r="I71" s="209" t="s">
        <v>493</v>
      </c>
      <c r="J71" s="210">
        <v>40909</v>
      </c>
    </row>
    <row r="72" spans="1:10" ht="21" customHeight="1" x14ac:dyDescent="0.2">
      <c r="A72" s="215">
        <v>1103055370</v>
      </c>
      <c r="B72" s="143" t="s">
        <v>232</v>
      </c>
      <c r="C72" s="212">
        <f t="shared" si="0"/>
        <v>63</v>
      </c>
      <c r="D72" s="133">
        <v>5</v>
      </c>
      <c r="E72" s="144" t="s">
        <v>198</v>
      </c>
      <c r="F72" s="135">
        <v>733.22</v>
      </c>
      <c r="G72" s="135">
        <v>733.22</v>
      </c>
      <c r="H72" s="135">
        <v>733.22</v>
      </c>
      <c r="I72" s="209" t="s">
        <v>493</v>
      </c>
      <c r="J72" s="210">
        <v>40909</v>
      </c>
    </row>
    <row r="73" spans="1:10" ht="21" customHeight="1" x14ac:dyDescent="0.2">
      <c r="A73" s="220">
        <v>1102076518</v>
      </c>
      <c r="B73" s="143" t="s">
        <v>233</v>
      </c>
      <c r="C73" s="212">
        <f t="shared" si="0"/>
        <v>64</v>
      </c>
      <c r="D73" s="133">
        <v>1</v>
      </c>
      <c r="E73" s="144" t="s">
        <v>164</v>
      </c>
      <c r="F73" s="135">
        <v>565.22</v>
      </c>
      <c r="G73" s="135">
        <v>565.22</v>
      </c>
      <c r="H73" s="135">
        <v>565.22</v>
      </c>
      <c r="I73" s="209" t="s">
        <v>493</v>
      </c>
      <c r="J73" s="210">
        <v>40909</v>
      </c>
    </row>
    <row r="74" spans="1:10" ht="21" customHeight="1" x14ac:dyDescent="0.2">
      <c r="A74" s="216">
        <v>1103009930</v>
      </c>
      <c r="B74" s="143" t="s">
        <v>234</v>
      </c>
      <c r="C74" s="212">
        <f t="shared" si="0"/>
        <v>65</v>
      </c>
      <c r="D74" s="133">
        <v>1</v>
      </c>
      <c r="E74" s="144" t="s">
        <v>139</v>
      </c>
      <c r="F74" s="136">
        <v>565</v>
      </c>
      <c r="G74" s="136">
        <v>565</v>
      </c>
      <c r="H74" s="136">
        <v>565</v>
      </c>
      <c r="I74" s="209" t="s">
        <v>493</v>
      </c>
      <c r="J74" s="210">
        <v>41640</v>
      </c>
    </row>
    <row r="75" spans="1:10" ht="21" customHeight="1" x14ac:dyDescent="0.2">
      <c r="A75" s="215">
        <v>1101467023</v>
      </c>
      <c r="B75" s="143" t="s">
        <v>235</v>
      </c>
      <c r="C75" s="212">
        <f t="shared" si="0"/>
        <v>66</v>
      </c>
      <c r="D75" s="133">
        <v>2</v>
      </c>
      <c r="E75" s="144" t="s">
        <v>236</v>
      </c>
      <c r="F75" s="135">
        <v>876</v>
      </c>
      <c r="G75" s="135">
        <v>876</v>
      </c>
      <c r="H75" s="135">
        <v>876</v>
      </c>
      <c r="I75" s="209" t="s">
        <v>493</v>
      </c>
      <c r="J75" s="210">
        <v>40909</v>
      </c>
    </row>
    <row r="76" spans="1:10" ht="21" customHeight="1" x14ac:dyDescent="0.2">
      <c r="A76" s="215">
        <v>1102292974</v>
      </c>
      <c r="B76" s="143" t="s">
        <v>237</v>
      </c>
      <c r="C76" s="212">
        <f t="shared" si="0"/>
        <v>67</v>
      </c>
      <c r="D76" s="133">
        <v>4</v>
      </c>
      <c r="E76" s="144" t="s">
        <v>147</v>
      </c>
      <c r="F76" s="135">
        <v>615.22</v>
      </c>
      <c r="G76" s="135">
        <v>615.22</v>
      </c>
      <c r="H76" s="135">
        <v>615.22</v>
      </c>
      <c r="I76" s="209" t="s">
        <v>493</v>
      </c>
      <c r="J76" s="210">
        <v>40909</v>
      </c>
    </row>
    <row r="77" spans="1:10" ht="21" customHeight="1" x14ac:dyDescent="0.2">
      <c r="A77" s="215">
        <v>1103300024</v>
      </c>
      <c r="B77" s="143" t="s">
        <v>238</v>
      </c>
      <c r="C77" s="212">
        <f t="shared" si="0"/>
        <v>68</v>
      </c>
      <c r="D77" s="133">
        <v>2</v>
      </c>
      <c r="E77" s="144" t="s">
        <v>162</v>
      </c>
      <c r="F77" s="135">
        <v>581.22</v>
      </c>
      <c r="G77" s="135">
        <v>581.22</v>
      </c>
      <c r="H77" s="135">
        <v>581.22</v>
      </c>
      <c r="I77" s="209" t="s">
        <v>493</v>
      </c>
      <c r="J77" s="210">
        <v>40909</v>
      </c>
    </row>
    <row r="78" spans="1:10" ht="21" customHeight="1" x14ac:dyDescent="0.2">
      <c r="A78" s="215">
        <v>1102698733</v>
      </c>
      <c r="B78" s="143" t="s">
        <v>239</v>
      </c>
      <c r="C78" s="212">
        <f t="shared" ref="C78:C140" si="1">+C77+1</f>
        <v>69</v>
      </c>
      <c r="D78" s="133">
        <v>1</v>
      </c>
      <c r="E78" s="144" t="s">
        <v>164</v>
      </c>
      <c r="F78" s="134">
        <v>624.05999999999995</v>
      </c>
      <c r="G78" s="134">
        <v>624.05999999999995</v>
      </c>
      <c r="H78" s="134">
        <v>624.05999999999995</v>
      </c>
      <c r="I78" s="209" t="s">
        <v>493</v>
      </c>
      <c r="J78" s="210">
        <v>40909</v>
      </c>
    </row>
    <row r="79" spans="1:10" ht="21" customHeight="1" x14ac:dyDescent="0.2">
      <c r="A79" s="207">
        <v>1101348827</v>
      </c>
      <c r="B79" s="143" t="s">
        <v>240</v>
      </c>
      <c r="C79" s="212">
        <f t="shared" si="1"/>
        <v>70</v>
      </c>
      <c r="D79" s="133">
        <v>6</v>
      </c>
      <c r="E79" s="144" t="s">
        <v>241</v>
      </c>
      <c r="F79" s="135">
        <v>766.22</v>
      </c>
      <c r="G79" s="135">
        <v>766.22</v>
      </c>
      <c r="H79" s="135">
        <v>766.22</v>
      </c>
      <c r="I79" s="209" t="s">
        <v>493</v>
      </c>
      <c r="J79" s="210">
        <v>40909</v>
      </c>
    </row>
    <row r="80" spans="1:10" ht="21" customHeight="1" x14ac:dyDescent="0.2">
      <c r="A80" s="207" t="s">
        <v>242</v>
      </c>
      <c r="B80" s="143" t="s">
        <v>243</v>
      </c>
      <c r="C80" s="212">
        <f t="shared" si="1"/>
        <v>71</v>
      </c>
      <c r="D80" s="133">
        <v>2</v>
      </c>
      <c r="E80" s="144" t="s">
        <v>244</v>
      </c>
      <c r="F80" s="135">
        <v>581.22</v>
      </c>
      <c r="G80" s="135">
        <v>581.22</v>
      </c>
      <c r="H80" s="135">
        <v>581.22</v>
      </c>
      <c r="I80" s="209" t="s">
        <v>493</v>
      </c>
      <c r="J80" s="210">
        <v>40909</v>
      </c>
    </row>
    <row r="81" spans="1:10" ht="21" customHeight="1" x14ac:dyDescent="0.2">
      <c r="A81" s="207">
        <v>1103617385</v>
      </c>
      <c r="B81" s="143" t="s">
        <v>245</v>
      </c>
      <c r="C81" s="212">
        <f t="shared" si="1"/>
        <v>72</v>
      </c>
      <c r="D81" s="133">
        <v>4</v>
      </c>
      <c r="E81" s="144" t="s">
        <v>147</v>
      </c>
      <c r="F81" s="135">
        <v>615.22</v>
      </c>
      <c r="G81" s="135">
        <v>615.22</v>
      </c>
      <c r="H81" s="135">
        <v>615.22</v>
      </c>
      <c r="I81" s="209" t="s">
        <v>493</v>
      </c>
      <c r="J81" s="210">
        <v>40909</v>
      </c>
    </row>
    <row r="82" spans="1:10" ht="21" customHeight="1" x14ac:dyDescent="0.2">
      <c r="A82" s="207">
        <v>1102125513</v>
      </c>
      <c r="B82" s="143" t="s">
        <v>246</v>
      </c>
      <c r="C82" s="212">
        <f t="shared" si="1"/>
        <v>73</v>
      </c>
      <c r="D82" s="133">
        <v>2</v>
      </c>
      <c r="E82" s="144" t="s">
        <v>162</v>
      </c>
      <c r="F82" s="135">
        <v>581.22</v>
      </c>
      <c r="G82" s="135">
        <v>581.22</v>
      </c>
      <c r="H82" s="135">
        <v>581.22</v>
      </c>
      <c r="I82" s="209" t="s">
        <v>493</v>
      </c>
      <c r="J82" s="210">
        <v>40909</v>
      </c>
    </row>
    <row r="83" spans="1:10" ht="21" customHeight="1" x14ac:dyDescent="0.2">
      <c r="A83" s="215">
        <v>1103936900</v>
      </c>
      <c r="B83" s="143" t="s">
        <v>247</v>
      </c>
      <c r="C83" s="212">
        <f t="shared" si="1"/>
        <v>74</v>
      </c>
      <c r="D83" s="133">
        <v>1</v>
      </c>
      <c r="E83" s="144" t="s">
        <v>142</v>
      </c>
      <c r="F83" s="135">
        <v>565.22</v>
      </c>
      <c r="G83" s="135">
        <v>565.22</v>
      </c>
      <c r="H83" s="135">
        <v>565.22</v>
      </c>
      <c r="I83" s="209" t="s">
        <v>493</v>
      </c>
      <c r="J83" s="210">
        <v>40909</v>
      </c>
    </row>
    <row r="84" spans="1:10" ht="21" customHeight="1" x14ac:dyDescent="0.2">
      <c r="A84" s="215">
        <v>1500611718</v>
      </c>
      <c r="B84" s="143" t="s">
        <v>248</v>
      </c>
      <c r="C84" s="212">
        <f t="shared" si="1"/>
        <v>75</v>
      </c>
      <c r="D84" s="133">
        <v>1</v>
      </c>
      <c r="E84" s="144" t="s">
        <v>142</v>
      </c>
      <c r="F84" s="135">
        <v>565.22</v>
      </c>
      <c r="G84" s="135">
        <v>565.22</v>
      </c>
      <c r="H84" s="135">
        <v>565.22</v>
      </c>
      <c r="I84" s="209" t="s">
        <v>493</v>
      </c>
      <c r="J84" s="210">
        <v>40909</v>
      </c>
    </row>
    <row r="85" spans="1:10" ht="21" customHeight="1" x14ac:dyDescent="0.2">
      <c r="A85" s="214">
        <v>1103861496</v>
      </c>
      <c r="B85" s="143" t="s">
        <v>249</v>
      </c>
      <c r="C85" s="212">
        <f t="shared" si="1"/>
        <v>76</v>
      </c>
      <c r="D85" s="133">
        <v>5</v>
      </c>
      <c r="E85" s="144" t="s">
        <v>250</v>
      </c>
      <c r="F85" s="135">
        <v>733</v>
      </c>
      <c r="G85" s="135">
        <v>733</v>
      </c>
      <c r="H85" s="135">
        <v>733</v>
      </c>
      <c r="I85" s="209" t="s">
        <v>493</v>
      </c>
      <c r="J85" s="210">
        <v>41640</v>
      </c>
    </row>
    <row r="86" spans="1:10" ht="21" customHeight="1" x14ac:dyDescent="0.2">
      <c r="A86" s="207">
        <v>1104976103</v>
      </c>
      <c r="B86" s="143" t="s">
        <v>251</v>
      </c>
      <c r="C86" s="212">
        <f t="shared" si="1"/>
        <v>77</v>
      </c>
      <c r="D86" s="133">
        <v>2</v>
      </c>
      <c r="E86" s="144" t="s">
        <v>173</v>
      </c>
      <c r="F86" s="135">
        <v>581.22</v>
      </c>
      <c r="G86" s="135">
        <v>581.22</v>
      </c>
      <c r="H86" s="135">
        <v>581.22</v>
      </c>
      <c r="I86" s="209" t="s">
        <v>493</v>
      </c>
      <c r="J86" s="210">
        <v>40909</v>
      </c>
    </row>
    <row r="87" spans="1:10" ht="21" customHeight="1" x14ac:dyDescent="0.2">
      <c r="A87" s="207">
        <v>1100647807</v>
      </c>
      <c r="B87" s="143" t="s">
        <v>252</v>
      </c>
      <c r="C87" s="212">
        <f t="shared" si="1"/>
        <v>78</v>
      </c>
      <c r="D87" s="133">
        <v>4</v>
      </c>
      <c r="E87" s="144" t="s">
        <v>147</v>
      </c>
      <c r="F87" s="135">
        <v>615.22</v>
      </c>
      <c r="G87" s="135">
        <v>615.22</v>
      </c>
      <c r="H87" s="135">
        <v>615.22</v>
      </c>
      <c r="I87" s="209" t="s">
        <v>493</v>
      </c>
      <c r="J87" s="210">
        <v>40909</v>
      </c>
    </row>
    <row r="88" spans="1:10" ht="21" customHeight="1" x14ac:dyDescent="0.2">
      <c r="A88" s="215">
        <v>1900520618</v>
      </c>
      <c r="B88" s="143" t="s">
        <v>253</v>
      </c>
      <c r="C88" s="212">
        <f t="shared" si="1"/>
        <v>79</v>
      </c>
      <c r="D88" s="133">
        <v>5</v>
      </c>
      <c r="E88" s="144" t="s">
        <v>140</v>
      </c>
      <c r="F88" s="135">
        <v>733.22</v>
      </c>
      <c r="G88" s="135">
        <v>733.22</v>
      </c>
      <c r="H88" s="135">
        <v>733.22</v>
      </c>
      <c r="I88" s="209" t="s">
        <v>493</v>
      </c>
      <c r="J88" s="210">
        <v>40909</v>
      </c>
    </row>
    <row r="89" spans="1:10" ht="21" customHeight="1" x14ac:dyDescent="0.2">
      <c r="A89" s="207">
        <v>1102094578</v>
      </c>
      <c r="B89" s="143" t="s">
        <v>254</v>
      </c>
      <c r="C89" s="212">
        <f t="shared" si="1"/>
        <v>80</v>
      </c>
      <c r="D89" s="133">
        <v>2</v>
      </c>
      <c r="E89" s="144" t="s">
        <v>162</v>
      </c>
      <c r="F89" s="135">
        <v>583.16999999999996</v>
      </c>
      <c r="G89" s="135">
        <v>583.16999999999996</v>
      </c>
      <c r="H89" s="135">
        <v>583.16999999999996</v>
      </c>
      <c r="I89" s="209" t="s">
        <v>493</v>
      </c>
      <c r="J89" s="210">
        <v>40909</v>
      </c>
    </row>
    <row r="90" spans="1:10" ht="21" customHeight="1" x14ac:dyDescent="0.2">
      <c r="A90" s="215">
        <v>1100415452</v>
      </c>
      <c r="B90" s="143" t="s">
        <v>255</v>
      </c>
      <c r="C90" s="212">
        <f t="shared" si="1"/>
        <v>81</v>
      </c>
      <c r="D90" s="133">
        <v>2</v>
      </c>
      <c r="E90" s="144" t="s">
        <v>173</v>
      </c>
      <c r="F90" s="134">
        <v>801.57</v>
      </c>
      <c r="G90" s="134">
        <v>801.57</v>
      </c>
      <c r="H90" s="134">
        <v>801.57</v>
      </c>
      <c r="I90" s="209" t="s">
        <v>493</v>
      </c>
      <c r="J90" s="210">
        <v>40909</v>
      </c>
    </row>
    <row r="91" spans="1:10" ht="21" customHeight="1" x14ac:dyDescent="0.2">
      <c r="A91" s="215">
        <v>1103304877</v>
      </c>
      <c r="B91" s="143" t="s">
        <v>256</v>
      </c>
      <c r="C91" s="212">
        <f t="shared" si="1"/>
        <v>82</v>
      </c>
      <c r="D91" s="133">
        <v>4</v>
      </c>
      <c r="E91" s="144" t="s">
        <v>147</v>
      </c>
      <c r="F91" s="135">
        <v>615.22</v>
      </c>
      <c r="G91" s="135">
        <v>615.22</v>
      </c>
      <c r="H91" s="135">
        <v>615.22</v>
      </c>
      <c r="I91" s="209" t="s">
        <v>493</v>
      </c>
      <c r="J91" s="210">
        <v>40909</v>
      </c>
    </row>
    <row r="92" spans="1:10" ht="21" customHeight="1" x14ac:dyDescent="0.2">
      <c r="A92" s="215">
        <v>1103420111</v>
      </c>
      <c r="B92" s="143" t="s">
        <v>257</v>
      </c>
      <c r="C92" s="212">
        <f t="shared" si="1"/>
        <v>83</v>
      </c>
      <c r="D92" s="133">
        <v>1</v>
      </c>
      <c r="E92" s="144" t="s">
        <v>164</v>
      </c>
      <c r="F92" s="135">
        <v>565.22</v>
      </c>
      <c r="G92" s="135">
        <v>565.22</v>
      </c>
      <c r="H92" s="135">
        <v>565.22</v>
      </c>
      <c r="I92" s="209" t="s">
        <v>493</v>
      </c>
      <c r="J92" s="210">
        <v>40909</v>
      </c>
    </row>
    <row r="93" spans="1:10" ht="21" customHeight="1" x14ac:dyDescent="0.2">
      <c r="A93" s="207">
        <v>1101751210</v>
      </c>
      <c r="B93" s="143" t="s">
        <v>258</v>
      </c>
      <c r="C93" s="212">
        <f t="shared" si="1"/>
        <v>84</v>
      </c>
      <c r="D93" s="133">
        <v>2</v>
      </c>
      <c r="E93" s="144" t="s">
        <v>162</v>
      </c>
      <c r="F93" s="134">
        <v>811.45</v>
      </c>
      <c r="G93" s="134">
        <v>811.45</v>
      </c>
      <c r="H93" s="134">
        <v>811.45</v>
      </c>
      <c r="I93" s="209" t="s">
        <v>493</v>
      </c>
      <c r="J93" s="210">
        <v>40909</v>
      </c>
    </row>
    <row r="94" spans="1:10" ht="21" customHeight="1" x14ac:dyDescent="0.2">
      <c r="A94" s="215">
        <v>1102599949</v>
      </c>
      <c r="B94" s="143" t="s">
        <v>259</v>
      </c>
      <c r="C94" s="212">
        <f t="shared" si="1"/>
        <v>85</v>
      </c>
      <c r="D94" s="133">
        <v>5</v>
      </c>
      <c r="E94" s="144" t="s">
        <v>260</v>
      </c>
      <c r="F94" s="135">
        <v>733.22</v>
      </c>
      <c r="G94" s="135">
        <v>733.22</v>
      </c>
      <c r="H94" s="135">
        <v>733.22</v>
      </c>
      <c r="I94" s="209" t="s">
        <v>493</v>
      </c>
      <c r="J94" s="210">
        <v>40909</v>
      </c>
    </row>
    <row r="95" spans="1:10" ht="21" customHeight="1" x14ac:dyDescent="0.2">
      <c r="A95" s="207">
        <v>1102402094</v>
      </c>
      <c r="B95" s="143" t="s">
        <v>261</v>
      </c>
      <c r="C95" s="212">
        <f t="shared" si="1"/>
        <v>86</v>
      </c>
      <c r="D95" s="133">
        <v>4</v>
      </c>
      <c r="E95" s="144" t="s">
        <v>191</v>
      </c>
      <c r="F95" s="135">
        <v>615.22</v>
      </c>
      <c r="G95" s="135">
        <v>615.22</v>
      </c>
      <c r="H95" s="135">
        <v>615.22</v>
      </c>
      <c r="I95" s="209" t="s">
        <v>493</v>
      </c>
      <c r="J95" s="210">
        <v>40909</v>
      </c>
    </row>
    <row r="96" spans="1:10" ht="21" customHeight="1" x14ac:dyDescent="0.2">
      <c r="A96" s="215">
        <v>1100794641</v>
      </c>
      <c r="B96" s="143" t="s">
        <v>262</v>
      </c>
      <c r="C96" s="212">
        <f t="shared" si="1"/>
        <v>87</v>
      </c>
      <c r="D96" s="133">
        <v>4</v>
      </c>
      <c r="E96" s="144" t="s">
        <v>147</v>
      </c>
      <c r="F96" s="135">
        <v>615.22</v>
      </c>
      <c r="G96" s="135">
        <v>615.22</v>
      </c>
      <c r="H96" s="135">
        <v>615.22</v>
      </c>
      <c r="I96" s="209" t="s">
        <v>493</v>
      </c>
      <c r="J96" s="210">
        <v>40909</v>
      </c>
    </row>
    <row r="97" spans="1:10" ht="21" customHeight="1" x14ac:dyDescent="0.2">
      <c r="A97" s="207">
        <v>1101075966</v>
      </c>
      <c r="B97" s="143" t="s">
        <v>263</v>
      </c>
      <c r="C97" s="212">
        <f t="shared" si="1"/>
        <v>88</v>
      </c>
      <c r="D97" s="133">
        <v>5</v>
      </c>
      <c r="E97" s="144" t="s">
        <v>204</v>
      </c>
      <c r="F97" s="134">
        <v>953.46</v>
      </c>
      <c r="G97" s="134">
        <v>953.46</v>
      </c>
      <c r="H97" s="134">
        <v>953.46</v>
      </c>
      <c r="I97" s="209" t="s">
        <v>493</v>
      </c>
      <c r="J97" s="210">
        <v>40909</v>
      </c>
    </row>
    <row r="98" spans="1:10" ht="21" customHeight="1" x14ac:dyDescent="0.2">
      <c r="A98" s="216">
        <v>1101198446</v>
      </c>
      <c r="B98" s="143" t="s">
        <v>264</v>
      </c>
      <c r="C98" s="212">
        <f t="shared" si="1"/>
        <v>89</v>
      </c>
      <c r="D98" s="133">
        <v>4</v>
      </c>
      <c r="E98" s="144" t="s">
        <v>147</v>
      </c>
      <c r="F98" s="136">
        <v>598</v>
      </c>
      <c r="G98" s="136">
        <v>598</v>
      </c>
      <c r="H98" s="136">
        <v>598</v>
      </c>
      <c r="I98" s="209" t="s">
        <v>493</v>
      </c>
      <c r="J98" s="210">
        <v>41640</v>
      </c>
    </row>
    <row r="99" spans="1:10" ht="21" customHeight="1" x14ac:dyDescent="0.2">
      <c r="A99" s="207">
        <v>1101704078</v>
      </c>
      <c r="B99" s="143" t="s">
        <v>266</v>
      </c>
      <c r="C99" s="212">
        <f>+C262+1</f>
        <v>91</v>
      </c>
      <c r="D99" s="133">
        <v>5</v>
      </c>
      <c r="E99" s="144" t="s">
        <v>267</v>
      </c>
      <c r="F99" s="134">
        <v>876</v>
      </c>
      <c r="G99" s="134">
        <v>876</v>
      </c>
      <c r="H99" s="134">
        <v>876</v>
      </c>
      <c r="I99" s="209" t="s">
        <v>493</v>
      </c>
      <c r="J99" s="210">
        <v>40909</v>
      </c>
    </row>
    <row r="100" spans="1:10" ht="21" customHeight="1" x14ac:dyDescent="0.2">
      <c r="A100" s="215">
        <v>1103606222</v>
      </c>
      <c r="B100" s="143" t="s">
        <v>268</v>
      </c>
      <c r="C100" s="212">
        <f t="shared" si="1"/>
        <v>92</v>
      </c>
      <c r="D100" s="133">
        <v>1</v>
      </c>
      <c r="E100" s="144" t="s">
        <v>160</v>
      </c>
      <c r="F100" s="135">
        <v>565.22</v>
      </c>
      <c r="G100" s="135">
        <v>565.22</v>
      </c>
      <c r="H100" s="135">
        <v>565.22</v>
      </c>
      <c r="I100" s="209" t="s">
        <v>493</v>
      </c>
      <c r="J100" s="210">
        <v>40909</v>
      </c>
    </row>
    <row r="101" spans="1:10" ht="21" customHeight="1" x14ac:dyDescent="0.2">
      <c r="A101" s="215">
        <v>1103270649</v>
      </c>
      <c r="B101" s="143" t="s">
        <v>269</v>
      </c>
      <c r="C101" s="212">
        <f t="shared" si="1"/>
        <v>93</v>
      </c>
      <c r="D101" s="133">
        <v>1</v>
      </c>
      <c r="E101" s="144" t="s">
        <v>142</v>
      </c>
      <c r="F101" s="135">
        <v>565.22</v>
      </c>
      <c r="G101" s="135">
        <v>565.22</v>
      </c>
      <c r="H101" s="135">
        <v>565.22</v>
      </c>
      <c r="I101" s="209" t="s">
        <v>493</v>
      </c>
      <c r="J101" s="210">
        <v>40909</v>
      </c>
    </row>
    <row r="102" spans="1:10" ht="21" customHeight="1" x14ac:dyDescent="0.2">
      <c r="A102" s="215">
        <v>1102562111</v>
      </c>
      <c r="B102" s="143" t="s">
        <v>270</v>
      </c>
      <c r="C102" s="212">
        <f t="shared" si="1"/>
        <v>94</v>
      </c>
      <c r="D102" s="133">
        <v>5</v>
      </c>
      <c r="E102" s="144" t="s">
        <v>204</v>
      </c>
      <c r="F102" s="134">
        <v>876</v>
      </c>
      <c r="G102" s="134">
        <v>876</v>
      </c>
      <c r="H102" s="134">
        <v>876</v>
      </c>
      <c r="I102" s="209" t="s">
        <v>493</v>
      </c>
      <c r="J102" s="210">
        <v>40909</v>
      </c>
    </row>
    <row r="103" spans="1:10" ht="21" customHeight="1" x14ac:dyDescent="0.2">
      <c r="A103" s="207">
        <v>1100417292</v>
      </c>
      <c r="B103" s="143" t="s">
        <v>271</v>
      </c>
      <c r="C103" s="212">
        <f t="shared" si="1"/>
        <v>95</v>
      </c>
      <c r="D103" s="133">
        <v>6</v>
      </c>
      <c r="E103" s="144" t="s">
        <v>241</v>
      </c>
      <c r="F103" s="134">
        <v>953.03</v>
      </c>
      <c r="G103" s="134">
        <v>953.03</v>
      </c>
      <c r="H103" s="134">
        <v>953.03</v>
      </c>
      <c r="I103" s="209" t="s">
        <v>493</v>
      </c>
      <c r="J103" s="210">
        <v>40909</v>
      </c>
    </row>
    <row r="104" spans="1:10" ht="21" customHeight="1" x14ac:dyDescent="0.2">
      <c r="A104" s="215">
        <v>1705635348</v>
      </c>
      <c r="B104" s="143" t="s">
        <v>272</v>
      </c>
      <c r="C104" s="212">
        <f t="shared" si="1"/>
        <v>96</v>
      </c>
      <c r="D104" s="133">
        <v>8</v>
      </c>
      <c r="E104" s="144" t="s">
        <v>273</v>
      </c>
      <c r="F104" s="135">
        <v>816.22</v>
      </c>
      <c r="G104" s="135">
        <v>816.22</v>
      </c>
      <c r="H104" s="135">
        <v>816.22</v>
      </c>
      <c r="I104" s="209" t="s">
        <v>493</v>
      </c>
      <c r="J104" s="210">
        <v>40909</v>
      </c>
    </row>
    <row r="105" spans="1:10" ht="21" customHeight="1" x14ac:dyDescent="0.2">
      <c r="A105" s="207">
        <v>1102886825</v>
      </c>
      <c r="B105" s="143" t="s">
        <v>274</v>
      </c>
      <c r="C105" s="212">
        <f t="shared" si="1"/>
        <v>97</v>
      </c>
      <c r="D105" s="133">
        <v>5</v>
      </c>
      <c r="E105" s="144" t="s">
        <v>158</v>
      </c>
      <c r="F105" s="134">
        <v>733.22</v>
      </c>
      <c r="G105" s="134">
        <v>733.22</v>
      </c>
      <c r="H105" s="134">
        <v>733.22</v>
      </c>
      <c r="I105" s="209" t="s">
        <v>493</v>
      </c>
      <c r="J105" s="210">
        <v>40909</v>
      </c>
    </row>
    <row r="106" spans="1:10" ht="21" customHeight="1" x14ac:dyDescent="0.2">
      <c r="A106" s="215" t="s">
        <v>275</v>
      </c>
      <c r="B106" s="143" t="s">
        <v>276</v>
      </c>
      <c r="C106" s="212">
        <f t="shared" si="1"/>
        <v>98</v>
      </c>
      <c r="D106" s="133">
        <v>5</v>
      </c>
      <c r="E106" s="144" t="s">
        <v>158</v>
      </c>
      <c r="F106" s="134">
        <v>733.22</v>
      </c>
      <c r="G106" s="134">
        <v>733.22</v>
      </c>
      <c r="H106" s="134">
        <v>733.22</v>
      </c>
      <c r="I106" s="209" t="s">
        <v>493</v>
      </c>
      <c r="J106" s="210">
        <v>40909</v>
      </c>
    </row>
    <row r="107" spans="1:10" ht="21" customHeight="1" x14ac:dyDescent="0.2">
      <c r="A107" s="207">
        <v>1102408539</v>
      </c>
      <c r="B107" s="143" t="s">
        <v>277</v>
      </c>
      <c r="C107" s="212">
        <f t="shared" si="1"/>
        <v>99</v>
      </c>
      <c r="D107" s="133">
        <v>6</v>
      </c>
      <c r="E107" s="144" t="s">
        <v>241</v>
      </c>
      <c r="F107" s="134">
        <v>766.22</v>
      </c>
      <c r="G107" s="134">
        <v>766.22</v>
      </c>
      <c r="H107" s="134">
        <v>766.22</v>
      </c>
      <c r="I107" s="209" t="s">
        <v>493</v>
      </c>
      <c r="J107" s="210">
        <v>40909</v>
      </c>
    </row>
    <row r="108" spans="1:10" ht="21" customHeight="1" x14ac:dyDescent="0.2">
      <c r="A108" s="215">
        <v>1101849758</v>
      </c>
      <c r="B108" s="143" t="s">
        <v>278</v>
      </c>
      <c r="C108" s="212">
        <f t="shared" si="1"/>
        <v>100</v>
      </c>
      <c r="D108" s="133">
        <v>8</v>
      </c>
      <c r="E108" s="144" t="s">
        <v>279</v>
      </c>
      <c r="F108" s="134">
        <v>854.43</v>
      </c>
      <c r="G108" s="134">
        <v>854.43</v>
      </c>
      <c r="H108" s="134">
        <v>854.43</v>
      </c>
      <c r="I108" s="209" t="s">
        <v>493</v>
      </c>
      <c r="J108" s="210">
        <v>40909</v>
      </c>
    </row>
    <row r="109" spans="1:10" ht="21" customHeight="1" x14ac:dyDescent="0.2">
      <c r="A109" s="207">
        <v>1101432134</v>
      </c>
      <c r="B109" s="143" t="s">
        <v>280</v>
      </c>
      <c r="C109" s="212">
        <f t="shared" si="1"/>
        <v>101</v>
      </c>
      <c r="D109" s="133">
        <v>3</v>
      </c>
      <c r="E109" s="144" t="s">
        <v>231</v>
      </c>
      <c r="F109" s="134">
        <v>902.76</v>
      </c>
      <c r="G109" s="134">
        <v>902.76</v>
      </c>
      <c r="H109" s="134">
        <v>902.76</v>
      </c>
      <c r="I109" s="209" t="s">
        <v>493</v>
      </c>
      <c r="J109" s="210">
        <v>40909</v>
      </c>
    </row>
    <row r="110" spans="1:10" ht="21" customHeight="1" x14ac:dyDescent="0.2">
      <c r="A110" s="215">
        <v>1101704649</v>
      </c>
      <c r="B110" s="143" t="s">
        <v>281</v>
      </c>
      <c r="C110" s="212">
        <f t="shared" si="1"/>
        <v>102</v>
      </c>
      <c r="D110" s="133">
        <v>1</v>
      </c>
      <c r="E110" s="144" t="s">
        <v>142</v>
      </c>
      <c r="F110" s="135">
        <v>782.72</v>
      </c>
      <c r="G110" s="135">
        <v>782.72</v>
      </c>
      <c r="H110" s="135">
        <v>782.72</v>
      </c>
      <c r="I110" s="209" t="s">
        <v>493</v>
      </c>
      <c r="J110" s="210">
        <v>40909</v>
      </c>
    </row>
    <row r="111" spans="1:10" ht="21" customHeight="1" x14ac:dyDescent="0.2">
      <c r="A111" s="215" t="s">
        <v>282</v>
      </c>
      <c r="B111" s="143" t="s">
        <v>283</v>
      </c>
      <c r="C111" s="212">
        <f t="shared" si="1"/>
        <v>103</v>
      </c>
      <c r="D111" s="133">
        <v>1</v>
      </c>
      <c r="E111" s="144" t="s">
        <v>229</v>
      </c>
      <c r="F111" s="135">
        <v>565.22</v>
      </c>
      <c r="G111" s="135">
        <v>565.22</v>
      </c>
      <c r="H111" s="135">
        <v>565.22</v>
      </c>
      <c r="I111" s="209" t="s">
        <v>493</v>
      </c>
      <c r="J111" s="210">
        <v>40909</v>
      </c>
    </row>
    <row r="112" spans="1:10" ht="21" customHeight="1" x14ac:dyDescent="0.2">
      <c r="A112" s="207">
        <v>1100607199</v>
      </c>
      <c r="B112" s="143" t="s">
        <v>284</v>
      </c>
      <c r="C112" s="212">
        <f t="shared" si="1"/>
        <v>104</v>
      </c>
      <c r="D112" s="133">
        <v>4</v>
      </c>
      <c r="E112" s="144" t="s">
        <v>147</v>
      </c>
      <c r="F112" s="135">
        <v>615.22</v>
      </c>
      <c r="G112" s="135">
        <v>615.22</v>
      </c>
      <c r="H112" s="135">
        <v>615.22</v>
      </c>
      <c r="I112" s="209" t="s">
        <v>493</v>
      </c>
      <c r="J112" s="210">
        <v>40909</v>
      </c>
    </row>
    <row r="113" spans="1:10" ht="21" customHeight="1" x14ac:dyDescent="0.2">
      <c r="A113" s="215">
        <v>1103750764</v>
      </c>
      <c r="B113" s="143" t="s">
        <v>285</v>
      </c>
      <c r="C113" s="212">
        <f t="shared" si="1"/>
        <v>105</v>
      </c>
      <c r="D113" s="133">
        <v>4</v>
      </c>
      <c r="E113" s="144" t="s">
        <v>147</v>
      </c>
      <c r="F113" s="135">
        <v>615.22</v>
      </c>
      <c r="G113" s="135">
        <v>615.22</v>
      </c>
      <c r="H113" s="135">
        <v>615.22</v>
      </c>
      <c r="I113" s="209" t="s">
        <v>493</v>
      </c>
      <c r="J113" s="210">
        <v>40909</v>
      </c>
    </row>
    <row r="114" spans="1:10" ht="21" customHeight="1" x14ac:dyDescent="0.2">
      <c r="A114" s="215" t="s">
        <v>286</v>
      </c>
      <c r="B114" s="143" t="s">
        <v>287</v>
      </c>
      <c r="C114" s="212">
        <f t="shared" si="1"/>
        <v>106</v>
      </c>
      <c r="D114" s="133">
        <v>1</v>
      </c>
      <c r="E114" s="144" t="s">
        <v>229</v>
      </c>
      <c r="F114" s="135">
        <v>565.22</v>
      </c>
      <c r="G114" s="135">
        <v>565.22</v>
      </c>
      <c r="H114" s="135">
        <v>565.22</v>
      </c>
      <c r="I114" s="209" t="s">
        <v>493</v>
      </c>
      <c r="J114" s="210">
        <v>40909</v>
      </c>
    </row>
    <row r="115" spans="1:10" ht="21" customHeight="1" x14ac:dyDescent="0.2">
      <c r="A115" s="207">
        <v>1101558268</v>
      </c>
      <c r="B115" s="143" t="s">
        <v>288</v>
      </c>
      <c r="C115" s="212">
        <f t="shared" si="1"/>
        <v>107</v>
      </c>
      <c r="D115" s="133">
        <v>1</v>
      </c>
      <c r="E115" s="144" t="s">
        <v>164</v>
      </c>
      <c r="F115" s="135">
        <v>565.22</v>
      </c>
      <c r="G115" s="135">
        <v>565.22</v>
      </c>
      <c r="H115" s="135">
        <v>565.22</v>
      </c>
      <c r="I115" s="209" t="s">
        <v>493</v>
      </c>
      <c r="J115" s="210">
        <v>40909</v>
      </c>
    </row>
    <row r="116" spans="1:10" ht="21" customHeight="1" x14ac:dyDescent="0.2">
      <c r="A116" s="207">
        <v>1102657036</v>
      </c>
      <c r="B116" s="143" t="s">
        <v>289</v>
      </c>
      <c r="C116" s="212">
        <f t="shared" si="1"/>
        <v>108</v>
      </c>
      <c r="D116" s="133">
        <v>1</v>
      </c>
      <c r="E116" s="144" t="s">
        <v>142</v>
      </c>
      <c r="F116" s="135">
        <v>565.22</v>
      </c>
      <c r="G116" s="135">
        <v>565.22</v>
      </c>
      <c r="H116" s="135">
        <v>565.22</v>
      </c>
      <c r="I116" s="209" t="s">
        <v>493</v>
      </c>
      <c r="J116" s="210">
        <v>40909</v>
      </c>
    </row>
    <row r="117" spans="1:10" ht="21" customHeight="1" x14ac:dyDescent="0.2">
      <c r="A117" s="215">
        <v>1104064108</v>
      </c>
      <c r="B117" s="143" t="s">
        <v>290</v>
      </c>
      <c r="C117" s="212">
        <f t="shared" si="1"/>
        <v>109</v>
      </c>
      <c r="D117" s="133">
        <v>1</v>
      </c>
      <c r="E117" s="144" t="s">
        <v>160</v>
      </c>
      <c r="F117" s="135">
        <v>565.22</v>
      </c>
      <c r="G117" s="135">
        <v>565.22</v>
      </c>
      <c r="H117" s="135">
        <v>565.22</v>
      </c>
      <c r="I117" s="209" t="s">
        <v>493</v>
      </c>
      <c r="J117" s="210">
        <v>40909</v>
      </c>
    </row>
    <row r="118" spans="1:10" ht="21" customHeight="1" x14ac:dyDescent="0.2">
      <c r="A118" s="215">
        <v>1104430192</v>
      </c>
      <c r="B118" s="143" t="s">
        <v>291</v>
      </c>
      <c r="C118" s="212">
        <f t="shared" si="1"/>
        <v>110</v>
      </c>
      <c r="D118" s="133">
        <v>1</v>
      </c>
      <c r="E118" s="144" t="s">
        <v>152</v>
      </c>
      <c r="F118" s="135">
        <v>565.22</v>
      </c>
      <c r="G118" s="135">
        <v>565.22</v>
      </c>
      <c r="H118" s="135">
        <v>565.22</v>
      </c>
      <c r="I118" s="209" t="s">
        <v>493</v>
      </c>
      <c r="J118" s="210">
        <v>40909</v>
      </c>
    </row>
    <row r="119" spans="1:10" ht="21" customHeight="1" x14ac:dyDescent="0.2">
      <c r="A119" s="215">
        <v>1103968713</v>
      </c>
      <c r="B119" s="143" t="s">
        <v>292</v>
      </c>
      <c r="C119" s="212">
        <f t="shared" si="1"/>
        <v>111</v>
      </c>
      <c r="D119" s="133">
        <v>1</v>
      </c>
      <c r="E119" s="144" t="s">
        <v>152</v>
      </c>
      <c r="F119" s="135">
        <v>565.22</v>
      </c>
      <c r="G119" s="135">
        <v>565.22</v>
      </c>
      <c r="H119" s="135">
        <v>565.22</v>
      </c>
      <c r="I119" s="209" t="s">
        <v>493</v>
      </c>
      <c r="J119" s="210">
        <v>40909</v>
      </c>
    </row>
    <row r="120" spans="1:10" ht="21" customHeight="1" x14ac:dyDescent="0.2">
      <c r="A120" s="207">
        <v>1100627668</v>
      </c>
      <c r="B120" s="143" t="s">
        <v>293</v>
      </c>
      <c r="C120" s="212">
        <f t="shared" si="1"/>
        <v>112</v>
      </c>
      <c r="D120" s="133">
        <v>4</v>
      </c>
      <c r="E120" s="144" t="s">
        <v>147</v>
      </c>
      <c r="F120" s="135">
        <v>615.22</v>
      </c>
      <c r="G120" s="135">
        <v>615.22</v>
      </c>
      <c r="H120" s="135">
        <v>615.22</v>
      </c>
      <c r="I120" s="209" t="s">
        <v>493</v>
      </c>
      <c r="J120" s="210">
        <v>40909</v>
      </c>
    </row>
    <row r="121" spans="1:10" ht="21" customHeight="1" x14ac:dyDescent="0.2">
      <c r="A121" s="207">
        <v>1102444864</v>
      </c>
      <c r="B121" s="143" t="s">
        <v>294</v>
      </c>
      <c r="C121" s="212">
        <f t="shared" si="1"/>
        <v>113</v>
      </c>
      <c r="D121" s="133">
        <v>1</v>
      </c>
      <c r="E121" s="144" t="s">
        <v>142</v>
      </c>
      <c r="F121" s="135">
        <v>565.22</v>
      </c>
      <c r="G121" s="135">
        <v>565.22</v>
      </c>
      <c r="H121" s="135">
        <v>565.22</v>
      </c>
      <c r="I121" s="219" t="s">
        <v>493</v>
      </c>
      <c r="J121" s="210">
        <v>40909</v>
      </c>
    </row>
    <row r="122" spans="1:10" ht="21" customHeight="1" x14ac:dyDescent="0.2">
      <c r="A122" s="215">
        <v>1104360548</v>
      </c>
      <c r="B122" s="143" t="s">
        <v>295</v>
      </c>
      <c r="C122" s="212">
        <f t="shared" si="1"/>
        <v>114</v>
      </c>
      <c r="D122" s="133">
        <v>5</v>
      </c>
      <c r="E122" s="144" t="s">
        <v>260</v>
      </c>
      <c r="F122" s="134">
        <v>733.22</v>
      </c>
      <c r="G122" s="134">
        <v>733.22</v>
      </c>
      <c r="H122" s="134">
        <v>733.22</v>
      </c>
      <c r="I122" s="209" t="s">
        <v>493</v>
      </c>
      <c r="J122" s="210">
        <v>40909</v>
      </c>
    </row>
    <row r="123" spans="1:10" ht="21" customHeight="1" x14ac:dyDescent="0.2">
      <c r="A123" s="215">
        <v>1102539549</v>
      </c>
      <c r="B123" s="143" t="s">
        <v>296</v>
      </c>
      <c r="C123" s="212">
        <f t="shared" si="1"/>
        <v>115</v>
      </c>
      <c r="D123" s="133">
        <v>8</v>
      </c>
      <c r="E123" s="144" t="s">
        <v>273</v>
      </c>
      <c r="F123" s="135">
        <v>816.22</v>
      </c>
      <c r="G123" s="135">
        <v>816.22</v>
      </c>
      <c r="H123" s="135">
        <v>816.22</v>
      </c>
      <c r="I123" s="209" t="s">
        <v>493</v>
      </c>
      <c r="J123" s="210">
        <v>40909</v>
      </c>
    </row>
    <row r="124" spans="1:10" ht="21" customHeight="1" x14ac:dyDescent="0.2">
      <c r="A124" s="215" t="s">
        <v>297</v>
      </c>
      <c r="B124" s="143" t="s">
        <v>298</v>
      </c>
      <c r="C124" s="212">
        <f t="shared" si="1"/>
        <v>116</v>
      </c>
      <c r="D124" s="133">
        <v>5</v>
      </c>
      <c r="E124" s="144" t="s">
        <v>158</v>
      </c>
      <c r="F124" s="134">
        <v>733.22</v>
      </c>
      <c r="G124" s="134">
        <v>733.22</v>
      </c>
      <c r="H124" s="134">
        <v>733.22</v>
      </c>
      <c r="I124" s="209" t="s">
        <v>493</v>
      </c>
      <c r="J124" s="210">
        <v>40909</v>
      </c>
    </row>
    <row r="125" spans="1:10" ht="21" customHeight="1" x14ac:dyDescent="0.2">
      <c r="A125" s="207">
        <v>1102561691</v>
      </c>
      <c r="B125" s="143" t="s">
        <v>299</v>
      </c>
      <c r="C125" s="212">
        <f t="shared" si="1"/>
        <v>117</v>
      </c>
      <c r="D125" s="133">
        <v>6</v>
      </c>
      <c r="E125" s="144" t="s">
        <v>241</v>
      </c>
      <c r="F125" s="134">
        <v>766.22</v>
      </c>
      <c r="G125" s="134">
        <v>766.22</v>
      </c>
      <c r="H125" s="134">
        <v>766.22</v>
      </c>
      <c r="I125" s="209" t="s">
        <v>493</v>
      </c>
      <c r="J125" s="210">
        <v>40909</v>
      </c>
    </row>
    <row r="126" spans="1:10" ht="21" customHeight="1" x14ac:dyDescent="0.2">
      <c r="A126" s="215">
        <v>1104109655</v>
      </c>
      <c r="B126" s="143" t="s">
        <v>300</v>
      </c>
      <c r="C126" s="212">
        <f t="shared" si="1"/>
        <v>118</v>
      </c>
      <c r="D126" s="133">
        <v>2</v>
      </c>
      <c r="E126" s="144" t="s">
        <v>301</v>
      </c>
      <c r="F126" s="135">
        <v>581.22</v>
      </c>
      <c r="G126" s="135">
        <v>581.22</v>
      </c>
      <c r="H126" s="135">
        <v>581.22</v>
      </c>
      <c r="I126" s="209" t="s">
        <v>493</v>
      </c>
      <c r="J126" s="210">
        <v>40909</v>
      </c>
    </row>
    <row r="127" spans="1:10" ht="21" customHeight="1" x14ac:dyDescent="0.2">
      <c r="A127" s="218">
        <v>1103919096</v>
      </c>
      <c r="B127" s="143" t="s">
        <v>302</v>
      </c>
      <c r="C127" s="212">
        <f t="shared" si="1"/>
        <v>119</v>
      </c>
      <c r="D127" s="133">
        <v>1</v>
      </c>
      <c r="E127" s="144" t="s">
        <v>229</v>
      </c>
      <c r="F127" s="136">
        <v>565</v>
      </c>
      <c r="G127" s="136">
        <v>565</v>
      </c>
      <c r="H127" s="136">
        <v>565</v>
      </c>
      <c r="I127" s="209" t="s">
        <v>493</v>
      </c>
      <c r="J127" s="210">
        <v>41640</v>
      </c>
    </row>
    <row r="128" spans="1:10" ht="21" customHeight="1" x14ac:dyDescent="0.2">
      <c r="A128" s="215">
        <v>1102823372</v>
      </c>
      <c r="B128" s="143" t="s">
        <v>303</v>
      </c>
      <c r="C128" s="212">
        <f t="shared" si="1"/>
        <v>120</v>
      </c>
      <c r="D128" s="133">
        <v>1</v>
      </c>
      <c r="E128" s="144" t="s">
        <v>142</v>
      </c>
      <c r="F128" s="135">
        <v>565.22</v>
      </c>
      <c r="G128" s="135">
        <v>565.22</v>
      </c>
      <c r="H128" s="135">
        <v>565.22</v>
      </c>
      <c r="I128" s="209" t="s">
        <v>493</v>
      </c>
      <c r="J128" s="210">
        <v>40909</v>
      </c>
    </row>
    <row r="129" spans="1:10" ht="21" customHeight="1" x14ac:dyDescent="0.2">
      <c r="A129" s="207">
        <v>1102853585</v>
      </c>
      <c r="B129" s="143" t="s">
        <v>304</v>
      </c>
      <c r="C129" s="212">
        <f t="shared" si="1"/>
        <v>121</v>
      </c>
      <c r="D129" s="133">
        <v>5</v>
      </c>
      <c r="E129" s="144" t="s">
        <v>305</v>
      </c>
      <c r="F129" s="134">
        <v>733.22</v>
      </c>
      <c r="G129" s="134">
        <v>733.22</v>
      </c>
      <c r="H129" s="134">
        <v>733.22</v>
      </c>
      <c r="I129" s="209" t="s">
        <v>493</v>
      </c>
      <c r="J129" s="210">
        <v>40909</v>
      </c>
    </row>
    <row r="130" spans="1:10" ht="21" customHeight="1" x14ac:dyDescent="0.2">
      <c r="A130" s="207">
        <v>1102621271</v>
      </c>
      <c r="B130" s="143" t="s">
        <v>306</v>
      </c>
      <c r="C130" s="212">
        <f t="shared" si="1"/>
        <v>122</v>
      </c>
      <c r="D130" s="133">
        <v>2</v>
      </c>
      <c r="E130" s="144" t="s">
        <v>162</v>
      </c>
      <c r="F130" s="135">
        <v>581.22</v>
      </c>
      <c r="G130" s="135">
        <v>581.22</v>
      </c>
      <c r="H130" s="135">
        <v>581.22</v>
      </c>
      <c r="I130" s="209" t="s">
        <v>493</v>
      </c>
      <c r="J130" s="210">
        <v>40909</v>
      </c>
    </row>
    <row r="131" spans="1:10" ht="21" customHeight="1" x14ac:dyDescent="0.2">
      <c r="A131" s="215">
        <v>1101760054</v>
      </c>
      <c r="B131" s="143" t="s">
        <v>307</v>
      </c>
      <c r="C131" s="212">
        <f t="shared" si="1"/>
        <v>123</v>
      </c>
      <c r="D131" s="133">
        <v>1</v>
      </c>
      <c r="E131" s="144" t="s">
        <v>139</v>
      </c>
      <c r="F131" s="135">
        <v>565.22</v>
      </c>
      <c r="G131" s="135">
        <v>565.22</v>
      </c>
      <c r="H131" s="135">
        <v>565.22</v>
      </c>
      <c r="I131" s="209" t="s">
        <v>493</v>
      </c>
      <c r="J131" s="210">
        <v>40909</v>
      </c>
    </row>
    <row r="132" spans="1:10" ht="21" customHeight="1" x14ac:dyDescent="0.2">
      <c r="A132" s="215">
        <v>1101047148</v>
      </c>
      <c r="B132" s="143" t="s">
        <v>308</v>
      </c>
      <c r="C132" s="212">
        <f t="shared" si="1"/>
        <v>124</v>
      </c>
      <c r="D132" s="133">
        <v>1</v>
      </c>
      <c r="E132" s="144" t="s">
        <v>142</v>
      </c>
      <c r="F132" s="135">
        <v>786.18</v>
      </c>
      <c r="G132" s="135">
        <v>786.18</v>
      </c>
      <c r="H132" s="135">
        <v>786.18</v>
      </c>
      <c r="I132" s="209" t="s">
        <v>493</v>
      </c>
      <c r="J132" s="210">
        <v>40909</v>
      </c>
    </row>
    <row r="133" spans="1:10" ht="21" customHeight="1" x14ac:dyDescent="0.2">
      <c r="A133" s="215" t="s">
        <v>309</v>
      </c>
      <c r="B133" s="143" t="s">
        <v>310</v>
      </c>
      <c r="C133" s="212">
        <f t="shared" si="1"/>
        <v>125</v>
      </c>
      <c r="D133" s="133">
        <v>2</v>
      </c>
      <c r="E133" s="144" t="s">
        <v>311</v>
      </c>
      <c r="F133" s="135">
        <v>581.22</v>
      </c>
      <c r="G133" s="135">
        <v>581.22</v>
      </c>
      <c r="H133" s="135">
        <v>581.22</v>
      </c>
      <c r="I133" s="209" t="s">
        <v>493</v>
      </c>
      <c r="J133" s="210">
        <v>41852</v>
      </c>
    </row>
    <row r="134" spans="1:10" ht="21" customHeight="1" x14ac:dyDescent="0.2">
      <c r="A134" s="215">
        <v>1103351027</v>
      </c>
      <c r="B134" s="143" t="s">
        <v>312</v>
      </c>
      <c r="C134" s="212">
        <f t="shared" si="1"/>
        <v>126</v>
      </c>
      <c r="D134" s="133">
        <v>1</v>
      </c>
      <c r="E134" s="144" t="s">
        <v>142</v>
      </c>
      <c r="F134" s="135">
        <v>565.22</v>
      </c>
      <c r="G134" s="135">
        <v>565.22</v>
      </c>
      <c r="H134" s="135">
        <v>565.22</v>
      </c>
      <c r="I134" s="209" t="s">
        <v>493</v>
      </c>
      <c r="J134" s="210">
        <v>40909</v>
      </c>
    </row>
    <row r="135" spans="1:10" ht="21" customHeight="1" x14ac:dyDescent="0.2">
      <c r="A135" s="215">
        <v>1103825509</v>
      </c>
      <c r="B135" s="143" t="s">
        <v>313</v>
      </c>
      <c r="C135" s="212">
        <f t="shared" si="1"/>
        <v>127</v>
      </c>
      <c r="D135" s="133">
        <v>2</v>
      </c>
      <c r="E135" s="144" t="s">
        <v>162</v>
      </c>
      <c r="F135" s="135">
        <v>581.22</v>
      </c>
      <c r="G135" s="135">
        <v>581.22</v>
      </c>
      <c r="H135" s="135">
        <v>581.22</v>
      </c>
      <c r="I135" s="209" t="s">
        <v>493</v>
      </c>
      <c r="J135" s="210">
        <v>40909</v>
      </c>
    </row>
    <row r="136" spans="1:10" ht="21" customHeight="1" x14ac:dyDescent="0.2">
      <c r="A136" s="221">
        <v>1103999676</v>
      </c>
      <c r="B136" s="143" t="s">
        <v>314</v>
      </c>
      <c r="C136" s="212">
        <f t="shared" si="1"/>
        <v>128</v>
      </c>
      <c r="D136" s="133">
        <v>1</v>
      </c>
      <c r="E136" s="144" t="s">
        <v>315</v>
      </c>
      <c r="F136" s="135">
        <v>565.22</v>
      </c>
      <c r="G136" s="135">
        <v>565.22</v>
      </c>
      <c r="H136" s="135">
        <v>565.22</v>
      </c>
      <c r="I136" s="209" t="s">
        <v>493</v>
      </c>
      <c r="J136" s="210">
        <v>40909</v>
      </c>
    </row>
    <row r="137" spans="1:10" ht="21" customHeight="1" x14ac:dyDescent="0.2">
      <c r="A137" s="215">
        <v>1101821880</v>
      </c>
      <c r="B137" s="143" t="s">
        <v>316</v>
      </c>
      <c r="C137" s="212">
        <f t="shared" si="1"/>
        <v>129</v>
      </c>
      <c r="D137" s="133">
        <v>8</v>
      </c>
      <c r="E137" s="144" t="s">
        <v>317</v>
      </c>
      <c r="F137" s="135">
        <v>816.22</v>
      </c>
      <c r="G137" s="135">
        <v>816.22</v>
      </c>
      <c r="H137" s="135">
        <v>816.22</v>
      </c>
      <c r="I137" s="209" t="s">
        <v>493</v>
      </c>
      <c r="J137" s="210">
        <v>40909</v>
      </c>
    </row>
    <row r="138" spans="1:10" ht="21" customHeight="1" x14ac:dyDescent="0.2">
      <c r="A138" s="215">
        <v>1102719489</v>
      </c>
      <c r="B138" s="143" t="s">
        <v>318</v>
      </c>
      <c r="C138" s="212">
        <f t="shared" si="1"/>
        <v>130</v>
      </c>
      <c r="D138" s="133">
        <v>1</v>
      </c>
      <c r="E138" s="144" t="s">
        <v>142</v>
      </c>
      <c r="F138" s="135">
        <v>565.22</v>
      </c>
      <c r="G138" s="135">
        <v>565.22</v>
      </c>
      <c r="H138" s="135">
        <v>565.22</v>
      </c>
      <c r="I138" s="209" t="s">
        <v>493</v>
      </c>
      <c r="J138" s="210">
        <v>40909</v>
      </c>
    </row>
    <row r="139" spans="1:10" ht="21" customHeight="1" x14ac:dyDescent="0.2">
      <c r="A139" s="215">
        <v>1103412779</v>
      </c>
      <c r="B139" s="143" t="s">
        <v>319</v>
      </c>
      <c r="C139" s="212">
        <f t="shared" si="1"/>
        <v>131</v>
      </c>
      <c r="D139" s="133">
        <v>1</v>
      </c>
      <c r="E139" s="144" t="s">
        <v>320</v>
      </c>
      <c r="F139" s="135">
        <v>565.22</v>
      </c>
      <c r="G139" s="135">
        <v>565.22</v>
      </c>
      <c r="H139" s="135">
        <v>565.22</v>
      </c>
      <c r="I139" s="209" t="s">
        <v>493</v>
      </c>
      <c r="J139" s="210">
        <v>40909</v>
      </c>
    </row>
    <row r="140" spans="1:10" ht="21" customHeight="1" x14ac:dyDescent="0.2">
      <c r="A140" s="215">
        <v>1102865779</v>
      </c>
      <c r="B140" s="143" t="s">
        <v>321</v>
      </c>
      <c r="C140" s="212">
        <f t="shared" si="1"/>
        <v>132</v>
      </c>
      <c r="D140" s="133">
        <v>1</v>
      </c>
      <c r="E140" s="144" t="s">
        <v>142</v>
      </c>
      <c r="F140" s="135">
        <v>565.22</v>
      </c>
      <c r="G140" s="135">
        <v>565.22</v>
      </c>
      <c r="H140" s="135">
        <v>565.22</v>
      </c>
      <c r="I140" s="209" t="s">
        <v>493</v>
      </c>
      <c r="J140" s="210">
        <v>40909</v>
      </c>
    </row>
    <row r="141" spans="1:10" ht="21" customHeight="1" x14ac:dyDescent="0.2">
      <c r="A141" s="215">
        <v>1102511639</v>
      </c>
      <c r="B141" s="143" t="s">
        <v>322</v>
      </c>
      <c r="C141" s="212">
        <f t="shared" ref="C141:C204" si="2">+C140+1</f>
        <v>133</v>
      </c>
      <c r="D141" s="133">
        <v>1</v>
      </c>
      <c r="E141" s="144" t="s">
        <v>142</v>
      </c>
      <c r="F141" s="135">
        <v>565.22</v>
      </c>
      <c r="G141" s="135">
        <v>565.22</v>
      </c>
      <c r="H141" s="135">
        <v>565.22</v>
      </c>
      <c r="I141" s="209" t="s">
        <v>493</v>
      </c>
      <c r="J141" s="210">
        <v>40909</v>
      </c>
    </row>
    <row r="142" spans="1:10" ht="21" customHeight="1" x14ac:dyDescent="0.2">
      <c r="A142" s="220">
        <v>1100538535</v>
      </c>
      <c r="B142" s="143" t="s">
        <v>323</v>
      </c>
      <c r="C142" s="212">
        <f t="shared" si="2"/>
        <v>134</v>
      </c>
      <c r="D142" s="133">
        <v>4</v>
      </c>
      <c r="E142" s="144" t="s">
        <v>147</v>
      </c>
      <c r="F142" s="135">
        <v>615.22</v>
      </c>
      <c r="G142" s="135">
        <v>615.22</v>
      </c>
      <c r="H142" s="135">
        <v>615.22</v>
      </c>
      <c r="I142" s="209" t="s">
        <v>493</v>
      </c>
      <c r="J142" s="210">
        <v>40909</v>
      </c>
    </row>
    <row r="143" spans="1:10" ht="21" customHeight="1" x14ac:dyDescent="0.2">
      <c r="A143" s="215">
        <v>1103428957</v>
      </c>
      <c r="B143" s="143" t="s">
        <v>324</v>
      </c>
      <c r="C143" s="212">
        <f t="shared" si="2"/>
        <v>135</v>
      </c>
      <c r="D143" s="133">
        <v>4</v>
      </c>
      <c r="E143" s="144" t="s">
        <v>147</v>
      </c>
      <c r="F143" s="135">
        <v>615.22</v>
      </c>
      <c r="G143" s="135">
        <v>615.22</v>
      </c>
      <c r="H143" s="135">
        <v>615.22</v>
      </c>
      <c r="I143" s="209" t="s">
        <v>493</v>
      </c>
      <c r="J143" s="210">
        <v>40909</v>
      </c>
    </row>
    <row r="144" spans="1:10" ht="21" customHeight="1" x14ac:dyDescent="0.2">
      <c r="A144" s="215">
        <v>1900353226</v>
      </c>
      <c r="B144" s="143" t="s">
        <v>325</v>
      </c>
      <c r="C144" s="212">
        <f t="shared" si="2"/>
        <v>136</v>
      </c>
      <c r="D144" s="133">
        <v>1</v>
      </c>
      <c r="E144" s="144" t="s">
        <v>152</v>
      </c>
      <c r="F144" s="135">
        <v>565.22</v>
      </c>
      <c r="G144" s="135">
        <v>565.22</v>
      </c>
      <c r="H144" s="135">
        <v>565.22</v>
      </c>
      <c r="I144" s="209" t="s">
        <v>493</v>
      </c>
      <c r="J144" s="210">
        <v>40909</v>
      </c>
    </row>
    <row r="145" spans="1:10" ht="21" customHeight="1" x14ac:dyDescent="0.2">
      <c r="A145" s="220">
        <v>1103352314</v>
      </c>
      <c r="B145" s="143" t="s">
        <v>326</v>
      </c>
      <c r="C145" s="212">
        <f t="shared" si="2"/>
        <v>137</v>
      </c>
      <c r="D145" s="133">
        <v>1</v>
      </c>
      <c r="E145" s="144" t="s">
        <v>315</v>
      </c>
      <c r="F145" s="135">
        <v>565.22</v>
      </c>
      <c r="G145" s="135">
        <v>565.22</v>
      </c>
      <c r="H145" s="135">
        <v>565.22</v>
      </c>
      <c r="I145" s="209" t="s">
        <v>493</v>
      </c>
      <c r="J145" s="210">
        <v>40909</v>
      </c>
    </row>
    <row r="146" spans="1:10" ht="21" customHeight="1" x14ac:dyDescent="0.2">
      <c r="A146" s="215">
        <v>1101570008</v>
      </c>
      <c r="B146" s="143" t="s">
        <v>327</v>
      </c>
      <c r="C146" s="212">
        <f t="shared" si="2"/>
        <v>138</v>
      </c>
      <c r="D146" s="133">
        <v>5</v>
      </c>
      <c r="E146" s="144" t="s">
        <v>328</v>
      </c>
      <c r="F146" s="134">
        <v>733.22</v>
      </c>
      <c r="G146" s="134">
        <v>733.22</v>
      </c>
      <c r="H146" s="134">
        <v>733.22</v>
      </c>
      <c r="I146" s="209" t="s">
        <v>493</v>
      </c>
      <c r="J146" s="210">
        <v>40909</v>
      </c>
    </row>
    <row r="147" spans="1:10" ht="21" customHeight="1" x14ac:dyDescent="0.2">
      <c r="A147" s="215">
        <v>1703104164</v>
      </c>
      <c r="B147" s="143" t="s">
        <v>329</v>
      </c>
      <c r="C147" s="212">
        <f t="shared" si="2"/>
        <v>139</v>
      </c>
      <c r="D147" s="133">
        <v>1</v>
      </c>
      <c r="E147" s="144" t="s">
        <v>160</v>
      </c>
      <c r="F147" s="135">
        <v>798.53</v>
      </c>
      <c r="G147" s="135">
        <v>798.53</v>
      </c>
      <c r="H147" s="135">
        <v>798.53</v>
      </c>
      <c r="I147" s="209" t="s">
        <v>493</v>
      </c>
      <c r="J147" s="210">
        <v>40909</v>
      </c>
    </row>
    <row r="148" spans="1:10" ht="21" customHeight="1" x14ac:dyDescent="0.2">
      <c r="A148" s="215">
        <v>1103646459</v>
      </c>
      <c r="B148" s="143" t="s">
        <v>330</v>
      </c>
      <c r="C148" s="212">
        <f t="shared" si="2"/>
        <v>140</v>
      </c>
      <c r="D148" s="133">
        <v>1</v>
      </c>
      <c r="E148" s="144" t="s">
        <v>142</v>
      </c>
      <c r="F148" s="135">
        <v>565.22</v>
      </c>
      <c r="G148" s="135">
        <v>565.22</v>
      </c>
      <c r="H148" s="135">
        <v>565.22</v>
      </c>
      <c r="I148" s="209" t="s">
        <v>493</v>
      </c>
      <c r="J148" s="210">
        <v>40909</v>
      </c>
    </row>
    <row r="149" spans="1:10" ht="21" customHeight="1" x14ac:dyDescent="0.2">
      <c r="A149" s="215">
        <v>1102116538</v>
      </c>
      <c r="B149" s="143" t="s">
        <v>331</v>
      </c>
      <c r="C149" s="212">
        <f t="shared" si="2"/>
        <v>141</v>
      </c>
      <c r="D149" s="133">
        <v>4</v>
      </c>
      <c r="E149" s="144" t="s">
        <v>147</v>
      </c>
      <c r="F149" s="135">
        <v>615.22</v>
      </c>
      <c r="G149" s="135">
        <v>615.22</v>
      </c>
      <c r="H149" s="135">
        <v>615.22</v>
      </c>
      <c r="I149" s="209" t="s">
        <v>493</v>
      </c>
      <c r="J149" s="210">
        <v>40909</v>
      </c>
    </row>
    <row r="150" spans="1:10" ht="21" customHeight="1" x14ac:dyDescent="0.2">
      <c r="A150" s="207">
        <v>1104056930</v>
      </c>
      <c r="B150" s="143" t="s">
        <v>332</v>
      </c>
      <c r="C150" s="212">
        <f t="shared" si="2"/>
        <v>142</v>
      </c>
      <c r="D150" s="133">
        <v>5</v>
      </c>
      <c r="E150" s="144" t="s">
        <v>198</v>
      </c>
      <c r="F150" s="134">
        <v>733.22</v>
      </c>
      <c r="G150" s="134">
        <v>733.22</v>
      </c>
      <c r="H150" s="134">
        <v>733.22</v>
      </c>
      <c r="I150" s="209" t="s">
        <v>493</v>
      </c>
      <c r="J150" s="210">
        <v>40909</v>
      </c>
    </row>
    <row r="151" spans="1:10" ht="21" customHeight="1" x14ac:dyDescent="0.2">
      <c r="A151" s="207" t="s">
        <v>333</v>
      </c>
      <c r="B151" s="143" t="s">
        <v>334</v>
      </c>
      <c r="C151" s="212">
        <f t="shared" si="2"/>
        <v>143</v>
      </c>
      <c r="D151" s="133">
        <v>4</v>
      </c>
      <c r="E151" s="144" t="s">
        <v>147</v>
      </c>
      <c r="F151" s="135">
        <v>615.22</v>
      </c>
      <c r="G151" s="135">
        <v>615.22</v>
      </c>
      <c r="H151" s="135">
        <v>615.22</v>
      </c>
      <c r="I151" s="209" t="s">
        <v>493</v>
      </c>
      <c r="J151" s="210">
        <v>40909</v>
      </c>
    </row>
    <row r="152" spans="1:10" ht="21" customHeight="1" x14ac:dyDescent="0.2">
      <c r="A152" s="215">
        <v>1100327095</v>
      </c>
      <c r="B152" s="143" t="s">
        <v>335</v>
      </c>
      <c r="C152" s="212">
        <f t="shared" si="2"/>
        <v>144</v>
      </c>
      <c r="D152" s="133">
        <v>2</v>
      </c>
      <c r="E152" s="144" t="s">
        <v>162</v>
      </c>
      <c r="F152" s="135">
        <v>581.22</v>
      </c>
      <c r="G152" s="135">
        <v>581.22</v>
      </c>
      <c r="H152" s="135">
        <v>581.22</v>
      </c>
      <c r="I152" s="209" t="s">
        <v>493</v>
      </c>
      <c r="J152" s="210">
        <v>40909</v>
      </c>
    </row>
    <row r="153" spans="1:10" ht="21" customHeight="1" x14ac:dyDescent="0.2">
      <c r="A153" s="215">
        <v>1102008693</v>
      </c>
      <c r="B153" s="143" t="s">
        <v>336</v>
      </c>
      <c r="C153" s="212">
        <f t="shared" si="2"/>
        <v>145</v>
      </c>
      <c r="D153" s="133">
        <v>1</v>
      </c>
      <c r="E153" s="144" t="s">
        <v>142</v>
      </c>
      <c r="F153" s="135">
        <v>565.22</v>
      </c>
      <c r="G153" s="135">
        <v>565.22</v>
      </c>
      <c r="H153" s="135">
        <v>565.22</v>
      </c>
      <c r="I153" s="209" t="s">
        <v>493</v>
      </c>
      <c r="J153" s="210">
        <v>40909</v>
      </c>
    </row>
    <row r="154" spans="1:10" ht="21" customHeight="1" x14ac:dyDescent="0.2">
      <c r="A154" s="207">
        <v>1100347135</v>
      </c>
      <c r="B154" s="143" t="s">
        <v>337</v>
      </c>
      <c r="C154" s="212">
        <f t="shared" si="2"/>
        <v>146</v>
      </c>
      <c r="D154" s="133">
        <v>1</v>
      </c>
      <c r="E154" s="144" t="s">
        <v>142</v>
      </c>
      <c r="F154" s="135">
        <v>565.22</v>
      </c>
      <c r="G154" s="135">
        <v>565.22</v>
      </c>
      <c r="H154" s="135">
        <v>565.22</v>
      </c>
      <c r="I154" s="209" t="s">
        <v>493</v>
      </c>
      <c r="J154" s="210">
        <v>40909</v>
      </c>
    </row>
    <row r="155" spans="1:10" ht="21" customHeight="1" x14ac:dyDescent="0.2">
      <c r="A155" s="207">
        <v>1101490454</v>
      </c>
      <c r="B155" s="143" t="s">
        <v>338</v>
      </c>
      <c r="C155" s="212">
        <f t="shared" si="2"/>
        <v>147</v>
      </c>
      <c r="D155" s="133">
        <v>1</v>
      </c>
      <c r="E155" s="144" t="s">
        <v>142</v>
      </c>
      <c r="F155" s="135">
        <v>565.22</v>
      </c>
      <c r="G155" s="135">
        <v>565.22</v>
      </c>
      <c r="H155" s="135">
        <v>565.22</v>
      </c>
      <c r="I155" s="209" t="s">
        <v>493</v>
      </c>
      <c r="J155" s="210">
        <v>40909</v>
      </c>
    </row>
    <row r="156" spans="1:10" ht="21" customHeight="1" x14ac:dyDescent="0.2">
      <c r="A156" s="215">
        <v>1100625084</v>
      </c>
      <c r="B156" s="143" t="s">
        <v>339</v>
      </c>
      <c r="C156" s="212">
        <f t="shared" si="2"/>
        <v>148</v>
      </c>
      <c r="D156" s="133">
        <v>4</v>
      </c>
      <c r="E156" s="144" t="s">
        <v>147</v>
      </c>
      <c r="F156" s="135">
        <v>615.22</v>
      </c>
      <c r="G156" s="135">
        <v>615.22</v>
      </c>
      <c r="H156" s="135">
        <v>615.22</v>
      </c>
      <c r="I156" s="209" t="s">
        <v>493</v>
      </c>
      <c r="J156" s="210">
        <v>40909</v>
      </c>
    </row>
    <row r="157" spans="1:10" ht="21" customHeight="1" x14ac:dyDescent="0.2">
      <c r="A157" s="207">
        <v>1101939849</v>
      </c>
      <c r="B157" s="143" t="s">
        <v>340</v>
      </c>
      <c r="C157" s="212">
        <f t="shared" si="2"/>
        <v>149</v>
      </c>
      <c r="D157" s="133">
        <v>1</v>
      </c>
      <c r="E157" s="144" t="s">
        <v>142</v>
      </c>
      <c r="F157" s="135">
        <v>608.84</v>
      </c>
      <c r="G157" s="135">
        <v>608.84</v>
      </c>
      <c r="H157" s="135">
        <v>608.84</v>
      </c>
      <c r="I157" s="209" t="s">
        <v>493</v>
      </c>
      <c r="J157" s="210">
        <v>40909</v>
      </c>
    </row>
    <row r="158" spans="1:10" ht="21" customHeight="1" x14ac:dyDescent="0.2">
      <c r="A158" s="207">
        <v>1104549744</v>
      </c>
      <c r="B158" s="143" t="s">
        <v>341</v>
      </c>
      <c r="C158" s="212">
        <f t="shared" si="2"/>
        <v>150</v>
      </c>
      <c r="D158" s="133">
        <v>5</v>
      </c>
      <c r="E158" s="144" t="s">
        <v>342</v>
      </c>
      <c r="F158" s="135">
        <v>733.22</v>
      </c>
      <c r="G158" s="135">
        <v>733.22</v>
      </c>
      <c r="H158" s="135">
        <v>733.22</v>
      </c>
      <c r="I158" s="209" t="s">
        <v>493</v>
      </c>
      <c r="J158" s="210">
        <v>40909</v>
      </c>
    </row>
    <row r="159" spans="1:10" ht="21" customHeight="1" x14ac:dyDescent="0.2">
      <c r="A159" s="207">
        <v>1102828231</v>
      </c>
      <c r="B159" s="143" t="s">
        <v>343</v>
      </c>
      <c r="C159" s="212">
        <f t="shared" si="2"/>
        <v>151</v>
      </c>
      <c r="D159" s="133">
        <v>2</v>
      </c>
      <c r="E159" s="144" t="s">
        <v>162</v>
      </c>
      <c r="F159" s="135">
        <v>581.22</v>
      </c>
      <c r="G159" s="135">
        <v>581.22</v>
      </c>
      <c r="H159" s="135">
        <v>581.22</v>
      </c>
      <c r="I159" s="209" t="s">
        <v>493</v>
      </c>
      <c r="J159" s="210">
        <v>40909</v>
      </c>
    </row>
    <row r="160" spans="1:10" ht="21" customHeight="1" x14ac:dyDescent="0.2">
      <c r="A160" s="215">
        <v>1104151442</v>
      </c>
      <c r="B160" s="143" t="s">
        <v>344</v>
      </c>
      <c r="C160" s="212">
        <f t="shared" si="2"/>
        <v>152</v>
      </c>
      <c r="D160" s="133">
        <v>2</v>
      </c>
      <c r="E160" s="144" t="s">
        <v>345</v>
      </c>
      <c r="F160" s="135">
        <v>581.22</v>
      </c>
      <c r="G160" s="135">
        <v>581.22</v>
      </c>
      <c r="H160" s="135">
        <v>581.22</v>
      </c>
      <c r="I160" s="209" t="s">
        <v>493</v>
      </c>
      <c r="J160" s="210">
        <v>40909</v>
      </c>
    </row>
    <row r="161" spans="1:10" ht="21" customHeight="1" x14ac:dyDescent="0.2">
      <c r="A161" s="207">
        <v>1710849876</v>
      </c>
      <c r="B161" s="143" t="s">
        <v>346</v>
      </c>
      <c r="C161" s="212">
        <f t="shared" si="2"/>
        <v>153</v>
      </c>
      <c r="D161" s="133">
        <v>1</v>
      </c>
      <c r="E161" s="144" t="s">
        <v>139</v>
      </c>
      <c r="F161" s="135">
        <v>565.22</v>
      </c>
      <c r="G161" s="135">
        <v>565.22</v>
      </c>
      <c r="H161" s="135">
        <v>565.22</v>
      </c>
      <c r="I161" s="209" t="s">
        <v>493</v>
      </c>
      <c r="J161" s="210">
        <v>40909</v>
      </c>
    </row>
    <row r="162" spans="1:10" ht="21" customHeight="1" x14ac:dyDescent="0.2">
      <c r="A162" s="207" t="s">
        <v>347</v>
      </c>
      <c r="B162" s="143" t="s">
        <v>348</v>
      </c>
      <c r="C162" s="212">
        <f t="shared" si="2"/>
        <v>154</v>
      </c>
      <c r="D162" s="133">
        <v>4</v>
      </c>
      <c r="E162" s="144" t="s">
        <v>191</v>
      </c>
      <c r="F162" s="135">
        <v>615.22</v>
      </c>
      <c r="G162" s="135">
        <v>615.22</v>
      </c>
      <c r="H162" s="135">
        <v>615.22</v>
      </c>
      <c r="I162" s="209" t="s">
        <v>493</v>
      </c>
      <c r="J162" s="210">
        <v>41852</v>
      </c>
    </row>
    <row r="163" spans="1:10" ht="21" customHeight="1" x14ac:dyDescent="0.2">
      <c r="A163" s="215">
        <v>1102997788</v>
      </c>
      <c r="B163" s="143" t="s">
        <v>349</v>
      </c>
      <c r="C163" s="212">
        <f t="shared" si="2"/>
        <v>155</v>
      </c>
      <c r="D163" s="133">
        <v>3</v>
      </c>
      <c r="E163" s="144" t="s">
        <v>231</v>
      </c>
      <c r="F163" s="134">
        <v>728.77</v>
      </c>
      <c r="G163" s="134">
        <v>728.77</v>
      </c>
      <c r="H163" s="134">
        <v>728.77</v>
      </c>
      <c r="I163" s="209" t="s">
        <v>493</v>
      </c>
      <c r="J163" s="210">
        <v>40909</v>
      </c>
    </row>
    <row r="164" spans="1:10" ht="21" customHeight="1" x14ac:dyDescent="0.2">
      <c r="A164" s="207" t="s">
        <v>350</v>
      </c>
      <c r="B164" s="143" t="s">
        <v>351</v>
      </c>
      <c r="C164" s="212">
        <f t="shared" si="2"/>
        <v>156</v>
      </c>
      <c r="D164" s="133">
        <v>5</v>
      </c>
      <c r="E164" s="144" t="s">
        <v>260</v>
      </c>
      <c r="F164" s="134">
        <v>733.22</v>
      </c>
      <c r="G164" s="134">
        <v>733.22</v>
      </c>
      <c r="H164" s="134">
        <v>733.22</v>
      </c>
      <c r="I164" s="209" t="s">
        <v>493</v>
      </c>
      <c r="J164" s="210">
        <v>40909</v>
      </c>
    </row>
    <row r="165" spans="1:10" ht="21" customHeight="1" x14ac:dyDescent="0.2">
      <c r="A165" s="215">
        <v>1102020573</v>
      </c>
      <c r="B165" s="143" t="s">
        <v>352</v>
      </c>
      <c r="C165" s="212">
        <f t="shared" si="2"/>
        <v>157</v>
      </c>
      <c r="D165" s="133">
        <v>1</v>
      </c>
      <c r="E165" s="144" t="s">
        <v>353</v>
      </c>
      <c r="F165" s="135">
        <v>565.22</v>
      </c>
      <c r="G165" s="135">
        <v>565.22</v>
      </c>
      <c r="H165" s="135">
        <v>565.22</v>
      </c>
      <c r="I165" s="209" t="s">
        <v>493</v>
      </c>
      <c r="J165" s="210">
        <v>40909</v>
      </c>
    </row>
    <row r="166" spans="1:10" ht="21" customHeight="1" x14ac:dyDescent="0.2">
      <c r="A166" s="215">
        <v>1102017678</v>
      </c>
      <c r="B166" s="143" t="s">
        <v>354</v>
      </c>
      <c r="C166" s="212">
        <f t="shared" si="2"/>
        <v>158</v>
      </c>
      <c r="D166" s="133">
        <v>1</v>
      </c>
      <c r="E166" s="144" t="s">
        <v>226</v>
      </c>
      <c r="F166" s="135">
        <v>565.22</v>
      </c>
      <c r="G166" s="135">
        <v>565.22</v>
      </c>
      <c r="H166" s="135">
        <v>565.22</v>
      </c>
      <c r="I166" s="209" t="s">
        <v>493</v>
      </c>
      <c r="J166" s="210">
        <v>40909</v>
      </c>
    </row>
    <row r="167" spans="1:10" ht="21" customHeight="1" x14ac:dyDescent="0.2">
      <c r="A167" s="215">
        <v>1716237555</v>
      </c>
      <c r="B167" s="143" t="s">
        <v>355</v>
      </c>
      <c r="C167" s="212">
        <f t="shared" si="2"/>
        <v>159</v>
      </c>
      <c r="D167" s="133">
        <v>5</v>
      </c>
      <c r="E167" s="144" t="s">
        <v>158</v>
      </c>
      <c r="F167" s="134">
        <v>733.22</v>
      </c>
      <c r="G167" s="134">
        <v>733.22</v>
      </c>
      <c r="H167" s="134">
        <v>733.22</v>
      </c>
      <c r="I167" s="209" t="s">
        <v>493</v>
      </c>
      <c r="J167" s="210">
        <v>40909</v>
      </c>
    </row>
    <row r="168" spans="1:10" ht="21" customHeight="1" x14ac:dyDescent="0.2">
      <c r="A168" s="207" t="s">
        <v>356</v>
      </c>
      <c r="B168" s="143" t="s">
        <v>357</v>
      </c>
      <c r="C168" s="212">
        <f t="shared" si="2"/>
        <v>160</v>
      </c>
      <c r="D168" s="133">
        <v>1</v>
      </c>
      <c r="E168" s="144" t="s">
        <v>353</v>
      </c>
      <c r="F168" s="135">
        <v>565.22</v>
      </c>
      <c r="G168" s="135">
        <v>565.22</v>
      </c>
      <c r="H168" s="135">
        <v>565.22</v>
      </c>
      <c r="I168" s="209" t="s">
        <v>493</v>
      </c>
      <c r="J168" s="210">
        <v>40909</v>
      </c>
    </row>
    <row r="169" spans="1:10" ht="21" customHeight="1" x14ac:dyDescent="0.2">
      <c r="A169" s="215" t="s">
        <v>358</v>
      </c>
      <c r="B169" s="143" t="s">
        <v>359</v>
      </c>
      <c r="C169" s="212">
        <f t="shared" si="2"/>
        <v>161</v>
      </c>
      <c r="D169" s="133">
        <v>5</v>
      </c>
      <c r="E169" s="144" t="s">
        <v>204</v>
      </c>
      <c r="F169" s="134">
        <v>733.22</v>
      </c>
      <c r="G169" s="134">
        <v>733.22</v>
      </c>
      <c r="H169" s="134">
        <v>733.22</v>
      </c>
      <c r="I169" s="209" t="s">
        <v>493</v>
      </c>
      <c r="J169" s="210">
        <v>40909</v>
      </c>
    </row>
    <row r="170" spans="1:10" ht="21" customHeight="1" x14ac:dyDescent="0.2">
      <c r="A170" s="207">
        <v>1103407647</v>
      </c>
      <c r="B170" s="143" t="s">
        <v>360</v>
      </c>
      <c r="C170" s="212">
        <f t="shared" si="2"/>
        <v>162</v>
      </c>
      <c r="D170" s="133">
        <v>1</v>
      </c>
      <c r="E170" s="144" t="s">
        <v>139</v>
      </c>
      <c r="F170" s="135">
        <v>565.22</v>
      </c>
      <c r="G170" s="135">
        <v>565.22</v>
      </c>
      <c r="H170" s="135">
        <v>565.22</v>
      </c>
      <c r="I170" s="209" t="s">
        <v>493</v>
      </c>
      <c r="J170" s="210">
        <v>40909</v>
      </c>
    </row>
    <row r="171" spans="1:10" ht="21" customHeight="1" x14ac:dyDescent="0.2">
      <c r="A171" s="207">
        <v>1101574380</v>
      </c>
      <c r="B171" s="143" t="s">
        <v>361</v>
      </c>
      <c r="C171" s="212">
        <f t="shared" si="2"/>
        <v>163</v>
      </c>
      <c r="D171" s="133">
        <v>4</v>
      </c>
      <c r="E171" s="144" t="s">
        <v>147</v>
      </c>
      <c r="F171" s="135">
        <v>615.22</v>
      </c>
      <c r="G171" s="135">
        <v>615.22</v>
      </c>
      <c r="H171" s="135">
        <v>615.22</v>
      </c>
      <c r="I171" s="209" t="s">
        <v>493</v>
      </c>
      <c r="J171" s="210">
        <v>40909</v>
      </c>
    </row>
    <row r="172" spans="1:10" ht="21" customHeight="1" x14ac:dyDescent="0.2">
      <c r="A172" s="207">
        <v>1104448806</v>
      </c>
      <c r="B172" s="143" t="s">
        <v>362</v>
      </c>
      <c r="C172" s="212">
        <f t="shared" si="2"/>
        <v>164</v>
      </c>
      <c r="D172" s="133">
        <v>1</v>
      </c>
      <c r="E172" s="144" t="s">
        <v>142</v>
      </c>
      <c r="F172" s="135">
        <v>565.22</v>
      </c>
      <c r="G172" s="135">
        <v>565.22</v>
      </c>
      <c r="H172" s="135">
        <v>565.22</v>
      </c>
      <c r="I172" s="209" t="s">
        <v>493</v>
      </c>
      <c r="J172" s="210">
        <v>40909</v>
      </c>
    </row>
    <row r="173" spans="1:10" ht="21" customHeight="1" x14ac:dyDescent="0.2">
      <c r="A173" s="215">
        <v>1102982905</v>
      </c>
      <c r="B173" s="143" t="s">
        <v>363</v>
      </c>
      <c r="C173" s="212">
        <f t="shared" si="2"/>
        <v>165</v>
      </c>
      <c r="D173" s="133">
        <v>1</v>
      </c>
      <c r="E173" s="144" t="s">
        <v>160</v>
      </c>
      <c r="F173" s="135">
        <v>565.22</v>
      </c>
      <c r="G173" s="135">
        <v>565.22</v>
      </c>
      <c r="H173" s="135">
        <v>565.22</v>
      </c>
      <c r="I173" s="209" t="s">
        <v>493</v>
      </c>
      <c r="J173" s="210">
        <v>40909</v>
      </c>
    </row>
    <row r="174" spans="1:10" ht="21" customHeight="1" x14ac:dyDescent="0.2">
      <c r="A174" s="207">
        <v>1103336325</v>
      </c>
      <c r="B174" s="143" t="s">
        <v>364</v>
      </c>
      <c r="C174" s="212">
        <f t="shared" si="2"/>
        <v>166</v>
      </c>
      <c r="D174" s="133">
        <v>5</v>
      </c>
      <c r="E174" s="144" t="s">
        <v>305</v>
      </c>
      <c r="F174" s="134">
        <v>733.22</v>
      </c>
      <c r="G174" s="134">
        <v>733.22</v>
      </c>
      <c r="H174" s="134">
        <v>733.22</v>
      </c>
      <c r="I174" s="209" t="s">
        <v>493</v>
      </c>
      <c r="J174" s="210">
        <v>40909</v>
      </c>
    </row>
    <row r="175" spans="1:10" ht="21" customHeight="1" x14ac:dyDescent="0.2">
      <c r="A175" s="207" t="s">
        <v>365</v>
      </c>
      <c r="B175" s="143" t="s">
        <v>366</v>
      </c>
      <c r="C175" s="212">
        <f t="shared" si="2"/>
        <v>167</v>
      </c>
      <c r="D175" s="133">
        <v>5</v>
      </c>
      <c r="E175" s="144" t="s">
        <v>305</v>
      </c>
      <c r="F175" s="134">
        <v>733.22</v>
      </c>
      <c r="G175" s="134">
        <v>733.22</v>
      </c>
      <c r="H175" s="134">
        <v>733.22</v>
      </c>
      <c r="I175" s="209" t="s">
        <v>493</v>
      </c>
      <c r="J175" s="210">
        <v>40909</v>
      </c>
    </row>
    <row r="176" spans="1:10" ht="21" customHeight="1" x14ac:dyDescent="0.2">
      <c r="A176" s="207" t="s">
        <v>367</v>
      </c>
      <c r="B176" s="143" t="s">
        <v>368</v>
      </c>
      <c r="C176" s="212">
        <f t="shared" si="2"/>
        <v>168</v>
      </c>
      <c r="D176" s="133">
        <v>1</v>
      </c>
      <c r="E176" s="144" t="s">
        <v>353</v>
      </c>
      <c r="F176" s="135">
        <v>565.22</v>
      </c>
      <c r="G176" s="135">
        <v>565.22</v>
      </c>
      <c r="H176" s="135">
        <v>565.22</v>
      </c>
      <c r="I176" s="209" t="s">
        <v>493</v>
      </c>
      <c r="J176" s="210">
        <v>40909</v>
      </c>
    </row>
    <row r="177" spans="1:10" ht="21" customHeight="1" x14ac:dyDescent="0.2">
      <c r="A177" s="207">
        <v>1100425642</v>
      </c>
      <c r="B177" s="143" t="s">
        <v>369</v>
      </c>
      <c r="C177" s="212">
        <f t="shared" si="2"/>
        <v>169</v>
      </c>
      <c r="D177" s="133">
        <v>1</v>
      </c>
      <c r="E177" s="144" t="s">
        <v>164</v>
      </c>
      <c r="F177" s="135">
        <v>565.22</v>
      </c>
      <c r="G177" s="135">
        <v>565.22</v>
      </c>
      <c r="H177" s="135">
        <v>565.22</v>
      </c>
      <c r="I177" s="209" t="s">
        <v>493</v>
      </c>
      <c r="J177" s="210">
        <v>40909</v>
      </c>
    </row>
    <row r="178" spans="1:10" ht="21" customHeight="1" x14ac:dyDescent="0.2">
      <c r="A178" s="215">
        <v>1104075435</v>
      </c>
      <c r="B178" s="143" t="s">
        <v>370</v>
      </c>
      <c r="C178" s="212">
        <f t="shared" si="2"/>
        <v>170</v>
      </c>
      <c r="D178" s="133">
        <v>5</v>
      </c>
      <c r="E178" s="144" t="s">
        <v>198</v>
      </c>
      <c r="F178" s="134">
        <v>733.22</v>
      </c>
      <c r="G178" s="134">
        <v>733.22</v>
      </c>
      <c r="H178" s="134">
        <v>733.22</v>
      </c>
      <c r="I178" s="209" t="s">
        <v>493</v>
      </c>
      <c r="J178" s="210">
        <v>40909</v>
      </c>
    </row>
    <row r="179" spans="1:10" ht="21" customHeight="1" x14ac:dyDescent="0.2">
      <c r="A179" s="215">
        <v>1101798666</v>
      </c>
      <c r="B179" s="143" t="s">
        <v>371</v>
      </c>
      <c r="C179" s="212">
        <f t="shared" si="2"/>
        <v>171</v>
      </c>
      <c r="D179" s="133">
        <v>5</v>
      </c>
      <c r="E179" s="144" t="s">
        <v>372</v>
      </c>
      <c r="F179" s="134">
        <v>962.13</v>
      </c>
      <c r="G179" s="134">
        <v>962.13</v>
      </c>
      <c r="H179" s="134">
        <v>962.13</v>
      </c>
      <c r="I179" s="209" t="s">
        <v>493</v>
      </c>
      <c r="J179" s="210">
        <v>40909</v>
      </c>
    </row>
    <row r="180" spans="1:10" ht="21" customHeight="1" x14ac:dyDescent="0.2">
      <c r="A180" s="215">
        <v>1103329247</v>
      </c>
      <c r="B180" s="143" t="s">
        <v>373</v>
      </c>
      <c r="C180" s="212">
        <f t="shared" si="2"/>
        <v>172</v>
      </c>
      <c r="D180" s="133">
        <v>9</v>
      </c>
      <c r="E180" s="144" t="s">
        <v>150</v>
      </c>
      <c r="F180" s="135">
        <v>835.22</v>
      </c>
      <c r="G180" s="135">
        <v>835.22</v>
      </c>
      <c r="H180" s="135">
        <v>856</v>
      </c>
      <c r="I180" s="209" t="s">
        <v>493</v>
      </c>
      <c r="J180" s="210">
        <v>40909</v>
      </c>
    </row>
    <row r="181" spans="1:10" ht="21" customHeight="1" x14ac:dyDescent="0.2">
      <c r="A181" s="215">
        <v>1102131099</v>
      </c>
      <c r="B181" s="143" t="s">
        <v>374</v>
      </c>
      <c r="C181" s="212">
        <f t="shared" si="2"/>
        <v>173</v>
      </c>
      <c r="D181" s="133">
        <v>5</v>
      </c>
      <c r="E181" s="144" t="s">
        <v>198</v>
      </c>
      <c r="F181" s="134">
        <v>876</v>
      </c>
      <c r="G181" s="134">
        <v>876</v>
      </c>
      <c r="H181" s="134">
        <v>876</v>
      </c>
      <c r="I181" s="209" t="s">
        <v>493</v>
      </c>
      <c r="J181" s="210">
        <v>40909</v>
      </c>
    </row>
    <row r="182" spans="1:10" ht="21" customHeight="1" x14ac:dyDescent="0.2">
      <c r="A182" s="215">
        <v>1104601867</v>
      </c>
      <c r="B182" s="143" t="s">
        <v>375</v>
      </c>
      <c r="C182" s="212">
        <f t="shared" si="2"/>
        <v>174</v>
      </c>
      <c r="D182" s="133">
        <v>1</v>
      </c>
      <c r="E182" s="144" t="s">
        <v>152</v>
      </c>
      <c r="F182" s="135">
        <v>565.22</v>
      </c>
      <c r="G182" s="135">
        <v>565.22</v>
      </c>
      <c r="H182" s="135">
        <v>565.22</v>
      </c>
      <c r="I182" s="219" t="s">
        <v>493</v>
      </c>
      <c r="J182" s="210">
        <v>40909</v>
      </c>
    </row>
    <row r="183" spans="1:10" ht="21" customHeight="1" x14ac:dyDescent="0.2">
      <c r="A183" s="217">
        <v>1102167226</v>
      </c>
      <c r="B183" s="143" t="s">
        <v>376</v>
      </c>
      <c r="C183" s="212">
        <f t="shared" si="2"/>
        <v>175</v>
      </c>
      <c r="D183" s="133">
        <v>4</v>
      </c>
      <c r="E183" s="144" t="s">
        <v>147</v>
      </c>
      <c r="F183" s="136">
        <v>598</v>
      </c>
      <c r="G183" s="136">
        <v>598</v>
      </c>
      <c r="H183" s="136">
        <v>598</v>
      </c>
      <c r="I183" s="209" t="s">
        <v>493</v>
      </c>
      <c r="J183" s="210">
        <v>41640</v>
      </c>
    </row>
    <row r="184" spans="1:10" ht="21" customHeight="1" x14ac:dyDescent="0.2">
      <c r="A184" s="215">
        <v>1102863824</v>
      </c>
      <c r="B184" s="143" t="s">
        <v>377</v>
      </c>
      <c r="C184" s="212">
        <f t="shared" si="2"/>
        <v>176</v>
      </c>
      <c r="D184" s="133">
        <v>4</v>
      </c>
      <c r="E184" s="144" t="s">
        <v>191</v>
      </c>
      <c r="F184" s="135">
        <v>615.22</v>
      </c>
      <c r="G184" s="135">
        <v>615.22</v>
      </c>
      <c r="H184" s="135">
        <v>615.22</v>
      </c>
      <c r="I184" s="209" t="s">
        <v>493</v>
      </c>
      <c r="J184" s="210">
        <v>40909</v>
      </c>
    </row>
    <row r="185" spans="1:10" ht="21" customHeight="1" x14ac:dyDescent="0.2">
      <c r="A185" s="215">
        <v>1103148951</v>
      </c>
      <c r="B185" s="143" t="s">
        <v>378</v>
      </c>
      <c r="C185" s="212">
        <f t="shared" si="2"/>
        <v>177</v>
      </c>
      <c r="D185" s="133">
        <v>1</v>
      </c>
      <c r="E185" s="144" t="s">
        <v>379</v>
      </c>
      <c r="F185" s="135">
        <v>565.22</v>
      </c>
      <c r="G185" s="135">
        <v>565.22</v>
      </c>
      <c r="H185" s="135">
        <v>565.22</v>
      </c>
      <c r="I185" s="209" t="s">
        <v>493</v>
      </c>
      <c r="J185" s="210">
        <v>40909</v>
      </c>
    </row>
    <row r="186" spans="1:10" ht="21" customHeight="1" x14ac:dyDescent="0.2">
      <c r="A186" s="207">
        <v>1103653786</v>
      </c>
      <c r="B186" s="143" t="s">
        <v>380</v>
      </c>
      <c r="C186" s="212">
        <f t="shared" si="2"/>
        <v>178</v>
      </c>
      <c r="D186" s="133">
        <v>5</v>
      </c>
      <c r="E186" s="144" t="s">
        <v>140</v>
      </c>
      <c r="F186" s="134">
        <v>733.22</v>
      </c>
      <c r="G186" s="134">
        <v>733.22</v>
      </c>
      <c r="H186" s="134">
        <v>733.22</v>
      </c>
      <c r="I186" s="209" t="s">
        <v>493</v>
      </c>
      <c r="J186" s="210">
        <v>40909</v>
      </c>
    </row>
    <row r="187" spans="1:10" ht="21" customHeight="1" x14ac:dyDescent="0.2">
      <c r="A187" s="215">
        <v>1101943494</v>
      </c>
      <c r="B187" s="143" t="s">
        <v>381</v>
      </c>
      <c r="C187" s="212">
        <f t="shared" si="2"/>
        <v>179</v>
      </c>
      <c r="D187" s="133">
        <v>2</v>
      </c>
      <c r="E187" s="144" t="s">
        <v>162</v>
      </c>
      <c r="F187" s="135">
        <v>581.22</v>
      </c>
      <c r="G187" s="135">
        <v>581.22</v>
      </c>
      <c r="H187" s="135">
        <v>581.22</v>
      </c>
      <c r="I187" s="209" t="s">
        <v>493</v>
      </c>
      <c r="J187" s="210">
        <v>40909</v>
      </c>
    </row>
    <row r="188" spans="1:10" ht="21" customHeight="1" x14ac:dyDescent="0.2">
      <c r="A188" s="207">
        <v>1102134960</v>
      </c>
      <c r="B188" s="143" t="s">
        <v>382</v>
      </c>
      <c r="C188" s="212">
        <f t="shared" si="2"/>
        <v>180</v>
      </c>
      <c r="D188" s="133">
        <v>5</v>
      </c>
      <c r="E188" s="144" t="s">
        <v>383</v>
      </c>
      <c r="F188" s="134">
        <v>733.22</v>
      </c>
      <c r="G188" s="134">
        <v>733.22</v>
      </c>
      <c r="H188" s="134">
        <v>733.22</v>
      </c>
      <c r="I188" s="209" t="s">
        <v>493</v>
      </c>
      <c r="J188" s="210">
        <v>40909</v>
      </c>
    </row>
    <row r="189" spans="1:10" ht="21" customHeight="1" x14ac:dyDescent="0.2">
      <c r="A189" s="215">
        <v>1101794897</v>
      </c>
      <c r="B189" s="143" t="s">
        <v>384</v>
      </c>
      <c r="C189" s="212">
        <f t="shared" si="2"/>
        <v>181</v>
      </c>
      <c r="D189" s="133">
        <v>8</v>
      </c>
      <c r="E189" s="144" t="s">
        <v>385</v>
      </c>
      <c r="F189" s="134">
        <v>876</v>
      </c>
      <c r="G189" s="134">
        <v>876</v>
      </c>
      <c r="H189" s="134">
        <v>876</v>
      </c>
      <c r="I189" s="209" t="s">
        <v>493</v>
      </c>
      <c r="J189" s="210">
        <v>40909</v>
      </c>
    </row>
    <row r="190" spans="1:10" ht="21" customHeight="1" x14ac:dyDescent="0.2">
      <c r="A190" s="215" t="s">
        <v>386</v>
      </c>
      <c r="B190" s="143" t="s">
        <v>387</v>
      </c>
      <c r="C190" s="212">
        <f t="shared" si="2"/>
        <v>182</v>
      </c>
      <c r="D190" s="133">
        <v>8</v>
      </c>
      <c r="E190" s="144" t="s">
        <v>385</v>
      </c>
      <c r="F190" s="135">
        <v>816.22</v>
      </c>
      <c r="G190" s="135">
        <v>816.22</v>
      </c>
      <c r="H190" s="135">
        <v>816.22</v>
      </c>
      <c r="I190" s="209" t="s">
        <v>493</v>
      </c>
      <c r="J190" s="210">
        <v>40909</v>
      </c>
    </row>
    <row r="191" spans="1:10" ht="21" customHeight="1" x14ac:dyDescent="0.2">
      <c r="A191" s="218">
        <v>1103498117</v>
      </c>
      <c r="B191" s="143" t="s">
        <v>388</v>
      </c>
      <c r="C191" s="212">
        <f t="shared" si="2"/>
        <v>183</v>
      </c>
      <c r="D191" s="133">
        <v>3</v>
      </c>
      <c r="E191" s="144" t="s">
        <v>231</v>
      </c>
      <c r="F191" s="136">
        <v>598</v>
      </c>
      <c r="G191" s="136">
        <v>598</v>
      </c>
      <c r="H191" s="136">
        <v>598</v>
      </c>
      <c r="I191" s="209" t="s">
        <v>493</v>
      </c>
      <c r="J191" s="210">
        <v>41640</v>
      </c>
    </row>
    <row r="192" spans="1:10" ht="21" customHeight="1" x14ac:dyDescent="0.2">
      <c r="A192" s="214">
        <v>1104396211</v>
      </c>
      <c r="B192" s="143" t="s">
        <v>389</v>
      </c>
      <c r="C192" s="212">
        <f t="shared" si="2"/>
        <v>184</v>
      </c>
      <c r="D192" s="133">
        <v>5</v>
      </c>
      <c r="E192" s="144" t="s">
        <v>390</v>
      </c>
      <c r="F192" s="136">
        <v>733</v>
      </c>
      <c r="G192" s="136">
        <v>733</v>
      </c>
      <c r="H192" s="136">
        <v>733</v>
      </c>
      <c r="I192" s="209" t="s">
        <v>493</v>
      </c>
      <c r="J192" s="210">
        <v>41640</v>
      </c>
    </row>
    <row r="193" spans="1:10" ht="21" customHeight="1" x14ac:dyDescent="0.2">
      <c r="A193" s="213">
        <v>1103139851</v>
      </c>
      <c r="B193" s="143" t="s">
        <v>391</v>
      </c>
      <c r="C193" s="212">
        <f t="shared" si="2"/>
        <v>185</v>
      </c>
      <c r="D193" s="133">
        <v>3</v>
      </c>
      <c r="E193" s="144" t="s">
        <v>231</v>
      </c>
      <c r="F193" s="136">
        <v>598</v>
      </c>
      <c r="G193" s="136">
        <v>598</v>
      </c>
      <c r="H193" s="136">
        <v>598</v>
      </c>
      <c r="I193" s="209" t="s">
        <v>493</v>
      </c>
      <c r="J193" s="210">
        <v>41640</v>
      </c>
    </row>
    <row r="194" spans="1:10" ht="21" customHeight="1" x14ac:dyDescent="0.2">
      <c r="A194" s="214">
        <v>1704344611</v>
      </c>
      <c r="B194" s="143" t="s">
        <v>392</v>
      </c>
      <c r="C194" s="212">
        <f t="shared" si="2"/>
        <v>186</v>
      </c>
      <c r="D194" s="133">
        <v>4</v>
      </c>
      <c r="E194" s="144" t="s">
        <v>147</v>
      </c>
      <c r="F194" s="136">
        <v>598</v>
      </c>
      <c r="G194" s="136">
        <v>598</v>
      </c>
      <c r="H194" s="136">
        <v>598</v>
      </c>
      <c r="I194" s="209" t="s">
        <v>493</v>
      </c>
      <c r="J194" s="210">
        <v>41640</v>
      </c>
    </row>
    <row r="195" spans="1:10" ht="21" customHeight="1" x14ac:dyDescent="0.2">
      <c r="A195" s="207" t="s">
        <v>393</v>
      </c>
      <c r="B195" s="143" t="s">
        <v>394</v>
      </c>
      <c r="C195" s="212">
        <f t="shared" si="2"/>
        <v>187</v>
      </c>
      <c r="D195" s="133">
        <v>1</v>
      </c>
      <c r="E195" s="144" t="s">
        <v>139</v>
      </c>
      <c r="F195" s="135">
        <v>565.22</v>
      </c>
      <c r="G195" s="135">
        <v>565.22</v>
      </c>
      <c r="H195" s="135">
        <v>565.22</v>
      </c>
      <c r="I195" s="209" t="s">
        <v>493</v>
      </c>
      <c r="J195" s="210">
        <v>40909</v>
      </c>
    </row>
    <row r="196" spans="1:10" ht="21" customHeight="1" x14ac:dyDescent="0.2">
      <c r="A196" s="207" t="s">
        <v>395</v>
      </c>
      <c r="B196" s="143" t="s">
        <v>396</v>
      </c>
      <c r="C196" s="212">
        <f t="shared" si="2"/>
        <v>188</v>
      </c>
      <c r="D196" s="133">
        <v>5</v>
      </c>
      <c r="E196" s="144" t="s">
        <v>397</v>
      </c>
      <c r="F196" s="134">
        <v>733.22</v>
      </c>
      <c r="G196" s="134">
        <v>733.22</v>
      </c>
      <c r="H196" s="134">
        <v>733.22</v>
      </c>
      <c r="I196" s="209" t="s">
        <v>493</v>
      </c>
      <c r="J196" s="210">
        <v>40909</v>
      </c>
    </row>
    <row r="197" spans="1:10" ht="21" customHeight="1" x14ac:dyDescent="0.2">
      <c r="A197" s="215">
        <v>1102640370</v>
      </c>
      <c r="B197" s="143" t="s">
        <v>398</v>
      </c>
      <c r="C197" s="212">
        <f t="shared" si="2"/>
        <v>189</v>
      </c>
      <c r="D197" s="133">
        <v>2</v>
      </c>
      <c r="E197" s="144" t="s">
        <v>162</v>
      </c>
      <c r="F197" s="135">
        <v>581.22</v>
      </c>
      <c r="G197" s="135">
        <v>581.22</v>
      </c>
      <c r="H197" s="135">
        <v>581.22</v>
      </c>
      <c r="I197" s="209" t="s">
        <v>493</v>
      </c>
      <c r="J197" s="210">
        <v>40909</v>
      </c>
    </row>
    <row r="198" spans="1:10" ht="21" customHeight="1" x14ac:dyDescent="0.2">
      <c r="A198" s="215">
        <v>1102645759</v>
      </c>
      <c r="B198" s="143" t="s">
        <v>399</v>
      </c>
      <c r="C198" s="212">
        <f t="shared" si="2"/>
        <v>190</v>
      </c>
      <c r="D198" s="133">
        <v>1</v>
      </c>
      <c r="E198" s="144" t="s">
        <v>400</v>
      </c>
      <c r="F198" s="135">
        <v>632.29</v>
      </c>
      <c r="G198" s="135">
        <v>632.29</v>
      </c>
      <c r="H198" s="135">
        <v>632.29</v>
      </c>
      <c r="I198" s="209" t="s">
        <v>493</v>
      </c>
      <c r="J198" s="210">
        <v>40909</v>
      </c>
    </row>
    <row r="199" spans="1:10" ht="21" customHeight="1" x14ac:dyDescent="0.2">
      <c r="A199" s="215">
        <v>1102865613</v>
      </c>
      <c r="B199" s="143" t="s">
        <v>401</v>
      </c>
      <c r="C199" s="212">
        <f t="shared" si="2"/>
        <v>191</v>
      </c>
      <c r="D199" s="133">
        <v>8</v>
      </c>
      <c r="E199" s="144" t="s">
        <v>273</v>
      </c>
      <c r="F199" s="135">
        <v>816.22</v>
      </c>
      <c r="G199" s="135">
        <v>816.22</v>
      </c>
      <c r="H199" s="135">
        <v>816.22</v>
      </c>
      <c r="I199" s="209" t="s">
        <v>493</v>
      </c>
      <c r="J199" s="210">
        <v>40909</v>
      </c>
    </row>
    <row r="200" spans="1:10" ht="21" customHeight="1" x14ac:dyDescent="0.2">
      <c r="A200" s="215">
        <v>1102440060</v>
      </c>
      <c r="B200" s="143" t="s">
        <v>402</v>
      </c>
      <c r="C200" s="212">
        <f t="shared" si="2"/>
        <v>192</v>
      </c>
      <c r="D200" s="133">
        <v>1</v>
      </c>
      <c r="E200" s="144" t="s">
        <v>403</v>
      </c>
      <c r="F200" s="135">
        <v>565.22</v>
      </c>
      <c r="G200" s="135">
        <v>565.22</v>
      </c>
      <c r="H200" s="135">
        <v>565.22</v>
      </c>
      <c r="I200" s="209" t="s">
        <v>493</v>
      </c>
      <c r="J200" s="210">
        <v>40909</v>
      </c>
    </row>
    <row r="201" spans="1:10" ht="21" customHeight="1" x14ac:dyDescent="0.2">
      <c r="A201" s="215">
        <v>1104435555</v>
      </c>
      <c r="B201" s="143" t="s">
        <v>404</v>
      </c>
      <c r="C201" s="212">
        <f t="shared" si="2"/>
        <v>193</v>
      </c>
      <c r="D201" s="133">
        <v>1</v>
      </c>
      <c r="E201" s="144" t="s">
        <v>187</v>
      </c>
      <c r="F201" s="135">
        <v>565.22</v>
      </c>
      <c r="G201" s="135">
        <v>565.22</v>
      </c>
      <c r="H201" s="135">
        <v>565.22</v>
      </c>
      <c r="I201" s="209" t="s">
        <v>493</v>
      </c>
      <c r="J201" s="210">
        <v>40909</v>
      </c>
    </row>
    <row r="202" spans="1:10" ht="21" customHeight="1" x14ac:dyDescent="0.2">
      <c r="A202" s="215">
        <v>1102402110</v>
      </c>
      <c r="B202" s="143" t="s">
        <v>405</v>
      </c>
      <c r="C202" s="212">
        <f t="shared" si="2"/>
        <v>194</v>
      </c>
      <c r="D202" s="133">
        <v>4</v>
      </c>
      <c r="E202" s="144" t="s">
        <v>147</v>
      </c>
      <c r="F202" s="135">
        <v>615.22</v>
      </c>
      <c r="G202" s="135">
        <v>615.22</v>
      </c>
      <c r="H202" s="135">
        <v>615.22</v>
      </c>
      <c r="I202" s="209" t="s">
        <v>493</v>
      </c>
      <c r="J202" s="210">
        <v>40909</v>
      </c>
    </row>
    <row r="203" spans="1:10" ht="21" customHeight="1" x14ac:dyDescent="0.2">
      <c r="A203" s="215" t="s">
        <v>406</v>
      </c>
      <c r="B203" s="143" t="s">
        <v>407</v>
      </c>
      <c r="C203" s="212">
        <f t="shared" si="2"/>
        <v>195</v>
      </c>
      <c r="D203" s="133">
        <v>1</v>
      </c>
      <c r="E203" s="144" t="s">
        <v>152</v>
      </c>
      <c r="F203" s="135">
        <v>565.22</v>
      </c>
      <c r="G203" s="135">
        <v>565.22</v>
      </c>
      <c r="H203" s="135">
        <v>565.22</v>
      </c>
      <c r="I203" s="209" t="s">
        <v>493</v>
      </c>
      <c r="J203" s="210">
        <v>40909</v>
      </c>
    </row>
    <row r="204" spans="1:10" ht="21" customHeight="1" x14ac:dyDescent="0.2">
      <c r="A204" s="215">
        <v>1100309044</v>
      </c>
      <c r="B204" s="143" t="s">
        <v>408</v>
      </c>
      <c r="C204" s="212">
        <f t="shared" si="2"/>
        <v>196</v>
      </c>
      <c r="D204" s="133">
        <v>1</v>
      </c>
      <c r="E204" s="144" t="s">
        <v>160</v>
      </c>
      <c r="F204" s="135">
        <v>565.22</v>
      </c>
      <c r="G204" s="135">
        <v>565.22</v>
      </c>
      <c r="H204" s="135">
        <v>565.22</v>
      </c>
      <c r="I204" s="209" t="s">
        <v>493</v>
      </c>
      <c r="J204" s="210">
        <v>40909</v>
      </c>
    </row>
    <row r="205" spans="1:10" ht="21" customHeight="1" x14ac:dyDescent="0.2">
      <c r="A205" s="218">
        <v>1102060710</v>
      </c>
      <c r="B205" s="143" t="s">
        <v>409</v>
      </c>
      <c r="C205" s="212">
        <f t="shared" ref="C205:C258" si="3">+C204+1</f>
        <v>197</v>
      </c>
      <c r="D205" s="133">
        <v>4</v>
      </c>
      <c r="E205" s="144" t="s">
        <v>147</v>
      </c>
      <c r="F205" s="136">
        <v>598</v>
      </c>
      <c r="G205" s="136">
        <v>598</v>
      </c>
      <c r="H205" s="136">
        <v>598</v>
      </c>
      <c r="I205" s="209" t="s">
        <v>493</v>
      </c>
      <c r="J205" s="210">
        <v>41640</v>
      </c>
    </row>
    <row r="206" spans="1:10" ht="21" customHeight="1" x14ac:dyDescent="0.2">
      <c r="A206" s="218">
        <v>1102296553</v>
      </c>
      <c r="B206" s="143" t="s">
        <v>410</v>
      </c>
      <c r="C206" s="212">
        <f t="shared" si="3"/>
        <v>198</v>
      </c>
      <c r="D206" s="133">
        <v>5</v>
      </c>
      <c r="E206" s="144" t="s">
        <v>144</v>
      </c>
      <c r="F206" s="136">
        <v>733</v>
      </c>
      <c r="G206" s="136">
        <v>733</v>
      </c>
      <c r="H206" s="136">
        <v>733</v>
      </c>
      <c r="I206" s="209" t="s">
        <v>493</v>
      </c>
      <c r="J206" s="210">
        <v>41640</v>
      </c>
    </row>
    <row r="207" spans="1:10" ht="21" customHeight="1" x14ac:dyDescent="0.2">
      <c r="A207" s="215">
        <v>1102813241</v>
      </c>
      <c r="B207" s="143" t="s">
        <v>411</v>
      </c>
      <c r="C207" s="212">
        <f t="shared" si="3"/>
        <v>199</v>
      </c>
      <c r="D207" s="133">
        <v>2</v>
      </c>
      <c r="E207" s="144" t="s">
        <v>173</v>
      </c>
      <c r="F207" s="135">
        <v>581.22</v>
      </c>
      <c r="G207" s="135">
        <v>581.22</v>
      </c>
      <c r="H207" s="135">
        <v>581.22</v>
      </c>
      <c r="I207" s="209" t="s">
        <v>493</v>
      </c>
      <c r="J207" s="210">
        <v>40909</v>
      </c>
    </row>
    <row r="208" spans="1:10" ht="21" customHeight="1" x14ac:dyDescent="0.2">
      <c r="A208" s="207" t="s">
        <v>412</v>
      </c>
      <c r="B208" s="143" t="s">
        <v>413</v>
      </c>
      <c r="C208" s="212">
        <f t="shared" si="3"/>
        <v>200</v>
      </c>
      <c r="D208" s="133">
        <v>5</v>
      </c>
      <c r="E208" s="144" t="s">
        <v>204</v>
      </c>
      <c r="F208" s="134">
        <v>733.22</v>
      </c>
      <c r="G208" s="134">
        <v>733.22</v>
      </c>
      <c r="H208" s="134">
        <v>733.22</v>
      </c>
      <c r="I208" s="209" t="s">
        <v>493</v>
      </c>
      <c r="J208" s="210">
        <v>40909</v>
      </c>
    </row>
    <row r="209" spans="1:10" ht="21" customHeight="1" x14ac:dyDescent="0.2">
      <c r="A209" s="215">
        <v>1100093853</v>
      </c>
      <c r="B209" s="143" t="s">
        <v>414</v>
      </c>
      <c r="C209" s="212">
        <f t="shared" si="3"/>
        <v>201</v>
      </c>
      <c r="D209" s="133">
        <v>3</v>
      </c>
      <c r="E209" s="144" t="s">
        <v>231</v>
      </c>
      <c r="F209" s="135">
        <v>598.22</v>
      </c>
      <c r="G209" s="135">
        <v>598.22</v>
      </c>
      <c r="H209" s="135">
        <v>598.22</v>
      </c>
      <c r="I209" s="209" t="s">
        <v>493</v>
      </c>
      <c r="J209" s="210">
        <v>40909</v>
      </c>
    </row>
    <row r="210" spans="1:10" ht="21" customHeight="1" x14ac:dyDescent="0.2">
      <c r="A210" s="207" t="s">
        <v>415</v>
      </c>
      <c r="B210" s="143" t="s">
        <v>416</v>
      </c>
      <c r="C210" s="212">
        <f t="shared" si="3"/>
        <v>202</v>
      </c>
      <c r="D210" s="133">
        <v>1</v>
      </c>
      <c r="E210" s="144" t="s">
        <v>142</v>
      </c>
      <c r="F210" s="135">
        <v>565.22</v>
      </c>
      <c r="G210" s="135">
        <v>565.22</v>
      </c>
      <c r="H210" s="135">
        <v>565.22</v>
      </c>
      <c r="I210" s="209" t="s">
        <v>493</v>
      </c>
      <c r="J210" s="210">
        <v>40909</v>
      </c>
    </row>
    <row r="211" spans="1:10" ht="21" customHeight="1" x14ac:dyDescent="0.2">
      <c r="A211" s="215" t="s">
        <v>417</v>
      </c>
      <c r="B211" s="143" t="s">
        <v>418</v>
      </c>
      <c r="C211" s="212">
        <f t="shared" si="3"/>
        <v>203</v>
      </c>
      <c r="D211" s="133">
        <v>6</v>
      </c>
      <c r="E211" s="144" t="s">
        <v>181</v>
      </c>
      <c r="F211" s="135">
        <v>615.22</v>
      </c>
      <c r="G211" s="135">
        <v>615.22</v>
      </c>
      <c r="H211" s="135">
        <v>709</v>
      </c>
      <c r="I211" s="209"/>
      <c r="J211" s="210">
        <v>40909</v>
      </c>
    </row>
    <row r="212" spans="1:10" ht="21" customHeight="1" x14ac:dyDescent="0.2">
      <c r="A212" s="207">
        <v>1101431201</v>
      </c>
      <c r="B212" s="143" t="s">
        <v>419</v>
      </c>
      <c r="C212" s="212">
        <f t="shared" si="3"/>
        <v>204</v>
      </c>
      <c r="D212" s="133">
        <v>2</v>
      </c>
      <c r="E212" s="144" t="s">
        <v>162</v>
      </c>
      <c r="F212" s="135">
        <v>581.22</v>
      </c>
      <c r="G212" s="135">
        <v>581.22</v>
      </c>
      <c r="H212" s="135">
        <v>581.22</v>
      </c>
      <c r="I212" s="209" t="s">
        <v>493</v>
      </c>
      <c r="J212" s="210">
        <v>40909</v>
      </c>
    </row>
    <row r="213" spans="1:10" ht="21" customHeight="1" x14ac:dyDescent="0.2">
      <c r="A213" s="215">
        <v>1102798962</v>
      </c>
      <c r="B213" s="143" t="s">
        <v>420</v>
      </c>
      <c r="C213" s="212">
        <f t="shared" si="3"/>
        <v>205</v>
      </c>
      <c r="D213" s="133">
        <v>8</v>
      </c>
      <c r="E213" s="144" t="s">
        <v>421</v>
      </c>
      <c r="F213" s="135">
        <v>816.22</v>
      </c>
      <c r="G213" s="135">
        <v>816.22</v>
      </c>
      <c r="H213" s="135">
        <v>816.22</v>
      </c>
      <c r="I213" s="209" t="s">
        <v>493</v>
      </c>
      <c r="J213" s="210">
        <v>40909</v>
      </c>
    </row>
    <row r="214" spans="1:10" ht="21" customHeight="1" x14ac:dyDescent="0.2">
      <c r="A214" s="215">
        <v>1100868593</v>
      </c>
      <c r="B214" s="143" t="s">
        <v>422</v>
      </c>
      <c r="C214" s="212">
        <f t="shared" si="3"/>
        <v>206</v>
      </c>
      <c r="D214" s="133">
        <v>6</v>
      </c>
      <c r="E214" s="144" t="s">
        <v>181</v>
      </c>
      <c r="F214" s="135">
        <v>615.22</v>
      </c>
      <c r="G214" s="135">
        <v>615.22</v>
      </c>
      <c r="H214" s="135">
        <v>709</v>
      </c>
      <c r="I214" s="209"/>
      <c r="J214" s="210">
        <v>40909</v>
      </c>
    </row>
    <row r="215" spans="1:10" ht="21" customHeight="1" x14ac:dyDescent="0.2">
      <c r="A215" s="215">
        <v>1102750641</v>
      </c>
      <c r="B215" s="143" t="s">
        <v>423</v>
      </c>
      <c r="C215" s="212">
        <f t="shared" si="3"/>
        <v>207</v>
      </c>
      <c r="D215" s="133">
        <v>4</v>
      </c>
      <c r="E215" s="144" t="s">
        <v>147</v>
      </c>
      <c r="F215" s="135">
        <v>615.22</v>
      </c>
      <c r="G215" s="135">
        <v>615.22</v>
      </c>
      <c r="H215" s="135">
        <v>615.22</v>
      </c>
      <c r="I215" s="209" t="s">
        <v>493</v>
      </c>
      <c r="J215" s="210">
        <v>40909</v>
      </c>
    </row>
    <row r="216" spans="1:10" ht="21" customHeight="1" x14ac:dyDescent="0.2">
      <c r="A216" s="218">
        <v>1103106405</v>
      </c>
      <c r="B216" s="143" t="s">
        <v>424</v>
      </c>
      <c r="C216" s="212">
        <f t="shared" si="3"/>
        <v>208</v>
      </c>
      <c r="D216" s="133">
        <v>4</v>
      </c>
      <c r="E216" s="144" t="s">
        <v>147</v>
      </c>
      <c r="F216" s="136">
        <v>598</v>
      </c>
      <c r="G216" s="136">
        <v>598</v>
      </c>
      <c r="H216" s="136">
        <v>598</v>
      </c>
      <c r="I216" s="209" t="s">
        <v>493</v>
      </c>
      <c r="J216" s="210">
        <v>41640</v>
      </c>
    </row>
    <row r="217" spans="1:10" ht="21" customHeight="1" x14ac:dyDescent="0.2">
      <c r="A217" s="215">
        <v>1102361530</v>
      </c>
      <c r="B217" s="143" t="s">
        <v>425</v>
      </c>
      <c r="C217" s="212">
        <f t="shared" si="3"/>
        <v>209</v>
      </c>
      <c r="D217" s="133">
        <v>5</v>
      </c>
      <c r="E217" s="144" t="s">
        <v>260</v>
      </c>
      <c r="F217" s="134">
        <v>733.22</v>
      </c>
      <c r="G217" s="134">
        <v>733.22</v>
      </c>
      <c r="H217" s="134">
        <v>733.22</v>
      </c>
      <c r="I217" s="209" t="s">
        <v>493</v>
      </c>
      <c r="J217" s="210">
        <v>40909</v>
      </c>
    </row>
    <row r="218" spans="1:10" ht="21" customHeight="1" x14ac:dyDescent="0.2">
      <c r="A218" s="220">
        <v>1100249067</v>
      </c>
      <c r="B218" s="143" t="s">
        <v>426</v>
      </c>
      <c r="C218" s="212">
        <f t="shared" si="3"/>
        <v>210</v>
      </c>
      <c r="D218" s="133">
        <v>1</v>
      </c>
      <c r="E218" s="144" t="s">
        <v>139</v>
      </c>
      <c r="F218" s="135">
        <v>565.22</v>
      </c>
      <c r="G218" s="135">
        <v>565.22</v>
      </c>
      <c r="H218" s="135">
        <v>565.22</v>
      </c>
      <c r="I218" s="209" t="s">
        <v>493</v>
      </c>
      <c r="J218" s="210">
        <v>40909</v>
      </c>
    </row>
    <row r="219" spans="1:10" ht="21" customHeight="1" x14ac:dyDescent="0.2">
      <c r="A219" s="215">
        <v>1102982731</v>
      </c>
      <c r="B219" s="143" t="s">
        <v>427</v>
      </c>
      <c r="C219" s="212">
        <f t="shared" si="3"/>
        <v>211</v>
      </c>
      <c r="D219" s="133">
        <v>1</v>
      </c>
      <c r="E219" s="144" t="s">
        <v>142</v>
      </c>
      <c r="F219" s="135">
        <v>565.22</v>
      </c>
      <c r="G219" s="135">
        <v>565.22</v>
      </c>
      <c r="H219" s="135">
        <v>565.22</v>
      </c>
      <c r="I219" s="209" t="s">
        <v>493</v>
      </c>
      <c r="J219" s="210">
        <v>40909</v>
      </c>
    </row>
    <row r="220" spans="1:10" ht="21" customHeight="1" x14ac:dyDescent="0.2">
      <c r="A220" s="215">
        <v>1706738729</v>
      </c>
      <c r="B220" s="143" t="s">
        <v>428</v>
      </c>
      <c r="C220" s="212">
        <f t="shared" si="3"/>
        <v>212</v>
      </c>
      <c r="D220" s="133">
        <v>2</v>
      </c>
      <c r="E220" s="144" t="s">
        <v>429</v>
      </c>
      <c r="F220" s="134">
        <v>612.41999999999996</v>
      </c>
      <c r="G220" s="134">
        <v>612.41999999999996</v>
      </c>
      <c r="H220" s="134">
        <v>612.41999999999996</v>
      </c>
      <c r="I220" s="209" t="s">
        <v>493</v>
      </c>
      <c r="J220" s="210">
        <v>40909</v>
      </c>
    </row>
    <row r="221" spans="1:10" ht="21" customHeight="1" x14ac:dyDescent="0.2">
      <c r="A221" s="218">
        <v>1715677777</v>
      </c>
      <c r="B221" s="143" t="s">
        <v>430</v>
      </c>
      <c r="C221" s="212">
        <f t="shared" si="3"/>
        <v>213</v>
      </c>
      <c r="D221" s="133">
        <v>4</v>
      </c>
      <c r="E221" s="144" t="s">
        <v>147</v>
      </c>
      <c r="F221" s="136">
        <v>598</v>
      </c>
      <c r="G221" s="136">
        <v>598</v>
      </c>
      <c r="H221" s="136">
        <v>598</v>
      </c>
      <c r="I221" s="209" t="s">
        <v>493</v>
      </c>
      <c r="J221" s="210">
        <v>41640</v>
      </c>
    </row>
    <row r="222" spans="1:10" ht="21" customHeight="1" x14ac:dyDescent="0.2">
      <c r="A222" s="215">
        <v>1103041669</v>
      </c>
      <c r="B222" s="143" t="s">
        <v>431</v>
      </c>
      <c r="C222" s="212">
        <f t="shared" si="3"/>
        <v>214</v>
      </c>
      <c r="D222" s="133">
        <v>1</v>
      </c>
      <c r="E222" s="144" t="s">
        <v>164</v>
      </c>
      <c r="F222" s="135">
        <v>649.03</v>
      </c>
      <c r="G222" s="135">
        <v>649.03</v>
      </c>
      <c r="H222" s="135">
        <v>649.03</v>
      </c>
      <c r="I222" s="209" t="s">
        <v>493</v>
      </c>
      <c r="J222" s="210">
        <v>40909</v>
      </c>
    </row>
    <row r="223" spans="1:10" ht="21" customHeight="1" x14ac:dyDescent="0.2">
      <c r="A223" s="215">
        <v>1103169312</v>
      </c>
      <c r="B223" s="143" t="s">
        <v>432</v>
      </c>
      <c r="C223" s="212">
        <f t="shared" si="3"/>
        <v>215</v>
      </c>
      <c r="D223" s="133">
        <v>3</v>
      </c>
      <c r="E223" s="144" t="s">
        <v>231</v>
      </c>
      <c r="F223" s="134">
        <v>622.6</v>
      </c>
      <c r="G223" s="134">
        <v>622.6</v>
      </c>
      <c r="H223" s="134">
        <v>622.6</v>
      </c>
      <c r="I223" s="209" t="s">
        <v>493</v>
      </c>
      <c r="J223" s="210">
        <v>40909</v>
      </c>
    </row>
    <row r="224" spans="1:10" ht="21" customHeight="1" x14ac:dyDescent="0.2">
      <c r="A224" s="215">
        <v>1101979357</v>
      </c>
      <c r="B224" s="143" t="s">
        <v>433</v>
      </c>
      <c r="C224" s="212">
        <f t="shared" si="3"/>
        <v>216</v>
      </c>
      <c r="D224" s="133">
        <v>8</v>
      </c>
      <c r="E224" s="144" t="s">
        <v>421</v>
      </c>
      <c r="F224" s="135">
        <v>816.22</v>
      </c>
      <c r="G224" s="135">
        <v>816.22</v>
      </c>
      <c r="H224" s="135">
        <v>816.22</v>
      </c>
      <c r="I224" s="209" t="s">
        <v>493</v>
      </c>
      <c r="J224" s="210">
        <v>40909</v>
      </c>
    </row>
    <row r="225" spans="1:10" ht="21" customHeight="1" x14ac:dyDescent="0.2">
      <c r="A225" s="220">
        <v>1102662051</v>
      </c>
      <c r="B225" s="143" t="s">
        <v>434</v>
      </c>
      <c r="C225" s="212">
        <f t="shared" si="3"/>
        <v>217</v>
      </c>
      <c r="D225" s="133">
        <v>1</v>
      </c>
      <c r="E225" s="144" t="s">
        <v>160</v>
      </c>
      <c r="F225" s="135">
        <v>799.18</v>
      </c>
      <c r="G225" s="135">
        <v>799.18</v>
      </c>
      <c r="H225" s="135">
        <v>799.18</v>
      </c>
      <c r="I225" s="209" t="s">
        <v>493</v>
      </c>
      <c r="J225" s="210">
        <v>40909</v>
      </c>
    </row>
    <row r="226" spans="1:10" ht="21" customHeight="1" x14ac:dyDescent="0.2">
      <c r="A226" s="215">
        <v>1102704770</v>
      </c>
      <c r="B226" s="143" t="s">
        <v>435</v>
      </c>
      <c r="C226" s="212">
        <f t="shared" si="3"/>
        <v>218</v>
      </c>
      <c r="D226" s="133">
        <v>3</v>
      </c>
      <c r="E226" s="144" t="s">
        <v>231</v>
      </c>
      <c r="F226" s="134">
        <v>728.33</v>
      </c>
      <c r="G226" s="134">
        <v>728.33</v>
      </c>
      <c r="H226" s="134">
        <v>728.33</v>
      </c>
      <c r="I226" s="209" t="s">
        <v>493</v>
      </c>
      <c r="J226" s="210">
        <v>40909</v>
      </c>
    </row>
    <row r="227" spans="1:10" ht="21" customHeight="1" x14ac:dyDescent="0.2">
      <c r="A227" s="215">
        <v>1102740832</v>
      </c>
      <c r="B227" s="143" t="s">
        <v>436</v>
      </c>
      <c r="C227" s="212">
        <f t="shared" si="3"/>
        <v>219</v>
      </c>
      <c r="D227" s="133">
        <v>6</v>
      </c>
      <c r="E227" s="144" t="s">
        <v>181</v>
      </c>
      <c r="F227" s="135">
        <v>615.22</v>
      </c>
      <c r="G227" s="135">
        <v>615.22</v>
      </c>
      <c r="H227" s="135">
        <v>709</v>
      </c>
      <c r="I227" s="209"/>
      <c r="J227" s="210">
        <v>40909</v>
      </c>
    </row>
    <row r="228" spans="1:10" ht="21" customHeight="1" x14ac:dyDescent="0.2">
      <c r="A228" s="215">
        <v>1102681465</v>
      </c>
      <c r="B228" s="143" t="s">
        <v>437</v>
      </c>
      <c r="C228" s="212">
        <f t="shared" si="3"/>
        <v>220</v>
      </c>
      <c r="D228" s="133">
        <v>5</v>
      </c>
      <c r="E228" s="144" t="s">
        <v>438</v>
      </c>
      <c r="F228" s="134">
        <v>733.22</v>
      </c>
      <c r="G228" s="134">
        <v>733.22</v>
      </c>
      <c r="H228" s="134">
        <v>733.22</v>
      </c>
      <c r="I228" s="209" t="s">
        <v>493</v>
      </c>
      <c r="J228" s="210">
        <v>40909</v>
      </c>
    </row>
    <row r="229" spans="1:10" ht="21" customHeight="1" x14ac:dyDescent="0.2">
      <c r="A229" s="215">
        <v>1103412217</v>
      </c>
      <c r="B229" s="143" t="s">
        <v>439</v>
      </c>
      <c r="C229" s="212">
        <f t="shared" si="3"/>
        <v>221</v>
      </c>
      <c r="D229" s="133">
        <v>4</v>
      </c>
      <c r="E229" s="144" t="s">
        <v>191</v>
      </c>
      <c r="F229" s="135">
        <v>615.22</v>
      </c>
      <c r="G229" s="135">
        <v>615.22</v>
      </c>
      <c r="H229" s="135">
        <v>615.22</v>
      </c>
      <c r="I229" s="209" t="s">
        <v>493</v>
      </c>
      <c r="J229" s="210">
        <v>40909</v>
      </c>
    </row>
    <row r="230" spans="1:10" ht="21" customHeight="1" x14ac:dyDescent="0.2">
      <c r="A230" s="207">
        <v>1102646609</v>
      </c>
      <c r="B230" s="143" t="s">
        <v>440</v>
      </c>
      <c r="C230" s="212">
        <f t="shared" si="3"/>
        <v>222</v>
      </c>
      <c r="D230" s="133">
        <v>5</v>
      </c>
      <c r="E230" s="144" t="s">
        <v>198</v>
      </c>
      <c r="F230" s="134">
        <v>887.68</v>
      </c>
      <c r="G230" s="134">
        <v>887.68</v>
      </c>
      <c r="H230" s="134">
        <v>887.68</v>
      </c>
      <c r="I230" s="209" t="s">
        <v>493</v>
      </c>
      <c r="J230" s="210">
        <v>40909</v>
      </c>
    </row>
    <row r="231" spans="1:10" ht="21" customHeight="1" x14ac:dyDescent="0.2">
      <c r="A231" s="213">
        <v>1103698575</v>
      </c>
      <c r="B231" s="143" t="s">
        <v>441</v>
      </c>
      <c r="C231" s="212">
        <f t="shared" si="3"/>
        <v>223</v>
      </c>
      <c r="D231" s="133">
        <v>1</v>
      </c>
      <c r="E231" s="144" t="s">
        <v>185</v>
      </c>
      <c r="F231" s="136">
        <v>565</v>
      </c>
      <c r="G231" s="136">
        <v>565</v>
      </c>
      <c r="H231" s="136">
        <v>565</v>
      </c>
      <c r="I231" s="209" t="s">
        <v>493</v>
      </c>
      <c r="J231" s="210">
        <v>41640</v>
      </c>
    </row>
    <row r="232" spans="1:10" ht="21" customHeight="1" x14ac:dyDescent="0.2">
      <c r="A232" s="207">
        <v>1103547194</v>
      </c>
      <c r="B232" s="143" t="s">
        <v>442</v>
      </c>
      <c r="C232" s="212">
        <f t="shared" si="3"/>
        <v>224</v>
      </c>
      <c r="D232" s="133">
        <v>5</v>
      </c>
      <c r="E232" s="144" t="s">
        <v>140</v>
      </c>
      <c r="F232" s="134">
        <v>733.22</v>
      </c>
      <c r="G232" s="134">
        <v>733.22</v>
      </c>
      <c r="H232" s="134">
        <v>733.22</v>
      </c>
      <c r="I232" s="209" t="s">
        <v>493</v>
      </c>
      <c r="J232" s="210">
        <v>40909</v>
      </c>
    </row>
    <row r="233" spans="1:10" ht="21" customHeight="1" x14ac:dyDescent="0.2">
      <c r="A233" s="213">
        <v>1104631716</v>
      </c>
      <c r="B233" s="143" t="s">
        <v>443</v>
      </c>
      <c r="C233" s="212">
        <f t="shared" si="3"/>
        <v>225</v>
      </c>
      <c r="D233" s="133">
        <v>1</v>
      </c>
      <c r="E233" s="144" t="s">
        <v>185</v>
      </c>
      <c r="F233" s="136">
        <v>565</v>
      </c>
      <c r="G233" s="136">
        <v>565</v>
      </c>
      <c r="H233" s="136">
        <v>565</v>
      </c>
      <c r="I233" s="209" t="s">
        <v>493</v>
      </c>
      <c r="J233" s="210">
        <v>41640</v>
      </c>
    </row>
    <row r="234" spans="1:10" ht="21" customHeight="1" x14ac:dyDescent="0.2">
      <c r="A234" s="214">
        <v>1103836449</v>
      </c>
      <c r="B234" s="143" t="s">
        <v>444</v>
      </c>
      <c r="C234" s="212">
        <f t="shared" si="3"/>
        <v>226</v>
      </c>
      <c r="D234" s="133">
        <v>1</v>
      </c>
      <c r="E234" s="144" t="s">
        <v>164</v>
      </c>
      <c r="F234" s="135">
        <v>565.22</v>
      </c>
      <c r="G234" s="135">
        <v>565.22</v>
      </c>
      <c r="H234" s="135">
        <v>565.22</v>
      </c>
      <c r="I234" s="209" t="s">
        <v>493</v>
      </c>
      <c r="J234" s="210">
        <v>40909</v>
      </c>
    </row>
    <row r="235" spans="1:10" ht="21" customHeight="1" x14ac:dyDescent="0.2">
      <c r="A235" s="215">
        <v>1101891735</v>
      </c>
      <c r="B235" s="143" t="s">
        <v>445</v>
      </c>
      <c r="C235" s="212">
        <f t="shared" si="3"/>
        <v>227</v>
      </c>
      <c r="D235" s="133">
        <v>5</v>
      </c>
      <c r="E235" s="144" t="s">
        <v>198</v>
      </c>
      <c r="F235" s="134">
        <v>920.53</v>
      </c>
      <c r="G235" s="134">
        <v>920.53</v>
      </c>
      <c r="H235" s="134">
        <v>920.53</v>
      </c>
      <c r="I235" s="209" t="s">
        <v>493</v>
      </c>
      <c r="J235" s="210">
        <v>40909</v>
      </c>
    </row>
    <row r="236" spans="1:10" ht="21" customHeight="1" x14ac:dyDescent="0.2">
      <c r="A236" s="207" t="s">
        <v>446</v>
      </c>
      <c r="B236" s="143" t="s">
        <v>447</v>
      </c>
      <c r="C236" s="212">
        <f t="shared" si="3"/>
        <v>228</v>
      </c>
      <c r="D236" s="133">
        <v>1</v>
      </c>
      <c r="E236" s="144" t="s">
        <v>139</v>
      </c>
      <c r="F236" s="135">
        <v>565.22</v>
      </c>
      <c r="G236" s="135">
        <v>565.22</v>
      </c>
      <c r="H236" s="135">
        <v>565.22</v>
      </c>
      <c r="I236" s="209" t="s">
        <v>493</v>
      </c>
      <c r="J236" s="210">
        <v>40909</v>
      </c>
    </row>
    <row r="237" spans="1:10" ht="21" customHeight="1" x14ac:dyDescent="0.2">
      <c r="A237" s="213">
        <v>1100431699</v>
      </c>
      <c r="B237" s="143" t="s">
        <v>448</v>
      </c>
      <c r="C237" s="212">
        <f t="shared" si="3"/>
        <v>229</v>
      </c>
      <c r="D237" s="133">
        <v>3</v>
      </c>
      <c r="E237" s="144" t="s">
        <v>231</v>
      </c>
      <c r="F237" s="136">
        <v>598</v>
      </c>
      <c r="G237" s="136">
        <v>598</v>
      </c>
      <c r="H237" s="136">
        <v>598</v>
      </c>
      <c r="I237" s="209" t="s">
        <v>493</v>
      </c>
      <c r="J237" s="210">
        <v>41640</v>
      </c>
    </row>
    <row r="238" spans="1:10" ht="21" customHeight="1" x14ac:dyDescent="0.2">
      <c r="A238" s="207" t="s">
        <v>449</v>
      </c>
      <c r="B238" s="143" t="s">
        <v>450</v>
      </c>
      <c r="C238" s="212">
        <f t="shared" si="3"/>
        <v>230</v>
      </c>
      <c r="D238" s="133">
        <v>3</v>
      </c>
      <c r="E238" s="144" t="s">
        <v>231</v>
      </c>
      <c r="F238" s="135">
        <v>615.22</v>
      </c>
      <c r="G238" s="135">
        <v>615.22</v>
      </c>
      <c r="H238" s="135">
        <v>615.22</v>
      </c>
      <c r="I238" s="209" t="s">
        <v>493</v>
      </c>
      <c r="J238" s="210">
        <v>40909</v>
      </c>
    </row>
    <row r="239" spans="1:10" ht="21" customHeight="1" x14ac:dyDescent="0.2">
      <c r="A239" s="207">
        <v>1100625837</v>
      </c>
      <c r="B239" s="143" t="s">
        <v>451</v>
      </c>
      <c r="C239" s="212">
        <f t="shared" si="3"/>
        <v>231</v>
      </c>
      <c r="D239" s="133">
        <v>4</v>
      </c>
      <c r="E239" s="144" t="s">
        <v>147</v>
      </c>
      <c r="F239" s="134">
        <v>876</v>
      </c>
      <c r="G239" s="134">
        <v>876</v>
      </c>
      <c r="H239" s="134">
        <v>876</v>
      </c>
      <c r="I239" s="209" t="s">
        <v>493</v>
      </c>
      <c r="J239" s="210">
        <v>40909</v>
      </c>
    </row>
    <row r="240" spans="1:10" ht="21" customHeight="1" x14ac:dyDescent="0.2">
      <c r="A240" s="207">
        <v>1102557392</v>
      </c>
      <c r="B240" s="143" t="s">
        <v>452</v>
      </c>
      <c r="C240" s="212">
        <f t="shared" si="3"/>
        <v>232</v>
      </c>
      <c r="D240" s="133">
        <v>5</v>
      </c>
      <c r="E240" s="144" t="s">
        <v>198</v>
      </c>
      <c r="F240" s="134">
        <v>733.22</v>
      </c>
      <c r="G240" s="134">
        <v>733.22</v>
      </c>
      <c r="H240" s="134">
        <v>733.22</v>
      </c>
      <c r="I240" s="209" t="s">
        <v>493</v>
      </c>
      <c r="J240" s="210">
        <v>40909</v>
      </c>
    </row>
    <row r="241" spans="1:10" ht="21" customHeight="1" x14ac:dyDescent="0.2">
      <c r="A241" s="207">
        <v>1100784519</v>
      </c>
      <c r="B241" s="143" t="s">
        <v>453</v>
      </c>
      <c r="C241" s="212">
        <f t="shared" si="3"/>
        <v>233</v>
      </c>
      <c r="D241" s="133">
        <v>5</v>
      </c>
      <c r="E241" s="144" t="s">
        <v>204</v>
      </c>
      <c r="F241" s="134">
        <v>733.22</v>
      </c>
      <c r="G241" s="134">
        <v>733.22</v>
      </c>
      <c r="H241" s="134">
        <v>733.22</v>
      </c>
      <c r="I241" s="209" t="s">
        <v>493</v>
      </c>
      <c r="J241" s="210">
        <v>40909</v>
      </c>
    </row>
    <row r="242" spans="1:10" ht="21" customHeight="1" x14ac:dyDescent="0.2">
      <c r="A242" s="215">
        <v>1101713723</v>
      </c>
      <c r="B242" s="143" t="s">
        <v>454</v>
      </c>
      <c r="C242" s="212">
        <f t="shared" si="3"/>
        <v>234</v>
      </c>
      <c r="D242" s="133">
        <v>4</v>
      </c>
      <c r="E242" s="144" t="s">
        <v>147</v>
      </c>
      <c r="F242" s="134">
        <v>728.33</v>
      </c>
      <c r="G242" s="134">
        <v>728.33</v>
      </c>
      <c r="H242" s="134">
        <v>728.33</v>
      </c>
      <c r="I242" s="209" t="s">
        <v>493</v>
      </c>
      <c r="J242" s="210">
        <v>40909</v>
      </c>
    </row>
    <row r="243" spans="1:10" ht="21" customHeight="1" x14ac:dyDescent="0.2">
      <c r="A243" s="207">
        <v>1102292925</v>
      </c>
      <c r="B243" s="143" t="s">
        <v>455</v>
      </c>
      <c r="C243" s="212">
        <f t="shared" si="3"/>
        <v>235</v>
      </c>
      <c r="D243" s="133">
        <v>4</v>
      </c>
      <c r="E243" s="144" t="s">
        <v>147</v>
      </c>
      <c r="F243" s="135">
        <v>615.22</v>
      </c>
      <c r="G243" s="135">
        <v>615.22</v>
      </c>
      <c r="H243" s="135">
        <v>615.22</v>
      </c>
      <c r="I243" s="219" t="s">
        <v>493</v>
      </c>
      <c r="J243" s="210">
        <v>40909</v>
      </c>
    </row>
    <row r="244" spans="1:10" ht="21" customHeight="1" x14ac:dyDescent="0.2">
      <c r="A244" s="215">
        <v>1101070306</v>
      </c>
      <c r="B244" s="143" t="s">
        <v>456</v>
      </c>
      <c r="C244" s="212">
        <f t="shared" si="3"/>
        <v>236</v>
      </c>
      <c r="D244" s="133">
        <v>4</v>
      </c>
      <c r="E244" s="144" t="s">
        <v>147</v>
      </c>
      <c r="F244" s="134">
        <v>902.33</v>
      </c>
      <c r="G244" s="134">
        <v>902.33</v>
      </c>
      <c r="H244" s="134">
        <v>902.33</v>
      </c>
      <c r="I244" s="209" t="s">
        <v>493</v>
      </c>
      <c r="J244" s="210">
        <v>40909</v>
      </c>
    </row>
    <row r="245" spans="1:10" ht="21" customHeight="1" x14ac:dyDescent="0.2">
      <c r="A245" s="218">
        <v>1708999337</v>
      </c>
      <c r="B245" s="143" t="s">
        <v>457</v>
      </c>
      <c r="C245" s="212">
        <f t="shared" si="3"/>
        <v>237</v>
      </c>
      <c r="D245" s="133">
        <v>3</v>
      </c>
      <c r="E245" s="144" t="s">
        <v>231</v>
      </c>
      <c r="F245" s="136">
        <v>598</v>
      </c>
      <c r="G245" s="136">
        <v>598</v>
      </c>
      <c r="H245" s="136">
        <v>598</v>
      </c>
      <c r="I245" s="209" t="s">
        <v>493</v>
      </c>
      <c r="J245" s="210">
        <v>41640</v>
      </c>
    </row>
    <row r="246" spans="1:10" ht="21" customHeight="1" x14ac:dyDescent="0.2">
      <c r="A246" s="215">
        <v>1706777719</v>
      </c>
      <c r="B246" s="143" t="s">
        <v>458</v>
      </c>
      <c r="C246" s="212">
        <f t="shared" si="3"/>
        <v>238</v>
      </c>
      <c r="D246" s="133">
        <v>1</v>
      </c>
      <c r="E246" s="144" t="s">
        <v>167</v>
      </c>
      <c r="F246" s="135">
        <v>565.22</v>
      </c>
      <c r="G246" s="135">
        <v>565.22</v>
      </c>
      <c r="H246" s="135">
        <v>565.22</v>
      </c>
      <c r="I246" s="209" t="s">
        <v>493</v>
      </c>
      <c r="J246" s="210">
        <v>40909</v>
      </c>
    </row>
    <row r="247" spans="1:10" ht="21" customHeight="1" x14ac:dyDescent="0.2">
      <c r="A247" s="215">
        <v>1102024393</v>
      </c>
      <c r="B247" s="143" t="s">
        <v>459</v>
      </c>
      <c r="C247" s="212">
        <f t="shared" si="3"/>
        <v>239</v>
      </c>
      <c r="D247" s="133">
        <v>1</v>
      </c>
      <c r="E247" s="144" t="s">
        <v>152</v>
      </c>
      <c r="F247" s="135">
        <v>565.22</v>
      </c>
      <c r="G247" s="135">
        <v>565.22</v>
      </c>
      <c r="H247" s="135">
        <v>565.22</v>
      </c>
      <c r="I247" s="209" t="s">
        <v>493</v>
      </c>
      <c r="J247" s="210">
        <v>40909</v>
      </c>
    </row>
    <row r="248" spans="1:10" ht="21" customHeight="1" x14ac:dyDescent="0.2">
      <c r="A248" s="207">
        <v>1102739099</v>
      </c>
      <c r="B248" s="143" t="s">
        <v>460</v>
      </c>
      <c r="C248" s="212">
        <f t="shared" si="3"/>
        <v>240</v>
      </c>
      <c r="D248" s="133">
        <v>4</v>
      </c>
      <c r="E248" s="144" t="s">
        <v>147</v>
      </c>
      <c r="F248" s="135">
        <v>615.22</v>
      </c>
      <c r="G248" s="135">
        <v>615.22</v>
      </c>
      <c r="H248" s="135">
        <v>615.22</v>
      </c>
      <c r="I248" s="209" t="s">
        <v>493</v>
      </c>
      <c r="J248" s="210">
        <v>40909</v>
      </c>
    </row>
    <row r="249" spans="1:10" ht="21" customHeight="1" x14ac:dyDescent="0.2">
      <c r="A249" s="215">
        <v>1101932638</v>
      </c>
      <c r="B249" s="143" t="s">
        <v>461</v>
      </c>
      <c r="C249" s="212">
        <f t="shared" si="3"/>
        <v>241</v>
      </c>
      <c r="D249" s="133">
        <v>9</v>
      </c>
      <c r="E249" s="144" t="s">
        <v>462</v>
      </c>
      <c r="F249" s="134">
        <v>868.08</v>
      </c>
      <c r="G249" s="134">
        <v>868.08</v>
      </c>
      <c r="H249" s="134">
        <v>868.08</v>
      </c>
      <c r="I249" s="209" t="s">
        <v>493</v>
      </c>
      <c r="J249" s="210">
        <v>40909</v>
      </c>
    </row>
    <row r="250" spans="1:10" ht="21" customHeight="1" x14ac:dyDescent="0.2">
      <c r="A250" s="215">
        <v>1304998519</v>
      </c>
      <c r="B250" s="143" t="s">
        <v>463</v>
      </c>
      <c r="C250" s="212">
        <f t="shared" si="3"/>
        <v>242</v>
      </c>
      <c r="D250" s="133">
        <v>4</v>
      </c>
      <c r="E250" s="144" t="s">
        <v>191</v>
      </c>
      <c r="F250" s="134">
        <v>628.66999999999996</v>
      </c>
      <c r="G250" s="134">
        <v>628.66999999999996</v>
      </c>
      <c r="H250" s="134">
        <v>628.66999999999996</v>
      </c>
      <c r="I250" s="209" t="s">
        <v>493</v>
      </c>
      <c r="J250" s="210">
        <v>40909</v>
      </c>
    </row>
    <row r="251" spans="1:10" ht="21" customHeight="1" x14ac:dyDescent="0.2">
      <c r="A251" s="207">
        <v>1102363981</v>
      </c>
      <c r="B251" s="143" t="s">
        <v>464</v>
      </c>
      <c r="C251" s="212">
        <f t="shared" si="3"/>
        <v>243</v>
      </c>
      <c r="D251" s="133">
        <v>6</v>
      </c>
      <c r="E251" s="144" t="s">
        <v>241</v>
      </c>
      <c r="F251" s="135">
        <v>766.22</v>
      </c>
      <c r="G251" s="135">
        <v>766.22</v>
      </c>
      <c r="H251" s="135">
        <v>766.22</v>
      </c>
      <c r="I251" s="209" t="s">
        <v>493</v>
      </c>
      <c r="J251" s="210">
        <v>40909</v>
      </c>
    </row>
    <row r="252" spans="1:10" ht="21" customHeight="1" x14ac:dyDescent="0.2">
      <c r="A252" s="215">
        <v>1102069083</v>
      </c>
      <c r="B252" s="143" t="s">
        <v>465</v>
      </c>
      <c r="C252" s="212">
        <f t="shared" si="3"/>
        <v>244</v>
      </c>
      <c r="D252" s="133">
        <v>8</v>
      </c>
      <c r="E252" s="144" t="s">
        <v>466</v>
      </c>
      <c r="F252" s="135">
        <v>816.22</v>
      </c>
      <c r="G252" s="135">
        <v>816.22</v>
      </c>
      <c r="H252" s="135">
        <v>816.22</v>
      </c>
      <c r="I252" s="209" t="s">
        <v>493</v>
      </c>
      <c r="J252" s="210">
        <v>40909</v>
      </c>
    </row>
    <row r="253" spans="1:10" ht="21" customHeight="1" x14ac:dyDescent="0.2">
      <c r="A253" s="232">
        <v>1102762216</v>
      </c>
      <c r="B253" s="143" t="s">
        <v>467</v>
      </c>
      <c r="C253" s="222">
        <f t="shared" si="3"/>
        <v>245</v>
      </c>
      <c r="D253" s="158">
        <v>2</v>
      </c>
      <c r="E253" s="144" t="s">
        <v>244</v>
      </c>
      <c r="F253" s="135">
        <v>581.22</v>
      </c>
      <c r="G253" s="135">
        <v>581.22</v>
      </c>
      <c r="H253" s="138">
        <v>581.22</v>
      </c>
      <c r="I253" s="209" t="s">
        <v>493</v>
      </c>
      <c r="J253" s="210">
        <v>40909</v>
      </c>
    </row>
    <row r="254" spans="1:10" ht="22.5" customHeight="1" x14ac:dyDescent="0.2">
      <c r="A254" s="144">
        <v>1103474159</v>
      </c>
      <c r="B254" s="143" t="s">
        <v>468</v>
      </c>
      <c r="C254" s="222">
        <f t="shared" si="3"/>
        <v>246</v>
      </c>
      <c r="D254" s="158">
        <v>1</v>
      </c>
      <c r="E254" s="144" t="s">
        <v>160</v>
      </c>
      <c r="F254" s="145">
        <v>596.30999999999995</v>
      </c>
      <c r="G254" s="145">
        <v>596.30999999999995</v>
      </c>
      <c r="H254" s="140">
        <v>596.30999999999995</v>
      </c>
      <c r="I254" s="209" t="s">
        <v>493</v>
      </c>
      <c r="J254" s="210">
        <v>40909</v>
      </c>
    </row>
    <row r="255" spans="1:10" ht="21" customHeight="1" x14ac:dyDescent="0.2">
      <c r="A255" s="144">
        <v>1102980826</v>
      </c>
      <c r="B255" s="143" t="s">
        <v>473</v>
      </c>
      <c r="C255" s="157">
        <f t="shared" si="3"/>
        <v>247</v>
      </c>
      <c r="D255" s="139">
        <v>1</v>
      </c>
      <c r="E255" s="144" t="s">
        <v>353</v>
      </c>
      <c r="F255" s="140">
        <v>565.22</v>
      </c>
      <c r="G255" s="140">
        <v>565.22</v>
      </c>
      <c r="H255" s="140"/>
      <c r="I255" s="159" t="s">
        <v>484</v>
      </c>
      <c r="J255" s="196"/>
    </row>
    <row r="256" spans="1:10" ht="21" customHeight="1" x14ac:dyDescent="0.2">
      <c r="A256" s="144">
        <v>1100867181</v>
      </c>
      <c r="B256" s="143" t="s">
        <v>474</v>
      </c>
      <c r="C256" s="160">
        <f t="shared" si="3"/>
        <v>248</v>
      </c>
      <c r="D256" s="144">
        <v>1</v>
      </c>
      <c r="E256" s="144" t="s">
        <v>139</v>
      </c>
      <c r="F256" s="145">
        <v>565.22</v>
      </c>
      <c r="G256" s="145">
        <v>565.22</v>
      </c>
      <c r="H256" s="140"/>
      <c r="I256" s="159" t="s">
        <v>484</v>
      </c>
      <c r="J256" s="196"/>
    </row>
    <row r="257" spans="1:10" ht="21" customHeight="1" x14ac:dyDescent="0.2">
      <c r="A257" s="144">
        <v>1102017751</v>
      </c>
      <c r="B257" s="143" t="s">
        <v>475</v>
      </c>
      <c r="C257" s="160">
        <f t="shared" si="3"/>
        <v>249</v>
      </c>
      <c r="D257" s="144">
        <v>1</v>
      </c>
      <c r="E257" s="144" t="s">
        <v>139</v>
      </c>
      <c r="F257" s="145">
        <v>581.22</v>
      </c>
      <c r="G257" s="145">
        <v>581.22</v>
      </c>
      <c r="H257" s="140"/>
      <c r="I257" s="159" t="s">
        <v>484</v>
      </c>
      <c r="J257" s="196"/>
    </row>
    <row r="258" spans="1:10" ht="21" customHeight="1" x14ac:dyDescent="0.2">
      <c r="A258" s="144">
        <v>1104329188</v>
      </c>
      <c r="B258" s="143" t="s">
        <v>476</v>
      </c>
      <c r="C258" s="160">
        <f t="shared" si="3"/>
        <v>250</v>
      </c>
      <c r="D258" s="144">
        <v>1</v>
      </c>
      <c r="E258" s="144" t="s">
        <v>142</v>
      </c>
      <c r="F258" s="146">
        <v>565.22</v>
      </c>
      <c r="G258" s="146">
        <v>565.22</v>
      </c>
      <c r="H258" s="140"/>
      <c r="I258" s="159" t="s">
        <v>484</v>
      </c>
      <c r="J258" s="196"/>
    </row>
    <row r="259" spans="1:10" ht="33.75" customHeight="1" x14ac:dyDescent="0.2">
      <c r="A259" s="144">
        <v>1101462453</v>
      </c>
      <c r="B259" s="143" t="s">
        <v>485</v>
      </c>
      <c r="C259" s="144">
        <v>251</v>
      </c>
      <c r="D259" s="144">
        <v>2</v>
      </c>
      <c r="E259" s="144" t="s">
        <v>162</v>
      </c>
      <c r="F259" s="140">
        <v>581.22</v>
      </c>
      <c r="G259" s="140">
        <v>581.22</v>
      </c>
      <c r="H259" s="140"/>
      <c r="I259" s="159" t="s">
        <v>506</v>
      </c>
      <c r="J259" s="196"/>
    </row>
    <row r="260" spans="1:10" ht="21" customHeight="1" x14ac:dyDescent="0.2">
      <c r="A260" s="144" t="s">
        <v>486</v>
      </c>
      <c r="B260" s="143" t="s">
        <v>487</v>
      </c>
      <c r="C260" s="144">
        <v>252</v>
      </c>
      <c r="D260" s="144">
        <v>4</v>
      </c>
      <c r="E260" s="144" t="s">
        <v>147</v>
      </c>
      <c r="F260" s="161">
        <v>876</v>
      </c>
      <c r="G260" s="161">
        <v>876</v>
      </c>
      <c r="H260" s="140"/>
      <c r="I260" s="159" t="s">
        <v>488</v>
      </c>
      <c r="J260" s="196"/>
    </row>
    <row r="261" spans="1:10" ht="44.25" customHeight="1" x14ac:dyDescent="0.2">
      <c r="A261" s="137">
        <v>1101426359</v>
      </c>
      <c r="B261" s="143" t="s">
        <v>489</v>
      </c>
      <c r="C261" s="144">
        <v>253</v>
      </c>
      <c r="D261" s="144">
        <v>1</v>
      </c>
      <c r="E261" s="144" t="s">
        <v>160</v>
      </c>
      <c r="F261" s="140">
        <v>857.81</v>
      </c>
      <c r="G261" s="140">
        <v>857.81</v>
      </c>
      <c r="H261" s="140"/>
      <c r="I261" s="159" t="s">
        <v>507</v>
      </c>
      <c r="J261" s="196"/>
    </row>
    <row r="262" spans="1:10" ht="21" customHeight="1" x14ac:dyDescent="0.2">
      <c r="A262" s="215">
        <v>1600132706</v>
      </c>
      <c r="B262" s="143" t="s">
        <v>265</v>
      </c>
      <c r="C262" s="212">
        <f>+C98+1</f>
        <v>90</v>
      </c>
      <c r="D262" s="133">
        <v>4</v>
      </c>
      <c r="E262" s="144" t="s">
        <v>147</v>
      </c>
      <c r="F262" s="134">
        <v>939.95</v>
      </c>
      <c r="G262" s="134">
        <v>939.95</v>
      </c>
      <c r="H262" s="134"/>
      <c r="I262" s="159" t="s">
        <v>511</v>
      </c>
      <c r="J262" s="210"/>
    </row>
    <row r="263" spans="1:10" s="198" customFormat="1" ht="15.95" customHeight="1" x14ac:dyDescent="0.2">
      <c r="A263" s="141"/>
      <c r="B263" s="226"/>
      <c r="C263" s="141"/>
      <c r="D263" s="141"/>
      <c r="E263" s="141" t="s">
        <v>18</v>
      </c>
      <c r="F263" s="147">
        <f>SUM(F10:F262)</f>
        <v>165959.31000000014</v>
      </c>
      <c r="G263" s="147">
        <f>SUM(G10:G262)</f>
        <v>165959.31000000014</v>
      </c>
      <c r="H263" s="147">
        <f>SUM(H10:H254)</f>
        <v>160823.35000000012</v>
      </c>
      <c r="I263" s="148"/>
      <c r="J263" s="197"/>
    </row>
    <row r="264" spans="1:10" ht="15.95" customHeight="1" x14ac:dyDescent="0.2">
      <c r="A264" s="199"/>
      <c r="B264" s="227"/>
      <c r="C264" s="199"/>
      <c r="D264" s="199"/>
      <c r="E264" s="200"/>
      <c r="F264" s="200"/>
      <c r="G264" s="201"/>
      <c r="H264" s="201"/>
      <c r="I264" s="202"/>
    </row>
    <row r="265" spans="1:10" ht="15.95" customHeight="1" x14ac:dyDescent="0.2">
      <c r="A265" s="76" t="s">
        <v>508</v>
      </c>
      <c r="B265" s="227"/>
      <c r="C265" s="199"/>
      <c r="D265" s="199"/>
      <c r="E265" s="200"/>
      <c r="F265" s="200"/>
      <c r="G265" s="201"/>
      <c r="H265" s="201"/>
      <c r="I265" s="202"/>
    </row>
    <row r="266" spans="1:10" ht="15.95" customHeight="1" x14ac:dyDescent="0.2">
      <c r="A266" s="76" t="s">
        <v>509</v>
      </c>
      <c r="B266" s="227"/>
      <c r="C266" s="199"/>
      <c r="D266" s="199"/>
      <c r="E266" s="200"/>
      <c r="F266" s="200"/>
      <c r="G266" s="201"/>
      <c r="H266" s="201"/>
      <c r="I266" s="202"/>
    </row>
    <row r="267" spans="1:10" ht="15.95" customHeight="1" x14ac:dyDescent="0.2">
      <c r="A267" s="76" t="s">
        <v>121</v>
      </c>
      <c r="B267" s="228"/>
      <c r="C267" s="66"/>
      <c r="D267" s="66"/>
      <c r="E267" s="66"/>
      <c r="F267" s="66"/>
      <c r="G267" s="66"/>
      <c r="H267" s="66"/>
    </row>
    <row r="268" spans="1:10" ht="30" customHeight="1" x14ac:dyDescent="0.2">
      <c r="A268" s="246" t="s">
        <v>510</v>
      </c>
      <c r="B268" s="246"/>
      <c r="C268" s="246"/>
      <c r="D268" s="246"/>
      <c r="E268" s="246"/>
      <c r="F268" s="246"/>
      <c r="G268" s="246"/>
      <c r="H268" s="246"/>
      <c r="I268" s="246"/>
    </row>
    <row r="269" spans="1:10" ht="15.95" customHeight="1" x14ac:dyDescent="0.2">
      <c r="A269" s="66"/>
      <c r="B269" s="228"/>
      <c r="C269" s="66"/>
      <c r="D269" s="66"/>
      <c r="E269" s="66"/>
      <c r="F269" s="66"/>
      <c r="G269" s="66"/>
      <c r="H269" s="66"/>
    </row>
    <row r="270" spans="1:10" ht="15.95" customHeight="1" x14ac:dyDescent="0.2">
      <c r="A270" s="66"/>
      <c r="B270" s="228"/>
      <c r="C270" s="66"/>
      <c r="D270" s="66"/>
      <c r="E270" s="66"/>
      <c r="F270" s="66"/>
      <c r="G270" s="66"/>
      <c r="H270" s="66"/>
    </row>
    <row r="271" spans="1:10" ht="15.95" customHeight="1" x14ac:dyDescent="0.2">
      <c r="A271" s="66"/>
      <c r="B271" s="228"/>
      <c r="C271" s="66"/>
      <c r="D271" s="66"/>
      <c r="E271" s="66"/>
      <c r="F271" s="66"/>
      <c r="G271" s="149"/>
      <c r="H271" s="149"/>
    </row>
    <row r="272" spans="1:10" ht="15.95" customHeight="1" x14ac:dyDescent="0.2">
      <c r="A272" s="2"/>
      <c r="B272" s="228"/>
      <c r="D272" s="66"/>
      <c r="H272" s="66"/>
    </row>
    <row r="273" spans="1:8" ht="15.95" customHeight="1" x14ac:dyDescent="0.25">
      <c r="A273" s="2"/>
      <c r="B273" s="233" t="s">
        <v>513</v>
      </c>
      <c r="C273" s="233"/>
      <c r="D273" s="233"/>
      <c r="E273" s="66"/>
      <c r="F273" s="66"/>
      <c r="G273" s="150"/>
      <c r="H273" s="151"/>
    </row>
    <row r="274" spans="1:8" ht="15.95" customHeight="1" x14ac:dyDescent="0.25">
      <c r="A274" s="2"/>
      <c r="B274" s="229"/>
      <c r="C274" s="109"/>
      <c r="D274" s="109"/>
      <c r="E274" s="66"/>
      <c r="F274" s="66"/>
      <c r="G274" s="150"/>
      <c r="H274" s="151"/>
    </row>
    <row r="275" spans="1:8" ht="17.25" customHeight="1" x14ac:dyDescent="0.25">
      <c r="A275" s="2"/>
      <c r="B275" s="243" t="s">
        <v>512</v>
      </c>
      <c r="C275" s="243"/>
      <c r="D275" s="243"/>
      <c r="E275" s="152"/>
      <c r="F275" s="152"/>
      <c r="G275" s="153"/>
      <c r="H275" s="153"/>
    </row>
    <row r="276" spans="1:8" ht="20.100000000000001" customHeight="1" x14ac:dyDescent="0.25">
      <c r="A276" s="2"/>
      <c r="B276" s="243" t="s">
        <v>516</v>
      </c>
      <c r="C276" s="243"/>
      <c r="D276" s="243"/>
    </row>
    <row r="277" spans="1:8" ht="20.100000000000001" customHeight="1" x14ac:dyDescent="0.25">
      <c r="A277" s="2"/>
      <c r="B277" s="230" t="s">
        <v>119</v>
      </c>
      <c r="C277" s="66"/>
      <c r="D277" s="66"/>
    </row>
    <row r="282" spans="1:8" x14ac:dyDescent="0.2">
      <c r="B282" s="228"/>
    </row>
    <row r="283" spans="1:8" x14ac:dyDescent="0.2">
      <c r="B283" s="234"/>
    </row>
    <row r="284" spans="1:8" x14ac:dyDescent="0.2">
      <c r="B284" s="228"/>
    </row>
  </sheetData>
  <mergeCells count="6">
    <mergeCell ref="B275:D275"/>
    <mergeCell ref="B276:D276"/>
    <mergeCell ref="A1:H1"/>
    <mergeCell ref="A2:H2"/>
    <mergeCell ref="A3:H3"/>
    <mergeCell ref="A268:I268"/>
  </mergeCells>
  <phoneticPr fontId="0" type="noConversion"/>
  <printOptions horizontalCentered="1"/>
  <pageMargins left="0.17604166666666668" right="0.18281249999999999" top="0.196850393700787" bottom="0.196850393700787" header="0" footer="0"/>
  <pageSetup paperSize="9" scale="65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opLeftCell="A79" zoomScale="80" zoomScaleNormal="80" zoomScalePageLayoutView="60" workbookViewId="0">
      <selection activeCell="I105" sqref="I105"/>
    </sheetView>
  </sheetViews>
  <sheetFormatPr baseColWidth="10" defaultRowHeight="15" x14ac:dyDescent="0.25"/>
  <cols>
    <col min="1" max="1" width="11.28515625" style="6" customWidth="1"/>
    <col min="2" max="2" width="46.7109375" style="6" customWidth="1"/>
    <col min="3" max="5" width="17.7109375" style="6" customWidth="1"/>
    <col min="6" max="9" width="15" style="6" customWidth="1"/>
    <col min="10" max="10" width="17.85546875" style="6" customWidth="1"/>
    <col min="11" max="16384" width="11.42578125" style="6"/>
  </cols>
  <sheetData>
    <row r="1" spans="1:10" ht="18.75" x14ac:dyDescent="0.3">
      <c r="A1" s="250" t="s">
        <v>114</v>
      </c>
      <c r="B1" s="250"/>
      <c r="C1" s="250"/>
      <c r="D1" s="250"/>
      <c r="E1" s="250"/>
      <c r="F1" s="250"/>
      <c r="G1" s="250"/>
      <c r="H1" s="250"/>
    </row>
    <row r="2" spans="1:10" ht="18.75" x14ac:dyDescent="0.3">
      <c r="A2" s="250" t="s">
        <v>36</v>
      </c>
      <c r="B2" s="250"/>
      <c r="C2" s="250"/>
      <c r="D2" s="250"/>
      <c r="E2" s="250"/>
      <c r="F2" s="250"/>
      <c r="G2" s="250"/>
      <c r="H2" s="250"/>
    </row>
    <row r="3" spans="1:10" ht="18.75" x14ac:dyDescent="0.3">
      <c r="A3" s="7"/>
      <c r="B3" s="7"/>
      <c r="C3" s="7"/>
      <c r="D3" s="7"/>
      <c r="E3" s="7"/>
      <c r="F3" s="7"/>
      <c r="G3" s="7"/>
      <c r="H3" s="7"/>
    </row>
    <row r="4" spans="1:10" ht="18.75" x14ac:dyDescent="0.3">
      <c r="A4" s="251" t="s">
        <v>500</v>
      </c>
      <c r="B4" s="251"/>
      <c r="C4" s="251"/>
      <c r="D4" s="251"/>
      <c r="E4" s="251"/>
      <c r="F4" s="251"/>
      <c r="G4" s="251"/>
      <c r="H4" s="251"/>
    </row>
    <row r="5" spans="1:10" ht="15.75" thickBot="1" x14ac:dyDescent="0.3">
      <c r="A5" s="252"/>
      <c r="B5" s="252"/>
      <c r="C5" s="252"/>
      <c r="D5" s="252"/>
      <c r="E5" s="252"/>
      <c r="F5" s="252"/>
      <c r="G5" s="252"/>
      <c r="H5" s="252"/>
    </row>
    <row r="6" spans="1:10" ht="15" customHeight="1" x14ac:dyDescent="0.25">
      <c r="A6" s="253" t="s">
        <v>37</v>
      </c>
      <c r="B6" s="254"/>
      <c r="C6" s="253" t="s">
        <v>38</v>
      </c>
      <c r="D6" s="254"/>
      <c r="E6" s="257"/>
      <c r="F6" s="255" t="s">
        <v>39</v>
      </c>
      <c r="G6" s="256"/>
      <c r="H6" s="256"/>
      <c r="I6" s="256"/>
      <c r="J6" s="247" t="s">
        <v>128</v>
      </c>
    </row>
    <row r="7" spans="1:10" ht="15.75" customHeight="1" thickBot="1" x14ac:dyDescent="0.3">
      <c r="A7" s="255"/>
      <c r="B7" s="256"/>
      <c r="C7" s="255"/>
      <c r="D7" s="256"/>
      <c r="E7" s="258"/>
      <c r="F7" s="259"/>
      <c r="G7" s="260"/>
      <c r="H7" s="260"/>
      <c r="I7" s="260"/>
      <c r="J7" s="248"/>
    </row>
    <row r="8" spans="1:10" ht="32.25" customHeight="1" thickBot="1" x14ac:dyDescent="0.3">
      <c r="A8" s="8" t="s">
        <v>40</v>
      </c>
      <c r="B8" s="9" t="s">
        <v>41</v>
      </c>
      <c r="C8" s="10">
        <v>2012</v>
      </c>
      <c r="D8" s="11">
        <v>2013</v>
      </c>
      <c r="E8" s="12">
        <v>2014</v>
      </c>
      <c r="F8" s="13" t="s">
        <v>497</v>
      </c>
      <c r="G8" s="13" t="s">
        <v>498</v>
      </c>
      <c r="H8" s="14" t="s">
        <v>499</v>
      </c>
      <c r="I8" s="14" t="s">
        <v>502</v>
      </c>
      <c r="J8" s="249"/>
    </row>
    <row r="9" spans="1:10" ht="15.75" thickBot="1" x14ac:dyDescent="0.3">
      <c r="A9" s="261" t="s">
        <v>42</v>
      </c>
      <c r="B9" s="262"/>
      <c r="C9" s="15">
        <f t="shared" ref="C9:I9" si="0">+C10+C15+C20+C21+C22+C23</f>
        <v>7007.06</v>
      </c>
      <c r="D9" s="15">
        <f t="shared" si="0"/>
        <v>4641.0600000000004</v>
      </c>
      <c r="E9" s="15">
        <f t="shared" si="0"/>
        <v>2664.85</v>
      </c>
      <c r="F9" s="15">
        <f t="shared" si="0"/>
        <v>1696.9</v>
      </c>
      <c r="G9" s="15">
        <f t="shared" si="0"/>
        <v>0</v>
      </c>
      <c r="H9" s="15">
        <f t="shared" si="0"/>
        <v>0</v>
      </c>
      <c r="I9" s="15">
        <f t="shared" si="0"/>
        <v>0</v>
      </c>
      <c r="J9" s="15"/>
    </row>
    <row r="10" spans="1:10" x14ac:dyDescent="0.25">
      <c r="A10" s="16">
        <v>11</v>
      </c>
      <c r="B10" s="17" t="s">
        <v>43</v>
      </c>
      <c r="C10" s="18"/>
      <c r="D10" s="18"/>
      <c r="E10" s="18"/>
      <c r="F10" s="18"/>
      <c r="G10" s="18"/>
      <c r="H10" s="18"/>
      <c r="I10" s="18"/>
      <c r="J10" s="18"/>
    </row>
    <row r="11" spans="1:10" x14ac:dyDescent="0.25">
      <c r="A11" s="19">
        <v>1101</v>
      </c>
      <c r="B11" s="20" t="s">
        <v>44</v>
      </c>
      <c r="C11" s="18"/>
      <c r="D11" s="21"/>
      <c r="E11" s="22"/>
      <c r="F11" s="23"/>
      <c r="G11" s="24"/>
      <c r="H11" s="25"/>
      <c r="I11" s="25"/>
      <c r="J11" s="25"/>
    </row>
    <row r="12" spans="1:10" x14ac:dyDescent="0.25">
      <c r="A12" s="19">
        <v>1102</v>
      </c>
      <c r="B12" s="20" t="s">
        <v>45</v>
      </c>
      <c r="C12" s="18"/>
      <c r="D12" s="21"/>
      <c r="E12" s="22"/>
      <c r="F12" s="23"/>
      <c r="G12" s="24"/>
      <c r="H12" s="25"/>
      <c r="I12" s="25"/>
      <c r="J12" s="25"/>
    </row>
    <row r="13" spans="1:10" x14ac:dyDescent="0.25">
      <c r="A13" s="19">
        <v>1103</v>
      </c>
      <c r="B13" s="20" t="s">
        <v>46</v>
      </c>
      <c r="C13" s="18"/>
      <c r="D13" s="21"/>
      <c r="E13" s="22"/>
      <c r="F13" s="23"/>
      <c r="G13" s="24"/>
      <c r="H13" s="25"/>
      <c r="I13" s="25"/>
      <c r="J13" s="25"/>
    </row>
    <row r="14" spans="1:10" x14ac:dyDescent="0.25">
      <c r="A14" s="19">
        <v>1107</v>
      </c>
      <c r="B14" s="20" t="s">
        <v>47</v>
      </c>
      <c r="C14" s="18"/>
      <c r="D14" s="21"/>
      <c r="E14" s="22"/>
      <c r="F14" s="23"/>
      <c r="G14" s="24"/>
      <c r="H14" s="25"/>
      <c r="I14" s="25"/>
      <c r="J14" s="25"/>
    </row>
    <row r="15" spans="1:10" x14ac:dyDescent="0.25">
      <c r="A15" s="16">
        <v>13</v>
      </c>
      <c r="B15" s="26" t="s">
        <v>48</v>
      </c>
      <c r="C15" s="18"/>
      <c r="D15" s="21"/>
      <c r="E15" s="22"/>
      <c r="F15" s="23"/>
      <c r="G15" s="24"/>
      <c r="H15" s="25"/>
      <c r="I15" s="25"/>
      <c r="J15" s="25"/>
    </row>
    <row r="16" spans="1:10" x14ac:dyDescent="0.25">
      <c r="A16" s="19">
        <v>1301</v>
      </c>
      <c r="B16" s="20" t="s">
        <v>49</v>
      </c>
      <c r="C16" s="18">
        <v>16924</v>
      </c>
      <c r="D16" s="21">
        <v>7025</v>
      </c>
      <c r="E16" s="22">
        <v>2725</v>
      </c>
      <c r="F16" s="123">
        <v>2300</v>
      </c>
      <c r="G16" s="24"/>
      <c r="H16" s="25"/>
      <c r="I16" s="25"/>
      <c r="J16" s="25"/>
    </row>
    <row r="17" spans="1:10" x14ac:dyDescent="0.25">
      <c r="A17" s="19">
        <v>1302</v>
      </c>
      <c r="B17" s="20" t="s">
        <v>50</v>
      </c>
      <c r="C17" s="18"/>
      <c r="D17" s="21"/>
      <c r="E17" s="22"/>
      <c r="F17" s="23"/>
      <c r="G17" s="24"/>
      <c r="H17" s="25"/>
      <c r="I17" s="25"/>
      <c r="J17" s="25"/>
    </row>
    <row r="18" spans="1:10" x14ac:dyDescent="0.25">
      <c r="A18" s="19">
        <v>1303</v>
      </c>
      <c r="B18" s="20" t="s">
        <v>51</v>
      </c>
      <c r="C18" s="18"/>
      <c r="D18" s="21"/>
      <c r="E18" s="22"/>
      <c r="F18" s="23"/>
      <c r="G18" s="24"/>
      <c r="H18" s="25"/>
      <c r="I18" s="25"/>
      <c r="J18" s="25"/>
    </row>
    <row r="19" spans="1:10" x14ac:dyDescent="0.25">
      <c r="A19" s="19">
        <v>1304</v>
      </c>
      <c r="B19" s="20" t="s">
        <v>52</v>
      </c>
      <c r="C19" s="18"/>
      <c r="D19" s="21"/>
      <c r="E19" s="22"/>
      <c r="F19" s="23"/>
      <c r="G19" s="24"/>
      <c r="H19" s="25"/>
      <c r="I19" s="25"/>
      <c r="J19" s="25"/>
    </row>
    <row r="20" spans="1:10" x14ac:dyDescent="0.25">
      <c r="A20" s="16">
        <v>14</v>
      </c>
      <c r="B20" s="26" t="s">
        <v>53</v>
      </c>
      <c r="C20" s="18">
        <v>7004.75</v>
      </c>
      <c r="D20" s="21"/>
      <c r="E20" s="22"/>
      <c r="F20" s="124"/>
      <c r="G20" s="24"/>
      <c r="H20" s="25"/>
      <c r="I20" s="25"/>
      <c r="J20" s="25"/>
    </row>
    <row r="21" spans="1:10" x14ac:dyDescent="0.25">
      <c r="A21" s="16">
        <v>17</v>
      </c>
      <c r="B21" s="26" t="s">
        <v>54</v>
      </c>
      <c r="C21" s="18">
        <v>2.31</v>
      </c>
      <c r="D21" s="21">
        <v>4641.0600000000004</v>
      </c>
      <c r="E21" s="22">
        <v>2664.85</v>
      </c>
      <c r="F21" s="124">
        <v>1696.9</v>
      </c>
      <c r="G21" s="24"/>
      <c r="H21" s="25"/>
      <c r="I21" s="25"/>
      <c r="J21" s="25"/>
    </row>
    <row r="22" spans="1:10" x14ac:dyDescent="0.25">
      <c r="A22" s="16">
        <v>18</v>
      </c>
      <c r="B22" s="26" t="s">
        <v>55</v>
      </c>
      <c r="C22" s="18"/>
      <c r="D22" s="21"/>
      <c r="E22" s="22"/>
      <c r="F22" s="124"/>
      <c r="G22" s="24"/>
      <c r="H22" s="25"/>
      <c r="I22" s="25"/>
      <c r="J22" s="25"/>
    </row>
    <row r="23" spans="1:10" x14ac:dyDescent="0.25">
      <c r="A23" s="16">
        <v>19</v>
      </c>
      <c r="B23" s="26" t="s">
        <v>56</v>
      </c>
      <c r="C23" s="18"/>
      <c r="D23" s="21"/>
      <c r="E23" s="22"/>
      <c r="F23" s="124"/>
      <c r="G23" s="24"/>
      <c r="H23" s="25"/>
      <c r="I23" s="25"/>
      <c r="J23" s="25"/>
    </row>
    <row r="24" spans="1:10" x14ac:dyDescent="0.25">
      <c r="A24" s="19">
        <v>1901</v>
      </c>
      <c r="B24" s="20" t="s">
        <v>57</v>
      </c>
      <c r="C24" s="18"/>
      <c r="D24" s="21">
        <v>12365.6</v>
      </c>
      <c r="E24" s="22">
        <v>14000.5</v>
      </c>
      <c r="F24" s="124"/>
      <c r="G24" s="24"/>
      <c r="H24" s="25"/>
      <c r="I24" s="25"/>
      <c r="J24" s="25"/>
    </row>
    <row r="25" spans="1:10" x14ac:dyDescent="0.25">
      <c r="A25" s="19">
        <v>1902</v>
      </c>
      <c r="B25" s="20" t="s">
        <v>58</v>
      </c>
      <c r="C25" s="18"/>
      <c r="D25" s="21">
        <v>18098.78</v>
      </c>
      <c r="E25" s="22">
        <v>1727.35</v>
      </c>
      <c r="F25" s="124">
        <v>61492.62</v>
      </c>
      <c r="G25" s="24"/>
      <c r="H25" s="25"/>
      <c r="I25" s="25"/>
      <c r="J25" s="25"/>
    </row>
    <row r="26" spans="1:10" ht="15.75" thickBot="1" x14ac:dyDescent="0.3">
      <c r="A26" s="19">
        <v>1904</v>
      </c>
      <c r="B26" s="27" t="s">
        <v>59</v>
      </c>
      <c r="C26" s="18">
        <v>111880.31</v>
      </c>
      <c r="D26" s="21">
        <v>68164.98</v>
      </c>
      <c r="E26" s="22">
        <v>58454.04</v>
      </c>
      <c r="F26" s="124">
        <v>30873.919999999998</v>
      </c>
      <c r="G26" s="24"/>
      <c r="H26" s="25"/>
      <c r="I26" s="25"/>
      <c r="J26" s="25"/>
    </row>
    <row r="27" spans="1:10" ht="15.75" thickBot="1" x14ac:dyDescent="0.3">
      <c r="A27" s="261" t="s">
        <v>60</v>
      </c>
      <c r="B27" s="262"/>
      <c r="C27" s="28">
        <f t="shared" ref="C27:H27" si="1">+C28+C37+C38+C39+C40+C41</f>
        <v>0</v>
      </c>
      <c r="D27" s="28">
        <f t="shared" si="1"/>
        <v>0</v>
      </c>
      <c r="E27" s="28">
        <f t="shared" si="1"/>
        <v>0</v>
      </c>
      <c r="F27" s="28">
        <f t="shared" si="1"/>
        <v>0</v>
      </c>
      <c r="G27" s="28">
        <f t="shared" si="1"/>
        <v>42500</v>
      </c>
      <c r="H27" s="28">
        <f t="shared" si="1"/>
        <v>42500</v>
      </c>
      <c r="I27" s="28">
        <f>+I28+I37+I38+I39+I40+I41</f>
        <v>42500</v>
      </c>
      <c r="J27" s="28"/>
    </row>
    <row r="28" spans="1:10" x14ac:dyDescent="0.25">
      <c r="A28" s="16">
        <v>51</v>
      </c>
      <c r="B28" s="17" t="s">
        <v>61</v>
      </c>
      <c r="C28" s="18"/>
      <c r="D28" s="21"/>
      <c r="E28" s="22"/>
      <c r="F28" s="124"/>
      <c r="G28" s="24"/>
      <c r="H28" s="25"/>
      <c r="I28" s="25"/>
      <c r="J28" s="25"/>
    </row>
    <row r="29" spans="1:10" x14ac:dyDescent="0.25">
      <c r="A29" s="19">
        <v>5101</v>
      </c>
      <c r="B29" s="20" t="s">
        <v>62</v>
      </c>
      <c r="C29" s="18">
        <v>449660.6</v>
      </c>
      <c r="D29" s="21"/>
      <c r="E29" s="22"/>
      <c r="F29" s="124"/>
      <c r="G29" s="24"/>
      <c r="H29" s="25"/>
      <c r="I29" s="25"/>
      <c r="J29" s="25"/>
    </row>
    <row r="30" spans="1:10" x14ac:dyDescent="0.25">
      <c r="A30" s="19">
        <v>5102</v>
      </c>
      <c r="B30" s="20" t="s">
        <v>63</v>
      </c>
      <c r="C30" s="18">
        <v>46039.46</v>
      </c>
      <c r="D30" s="21"/>
      <c r="E30" s="22"/>
      <c r="F30" s="124"/>
      <c r="G30" s="24"/>
      <c r="H30" s="25"/>
      <c r="I30" s="25"/>
      <c r="J30" s="25"/>
    </row>
    <row r="31" spans="1:10" x14ac:dyDescent="0.25">
      <c r="A31" s="19">
        <v>5103</v>
      </c>
      <c r="B31" s="20" t="s">
        <v>64</v>
      </c>
      <c r="C31" s="18"/>
      <c r="D31" s="21"/>
      <c r="E31" s="22"/>
      <c r="F31" s="124"/>
      <c r="G31" s="24"/>
      <c r="H31" s="25"/>
      <c r="I31" s="25"/>
      <c r="J31" s="25"/>
    </row>
    <row r="32" spans="1:10" x14ac:dyDescent="0.25">
      <c r="A32" s="19">
        <v>5104</v>
      </c>
      <c r="B32" s="20" t="s">
        <v>65</v>
      </c>
      <c r="C32" s="18"/>
      <c r="D32" s="21"/>
      <c r="E32" s="22"/>
      <c r="F32" s="124"/>
      <c r="G32" s="24"/>
      <c r="H32" s="25"/>
      <c r="I32" s="25"/>
      <c r="J32" s="25"/>
    </row>
    <row r="33" spans="1:10" x14ac:dyDescent="0.25">
      <c r="A33" s="19">
        <v>5105</v>
      </c>
      <c r="B33" s="20" t="s">
        <v>66</v>
      </c>
      <c r="C33" s="18"/>
      <c r="D33" s="21"/>
      <c r="E33" s="22"/>
      <c r="F33" s="124"/>
      <c r="G33" s="24"/>
      <c r="H33" s="25"/>
      <c r="I33" s="25"/>
      <c r="J33" s="25"/>
    </row>
    <row r="34" spans="1:10" x14ac:dyDescent="0.25">
      <c r="A34" s="19">
        <v>5106</v>
      </c>
      <c r="B34" s="20" t="s">
        <v>67</v>
      </c>
      <c r="C34" s="18">
        <v>83856.89</v>
      </c>
      <c r="D34" s="21"/>
      <c r="E34" s="22"/>
      <c r="F34" s="124"/>
      <c r="G34" s="24"/>
      <c r="H34" s="25"/>
      <c r="I34" s="25"/>
      <c r="J34" s="25"/>
    </row>
    <row r="35" spans="1:10" x14ac:dyDescent="0.25">
      <c r="A35" s="19">
        <v>5107</v>
      </c>
      <c r="B35" s="20" t="s">
        <v>68</v>
      </c>
      <c r="C35" s="18">
        <v>1251.4000000000001</v>
      </c>
      <c r="D35" s="21"/>
      <c r="E35" s="22"/>
      <c r="F35" s="124"/>
      <c r="G35" s="24"/>
      <c r="H35" s="25"/>
      <c r="I35" s="25"/>
      <c r="J35" s="25"/>
    </row>
    <row r="36" spans="1:10" x14ac:dyDescent="0.25">
      <c r="A36" s="19">
        <v>5199</v>
      </c>
      <c r="B36" s="20" t="s">
        <v>69</v>
      </c>
      <c r="C36" s="18"/>
      <c r="D36" s="21"/>
      <c r="E36" s="22"/>
      <c r="F36" s="124"/>
      <c r="G36" s="24"/>
      <c r="H36" s="25"/>
      <c r="I36" s="25"/>
      <c r="J36" s="25"/>
    </row>
    <row r="37" spans="1:10" x14ac:dyDescent="0.25">
      <c r="A37" s="16">
        <v>53</v>
      </c>
      <c r="B37" s="26" t="s">
        <v>70</v>
      </c>
      <c r="C37" s="18"/>
      <c r="D37" s="21"/>
      <c r="E37" s="22"/>
      <c r="F37" s="124"/>
      <c r="G37" s="24"/>
      <c r="H37" s="25"/>
      <c r="I37" s="25"/>
      <c r="J37" s="25"/>
    </row>
    <row r="38" spans="1:10" x14ac:dyDescent="0.25">
      <c r="A38" s="16">
        <v>56</v>
      </c>
      <c r="B38" s="26" t="s">
        <v>71</v>
      </c>
      <c r="C38" s="18"/>
      <c r="D38" s="21"/>
      <c r="E38" s="22"/>
      <c r="F38" s="124"/>
      <c r="G38" s="24"/>
      <c r="H38" s="25"/>
      <c r="I38" s="25"/>
      <c r="J38" s="25"/>
    </row>
    <row r="39" spans="1:10" x14ac:dyDescent="0.25">
      <c r="A39" s="16">
        <v>57</v>
      </c>
      <c r="B39" s="26" t="s">
        <v>72</v>
      </c>
      <c r="C39" s="18"/>
      <c r="D39" s="21"/>
      <c r="E39" s="22"/>
      <c r="F39" s="124"/>
      <c r="G39" s="24"/>
      <c r="H39" s="25"/>
      <c r="I39" s="25"/>
      <c r="J39" s="25"/>
    </row>
    <row r="40" spans="1:10" x14ac:dyDescent="0.25">
      <c r="A40" s="16">
        <v>58</v>
      </c>
      <c r="B40" s="26" t="s">
        <v>73</v>
      </c>
      <c r="C40" s="18"/>
      <c r="D40" s="21"/>
      <c r="E40" s="22"/>
      <c r="F40" s="124"/>
      <c r="G40" s="127">
        <v>42500</v>
      </c>
      <c r="H40" s="127">
        <v>42500</v>
      </c>
      <c r="I40" s="25">
        <v>42500</v>
      </c>
      <c r="J40" s="25"/>
    </row>
    <row r="41" spans="1:10" ht="15.75" thickBot="1" x14ac:dyDescent="0.3">
      <c r="A41" s="16">
        <v>59</v>
      </c>
      <c r="B41" s="29" t="s">
        <v>74</v>
      </c>
      <c r="C41" s="18"/>
      <c r="D41" s="21"/>
      <c r="E41" s="22"/>
      <c r="F41" s="124"/>
      <c r="G41" s="127"/>
      <c r="H41" s="25"/>
      <c r="I41" s="25"/>
      <c r="J41" s="25"/>
    </row>
    <row r="42" spans="1:10" x14ac:dyDescent="0.25">
      <c r="A42" s="263" t="s">
        <v>75</v>
      </c>
      <c r="B42" s="264"/>
      <c r="C42" s="30">
        <f t="shared" ref="C42:H42" si="2">+C9-C27</f>
        <v>7007.06</v>
      </c>
      <c r="D42" s="30">
        <f t="shared" si="2"/>
        <v>4641.0600000000004</v>
      </c>
      <c r="E42" s="30">
        <f t="shared" si="2"/>
        <v>2664.85</v>
      </c>
      <c r="F42" s="125">
        <f t="shared" si="2"/>
        <v>1696.9</v>
      </c>
      <c r="G42" s="30">
        <f t="shared" si="2"/>
        <v>-42500</v>
      </c>
      <c r="H42" s="30">
        <f t="shared" si="2"/>
        <v>-42500</v>
      </c>
      <c r="I42" s="30">
        <f>+I9-I27</f>
        <v>-42500</v>
      </c>
      <c r="J42" s="30"/>
    </row>
    <row r="43" spans="1:10" x14ac:dyDescent="0.25">
      <c r="A43" s="261" t="s">
        <v>76</v>
      </c>
      <c r="B43" s="265"/>
      <c r="C43" s="28"/>
      <c r="D43" s="31"/>
      <c r="E43" s="32"/>
      <c r="F43" s="126"/>
      <c r="G43" s="128"/>
      <c r="H43" s="35"/>
      <c r="I43" s="35"/>
      <c r="J43" s="35"/>
    </row>
    <row r="44" spans="1:10" x14ac:dyDescent="0.25">
      <c r="A44" s="36">
        <v>24</v>
      </c>
      <c r="B44" s="37" t="s">
        <v>77</v>
      </c>
      <c r="C44" s="18"/>
      <c r="D44" s="21"/>
      <c r="E44" s="22"/>
      <c r="F44" s="124"/>
      <c r="G44" s="127"/>
      <c r="H44" s="25"/>
      <c r="I44" s="25"/>
      <c r="J44" s="25"/>
    </row>
    <row r="45" spans="1:10" x14ac:dyDescent="0.25">
      <c r="A45" s="36">
        <v>28</v>
      </c>
      <c r="B45" s="37" t="s">
        <v>78</v>
      </c>
      <c r="C45" s="18">
        <v>9153662.0800000001</v>
      </c>
      <c r="D45" s="21">
        <v>17559805.379999999</v>
      </c>
      <c r="E45" s="22">
        <v>9554625.4199999999</v>
      </c>
      <c r="F45" s="124">
        <v>6445994.4100000001</v>
      </c>
      <c r="G45" s="127">
        <v>8611727.9900000002</v>
      </c>
      <c r="H45" s="124">
        <v>8611727.9900000002</v>
      </c>
      <c r="I45" s="124">
        <v>8611727.9900000002</v>
      </c>
      <c r="J45" s="25"/>
    </row>
    <row r="46" spans="1:10" ht="15.75" thickBot="1" x14ac:dyDescent="0.3">
      <c r="A46" s="261" t="s">
        <v>79</v>
      </c>
      <c r="B46" s="266"/>
      <c r="C46" s="28"/>
      <c r="D46" s="31"/>
      <c r="E46" s="32"/>
      <c r="F46" s="126"/>
      <c r="G46" s="128"/>
      <c r="H46" s="35"/>
      <c r="I46" s="35"/>
      <c r="J46" s="35"/>
    </row>
    <row r="47" spans="1:10" x14ac:dyDescent="0.25">
      <c r="A47" s="16" t="s">
        <v>80</v>
      </c>
      <c r="B47" s="17" t="s">
        <v>81</v>
      </c>
      <c r="C47" s="18"/>
      <c r="D47" s="21"/>
      <c r="E47" s="22"/>
      <c r="F47" s="124"/>
      <c r="G47" s="127"/>
      <c r="H47" s="25"/>
      <c r="I47" s="25"/>
      <c r="J47" s="25"/>
    </row>
    <row r="48" spans="1:10" x14ac:dyDescent="0.25">
      <c r="A48" s="16" t="s">
        <v>82</v>
      </c>
      <c r="B48" s="26" t="s">
        <v>83</v>
      </c>
      <c r="C48" s="18"/>
      <c r="D48" s="21"/>
      <c r="E48" s="22"/>
      <c r="F48" s="124"/>
      <c r="G48" s="127"/>
      <c r="H48" s="25"/>
      <c r="I48" s="25"/>
      <c r="J48" s="25"/>
    </row>
    <row r="49" spans="1:10" x14ac:dyDescent="0.25">
      <c r="A49" s="16" t="s">
        <v>84</v>
      </c>
      <c r="B49" s="26" t="s">
        <v>85</v>
      </c>
      <c r="C49" s="18"/>
      <c r="D49" s="21"/>
      <c r="E49" s="22"/>
      <c r="F49" s="124"/>
      <c r="G49" s="127"/>
      <c r="H49" s="25"/>
      <c r="I49" s="25"/>
      <c r="J49" s="25"/>
    </row>
    <row r="50" spans="1:10" x14ac:dyDescent="0.25">
      <c r="A50" s="16">
        <v>71</v>
      </c>
      <c r="B50" s="26" t="s">
        <v>86</v>
      </c>
      <c r="C50" s="18"/>
      <c r="D50" s="21"/>
      <c r="E50" s="22"/>
      <c r="F50" s="124"/>
      <c r="G50" s="127"/>
      <c r="H50" s="25"/>
      <c r="I50" s="25"/>
      <c r="J50" s="25"/>
    </row>
    <row r="51" spans="1:10" x14ac:dyDescent="0.25">
      <c r="A51" s="19">
        <v>7101</v>
      </c>
      <c r="B51" s="20" t="s">
        <v>62</v>
      </c>
      <c r="C51" s="18">
        <v>1664299.67</v>
      </c>
      <c r="D51" s="21">
        <v>2075135.44</v>
      </c>
      <c r="E51" s="22">
        <v>2528288.61</v>
      </c>
      <c r="F51" s="124">
        <v>2341830.5299999998</v>
      </c>
      <c r="G51" s="124">
        <v>2568428.88</v>
      </c>
      <c r="H51" s="124">
        <v>2568428.88</v>
      </c>
      <c r="I51" s="124">
        <v>2568428.88</v>
      </c>
      <c r="J51" s="25"/>
    </row>
    <row r="52" spans="1:10" x14ac:dyDescent="0.25">
      <c r="A52" s="19">
        <v>7102</v>
      </c>
      <c r="B52" s="20" t="s">
        <v>63</v>
      </c>
      <c r="C52" s="18">
        <v>290853.89</v>
      </c>
      <c r="D52" s="21">
        <v>409026.91</v>
      </c>
      <c r="E52" s="22">
        <v>438633.66</v>
      </c>
      <c r="F52" s="124">
        <v>460752.72</v>
      </c>
      <c r="G52" s="124">
        <v>421480.74</v>
      </c>
      <c r="H52" s="124">
        <v>421480.74</v>
      </c>
      <c r="I52" s="124">
        <v>459418.38</v>
      </c>
      <c r="J52" s="25"/>
    </row>
    <row r="53" spans="1:10" x14ac:dyDescent="0.25">
      <c r="A53" s="19">
        <v>7103</v>
      </c>
      <c r="B53" s="20" t="s">
        <v>64</v>
      </c>
      <c r="C53" s="18">
        <v>233824.19</v>
      </c>
      <c r="D53" s="21">
        <v>275892.53999999998</v>
      </c>
      <c r="E53" s="22">
        <v>243945</v>
      </c>
      <c r="F53" s="124">
        <v>271586.90000000002</v>
      </c>
      <c r="G53" s="124">
        <v>295812</v>
      </c>
      <c r="H53" s="124">
        <v>295812</v>
      </c>
      <c r="I53" s="124">
        <v>295812</v>
      </c>
      <c r="J53" s="25"/>
    </row>
    <row r="54" spans="1:10" x14ac:dyDescent="0.25">
      <c r="A54" s="19">
        <v>7104</v>
      </c>
      <c r="B54" s="20" t="s">
        <v>65</v>
      </c>
      <c r="C54" s="18">
        <v>17313.07</v>
      </c>
      <c r="D54" s="21">
        <v>21014.04</v>
      </c>
      <c r="E54" s="22">
        <v>19844.89</v>
      </c>
      <c r="F54" s="124">
        <v>25809.61</v>
      </c>
      <c r="G54" s="124">
        <v>43476.2</v>
      </c>
      <c r="H54" s="124">
        <v>43476.2</v>
      </c>
      <c r="I54" s="124">
        <v>43476.2</v>
      </c>
      <c r="J54" s="25"/>
    </row>
    <row r="55" spans="1:10" x14ac:dyDescent="0.25">
      <c r="A55" s="19">
        <v>7105</v>
      </c>
      <c r="B55" s="20" t="s">
        <v>66</v>
      </c>
      <c r="C55" s="18">
        <v>1051641.6499999999</v>
      </c>
      <c r="D55" s="21">
        <v>1587639.27</v>
      </c>
      <c r="E55" s="22">
        <v>1128964.98</v>
      </c>
      <c r="F55" s="124">
        <v>1071893.08</v>
      </c>
      <c r="G55" s="124">
        <v>861187.68</v>
      </c>
      <c r="H55" s="124">
        <v>861187.68</v>
      </c>
      <c r="I55" s="124">
        <v>861187.68</v>
      </c>
      <c r="J55" s="25"/>
    </row>
    <row r="56" spans="1:10" x14ac:dyDescent="0.25">
      <c r="A56" s="19">
        <v>7106</v>
      </c>
      <c r="B56" s="20" t="s">
        <v>67</v>
      </c>
      <c r="C56" s="18">
        <v>474845.81</v>
      </c>
      <c r="D56" s="21">
        <v>648405.12</v>
      </c>
      <c r="E56" s="22">
        <v>672985.12</v>
      </c>
      <c r="F56" s="124">
        <v>633374.64</v>
      </c>
      <c r="G56" s="124">
        <v>697928.47</v>
      </c>
      <c r="H56" s="124">
        <v>697928.47</v>
      </c>
      <c r="I56" s="124">
        <v>697928.47</v>
      </c>
      <c r="J56" s="25"/>
    </row>
    <row r="57" spans="1:10" x14ac:dyDescent="0.25">
      <c r="A57" s="19">
        <v>7107</v>
      </c>
      <c r="B57" s="20" t="s">
        <v>68</v>
      </c>
      <c r="C57" s="18">
        <v>172000.12</v>
      </c>
      <c r="D57" s="21">
        <v>75432.73</v>
      </c>
      <c r="E57" s="22">
        <v>58428.28</v>
      </c>
      <c r="F57" s="124">
        <v>84432.41</v>
      </c>
      <c r="G57" s="124">
        <v>341922.5</v>
      </c>
      <c r="H57" s="124">
        <v>341922.5</v>
      </c>
      <c r="I57" s="124">
        <v>341922.5</v>
      </c>
      <c r="J57" s="25"/>
    </row>
    <row r="58" spans="1:10" x14ac:dyDescent="0.25">
      <c r="A58" s="19">
        <v>7199</v>
      </c>
      <c r="B58" s="20" t="s">
        <v>69</v>
      </c>
      <c r="C58" s="18"/>
      <c r="D58" s="21"/>
      <c r="E58" s="22"/>
      <c r="F58" s="124"/>
      <c r="G58" s="124"/>
      <c r="H58" s="124"/>
      <c r="I58" s="124"/>
      <c r="J58" s="25"/>
    </row>
    <row r="59" spans="1:10" x14ac:dyDescent="0.25">
      <c r="A59" s="16">
        <v>73</v>
      </c>
      <c r="B59" s="26" t="s">
        <v>87</v>
      </c>
      <c r="C59" s="18">
        <v>1706600.31</v>
      </c>
      <c r="D59" s="21">
        <v>3406078.91</v>
      </c>
      <c r="E59" s="22">
        <v>2866827.71</v>
      </c>
      <c r="F59" s="124">
        <v>2116076.2599999998</v>
      </c>
      <c r="G59" s="124">
        <v>3320873.55</v>
      </c>
      <c r="H59" s="124">
        <v>3320873.55</v>
      </c>
      <c r="I59" s="124">
        <v>3320873.55</v>
      </c>
      <c r="J59" s="25"/>
    </row>
    <row r="60" spans="1:10" x14ac:dyDescent="0.25">
      <c r="A60" s="16">
        <v>75</v>
      </c>
      <c r="B60" s="26" t="s">
        <v>88</v>
      </c>
      <c r="C60" s="18"/>
      <c r="D60" s="21"/>
      <c r="E60" s="22"/>
      <c r="F60" s="124"/>
      <c r="G60" s="124"/>
      <c r="H60" s="124"/>
      <c r="I60" s="124"/>
      <c r="J60" s="25"/>
    </row>
    <row r="61" spans="1:10" x14ac:dyDescent="0.25">
      <c r="A61" s="19">
        <v>7501</v>
      </c>
      <c r="B61" s="20" t="s">
        <v>89</v>
      </c>
      <c r="C61" s="18">
        <v>2899875.66</v>
      </c>
      <c r="D61" s="21">
        <v>5974781.6600000001</v>
      </c>
      <c r="E61" s="22">
        <v>1882731.65</v>
      </c>
      <c r="F61" s="124">
        <v>645409.84</v>
      </c>
      <c r="G61" s="127"/>
      <c r="H61" s="25"/>
      <c r="I61" s="25"/>
      <c r="J61" s="25"/>
    </row>
    <row r="62" spans="1:10" x14ac:dyDescent="0.25">
      <c r="A62" s="19">
        <v>7502</v>
      </c>
      <c r="B62" s="20" t="s">
        <v>90</v>
      </c>
      <c r="C62" s="18"/>
      <c r="D62" s="21"/>
      <c r="E62" s="22"/>
      <c r="F62" s="124"/>
      <c r="G62" s="127"/>
      <c r="H62" s="25"/>
      <c r="I62" s="25"/>
      <c r="J62" s="25"/>
    </row>
    <row r="63" spans="1:10" x14ac:dyDescent="0.25">
      <c r="A63" s="19">
        <v>7503</v>
      </c>
      <c r="B63" s="20" t="s">
        <v>91</v>
      </c>
      <c r="C63" s="18"/>
      <c r="D63" s="21"/>
      <c r="E63" s="22"/>
      <c r="F63" s="124"/>
      <c r="G63" s="127"/>
      <c r="H63" s="25"/>
      <c r="I63" s="25"/>
      <c r="J63" s="25"/>
    </row>
    <row r="64" spans="1:10" x14ac:dyDescent="0.25">
      <c r="A64" s="19">
        <v>7504</v>
      </c>
      <c r="B64" s="20" t="s">
        <v>92</v>
      </c>
      <c r="C64" s="18"/>
      <c r="D64" s="21"/>
      <c r="E64" s="22"/>
      <c r="F64" s="124"/>
      <c r="G64" s="127"/>
      <c r="H64" s="25"/>
      <c r="I64" s="25"/>
      <c r="J64" s="25"/>
    </row>
    <row r="65" spans="1:10" x14ac:dyDescent="0.25">
      <c r="A65" s="19">
        <v>7505</v>
      </c>
      <c r="B65" s="20" t="s">
        <v>93</v>
      </c>
      <c r="C65" s="18"/>
      <c r="D65" s="21"/>
      <c r="E65" s="22"/>
      <c r="F65" s="124"/>
      <c r="G65" s="127"/>
      <c r="H65" s="25"/>
      <c r="I65" s="25"/>
      <c r="J65" s="25"/>
    </row>
    <row r="66" spans="1:10" x14ac:dyDescent="0.25">
      <c r="A66" s="19">
        <v>7599</v>
      </c>
      <c r="B66" s="20" t="s">
        <v>69</v>
      </c>
      <c r="C66" s="18"/>
      <c r="D66" s="21"/>
      <c r="E66" s="22"/>
      <c r="F66" s="124"/>
      <c r="G66" s="127"/>
      <c r="H66" s="25"/>
      <c r="I66" s="25"/>
      <c r="J66" s="25"/>
    </row>
    <row r="67" spans="1:10" x14ac:dyDescent="0.25">
      <c r="A67" s="16">
        <v>77</v>
      </c>
      <c r="B67" s="38" t="s">
        <v>94</v>
      </c>
      <c r="C67" s="18">
        <v>190449.22</v>
      </c>
      <c r="D67" s="21">
        <v>379474.24</v>
      </c>
      <c r="E67" s="22">
        <v>341040.14</v>
      </c>
      <c r="F67" s="124">
        <v>262664.44</v>
      </c>
      <c r="G67" s="124">
        <v>289004.19</v>
      </c>
      <c r="H67" s="124">
        <v>289004.19</v>
      </c>
      <c r="I67" s="124">
        <v>289004.19</v>
      </c>
      <c r="J67" s="25"/>
    </row>
    <row r="68" spans="1:10" x14ac:dyDescent="0.25">
      <c r="A68" s="16">
        <v>78</v>
      </c>
      <c r="B68" s="26" t="s">
        <v>95</v>
      </c>
      <c r="C68" s="18"/>
      <c r="D68" s="21"/>
      <c r="E68" s="22"/>
      <c r="F68" s="124"/>
      <c r="G68" s="124"/>
      <c r="H68" s="124"/>
      <c r="I68" s="124"/>
      <c r="J68" s="25"/>
    </row>
    <row r="69" spans="1:10" x14ac:dyDescent="0.25">
      <c r="A69" s="16">
        <v>84</v>
      </c>
      <c r="B69" s="26" t="s">
        <v>96</v>
      </c>
      <c r="C69" s="18">
        <v>231496.89</v>
      </c>
      <c r="D69" s="21">
        <v>262462</v>
      </c>
      <c r="E69" s="22">
        <v>122534.62</v>
      </c>
      <c r="F69" s="124">
        <v>138558.89000000001</v>
      </c>
      <c r="G69" s="124">
        <v>38129.519999999997</v>
      </c>
      <c r="H69" s="124">
        <v>38129.519999999997</v>
      </c>
      <c r="I69" s="124">
        <v>38129.519999999997</v>
      </c>
      <c r="J69" s="25"/>
    </row>
    <row r="70" spans="1:10" ht="15.75" thickBot="1" x14ac:dyDescent="0.3">
      <c r="A70" s="16">
        <v>88</v>
      </c>
      <c r="B70" s="29" t="s">
        <v>97</v>
      </c>
      <c r="C70" s="39" t="s">
        <v>472</v>
      </c>
      <c r="D70" s="21"/>
      <c r="E70" s="22"/>
      <c r="F70" s="23"/>
      <c r="G70" s="127"/>
      <c r="H70" s="25"/>
      <c r="I70" s="25"/>
      <c r="J70" s="25"/>
    </row>
    <row r="71" spans="1:10" x14ac:dyDescent="0.25">
      <c r="A71" s="263" t="s">
        <v>98</v>
      </c>
      <c r="B71" s="264"/>
      <c r="C71" s="40"/>
      <c r="D71" s="41"/>
      <c r="E71" s="42"/>
      <c r="F71" s="43"/>
      <c r="G71" s="129"/>
      <c r="H71" s="44"/>
      <c r="I71" s="44"/>
      <c r="J71" s="44"/>
    </row>
    <row r="72" spans="1:10" x14ac:dyDescent="0.25">
      <c r="A72" s="267" t="s">
        <v>99</v>
      </c>
      <c r="B72" s="268"/>
      <c r="C72" s="45">
        <f t="shared" ref="C72:H72" si="3">+C42+C71</f>
        <v>7007.06</v>
      </c>
      <c r="D72" s="45">
        <f t="shared" si="3"/>
        <v>4641.0600000000004</v>
      </c>
      <c r="E72" s="45">
        <f t="shared" si="3"/>
        <v>2664.85</v>
      </c>
      <c r="F72" s="45">
        <f t="shared" si="3"/>
        <v>1696.9</v>
      </c>
      <c r="G72" s="130">
        <f t="shared" si="3"/>
        <v>-42500</v>
      </c>
      <c r="H72" s="45">
        <f t="shared" si="3"/>
        <v>-42500</v>
      </c>
      <c r="I72" s="45">
        <f>+I42+I71</f>
        <v>-42500</v>
      </c>
      <c r="J72" s="45"/>
    </row>
    <row r="73" spans="1:10" x14ac:dyDescent="0.25">
      <c r="A73" s="269" t="s">
        <v>100</v>
      </c>
      <c r="B73" s="266"/>
      <c r="C73" s="28"/>
      <c r="D73" s="31"/>
      <c r="E73" s="32"/>
      <c r="F73" s="33"/>
      <c r="G73" s="128"/>
      <c r="H73" s="35"/>
      <c r="I73" s="35"/>
      <c r="J73" s="35"/>
    </row>
    <row r="74" spans="1:10" x14ac:dyDescent="0.25">
      <c r="A74" s="46">
        <v>27</v>
      </c>
      <c r="B74" s="37" t="s">
        <v>101</v>
      </c>
      <c r="C74" s="18"/>
      <c r="D74" s="21"/>
      <c r="E74" s="22"/>
      <c r="F74" s="23"/>
      <c r="G74" s="127"/>
      <c r="H74" s="25"/>
      <c r="I74" s="25"/>
      <c r="J74" s="25"/>
    </row>
    <row r="75" spans="1:10" x14ac:dyDescent="0.25">
      <c r="A75" s="47">
        <v>36</v>
      </c>
      <c r="B75" s="48" t="s">
        <v>102</v>
      </c>
      <c r="C75" s="18"/>
      <c r="D75" s="21"/>
      <c r="E75" s="22"/>
      <c r="F75" s="23"/>
      <c r="G75" s="127"/>
      <c r="H75" s="25"/>
      <c r="I75" s="25"/>
      <c r="J75" s="25"/>
    </row>
    <row r="76" spans="1:10" x14ac:dyDescent="0.25">
      <c r="A76" s="36">
        <v>37</v>
      </c>
      <c r="B76" s="37" t="s">
        <v>103</v>
      </c>
      <c r="C76" s="18">
        <v>490461.96</v>
      </c>
      <c r="D76" s="21">
        <v>414307.11</v>
      </c>
      <c r="E76" s="22">
        <v>3061288.38</v>
      </c>
      <c r="F76" s="124">
        <v>2487823.21</v>
      </c>
      <c r="G76" s="124">
        <v>400000</v>
      </c>
      <c r="H76" s="124">
        <v>400000</v>
      </c>
      <c r="I76" s="124">
        <v>400000</v>
      </c>
      <c r="J76" s="25"/>
    </row>
    <row r="77" spans="1:10" x14ac:dyDescent="0.25">
      <c r="A77" s="36">
        <v>38</v>
      </c>
      <c r="B77" s="37" t="s">
        <v>104</v>
      </c>
      <c r="C77" s="18">
        <v>671216.68</v>
      </c>
      <c r="D77" s="21">
        <v>2260731.73</v>
      </c>
      <c r="E77" s="22">
        <v>537611.36</v>
      </c>
      <c r="F77" s="124">
        <v>61118.51</v>
      </c>
      <c r="G77" s="127"/>
      <c r="H77" s="25"/>
      <c r="I77" s="25"/>
      <c r="J77" s="25"/>
    </row>
    <row r="78" spans="1:10" x14ac:dyDescent="0.25">
      <c r="A78" s="261" t="s">
        <v>105</v>
      </c>
      <c r="B78" s="265"/>
      <c r="C78" s="28"/>
      <c r="D78" s="31"/>
      <c r="E78" s="32"/>
      <c r="F78" s="33"/>
      <c r="G78" s="34"/>
      <c r="H78" s="35"/>
      <c r="I78" s="35"/>
      <c r="J78" s="35"/>
    </row>
    <row r="79" spans="1:10" x14ac:dyDescent="0.25">
      <c r="A79" s="36">
        <v>87</v>
      </c>
      <c r="B79" s="37" t="s">
        <v>106</v>
      </c>
      <c r="C79" s="18"/>
      <c r="D79" s="21"/>
      <c r="E79" s="22"/>
      <c r="F79" s="23"/>
      <c r="G79" s="24"/>
      <c r="H79" s="25"/>
      <c r="I79" s="25"/>
      <c r="J79" s="25"/>
    </row>
    <row r="80" spans="1:10" x14ac:dyDescent="0.25">
      <c r="A80" s="36">
        <v>96</v>
      </c>
      <c r="B80" s="37" t="s">
        <v>107</v>
      </c>
      <c r="C80" s="18"/>
      <c r="D80" s="21"/>
      <c r="E80" s="22"/>
      <c r="F80" s="23"/>
      <c r="G80" s="24"/>
      <c r="H80" s="25"/>
      <c r="I80" s="25"/>
      <c r="J80" s="25"/>
    </row>
    <row r="81" spans="1:10" x14ac:dyDescent="0.25">
      <c r="A81" s="36">
        <v>97</v>
      </c>
      <c r="B81" s="37" t="s">
        <v>108</v>
      </c>
      <c r="C81" s="18">
        <v>231965.38</v>
      </c>
      <c r="D81" s="21">
        <v>1961404.04</v>
      </c>
      <c r="E81" s="22">
        <v>172023.08</v>
      </c>
      <c r="F81" s="23"/>
      <c r="G81" s="24"/>
      <c r="H81" s="25"/>
      <c r="I81" s="25"/>
      <c r="J81" s="25"/>
    </row>
    <row r="82" spans="1:10" ht="15.75" thickBot="1" x14ac:dyDescent="0.3">
      <c r="A82" s="49">
        <v>99</v>
      </c>
      <c r="B82" s="50" t="s">
        <v>109</v>
      </c>
      <c r="C82" s="18"/>
      <c r="D82" s="21"/>
      <c r="E82" s="22"/>
      <c r="F82" s="23"/>
      <c r="G82" s="24"/>
      <c r="H82" s="25"/>
      <c r="I82" s="25"/>
      <c r="J82" s="25"/>
    </row>
    <row r="83" spans="1:10" ht="15.75" thickBot="1" x14ac:dyDescent="0.3">
      <c r="A83" s="270" t="s">
        <v>110</v>
      </c>
      <c r="B83" s="271"/>
      <c r="C83" s="51">
        <f t="shared" ref="C83:H83" si="4">+C73-C78</f>
        <v>0</v>
      </c>
      <c r="D83" s="51">
        <f t="shared" si="4"/>
        <v>0</v>
      </c>
      <c r="E83" s="51">
        <f t="shared" si="4"/>
        <v>0</v>
      </c>
      <c r="F83" s="51">
        <f t="shared" si="4"/>
        <v>0</v>
      </c>
      <c r="G83" s="51">
        <f t="shared" si="4"/>
        <v>0</v>
      </c>
      <c r="H83" s="51">
        <f t="shared" si="4"/>
        <v>0</v>
      </c>
      <c r="I83" s="51">
        <f>+I73-I78</f>
        <v>0</v>
      </c>
      <c r="J83" s="51"/>
    </row>
    <row r="84" spans="1:10" s="54" customFormat="1" x14ac:dyDescent="0.25">
      <c r="A84" s="52"/>
      <c r="B84" s="52"/>
      <c r="C84" s="53"/>
      <c r="D84" s="53"/>
      <c r="E84" s="53"/>
      <c r="F84" s="53"/>
      <c r="G84" s="53"/>
      <c r="H84" s="53"/>
    </row>
    <row r="85" spans="1:10" s="54" customFormat="1" x14ac:dyDescent="0.25">
      <c r="A85" s="52"/>
      <c r="B85" s="52"/>
      <c r="C85" s="53"/>
      <c r="D85" s="53"/>
      <c r="E85" s="53"/>
      <c r="F85" s="53"/>
      <c r="G85" s="53"/>
      <c r="H85" s="53"/>
    </row>
    <row r="86" spans="1:10" s="54" customFormat="1" x14ac:dyDescent="0.25">
      <c r="A86" s="52"/>
      <c r="B86" s="52"/>
      <c r="C86" s="53"/>
      <c r="D86" s="53"/>
      <c r="E86" s="53"/>
      <c r="F86" s="53"/>
      <c r="G86" s="53"/>
      <c r="H86" s="53"/>
    </row>
    <row r="87" spans="1:10" s="54" customFormat="1" ht="15.75" thickBot="1" x14ac:dyDescent="0.3">
      <c r="A87" s="121" t="s">
        <v>111</v>
      </c>
      <c r="B87" s="122"/>
      <c r="C87" s="122"/>
      <c r="D87" s="122"/>
      <c r="E87" s="122"/>
      <c r="F87" s="122"/>
      <c r="G87" s="122"/>
      <c r="H87" s="122"/>
      <c r="I87" s="122"/>
    </row>
    <row r="88" spans="1:10" s="54" customFormat="1" x14ac:dyDescent="0.25">
      <c r="A88" s="55"/>
      <c r="B88" s="56"/>
      <c r="C88" s="56"/>
      <c r="D88" s="56"/>
      <c r="E88" s="56"/>
      <c r="F88" s="56"/>
      <c r="G88" s="56"/>
      <c r="H88" s="56"/>
      <c r="I88" s="57"/>
    </row>
    <row r="89" spans="1:10" s="54" customFormat="1" ht="15.75" thickBot="1" x14ac:dyDescent="0.3">
      <c r="A89" s="58"/>
      <c r="B89" s="59"/>
      <c r="C89" s="60"/>
      <c r="D89" s="60"/>
      <c r="E89" s="60"/>
      <c r="F89" s="60"/>
      <c r="G89" s="60"/>
      <c r="H89" s="60"/>
      <c r="I89" s="61"/>
    </row>
    <row r="90" spans="1:10" s="54" customFormat="1" x14ac:dyDescent="0.25">
      <c r="A90" s="52"/>
      <c r="B90" s="52"/>
      <c r="C90" s="53"/>
      <c r="D90" s="53"/>
      <c r="E90" s="53"/>
      <c r="F90" s="53"/>
      <c r="G90" s="53"/>
      <c r="H90" s="53"/>
    </row>
    <row r="91" spans="1:10" x14ac:dyDescent="0.25">
      <c r="A91" s="62" t="s">
        <v>122</v>
      </c>
    </row>
    <row r="92" spans="1:10" x14ac:dyDescent="0.25">
      <c r="A92" s="62" t="s">
        <v>112</v>
      </c>
    </row>
    <row r="93" spans="1:10" x14ac:dyDescent="0.25">
      <c r="A93" s="62" t="s">
        <v>129</v>
      </c>
    </row>
    <row r="94" spans="1:10" x14ac:dyDescent="0.25">
      <c r="A94" s="62" t="s">
        <v>121</v>
      </c>
    </row>
    <row r="95" spans="1:10" x14ac:dyDescent="0.25">
      <c r="A95" s="62"/>
    </row>
    <row r="99" spans="1:7" x14ac:dyDescent="0.25">
      <c r="A99" s="242" t="s">
        <v>496</v>
      </c>
      <c r="B99" s="242"/>
      <c r="C99" s="242"/>
      <c r="E99" s="242" t="s">
        <v>495</v>
      </c>
      <c r="F99" s="242"/>
      <c r="G99" s="242"/>
    </row>
    <row r="100" spans="1:7" x14ac:dyDescent="0.25">
      <c r="A100" s="63" t="s">
        <v>130</v>
      </c>
      <c r="B100" s="63" t="s">
        <v>471</v>
      </c>
      <c r="E100" s="63" t="s">
        <v>517</v>
      </c>
    </row>
    <row r="102" spans="1:7" x14ac:dyDescent="0.25">
      <c r="A102" s="63" t="s">
        <v>515</v>
      </c>
    </row>
    <row r="103" spans="1:7" x14ac:dyDescent="0.25">
      <c r="A103" s="63" t="s">
        <v>119</v>
      </c>
    </row>
  </sheetData>
  <mergeCells count="20">
    <mergeCell ref="E99:G99"/>
    <mergeCell ref="A9:B9"/>
    <mergeCell ref="A27:B27"/>
    <mergeCell ref="A42:B42"/>
    <mergeCell ref="A43:B43"/>
    <mergeCell ref="A46:B46"/>
    <mergeCell ref="A71:B71"/>
    <mergeCell ref="A72:B72"/>
    <mergeCell ref="A73:B73"/>
    <mergeCell ref="A78:B78"/>
    <mergeCell ref="A83:B83"/>
    <mergeCell ref="A99:C99"/>
    <mergeCell ref="J6:J8"/>
    <mergeCell ref="A1:H1"/>
    <mergeCell ref="A2:H2"/>
    <mergeCell ref="A4:H4"/>
    <mergeCell ref="A5:H5"/>
    <mergeCell ref="A6:B7"/>
    <mergeCell ref="C6:E7"/>
    <mergeCell ref="F6:I7"/>
  </mergeCells>
  <printOptions horizontalCentered="1"/>
  <pageMargins left="0.44270833333333331" right="0" top="0.74803149606299213" bottom="0.74803149606299213" header="0.31496062992125984" footer="0.31496062992125984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INTEL</cp:lastModifiedBy>
  <cp:lastPrinted>2017-02-16T13:50:50Z</cp:lastPrinted>
  <dcterms:created xsi:type="dcterms:W3CDTF">2001-11-14T15:50:59Z</dcterms:created>
  <dcterms:modified xsi:type="dcterms:W3CDTF">2017-03-02T14:58:41Z</dcterms:modified>
</cp:coreProperties>
</file>