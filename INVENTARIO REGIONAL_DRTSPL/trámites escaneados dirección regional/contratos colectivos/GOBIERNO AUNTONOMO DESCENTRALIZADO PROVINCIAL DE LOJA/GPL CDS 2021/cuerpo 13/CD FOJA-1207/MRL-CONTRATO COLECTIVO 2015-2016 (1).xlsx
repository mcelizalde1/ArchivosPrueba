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0" yWindow="60" windowWidth="19320" windowHeight="7410" tabRatio="685" activeTab="1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1'!$A$1:$F$39</definedName>
    <definedName name="_xlnm.Print_Area" localSheetId="1">'FORMULARIO 2'!$A$1:$F$48</definedName>
    <definedName name="_xlnm.Print_Area" localSheetId="2">'FORMULARIO 3'!$A$1:$H$35</definedName>
    <definedName name="_xlnm.Print_Area" localSheetId="3">'FORMULARIO 4'!$A$1:$M$91</definedName>
  </definedNames>
  <calcPr calcId="145621"/>
</workbook>
</file>

<file path=xl/calcChain.xml><?xml version="1.0" encoding="utf-8"?>
<calcChain xmlns="http://schemas.openxmlformats.org/spreadsheetml/2006/main">
  <c r="E27" i="21" l="1"/>
  <c r="D27" i="21"/>
  <c r="C37" i="20"/>
  <c r="L54" i="24"/>
  <c r="K54" i="24"/>
  <c r="J54" i="24"/>
  <c r="I54" i="24"/>
  <c r="H54" i="24"/>
  <c r="L50" i="24"/>
  <c r="K50" i="24"/>
  <c r="J50" i="24"/>
  <c r="I50" i="24"/>
  <c r="H50" i="24"/>
  <c r="G50" i="24"/>
  <c r="G54" i="24"/>
  <c r="F50" i="24"/>
  <c r="F54" i="24"/>
  <c r="E54" i="24"/>
  <c r="E50" i="24"/>
  <c r="C50" i="24"/>
  <c r="C54" i="24"/>
  <c r="D54" i="24"/>
  <c r="D50" i="24"/>
  <c r="E37" i="20" l="1"/>
  <c r="L25" i="24" l="1"/>
  <c r="L81" i="24"/>
  <c r="L7" i="24"/>
  <c r="J81" i="24"/>
  <c r="I81" i="24"/>
  <c r="H81" i="24"/>
  <c r="F81" i="24"/>
  <c r="D81" i="24"/>
  <c r="C81" i="24"/>
  <c r="J25" i="24"/>
  <c r="I25" i="24"/>
  <c r="H25" i="24"/>
  <c r="F25" i="24"/>
  <c r="D25" i="24"/>
  <c r="C25" i="24"/>
  <c r="J7" i="24"/>
  <c r="I7" i="24"/>
  <c r="H7" i="24"/>
  <c r="F7" i="24"/>
  <c r="D7" i="24"/>
  <c r="C7" i="24"/>
  <c r="D37" i="20"/>
  <c r="G23" i="23"/>
  <c r="F23" i="23"/>
  <c r="D40" i="24" l="1"/>
  <c r="D70" i="24" s="1"/>
  <c r="L40" i="24"/>
  <c r="L70" i="24" s="1"/>
  <c r="J40" i="24"/>
  <c r="J70" i="24" s="1"/>
  <c r="C40" i="24"/>
  <c r="C70" i="24" s="1"/>
  <c r="H40" i="24"/>
  <c r="H70" i="24" s="1"/>
  <c r="F40" i="24"/>
  <c r="F70" i="24" s="1"/>
  <c r="I40" i="24"/>
  <c r="I70" i="24" s="1"/>
</calcChain>
</file>

<file path=xl/comments1.xml><?xml version="1.0" encoding="utf-8"?>
<comments xmlns="http://schemas.openxmlformats.org/spreadsheetml/2006/main">
  <authors>
    <author>avillareal</author>
  </authors>
  <commentList>
    <comment ref="D7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7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D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<sst xmlns="http://schemas.openxmlformats.org/spreadsheetml/2006/main" count="234" uniqueCount="184">
  <si>
    <t>MINISTERIO DE FINANZAS</t>
  </si>
  <si>
    <t>FORMULARIO 1: "FUENTES DE FINANCIAMIENTO DEL PROYECTO DE CONTRATO COLECTIVO"</t>
  </si>
  <si>
    <t>DETALLE DE INGRESOS</t>
  </si>
  <si>
    <t>FUENTES DE FINANCIAMIENTO</t>
  </si>
  <si>
    <t>FINANCIAMIENTO REAL DEL CONTRATO COLECTIVO VIGENTE USD</t>
  </si>
  <si>
    <t>FINANCIAMIENTO ESTIMADO DEL   CONTRATO COLECTIVO PROPUESTO USD $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</si>
  <si>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</si>
  <si>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</si>
  <si>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</si>
  <si>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</si>
  <si>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</si>
  <si>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</si>
  <si>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</si>
  <si>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</si>
  <si>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</si>
  <si>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</si>
  <si>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</si>
  <si>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</si>
  <si>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</si>
  <si>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</si>
  <si>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</si>
  <si>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</si>
  <si>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</si>
  <si>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</si>
  <si>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</si>
  <si>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</si>
  <si>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</si>
  <si>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</si>
  <si>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</si>
  <si>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</si>
  <si>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</si>
  <si>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</si>
  <si>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</si>
  <si>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</si>
  <si>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</si>
  <si>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</si>
  <si>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</si>
  <si>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</si>
  <si>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</si>
  <si>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</si>
  <si>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</si>
  <si>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</si>
  <si>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</si>
  <si>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</si>
  <si>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</si>
  <si>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</si>
  <si>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</si>
  <si>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</si>
  <si>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</si>
  <si>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</si>
  <si>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</si>
  <si>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</si>
  <si>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</si>
  <si>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</si>
  <si>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</si>
  <si>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</si>
  <si>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</si>
  <si>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</si>
  <si>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</si>
  <si>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</si>
  <si>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</si>
  <si>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</si>
  <si>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</si>
  <si>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REMUNERACIÓN UNIFICADA CONTRATO COLECTIVO PROPUESTO USD $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</si>
  <si>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</si>
  <si>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</si>
  <si>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</si>
  <si>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</si>
  <si>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</si>
  <si>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</si>
  <si>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</si>
  <si>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</si>
  <si>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</si>
  <si>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</si>
  <si>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</si>
  <si>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</si>
  <si>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</si>
  <si>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</si>
  <si>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</si>
  <si>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</si>
  <si>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</si>
  <si>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</si>
  <si>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</si>
  <si>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</si>
  <si>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</si>
  <si>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</si>
  <si>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</si>
  <si>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</si>
  <si>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</si>
  <si>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</si>
  <si>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</si>
  <si>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</si>
  <si>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</si>
  <si>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</si>
  <si>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</si>
  <si>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</si>
  <si>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</si>
  <si>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</si>
  <si>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</si>
  <si>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</si>
  <si>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</si>
  <si>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</si>
  <si>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</si>
  <si>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</si>
  <si>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</si>
  <si>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</si>
  <si>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</si>
  <si>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</si>
  <si>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</si>
  <si>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</si>
  <si>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</si>
  <si>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</si>
  <si>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</si>
  <si>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</si>
  <si>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</si>
  <si>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</si>
  <si>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</si>
  <si>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</si>
  <si>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</si>
  <si>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</si>
  <si>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</si>
  <si>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</si>
  <si>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</si>
  <si>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</si>
  <si>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</si>
  <si>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</si>
  <si>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</si>
  <si>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</si>
  <si>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</si>
  <si>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</si>
  <si>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</si>
  <si>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</si>
  <si>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</si>
  <si>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</si>
  <si>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</si>
  <si>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</si>
  <si>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</si>
  <si>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</si>
  <si>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</si>
  <si>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710509</t>
  </si>
  <si>
    <t>710601</t>
  </si>
  <si>
    <t>710602</t>
  </si>
  <si>
    <t>710603</t>
  </si>
  <si>
    <t>ALIMENTACION</t>
  </si>
  <si>
    <t xml:space="preserve">      1.103.034.201 </t>
  </si>
  <si>
    <t>CABRERA GRANDA CÉSAR HUMBERTO</t>
  </si>
  <si>
    <t xml:space="preserve">ALBAÑIL </t>
  </si>
  <si>
    <t>RMU EN BASE A RESOLUCION NRO. 032-GG-2014</t>
  </si>
  <si>
    <t xml:space="preserve">      1.900.060.672 </t>
  </si>
  <si>
    <t>ORDOÑEZ ESPINOSA OSWALDO FRANCISCO</t>
  </si>
  <si>
    <t xml:space="preserve"> CONDUCTOR VEHICULOS LIVIANOS Y PESADOS </t>
  </si>
  <si>
    <t xml:space="preserve">      1.101.444.261 </t>
  </si>
  <si>
    <t xml:space="preserve">TIGRE ESCALERAS LUIS ANTONIO </t>
  </si>
  <si>
    <t xml:space="preserve"> CONDUCTOR </t>
  </si>
  <si>
    <t xml:space="preserve">      1.102.620.976 </t>
  </si>
  <si>
    <t xml:space="preserve">GONZAGA CORREA BENITO </t>
  </si>
  <si>
    <t xml:space="preserve">      1.102.589.072 </t>
  </si>
  <si>
    <t xml:space="preserve">ESTRELLA CAMPOVERDE MANUEL AUGUSTO </t>
  </si>
  <si>
    <t xml:space="preserve">      1.103.381.669 </t>
  </si>
  <si>
    <t>ESPINOZA LANCHI HENRY ALCIVAR</t>
  </si>
  <si>
    <t>Nº PROYECTO DEL DECIMO NOVENO CONTRATO COLECTIVO</t>
  </si>
  <si>
    <t xml:space="preserve"> Nº ACTA TRANSACCIONAL </t>
  </si>
  <si>
    <t>SUBSIDIO POR ANTIGÜEDAD</t>
  </si>
  <si>
    <t>GOBIERNO AUTÓNOMO DESCENTRALIZADO EMPRESA PUBLICA DE RIEGO Y DRENAJE DEL SUR RIDRENSUR E.P.</t>
  </si>
  <si>
    <t xml:space="preserve">Nº PROYECTO DEL DECIMO NOVENO CONTRATO COLECTIVO </t>
  </si>
  <si>
    <t>Nombre: Dra. Lilia Espinoza Erreiz</t>
  </si>
  <si>
    <t>Lugar y Fecha: loja, 21 de septiembre del 2015</t>
  </si>
  <si>
    <t>Nombre: Ing. María Yolanda Mora Castro</t>
  </si>
  <si>
    <t>AÑO4</t>
  </si>
  <si>
    <t>AÑO 5</t>
  </si>
  <si>
    <t>EMPRESA PUBLICA DE RIEGO Y DRENAJE DEL SUR RIDRENSUR E.P.</t>
  </si>
  <si>
    <t>EMPRESA PUBLICA DE RIEGO Y DRENAJE DEL SUR E.P.</t>
  </si>
  <si>
    <t>EMPRESA PÚBLICA DE RIEGO Y DRENAJE DEL SUR RIDRENSUR E.P.</t>
  </si>
  <si>
    <t>Lugar y Fecha: Loja, 26 de febrero del 2016</t>
  </si>
  <si>
    <t xml:space="preserve">FIRMA DIRECTOR (A) FINANCIERO (A) </t>
  </si>
  <si>
    <t xml:space="preserve">FIRMA MÁXIMA AUTORIDAD </t>
  </si>
  <si>
    <t>FIRMA GERENTE ADMINISTRATIVO  FINANCIERO</t>
  </si>
  <si>
    <r>
      <t>FORMULARIO 3:</t>
    </r>
    <r>
      <rPr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 xml:space="preserve">"COMPARATIVO ENTRE REMUNERACIÓN UNIFICADA Y PROPUESTA" </t>
    </r>
  </si>
  <si>
    <t>FIRMA GERENTE ADMINISTRATIVO FINANCIERO</t>
  </si>
  <si>
    <t>Lugar y fecha: Loja, 21 de febrero del 2016</t>
  </si>
  <si>
    <t>FIRMA GERENT ADMINISTRATIVO FINANCIERO</t>
  </si>
  <si>
    <t>* A la remuneración antes descrita debe agregarse el valor que se reconoce a cada trabajador por concepto de beneficios del contrato colectivo un avor aproximado por trabajador de $ 123.81 dólares americanos en forma mensual</t>
  </si>
  <si>
    <t>AÑO 2014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</si>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</sst>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2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0"/>
      <name val="Calibri"/>
      <family val="2"/>
      <scheme val="minor"/>
    </font>
    <font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6" fillId="0" borderId="0" applyNumberFormat="0" applyFont="0" applyBorder="0" applyProtection="0"/>
  </cellStyleXfs>
  <cellXfs count="229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2" fillId="0" borderId="0" xfId="0" applyFont="1"/>
    <xf numFmtId="4" fontId="5" fillId="0" borderId="0" xfId="0" applyNumberFormat="1" applyFont="1"/>
    <xf numFmtId="0" fontId="9" fillId="0" borderId="0" xfId="6"/>
    <xf numFmtId="0" fontId="14" fillId="2" borderId="1" xfId="6" applyFont="1" applyFill="1" applyBorder="1" applyAlignment="1">
      <alignment horizontal="center" vertical="center" wrapText="1"/>
    </xf>
    <xf numFmtId="0" fontId="15" fillId="2" borderId="2" xfId="6" applyFont="1" applyFill="1" applyBorder="1" applyAlignment="1">
      <alignment horizontal="center" vertical="center"/>
    </xf>
    <xf numFmtId="0" fontId="15" fillId="2" borderId="3" xfId="6" applyFont="1" applyFill="1" applyBorder="1" applyAlignment="1">
      <alignment horizontal="center" vertical="center"/>
    </xf>
    <xf numFmtId="0" fontId="15" fillId="2" borderId="4" xfId="6" applyFont="1" applyFill="1" applyBorder="1" applyAlignment="1">
      <alignment horizontal="center" vertical="center"/>
    </xf>
    <xf numFmtId="0" fontId="15" fillId="2" borderId="5" xfId="6" applyFont="1" applyFill="1" applyBorder="1" applyAlignment="1">
      <alignment horizontal="center" vertical="center"/>
    </xf>
    <xf numFmtId="0" fontId="10" fillId="2" borderId="6" xfId="6" applyFont="1" applyFill="1" applyBorder="1" applyAlignment="1">
      <alignment horizontal="center" vertical="center" wrapText="1"/>
    </xf>
    <xf numFmtId="0" fontId="10" fillId="2" borderId="3" xfId="6" applyFont="1" applyFill="1" applyBorder="1" applyAlignment="1">
      <alignment horizontal="center" vertical="center" wrapText="1"/>
    </xf>
    <xf numFmtId="0" fontId="16" fillId="3" borderId="7" xfId="6" applyFont="1" applyFill="1" applyBorder="1"/>
    <xf numFmtId="0" fontId="17" fillId="0" borderId="8" xfId="6" applyFont="1" applyBorder="1" applyAlignment="1">
      <alignment horizontal="left"/>
    </xf>
    <xf numFmtId="0" fontId="17" fillId="0" borderId="9" xfId="6" applyFont="1" applyBorder="1"/>
    <xf numFmtId="0" fontId="16" fillId="0" borderId="10" xfId="6" applyFont="1" applyBorder="1"/>
    <xf numFmtId="0" fontId="16" fillId="0" borderId="8" xfId="6" applyFont="1" applyBorder="1" applyAlignment="1">
      <alignment horizontal="center"/>
    </xf>
    <xf numFmtId="0" fontId="16" fillId="0" borderId="10" xfId="6" applyFont="1" applyBorder="1" applyAlignment="1">
      <alignment horizontal="left" indent="2"/>
    </xf>
    <xf numFmtId="0" fontId="16" fillId="0" borderId="11" xfId="6" applyFont="1" applyBorder="1"/>
    <xf numFmtId="0" fontId="16" fillId="0" borderId="12" xfId="6" applyFont="1" applyBorder="1"/>
    <xf numFmtId="0" fontId="9" fillId="0" borderId="13" xfId="6" applyBorder="1"/>
    <xf numFmtId="0" fontId="9" fillId="0" borderId="14" xfId="6" applyBorder="1"/>
    <xf numFmtId="0" fontId="9" fillId="0" borderId="12" xfId="6" applyBorder="1"/>
    <xf numFmtId="0" fontId="17" fillId="0" borderId="10" xfId="6" applyFont="1" applyBorder="1"/>
    <xf numFmtId="0" fontId="16" fillId="0" borderId="15" xfId="6" applyFont="1" applyBorder="1" applyAlignment="1">
      <alignment horizontal="left" indent="2"/>
    </xf>
    <xf numFmtId="0" fontId="16" fillId="3" borderId="10" xfId="6" applyFont="1" applyFill="1" applyBorder="1"/>
    <xf numFmtId="0" fontId="17" fillId="0" borderId="15" xfId="6" applyFont="1" applyBorder="1"/>
    <xf numFmtId="0" fontId="18" fillId="4" borderId="10" xfId="6" applyFont="1" applyFill="1" applyBorder="1"/>
    <xf numFmtId="0" fontId="16" fillId="3" borderId="11" xfId="6" applyFont="1" applyFill="1" applyBorder="1"/>
    <xf numFmtId="0" fontId="16" fillId="3" borderId="12" xfId="6" applyFont="1" applyFill="1" applyBorder="1"/>
    <xf numFmtId="0" fontId="9" fillId="3" borderId="13" xfId="6" applyFill="1" applyBorder="1"/>
    <xf numFmtId="0" fontId="9" fillId="3" borderId="14" xfId="6" applyFill="1" applyBorder="1"/>
    <xf numFmtId="0" fontId="9" fillId="3" borderId="12" xfId="6" applyFill="1" applyBorder="1"/>
    <xf numFmtId="0" fontId="17" fillId="0" borderId="13" xfId="6" applyFont="1" applyBorder="1" applyAlignment="1">
      <alignment horizontal="left"/>
    </xf>
    <xf numFmtId="0" fontId="17" fillId="0" borderId="16" xfId="6" applyFont="1" applyBorder="1"/>
    <xf numFmtId="0" fontId="17" fillId="0" borderId="10" xfId="6" applyFont="1" applyBorder="1" applyAlignment="1">
      <alignment horizontal="left"/>
    </xf>
    <xf numFmtId="0" fontId="16" fillId="0" borderId="17" xfId="6" applyFont="1" applyBorder="1"/>
    <xf numFmtId="0" fontId="19" fillId="4" borderId="9" xfId="6" applyFont="1" applyFill="1" applyBorder="1"/>
    <xf numFmtId="0" fontId="19" fillId="4" borderId="11" xfId="6" applyFont="1" applyFill="1" applyBorder="1"/>
    <xf numFmtId="0" fontId="19" fillId="4" borderId="12" xfId="6" applyFont="1" applyFill="1" applyBorder="1"/>
    <xf numFmtId="0" fontId="20" fillId="4" borderId="13" xfId="6" applyFont="1" applyFill="1" applyBorder="1"/>
    <xf numFmtId="0" fontId="20" fillId="4" borderId="14" xfId="6" applyFont="1" applyFill="1" applyBorder="1"/>
    <xf numFmtId="0" fontId="20" fillId="4" borderId="12" xfId="6" applyFont="1" applyFill="1" applyBorder="1"/>
    <xf numFmtId="0" fontId="21" fillId="2" borderId="10" xfId="6" applyFont="1" applyFill="1" applyBorder="1"/>
    <xf numFmtId="0" fontId="17" fillId="0" borderId="14" xfId="6" applyFont="1" applyBorder="1" applyAlignment="1">
      <alignment horizontal="left"/>
    </xf>
    <xf numFmtId="0" fontId="17" fillId="0" borderId="18" xfId="6" applyFont="1" applyBorder="1" applyAlignment="1">
      <alignment horizontal="left"/>
    </xf>
    <xf numFmtId="0" fontId="17" fillId="0" borderId="19" xfId="6" applyFont="1" applyBorder="1"/>
    <xf numFmtId="0" fontId="17" fillId="0" borderId="20" xfId="6" applyFont="1" applyBorder="1" applyAlignment="1">
      <alignment horizontal="left"/>
    </xf>
    <xf numFmtId="0" fontId="17" fillId="0" borderId="21" xfId="6" applyFont="1" applyBorder="1"/>
    <xf numFmtId="0" fontId="21" fillId="2" borderId="15" xfId="6" applyFont="1" applyFill="1" applyBorder="1"/>
    <xf numFmtId="0" fontId="9" fillId="0" borderId="0" xfId="6" applyFill="1"/>
    <xf numFmtId="0" fontId="16" fillId="0" borderId="0" xfId="6" applyFont="1" applyFill="1" applyBorder="1"/>
    <xf numFmtId="0" fontId="11" fillId="0" borderId="0" xfId="6" applyFo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/>
    <xf numFmtId="0" fontId="23" fillId="0" borderId="0" xfId="0" applyFont="1" applyBorder="1"/>
    <xf numFmtId="0" fontId="24" fillId="0" borderId="0" xfId="0" applyFont="1" applyBorder="1" applyAlignment="1">
      <alignment horizontal="center"/>
    </xf>
    <xf numFmtId="4" fontId="23" fillId="0" borderId="0" xfId="0" applyNumberFormat="1" applyFont="1" applyBorder="1"/>
    <xf numFmtId="0" fontId="23" fillId="0" borderId="0" xfId="0" applyFont="1"/>
    <xf numFmtId="0" fontId="25" fillId="0" borderId="0" xfId="0" applyFont="1" applyFill="1" applyBorder="1" applyAlignment="1"/>
    <xf numFmtId="0" fontId="25" fillId="0" borderId="0" xfId="0" applyFont="1" applyBorder="1" applyAlignment="1"/>
    <xf numFmtId="0" fontId="22" fillId="0" borderId="0" xfId="0" applyFont="1" applyFill="1" applyBorder="1" applyAlignment="1">
      <alignment horizontal="left"/>
    </xf>
    <xf numFmtId="0" fontId="26" fillId="0" borderId="0" xfId="0" applyFont="1" applyFill="1" applyBorder="1" applyAlignment="1"/>
    <xf numFmtId="0" fontId="27" fillId="0" borderId="0" xfId="0" applyFont="1" applyBorder="1"/>
    <xf numFmtId="4" fontId="28" fillId="0" borderId="2" xfId="2" applyNumberFormat="1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4" fontId="26" fillId="0" borderId="10" xfId="0" applyNumberFormat="1" applyFont="1" applyFill="1" applyBorder="1" applyAlignment="1">
      <alignment horizontal="center"/>
    </xf>
    <xf numFmtId="0" fontId="11" fillId="0" borderId="0" xfId="6" applyFont="1" applyBorder="1" applyAlignment="1">
      <alignment horizontal="center"/>
    </xf>
    <xf numFmtId="4" fontId="26" fillId="0" borderId="16" xfId="2" applyNumberFormat="1" applyFont="1" applyFill="1" applyBorder="1" applyAlignment="1">
      <alignment horizontal="center"/>
    </xf>
    <xf numFmtId="4" fontId="26" fillId="0" borderId="16" xfId="0" applyNumberFormat="1" applyFont="1" applyFill="1" applyBorder="1" applyAlignment="1">
      <alignment horizontal="center"/>
    </xf>
    <xf numFmtId="4" fontId="26" fillId="0" borderId="42" xfId="0" applyNumberFormat="1" applyFont="1" applyBorder="1" applyAlignment="1">
      <alignment horizontal="center"/>
    </xf>
    <xf numFmtId="0" fontId="23" fillId="0" borderId="43" xfId="0" applyFont="1" applyBorder="1"/>
    <xf numFmtId="4" fontId="26" fillId="0" borderId="10" xfId="2" applyNumberFormat="1" applyFont="1" applyFill="1" applyBorder="1" applyAlignment="1">
      <alignment horizontal="center"/>
    </xf>
    <xf numFmtId="4" fontId="26" fillId="0" borderId="44" xfId="0" applyNumberFormat="1" applyFont="1" applyBorder="1" applyAlignment="1">
      <alignment horizontal="center"/>
    </xf>
    <xf numFmtId="4" fontId="28" fillId="0" borderId="3" xfId="2" applyNumberFormat="1" applyFont="1" applyBorder="1" applyAlignment="1">
      <alignment horizontal="center"/>
    </xf>
    <xf numFmtId="0" fontId="23" fillId="0" borderId="45" xfId="0" applyFont="1" applyBorder="1"/>
    <xf numFmtId="0" fontId="22" fillId="0" borderId="46" xfId="0" applyFont="1" applyBorder="1" applyAlignment="1">
      <alignment horizontal="left"/>
    </xf>
    <xf numFmtId="0" fontId="26" fillId="0" borderId="46" xfId="0" applyFont="1" applyBorder="1" applyAlignment="1">
      <alignment horizontal="left"/>
    </xf>
    <xf numFmtId="0" fontId="26" fillId="0" borderId="47" xfId="0" applyFont="1" applyBorder="1" applyAlignment="1">
      <alignment horizontal="left"/>
    </xf>
    <xf numFmtId="0" fontId="28" fillId="0" borderId="4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49" fontId="26" fillId="0" borderId="7" xfId="0" applyNumberFormat="1" applyFont="1" applyBorder="1" applyAlignment="1">
      <alignment horizontal="center"/>
    </xf>
    <xf numFmtId="0" fontId="26" fillId="0" borderId="44" xfId="0" applyFont="1" applyBorder="1" applyAlignment="1">
      <alignment horizontal="center"/>
    </xf>
    <xf numFmtId="0" fontId="26" fillId="0" borderId="3" xfId="0" applyFont="1" applyBorder="1"/>
    <xf numFmtId="49" fontId="15" fillId="2" borderId="48" xfId="0" applyNumberFormat="1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2" fontId="22" fillId="0" borderId="19" xfId="0" applyNumberFormat="1" applyFont="1" applyFill="1" applyBorder="1" applyAlignment="1">
      <alignment horizontal="center"/>
    </xf>
    <xf numFmtId="2" fontId="22" fillId="0" borderId="7" xfId="0" applyNumberFormat="1" applyFont="1" applyFill="1" applyBorder="1" applyAlignment="1">
      <alignment horizontal="center"/>
    </xf>
    <xf numFmtId="0" fontId="10" fillId="2" borderId="25" xfId="6" applyFont="1" applyFill="1" applyBorder="1" applyAlignment="1"/>
    <xf numFmtId="0" fontId="10" fillId="2" borderId="26" xfId="6" applyFont="1" applyFill="1" applyBorder="1" applyAlignment="1"/>
    <xf numFmtId="49" fontId="15" fillId="2" borderId="49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49" fontId="14" fillId="2" borderId="23" xfId="0" applyNumberFormat="1" applyFont="1" applyFill="1" applyBorder="1" applyAlignment="1">
      <alignment horizontal="center" vertical="center" wrapText="1"/>
    </xf>
    <xf numFmtId="49" fontId="14" fillId="2" borderId="32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 applyBorder="1"/>
    <xf numFmtId="0" fontId="32" fillId="0" borderId="0" xfId="0" applyFont="1"/>
    <xf numFmtId="0" fontId="33" fillId="0" borderId="9" xfId="0" applyFont="1" applyBorder="1" applyAlignment="1">
      <alignment horizontal="center"/>
    </xf>
    <xf numFmtId="0" fontId="33" fillId="0" borderId="37" xfId="0" applyFont="1" applyBorder="1" applyAlignment="1">
      <alignment horizontal="left"/>
    </xf>
    <xf numFmtId="4" fontId="34" fillId="0" borderId="35" xfId="0" applyNumberFormat="1" applyFont="1" applyFill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18" fillId="0" borderId="38" xfId="6" applyFont="1" applyBorder="1" applyAlignment="1">
      <alignment horizontal="left" indent="2"/>
    </xf>
    <xf numFmtId="4" fontId="34" fillId="0" borderId="36" xfId="0" applyNumberFormat="1" applyFont="1" applyFill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38" xfId="0" applyFont="1" applyBorder="1" applyAlignment="1">
      <alignment horizontal="left"/>
    </xf>
    <xf numFmtId="4" fontId="33" fillId="0" borderId="36" xfId="0" applyNumberFormat="1" applyFont="1" applyFill="1" applyBorder="1" applyAlignment="1">
      <alignment horizontal="center"/>
    </xf>
    <xf numFmtId="4" fontId="33" fillId="0" borderId="36" xfId="2" applyNumberFormat="1" applyFont="1" applyBorder="1" applyAlignment="1">
      <alignment horizontal="center"/>
    </xf>
    <xf numFmtId="0" fontId="35" fillId="0" borderId="36" xfId="0" applyFont="1" applyBorder="1"/>
    <xf numFmtId="4" fontId="35" fillId="0" borderId="36" xfId="0" applyNumberFormat="1" applyFont="1" applyBorder="1"/>
    <xf numFmtId="0" fontId="34" fillId="0" borderId="10" xfId="0" applyFont="1" applyBorder="1" applyAlignment="1">
      <alignment horizontal="center"/>
    </xf>
    <xf numFmtId="4" fontId="35" fillId="0" borderId="36" xfId="0" applyNumberFormat="1" applyFont="1" applyBorder="1" applyAlignment="1">
      <alignment wrapText="1"/>
    </xf>
    <xf numFmtId="0" fontId="18" fillId="0" borderId="17" xfId="6" applyFont="1" applyBorder="1" applyAlignment="1">
      <alignment horizontal="center"/>
    </xf>
    <xf numFmtId="0" fontId="18" fillId="0" borderId="34" xfId="6" applyFont="1" applyBorder="1" applyAlignment="1">
      <alignment horizontal="left" indent="2"/>
    </xf>
    <xf numFmtId="0" fontId="35" fillId="0" borderId="39" xfId="0" applyFont="1" applyBorder="1" applyAlignment="1">
      <alignment horizontal="center"/>
    </xf>
    <xf numFmtId="0" fontId="34" fillId="0" borderId="9" xfId="0" applyFont="1" applyBorder="1"/>
    <xf numFmtId="0" fontId="33" fillId="0" borderId="23" xfId="0" applyFont="1" applyBorder="1" applyAlignment="1">
      <alignment horizontal="center"/>
    </xf>
    <xf numFmtId="0" fontId="35" fillId="0" borderId="24" xfId="0" applyFont="1" applyBorder="1"/>
    <xf numFmtId="0" fontId="35" fillId="0" borderId="15" xfId="0" applyFont="1" applyBorder="1"/>
    <xf numFmtId="0" fontId="36" fillId="0" borderId="6" xfId="0" applyFont="1" applyBorder="1" applyAlignment="1">
      <alignment horizontal="center"/>
    </xf>
    <xf numFmtId="0" fontId="35" fillId="0" borderId="3" xfId="0" applyFont="1" applyBorder="1"/>
    <xf numFmtId="0" fontId="35" fillId="0" borderId="41" xfId="0" applyFont="1" applyBorder="1"/>
    <xf numFmtId="0" fontId="35" fillId="0" borderId="0" xfId="0" applyFont="1" applyBorder="1"/>
    <xf numFmtId="0" fontId="36" fillId="0" borderId="0" xfId="0" applyFont="1" applyBorder="1" applyAlignment="1">
      <alignment horizontal="center"/>
    </xf>
    <xf numFmtId="0" fontId="35" fillId="0" borderId="27" xfId="0" applyFont="1" applyBorder="1"/>
    <xf numFmtId="0" fontId="17" fillId="0" borderId="34" xfId="6" applyFont="1" applyBorder="1" applyAlignment="1">
      <alignment horizontal="center"/>
    </xf>
    <xf numFmtId="0" fontId="17" fillId="0" borderId="0" xfId="6" applyFont="1"/>
    <xf numFmtId="0" fontId="35" fillId="0" borderId="0" xfId="0" applyFont="1"/>
    <xf numFmtId="43" fontId="9" fillId="0" borderId="12" xfId="2" applyFont="1" applyBorder="1"/>
    <xf numFmtId="43" fontId="16" fillId="0" borderId="10" xfId="2" applyFont="1" applyBorder="1"/>
    <xf numFmtId="43" fontId="16" fillId="0" borderId="11" xfId="2" applyFont="1" applyBorder="1"/>
    <xf numFmtId="43" fontId="16" fillId="0" borderId="12" xfId="2" applyFont="1" applyBorder="1"/>
    <xf numFmtId="43" fontId="16" fillId="0" borderId="10" xfId="6" applyNumberFormat="1" applyFont="1" applyBorder="1"/>
    <xf numFmtId="0" fontId="13" fillId="0" borderId="0" xfId="6" applyFont="1" applyAlignment="1">
      <alignment horizontal="center"/>
    </xf>
    <xf numFmtId="0" fontId="13" fillId="0" borderId="0" xfId="6" applyFont="1" applyAlignment="1">
      <alignment horizontal="left"/>
    </xf>
    <xf numFmtId="0" fontId="22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10" fillId="2" borderId="0" xfId="6" applyFont="1" applyFill="1" applyBorder="1" applyAlignment="1">
      <alignment horizontal="center" vertical="center" wrapText="1"/>
    </xf>
    <xf numFmtId="43" fontId="16" fillId="0" borderId="36" xfId="2" applyFont="1" applyBorder="1"/>
    <xf numFmtId="0" fontId="15" fillId="2" borderId="50" xfId="6" applyFont="1" applyFill="1" applyBorder="1" applyAlignment="1">
      <alignment horizontal="center" vertical="center"/>
    </xf>
    <xf numFmtId="0" fontId="16" fillId="0" borderId="38" xfId="6" applyFont="1" applyBorder="1"/>
    <xf numFmtId="0" fontId="16" fillId="3" borderId="38" xfId="6" applyFont="1" applyFill="1" applyBorder="1"/>
    <xf numFmtId="0" fontId="19" fillId="4" borderId="38" xfId="6" applyFont="1" applyFill="1" applyBorder="1"/>
    <xf numFmtId="0" fontId="17" fillId="0" borderId="34" xfId="6" applyFont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3" fillId="0" borderId="0" xfId="0" applyFont="1" applyFill="1" applyBorder="1" applyAlignment="1"/>
    <xf numFmtId="0" fontId="33" fillId="0" borderId="0" xfId="0" applyFont="1" applyFill="1" applyBorder="1" applyAlignment="1">
      <alignment horizontal="left"/>
    </xf>
    <xf numFmtId="0" fontId="34" fillId="0" borderId="0" xfId="0" applyFont="1" applyFill="1" applyBorder="1" applyAlignment="1"/>
    <xf numFmtId="0" fontId="33" fillId="0" borderId="0" xfId="0" applyFont="1" applyBorder="1" applyAlignment="1"/>
    <xf numFmtId="0" fontId="40" fillId="2" borderId="1" xfId="0" applyFont="1" applyFill="1" applyBorder="1" applyAlignment="1">
      <alignment horizontal="center" vertical="center" wrapText="1"/>
    </xf>
    <xf numFmtId="0" fontId="40" fillId="2" borderId="31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 wrapText="1"/>
    </xf>
    <xf numFmtId="49" fontId="34" fillId="0" borderId="29" xfId="0" applyNumberFormat="1" applyFont="1" applyFill="1" applyBorder="1" applyAlignment="1">
      <alignment horizontal="center"/>
    </xf>
    <xf numFmtId="0" fontId="34" fillId="0" borderId="30" xfId="0" applyFont="1" applyFill="1" applyBorder="1" applyAlignment="1">
      <alignment horizontal="left"/>
    </xf>
    <xf numFmtId="0" fontId="34" fillId="0" borderId="29" xfId="0" applyFont="1" applyFill="1" applyBorder="1" applyAlignment="1">
      <alignment horizontal="center"/>
    </xf>
    <xf numFmtId="0" fontId="34" fillId="0" borderId="29" xfId="0" applyFont="1" applyFill="1" applyBorder="1" applyAlignment="1">
      <alignment horizontal="left"/>
    </xf>
    <xf numFmtId="4" fontId="34" fillId="0" borderId="29" xfId="0" applyNumberFormat="1" applyFont="1" applyFill="1" applyBorder="1" applyAlignment="1">
      <alignment horizontal="right"/>
    </xf>
    <xf numFmtId="0" fontId="34" fillId="0" borderId="14" xfId="0" applyFont="1" applyFill="1" applyBorder="1" applyAlignment="1">
      <alignment horizontal="center"/>
    </xf>
    <xf numFmtId="0" fontId="34" fillId="0" borderId="14" xfId="0" applyFont="1" applyFill="1" applyBorder="1" applyAlignment="1">
      <alignment horizontal="left"/>
    </xf>
    <xf numFmtId="4" fontId="34" fillId="0" borderId="14" xfId="0" applyNumberFormat="1" applyFont="1" applyFill="1" applyBorder="1" applyAlignment="1">
      <alignment horizontal="right"/>
    </xf>
    <xf numFmtId="0" fontId="34" fillId="0" borderId="28" xfId="8" applyFont="1" applyFill="1" applyBorder="1" applyAlignment="1">
      <alignment horizontal="justify"/>
    </xf>
    <xf numFmtId="0" fontId="34" fillId="0" borderId="14" xfId="8" applyFont="1" applyFill="1" applyBorder="1" applyAlignment="1">
      <alignment horizontal="left" vertical="center" wrapText="1"/>
    </xf>
    <xf numFmtId="0" fontId="33" fillId="0" borderId="14" xfId="0" applyFont="1" applyBorder="1" applyAlignment="1">
      <alignment horizontal="center"/>
    </xf>
    <xf numFmtId="0" fontId="33" fillId="0" borderId="14" xfId="0" applyFont="1" applyFill="1" applyBorder="1" applyAlignment="1">
      <alignment horizontal="center"/>
    </xf>
    <xf numFmtId="4" fontId="33" fillId="0" borderId="14" xfId="0" applyNumberFormat="1" applyFont="1" applyFill="1" applyBorder="1" applyAlignment="1">
      <alignment horizontal="right" vertical="center" wrapText="1"/>
    </xf>
    <xf numFmtId="0" fontId="33" fillId="0" borderId="0" xfId="0" applyFont="1" applyBorder="1" applyAlignment="1">
      <alignment horizontal="center"/>
    </xf>
    <xf numFmtId="4" fontId="33" fillId="0" borderId="0" xfId="0" applyNumberFormat="1" applyFont="1" applyFill="1" applyBorder="1" applyAlignment="1">
      <alignment horizontal="right" vertical="center" wrapText="1"/>
    </xf>
    <xf numFmtId="0" fontId="41" fillId="0" borderId="0" xfId="0" applyFont="1" applyBorder="1"/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/>
    <xf numFmtId="0" fontId="17" fillId="0" borderId="0" xfId="6" applyFont="1" applyBorder="1" applyAlignment="1">
      <alignment horizontal="center"/>
    </xf>
    <xf numFmtId="0" fontId="18" fillId="0" borderId="0" xfId="6" applyFont="1"/>
    <xf numFmtId="0" fontId="35" fillId="0" borderId="0" xfId="0" applyFont="1" applyBorder="1" applyAlignment="1">
      <alignment horizontal="center" wrapText="1"/>
    </xf>
    <xf numFmtId="0" fontId="36" fillId="0" borderId="0" xfId="0" applyFont="1" applyBorder="1" applyAlignment="1"/>
    <xf numFmtId="0" fontId="22" fillId="0" borderId="27" xfId="0" applyFont="1" applyBorder="1" applyAlignment="1">
      <alignment horizontal="left"/>
    </xf>
    <xf numFmtId="0" fontId="24" fillId="0" borderId="26" xfId="0" applyFont="1" applyBorder="1" applyAlignment="1">
      <alignment horizontal="center"/>
    </xf>
    <xf numFmtId="4" fontId="33" fillId="0" borderId="35" xfId="0" applyNumberFormat="1" applyFont="1" applyFill="1" applyBorder="1" applyAlignment="1">
      <alignment horizontal="center"/>
    </xf>
    <xf numFmtId="0" fontId="35" fillId="0" borderId="39" xfId="0" applyFont="1" applyBorder="1"/>
    <xf numFmtId="0" fontId="36" fillId="0" borderId="25" xfId="0" applyFont="1" applyBorder="1" applyAlignment="1">
      <alignment horizontal="center"/>
    </xf>
    <xf numFmtId="0" fontId="33" fillId="0" borderId="14" xfId="0" applyFont="1" applyBorder="1" applyAlignment="1">
      <alignment horizontal="left"/>
    </xf>
    <xf numFmtId="0" fontId="18" fillId="0" borderId="14" xfId="6" applyFont="1" applyBorder="1" applyAlignment="1">
      <alignment horizontal="left" indent="2"/>
    </xf>
    <xf numFmtId="43" fontId="16" fillId="0" borderId="14" xfId="2" applyFont="1" applyBorder="1"/>
    <xf numFmtId="0" fontId="18" fillId="0" borderId="38" xfId="6" applyFont="1" applyBorder="1" applyAlignment="1">
      <alignment horizontal="center" wrapText="1"/>
    </xf>
    <xf numFmtId="0" fontId="22" fillId="0" borderId="0" xfId="0" applyFont="1" applyFill="1" applyBorder="1" applyAlignment="1">
      <alignment horizontal="center"/>
    </xf>
    <xf numFmtId="49" fontId="14" fillId="2" borderId="22" xfId="0" applyNumberFormat="1" applyFont="1" applyFill="1" applyBorder="1" applyAlignment="1">
      <alignment horizontal="center" vertical="center" wrapText="1"/>
    </xf>
    <xf numFmtId="49" fontId="14" fillId="2" borderId="49" xfId="0" applyNumberFormat="1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/>
    </xf>
    <xf numFmtId="0" fontId="22" fillId="3" borderId="26" xfId="0" applyFont="1" applyFill="1" applyBorder="1" applyAlignment="1">
      <alignment horizontal="center"/>
    </xf>
    <xf numFmtId="0" fontId="22" fillId="3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11" fillId="0" borderId="34" xfId="6" applyFont="1" applyBorder="1" applyAlignment="1">
      <alignment horizontal="center"/>
    </xf>
    <xf numFmtId="0" fontId="17" fillId="0" borderId="34" xfId="6" applyFont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/>
    </xf>
    <xf numFmtId="0" fontId="35" fillId="0" borderId="0" xfId="0" applyFont="1" applyBorder="1" applyAlignment="1">
      <alignment horizontal="left" wrapText="1"/>
    </xf>
    <xf numFmtId="0" fontId="10" fillId="2" borderId="40" xfId="6" applyFont="1" applyFill="1" applyBorder="1" applyAlignment="1">
      <alignment horizontal="center" vertical="center" wrapText="1"/>
    </xf>
    <xf numFmtId="0" fontId="10" fillId="2" borderId="44" xfId="6" applyFont="1" applyFill="1" applyBorder="1" applyAlignment="1">
      <alignment horizontal="center" vertical="center" wrapText="1"/>
    </xf>
    <xf numFmtId="0" fontId="10" fillId="2" borderId="45" xfId="6" applyFont="1" applyFill="1" applyBorder="1" applyAlignment="1">
      <alignment horizontal="center" vertical="center" wrapText="1"/>
    </xf>
    <xf numFmtId="0" fontId="13" fillId="0" borderId="0" xfId="6" applyFont="1" applyAlignment="1">
      <alignment horizontal="center"/>
    </xf>
    <xf numFmtId="0" fontId="13" fillId="0" borderId="0" xfId="6" applyFont="1" applyAlignment="1">
      <alignment horizontal="left"/>
    </xf>
    <xf numFmtId="0" fontId="10" fillId="2" borderId="22" xfId="6" applyFont="1" applyFill="1" applyBorder="1" applyAlignment="1">
      <alignment horizontal="center" vertical="center" wrapText="1"/>
    </xf>
    <xf numFmtId="0" fontId="10" fillId="2" borderId="23" xfId="6" applyFont="1" applyFill="1" applyBorder="1" applyAlignment="1">
      <alignment horizontal="center" vertical="center" wrapText="1"/>
    </xf>
    <xf numFmtId="0" fontId="10" fillId="2" borderId="54" xfId="6" applyFont="1" applyFill="1" applyBorder="1" applyAlignment="1">
      <alignment horizontal="center" vertical="center" wrapText="1"/>
    </xf>
    <xf numFmtId="0" fontId="10" fillId="2" borderId="0" xfId="6" applyFont="1" applyFill="1" applyBorder="1" applyAlignment="1">
      <alignment horizontal="center" vertical="center" wrapText="1"/>
    </xf>
    <xf numFmtId="0" fontId="10" fillId="2" borderId="24" xfId="6" applyFont="1" applyFill="1" applyBorder="1" applyAlignment="1">
      <alignment horizontal="center" vertical="center" wrapText="1"/>
    </xf>
    <xf numFmtId="0" fontId="10" fillId="2" borderId="55" xfId="6" applyFont="1" applyFill="1" applyBorder="1" applyAlignment="1">
      <alignment horizontal="center" vertical="center" wrapText="1"/>
    </xf>
    <xf numFmtId="0" fontId="10" fillId="2" borderId="25" xfId="6" applyFont="1" applyFill="1" applyBorder="1" applyAlignment="1">
      <alignment horizontal="center" vertical="center" wrapText="1"/>
    </xf>
    <xf numFmtId="0" fontId="10" fillId="2" borderId="26" xfId="6" applyFont="1" applyFill="1" applyBorder="1" applyAlignment="1">
      <alignment horizontal="center" vertical="center" wrapText="1"/>
    </xf>
    <xf numFmtId="0" fontId="11" fillId="0" borderId="0" xfId="6" applyFont="1" applyAlignment="1">
      <alignment horizontal="center" wrapText="1"/>
    </xf>
    <xf numFmtId="0" fontId="37" fillId="0" borderId="34" xfId="6" applyFont="1" applyBorder="1" applyAlignment="1">
      <alignment horizontal="center"/>
    </xf>
    <xf numFmtId="0" fontId="17" fillId="3" borderId="13" xfId="6" applyFont="1" applyFill="1" applyBorder="1" applyAlignment="1">
      <alignment horizontal="left"/>
    </xf>
    <xf numFmtId="0" fontId="17" fillId="3" borderId="42" xfId="6" applyFont="1" applyFill="1" applyBorder="1" applyAlignment="1">
      <alignment horizontal="left"/>
    </xf>
    <xf numFmtId="0" fontId="17" fillId="4" borderId="13" xfId="6" applyFont="1" applyFill="1" applyBorder="1" applyAlignment="1">
      <alignment horizontal="center"/>
    </xf>
    <xf numFmtId="0" fontId="17" fillId="4" borderId="19" xfId="6" applyFont="1" applyFill="1" applyBorder="1" applyAlignment="1">
      <alignment horizontal="center"/>
    </xf>
    <xf numFmtId="0" fontId="17" fillId="3" borderId="16" xfId="6" applyFont="1" applyFill="1" applyBorder="1" applyAlignment="1">
      <alignment horizontal="left"/>
    </xf>
    <xf numFmtId="0" fontId="17" fillId="3" borderId="52" xfId="6" applyFont="1" applyFill="1" applyBorder="1" applyAlignment="1">
      <alignment horizontal="left"/>
    </xf>
    <xf numFmtId="0" fontId="21" fillId="2" borderId="13" xfId="6" applyFont="1" applyFill="1" applyBorder="1" applyAlignment="1">
      <alignment horizontal="center"/>
    </xf>
    <xf numFmtId="0" fontId="21" fillId="2" borderId="16" xfId="6" applyFont="1" applyFill="1" applyBorder="1" applyAlignment="1">
      <alignment horizontal="center"/>
    </xf>
    <xf numFmtId="0" fontId="17" fillId="3" borderId="51" xfId="6" applyFont="1" applyFill="1" applyBorder="1" applyAlignment="1">
      <alignment horizontal="left"/>
    </xf>
    <xf numFmtId="0" fontId="21" fillId="2" borderId="53" xfId="6" applyFont="1" applyFill="1" applyBorder="1" applyAlignment="1">
      <alignment horizontal="center"/>
    </xf>
    <xf numFmtId="0" fontId="21" fillId="2" borderId="43" xfId="6" applyFont="1" applyFill="1" applyBorder="1" applyAlignment="1">
      <alignment horizontal="center"/>
    </xf>
  </cellXfs>
  <cellStyles count="9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  <cellStyle name="Normal_2011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1"/>
  <sheetViews>
    <sheetView topLeftCell="A30" workbookViewId="0">
      <selection sqref="A1:F39"/>
    </sheetView>
  </sheetViews>
  <sheetFormatPr baseColWidth="10" defaultColWidth="11.42578125" defaultRowHeight="20.100000000000001" customHeight="1" x14ac:dyDescent="0.2"/>
  <cols>
    <col min="1" max="1" width="13.140625" style="63" customWidth="1"/>
    <col min="2" max="2" width="36.28515625" style="63" customWidth="1"/>
    <col min="3" max="3" width="24.140625" style="63" customWidth="1"/>
    <col min="4" max="4" width="21.5703125" style="63" customWidth="1"/>
    <col min="5" max="5" width="29.7109375" style="63" bestFit="1" customWidth="1"/>
    <col min="6" max="6" width="27.5703125" style="2" customWidth="1"/>
    <col min="7" max="16384" width="11.42578125" style="2"/>
  </cols>
  <sheetData>
    <row r="1" spans="1:7" ht="20.25" customHeight="1" x14ac:dyDescent="0.2">
      <c r="A1" s="190" t="s">
        <v>0</v>
      </c>
      <c r="B1" s="190"/>
      <c r="C1" s="190"/>
      <c r="D1" s="190"/>
      <c r="E1" s="190"/>
    </row>
    <row r="2" spans="1:7" ht="20.100000000000001" customHeight="1" x14ac:dyDescent="0.2">
      <c r="A2" s="190" t="s">
        <v>1</v>
      </c>
      <c r="B2" s="190"/>
      <c r="C2" s="190"/>
      <c r="D2" s="190"/>
      <c r="E2" s="190"/>
    </row>
    <row r="3" spans="1:7" ht="20.100000000000001" customHeight="1" x14ac:dyDescent="0.2">
      <c r="A3" s="190" t="s">
        <v>2</v>
      </c>
      <c r="B3" s="190"/>
      <c r="C3" s="190"/>
      <c r="D3" s="190"/>
      <c r="E3" s="190"/>
    </row>
    <row r="4" spans="1:7" ht="20.100000000000001" customHeight="1" x14ac:dyDescent="0.2">
      <c r="A4" s="57" t="s">
        <v>163</v>
      </c>
      <c r="B4" s="58"/>
      <c r="C4" s="142"/>
      <c r="D4" s="2"/>
      <c r="E4" s="57"/>
    </row>
    <row r="5" spans="1:7" ht="20.100000000000001" customHeight="1" x14ac:dyDescent="0.2">
      <c r="A5" s="57" t="s">
        <v>160</v>
      </c>
      <c r="B5" s="58"/>
      <c r="C5" s="142"/>
      <c r="D5" s="2"/>
      <c r="E5" s="57"/>
    </row>
    <row r="6" spans="1:7" ht="20.100000000000001" customHeight="1" thickBot="1" x14ac:dyDescent="0.25">
      <c r="A6" s="59" t="s">
        <v>161</v>
      </c>
      <c r="B6" s="59"/>
      <c r="C6" s="59"/>
      <c r="D6" s="2"/>
      <c r="E6" s="59"/>
    </row>
    <row r="7" spans="1:7" ht="62.25" customHeight="1" x14ac:dyDescent="0.25">
      <c r="A7" s="191" t="s">
        <v>3</v>
      </c>
      <c r="B7" s="192"/>
      <c r="C7" s="99" t="s">
        <v>183</v>
      </c>
      <c r="D7" s="99" t="s">
        <v>4</v>
      </c>
      <c r="E7" s="100" t="s">
        <v>5</v>
      </c>
      <c r="F7" s="100" t="s">
        <v>6</v>
      </c>
      <c r="G7" s="101"/>
    </row>
    <row r="8" spans="1:7" ht="20.100000000000001" customHeight="1" thickBot="1" x14ac:dyDescent="0.3">
      <c r="A8" s="193" t="s">
        <v>7</v>
      </c>
      <c r="B8" s="194"/>
      <c r="C8" s="195"/>
      <c r="D8" s="194"/>
      <c r="E8" s="194"/>
      <c r="F8" s="194"/>
      <c r="G8" s="101"/>
    </row>
    <row r="9" spans="1:7" ht="20.100000000000001" customHeight="1" x14ac:dyDescent="0.25">
      <c r="A9" s="105">
        <v>11</v>
      </c>
      <c r="B9" s="106" t="s">
        <v>8</v>
      </c>
      <c r="C9" s="186"/>
      <c r="D9" s="183"/>
      <c r="E9" s="107"/>
      <c r="F9" s="107"/>
      <c r="G9" s="101"/>
    </row>
    <row r="10" spans="1:7" ht="20.100000000000001" customHeight="1" x14ac:dyDescent="0.25">
      <c r="A10" s="108">
        <v>1101</v>
      </c>
      <c r="B10" s="189" t="s">
        <v>9</v>
      </c>
      <c r="C10" s="187"/>
      <c r="D10" s="110"/>
      <c r="E10" s="110"/>
      <c r="F10" s="110"/>
      <c r="G10" s="101"/>
    </row>
    <row r="11" spans="1:7" ht="20.100000000000001" customHeight="1" x14ac:dyDescent="0.25">
      <c r="A11" s="108">
        <v>1102</v>
      </c>
      <c r="B11" s="109" t="s">
        <v>10</v>
      </c>
      <c r="C11" s="187"/>
      <c r="D11" s="110"/>
      <c r="E11" s="110"/>
      <c r="F11" s="110"/>
      <c r="G11" s="101"/>
    </row>
    <row r="12" spans="1:7" ht="20.100000000000001" customHeight="1" x14ac:dyDescent="0.25">
      <c r="A12" s="108">
        <v>1103</v>
      </c>
      <c r="B12" s="109" t="s">
        <v>11</v>
      </c>
      <c r="C12" s="187"/>
      <c r="D12" s="110"/>
      <c r="E12" s="110"/>
      <c r="F12" s="110"/>
      <c r="G12" s="101"/>
    </row>
    <row r="13" spans="1:7" ht="20.100000000000001" customHeight="1" x14ac:dyDescent="0.25">
      <c r="A13" s="108">
        <v>1107</v>
      </c>
      <c r="B13" s="109" t="s">
        <v>12</v>
      </c>
      <c r="C13" s="187"/>
      <c r="D13" s="110"/>
      <c r="E13" s="110"/>
      <c r="F13" s="110"/>
      <c r="G13" s="101"/>
    </row>
    <row r="14" spans="1:7" ht="20.100000000000001" customHeight="1" x14ac:dyDescent="0.25">
      <c r="A14" s="111">
        <v>13</v>
      </c>
      <c r="B14" s="112" t="s">
        <v>13</v>
      </c>
      <c r="C14" s="186"/>
      <c r="D14" s="110"/>
      <c r="E14" s="110"/>
      <c r="F14" s="110"/>
      <c r="G14" s="101"/>
    </row>
    <row r="15" spans="1:7" ht="20.100000000000001" customHeight="1" x14ac:dyDescent="0.25">
      <c r="A15" s="108">
        <v>1301</v>
      </c>
      <c r="B15" s="109" t="s">
        <v>14</v>
      </c>
      <c r="C15" s="187"/>
      <c r="D15" s="110"/>
      <c r="E15" s="110"/>
      <c r="F15" s="110"/>
      <c r="G15" s="101"/>
    </row>
    <row r="16" spans="1:7" ht="20.100000000000001" customHeight="1" x14ac:dyDescent="0.25">
      <c r="A16" s="108">
        <v>1302</v>
      </c>
      <c r="B16" s="109" t="s">
        <v>15</v>
      </c>
      <c r="C16" s="187"/>
      <c r="D16" s="110"/>
      <c r="E16" s="110"/>
      <c r="F16" s="110"/>
      <c r="G16" s="101"/>
    </row>
    <row r="17" spans="1:7" ht="20.100000000000001" customHeight="1" x14ac:dyDescent="0.25">
      <c r="A17" s="108">
        <v>1303</v>
      </c>
      <c r="B17" s="109" t="s">
        <v>16</v>
      </c>
      <c r="C17" s="187"/>
      <c r="D17" s="113"/>
      <c r="E17" s="113"/>
      <c r="F17" s="113"/>
      <c r="G17" s="101"/>
    </row>
    <row r="18" spans="1:7" ht="20.100000000000001" customHeight="1" x14ac:dyDescent="0.25">
      <c r="A18" s="108">
        <v>1304</v>
      </c>
      <c r="B18" s="109" t="s">
        <v>17</v>
      </c>
      <c r="C18" s="187"/>
      <c r="D18" s="113"/>
      <c r="E18" s="113"/>
      <c r="F18" s="113"/>
      <c r="G18" s="101"/>
    </row>
    <row r="19" spans="1:7" ht="20.100000000000001" customHeight="1" x14ac:dyDescent="0.25">
      <c r="A19" s="111">
        <v>14</v>
      </c>
      <c r="B19" s="112" t="s">
        <v>18</v>
      </c>
      <c r="C19" s="186"/>
      <c r="D19" s="114"/>
      <c r="E19" s="114"/>
      <c r="F19" s="114"/>
      <c r="G19" s="101"/>
    </row>
    <row r="20" spans="1:7" ht="20.100000000000001" customHeight="1" x14ac:dyDescent="0.25">
      <c r="A20" s="111">
        <v>17</v>
      </c>
      <c r="B20" s="112" t="s">
        <v>19</v>
      </c>
      <c r="C20" s="186"/>
      <c r="D20" s="115"/>
      <c r="E20" s="115"/>
      <c r="F20" s="115"/>
      <c r="G20" s="101"/>
    </row>
    <row r="21" spans="1:7" ht="20.100000000000001" customHeight="1" x14ac:dyDescent="0.25">
      <c r="A21" s="111">
        <v>18</v>
      </c>
      <c r="B21" s="112" t="s">
        <v>20</v>
      </c>
      <c r="C21" s="186"/>
      <c r="D21" s="115"/>
      <c r="E21" s="116"/>
      <c r="F21" s="116"/>
      <c r="G21" s="101"/>
    </row>
    <row r="22" spans="1:7" ht="32.25" customHeight="1" x14ac:dyDescent="0.25">
      <c r="A22" s="117"/>
      <c r="B22" s="109" t="s">
        <v>21</v>
      </c>
      <c r="C22" s="188">
        <v>65279.79</v>
      </c>
      <c r="D22" s="145">
        <v>65484.27</v>
      </c>
      <c r="E22" s="138">
        <v>65675.429999999993</v>
      </c>
      <c r="F22" s="118"/>
      <c r="G22" s="101"/>
    </row>
    <row r="23" spans="1:7" ht="20.100000000000001" customHeight="1" x14ac:dyDescent="0.25">
      <c r="A23" s="111">
        <v>19</v>
      </c>
      <c r="B23" s="112" t="s">
        <v>22</v>
      </c>
      <c r="C23" s="186"/>
      <c r="D23" s="116"/>
      <c r="E23" s="116"/>
      <c r="F23" s="116"/>
      <c r="G23" s="101"/>
    </row>
    <row r="24" spans="1:7" ht="20.100000000000001" customHeight="1" x14ac:dyDescent="0.25">
      <c r="A24" s="108">
        <v>1901</v>
      </c>
      <c r="B24" s="109" t="s">
        <v>23</v>
      </c>
      <c r="C24" s="187"/>
      <c r="D24" s="116"/>
      <c r="E24" s="116"/>
      <c r="F24" s="116"/>
      <c r="G24" s="101"/>
    </row>
    <row r="25" spans="1:7" ht="20.100000000000001" customHeight="1" x14ac:dyDescent="0.25">
      <c r="A25" s="108">
        <v>1902</v>
      </c>
      <c r="B25" s="189" t="s">
        <v>24</v>
      </c>
      <c r="C25" s="187"/>
      <c r="D25" s="115"/>
      <c r="E25" s="115"/>
      <c r="F25" s="115"/>
      <c r="G25" s="101"/>
    </row>
    <row r="26" spans="1:7" ht="20.100000000000001" customHeight="1" thickBot="1" x14ac:dyDescent="0.3">
      <c r="A26" s="119">
        <v>1904</v>
      </c>
      <c r="B26" s="120" t="s">
        <v>25</v>
      </c>
      <c r="C26" s="187"/>
      <c r="D26" s="184"/>
      <c r="E26" s="121"/>
      <c r="F26" s="121"/>
      <c r="G26" s="101"/>
    </row>
    <row r="27" spans="1:7" ht="20.100000000000001" customHeight="1" thickBot="1" x14ac:dyDescent="0.3">
      <c r="A27" s="122"/>
      <c r="B27" s="123" t="s">
        <v>26</v>
      </c>
      <c r="C27" s="188">
        <v>65279.79</v>
      </c>
      <c r="D27" s="116">
        <f>SUM(D22:D26)</f>
        <v>65484.27</v>
      </c>
      <c r="E27" s="116">
        <f>SUM(E22:E26)</f>
        <v>65675.429999999993</v>
      </c>
      <c r="F27" s="124"/>
      <c r="G27" s="101"/>
    </row>
    <row r="28" spans="1:7" ht="20.100000000000001" customHeight="1" thickBot="1" x14ac:dyDescent="0.3">
      <c r="A28" s="125"/>
      <c r="B28" s="126" t="s">
        <v>27</v>
      </c>
      <c r="C28" s="185"/>
      <c r="D28" s="127"/>
      <c r="E28" s="128"/>
      <c r="F28" s="128"/>
      <c r="G28" s="101"/>
    </row>
    <row r="29" spans="1:7" ht="20.100000000000001" customHeight="1" x14ac:dyDescent="0.2">
      <c r="A29" s="129" t="s">
        <v>28</v>
      </c>
      <c r="B29" s="130"/>
      <c r="C29" s="130"/>
      <c r="D29" s="129"/>
      <c r="E29" s="129"/>
      <c r="F29" s="1"/>
    </row>
    <row r="30" spans="1:7" ht="20.100000000000001" customHeight="1" x14ac:dyDescent="0.2">
      <c r="A30" s="129" t="s">
        <v>29</v>
      </c>
      <c r="B30" s="130"/>
      <c r="C30" s="130"/>
      <c r="D30" s="129"/>
      <c r="E30" s="129"/>
      <c r="F30" s="1"/>
    </row>
    <row r="31" spans="1:7" ht="20.100000000000001" customHeight="1" x14ac:dyDescent="0.2">
      <c r="A31" s="129" t="s">
        <v>30</v>
      </c>
      <c r="B31" s="130"/>
      <c r="C31" s="130"/>
      <c r="D31" s="129"/>
      <c r="E31" s="129"/>
      <c r="F31" s="1"/>
    </row>
    <row r="32" spans="1:7" ht="20.100000000000001" customHeight="1" x14ac:dyDescent="0.2">
      <c r="A32" s="129"/>
      <c r="B32" s="130"/>
      <c r="C32" s="130"/>
      <c r="D32" s="129"/>
      <c r="E32" s="129"/>
      <c r="F32" s="1"/>
    </row>
    <row r="33" spans="1:6" ht="20.100000000000001" customHeight="1" x14ac:dyDescent="0.2">
      <c r="A33" s="129"/>
      <c r="B33" s="129"/>
      <c r="C33" s="129"/>
      <c r="D33" s="129"/>
      <c r="E33" s="129"/>
      <c r="F33" s="1"/>
    </row>
    <row r="34" spans="1:6" ht="20.100000000000001" customHeight="1" x14ac:dyDescent="0.2">
      <c r="A34" s="1"/>
      <c r="B34" s="131"/>
      <c r="C34" s="129"/>
      <c r="D34" s="129"/>
      <c r="E34" s="129"/>
      <c r="F34" s="1"/>
    </row>
    <row r="35" spans="1:6" ht="20.100000000000001" customHeight="1" x14ac:dyDescent="0.2">
      <c r="A35" s="1"/>
      <c r="B35" s="132" t="s">
        <v>180</v>
      </c>
      <c r="C35" s="150"/>
      <c r="D35" s="132"/>
      <c r="E35" s="129"/>
      <c r="F35" s="1"/>
    </row>
    <row r="36" spans="1:6" ht="20.100000000000001" customHeight="1" x14ac:dyDescent="0.2">
      <c r="A36" s="1"/>
      <c r="B36" s="133" t="s">
        <v>165</v>
      </c>
      <c r="C36" s="133"/>
      <c r="D36" s="129"/>
      <c r="E36" s="129"/>
      <c r="F36" s="1"/>
    </row>
    <row r="37" spans="1:6" ht="20.100000000000001" customHeight="1" x14ac:dyDescent="0.2">
      <c r="A37" s="1"/>
      <c r="B37" s="133" t="s">
        <v>173</v>
      </c>
      <c r="C37" s="133"/>
      <c r="D37" s="129"/>
      <c r="E37" s="129"/>
      <c r="F37" s="1"/>
    </row>
    <row r="38" spans="1:6" ht="20.100000000000001" customHeight="1" x14ac:dyDescent="0.2">
      <c r="A38" s="129"/>
      <c r="B38" s="133" t="s">
        <v>31</v>
      </c>
      <c r="C38" s="133"/>
      <c r="D38" s="129"/>
      <c r="E38" s="129"/>
      <c r="F38" s="1"/>
    </row>
    <row r="39" spans="1:6" ht="20.100000000000001" customHeight="1" x14ac:dyDescent="0.2">
      <c r="A39" s="129"/>
      <c r="B39" s="129"/>
      <c r="C39" s="129"/>
      <c r="D39" s="134"/>
      <c r="E39" s="134"/>
      <c r="F39" s="1"/>
    </row>
    <row r="40" spans="1:6" ht="20.100000000000001" customHeight="1" x14ac:dyDescent="0.25">
      <c r="A40" s="103"/>
      <c r="B40" s="103"/>
      <c r="C40" s="103"/>
      <c r="D40" s="104"/>
      <c r="E40" s="104"/>
      <c r="F40" s="102"/>
    </row>
    <row r="41" spans="1:6" ht="20.100000000000001" customHeight="1" x14ac:dyDescent="0.25">
      <c r="A41" s="103"/>
      <c r="B41" s="103"/>
      <c r="C41" s="103"/>
      <c r="D41" s="104"/>
      <c r="E41" s="104"/>
      <c r="F41" s="102"/>
    </row>
    <row r="42" spans="1:6" ht="20.100000000000001" customHeight="1" x14ac:dyDescent="0.25">
      <c r="A42" s="103"/>
      <c r="B42" s="103"/>
      <c r="C42" s="103"/>
      <c r="D42" s="104"/>
      <c r="E42" s="104"/>
      <c r="F42" s="102"/>
    </row>
    <row r="43" spans="1:6" ht="20.100000000000001" customHeight="1" x14ac:dyDescent="0.2">
      <c r="A43" s="60"/>
      <c r="B43" s="60"/>
      <c r="C43" s="60"/>
    </row>
    <row r="44" spans="1:6" ht="45.75" customHeight="1" x14ac:dyDescent="0.2">
      <c r="A44" s="60"/>
      <c r="B44" s="60"/>
      <c r="C44" s="60"/>
    </row>
    <row r="45" spans="1:6" ht="20.100000000000001" customHeight="1" x14ac:dyDescent="0.2">
      <c r="A45" s="60"/>
      <c r="B45" s="60"/>
      <c r="C45" s="60"/>
    </row>
    <row r="46" spans="1:6" ht="20.100000000000001" customHeight="1" x14ac:dyDescent="0.2">
      <c r="A46" s="60"/>
      <c r="B46" s="60"/>
      <c r="C46" s="60"/>
    </row>
    <row r="47" spans="1:6" ht="20.100000000000001" customHeight="1" x14ac:dyDescent="0.2">
      <c r="A47" s="60"/>
      <c r="B47" s="60"/>
      <c r="C47" s="60"/>
    </row>
    <row r="48" spans="1:6" ht="20.100000000000001" customHeight="1" x14ac:dyDescent="0.2">
      <c r="A48" s="60"/>
      <c r="B48" s="60"/>
      <c r="C48" s="60"/>
    </row>
    <row r="49" spans="1:3" ht="20.100000000000001" customHeight="1" x14ac:dyDescent="0.2">
      <c r="A49" s="60"/>
      <c r="B49" s="60"/>
      <c r="C49" s="60"/>
    </row>
    <row r="50" spans="1:3" ht="20.100000000000001" customHeight="1" x14ac:dyDescent="0.2">
      <c r="B50" s="60"/>
      <c r="C50" s="60"/>
    </row>
    <row r="121" ht="27.75" customHeight="1" x14ac:dyDescent="0.2"/>
  </sheetData>
  <mergeCells count="5">
    <mergeCell ref="A1:E1"/>
    <mergeCell ref="A7:B7"/>
    <mergeCell ref="A2:E2"/>
    <mergeCell ref="A3:E3"/>
    <mergeCell ref="A8:F8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256" scale="70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abSelected="1" workbookViewId="0">
      <selection activeCell="A49" sqref="A49"/>
    </sheetView>
  </sheetViews>
  <sheetFormatPr baseColWidth="10" defaultColWidth="11.42578125" defaultRowHeight="20.100000000000001" customHeight="1" x14ac:dyDescent="0.2"/>
  <cols>
    <col min="1" max="1" width="12.28515625" style="63" customWidth="1"/>
    <col min="2" max="3" width="34.42578125" style="63" customWidth="1"/>
    <col min="4" max="4" width="19.28515625" style="63" customWidth="1"/>
    <col min="5" max="5" width="18" style="63" customWidth="1"/>
    <col min="6" max="6" width="23.5703125" style="2" customWidth="1"/>
    <col min="7" max="16384" width="11.42578125" style="2"/>
  </cols>
  <sheetData>
    <row r="1" spans="1:9" ht="20.100000000000001" customHeight="1" x14ac:dyDescent="0.3">
      <c r="A1" s="196" t="s">
        <v>0</v>
      </c>
      <c r="B1" s="196"/>
      <c r="C1" s="196"/>
      <c r="D1" s="196"/>
      <c r="E1" s="196"/>
      <c r="F1" s="4"/>
      <c r="G1" s="4"/>
      <c r="H1" s="4"/>
    </row>
    <row r="2" spans="1:9" ht="20.100000000000001" customHeight="1" x14ac:dyDescent="0.25">
      <c r="A2" s="197" t="s">
        <v>32</v>
      </c>
      <c r="B2" s="197"/>
      <c r="C2" s="197"/>
      <c r="D2" s="197"/>
      <c r="E2" s="197"/>
      <c r="F2" s="4"/>
      <c r="G2" s="4"/>
      <c r="H2" s="4"/>
    </row>
    <row r="3" spans="1:9" ht="20.100000000000001" customHeight="1" x14ac:dyDescent="0.25">
      <c r="A3" s="98"/>
      <c r="B3" s="98"/>
      <c r="C3" s="143"/>
      <c r="D3" s="98"/>
      <c r="E3" s="98"/>
      <c r="F3" s="4"/>
      <c r="G3" s="4"/>
      <c r="H3" s="4"/>
    </row>
    <row r="4" spans="1:9" ht="20.100000000000001" customHeight="1" x14ac:dyDescent="0.25">
      <c r="A4" s="64" t="s">
        <v>172</v>
      </c>
      <c r="B4" s="98"/>
      <c r="C4" s="143"/>
      <c r="D4" s="98"/>
      <c r="E4" s="98"/>
      <c r="F4" s="98"/>
      <c r="G4" s="4"/>
      <c r="H4" s="4"/>
    </row>
    <row r="5" spans="1:9" ht="20.100000000000001" customHeight="1" x14ac:dyDescent="0.25">
      <c r="A5" s="64" t="s">
        <v>164</v>
      </c>
      <c r="B5" s="66"/>
      <c r="C5" s="66"/>
      <c r="D5" s="67"/>
      <c r="E5" s="67"/>
      <c r="F5" s="57"/>
      <c r="G5" s="4"/>
      <c r="H5" s="4"/>
    </row>
    <row r="6" spans="1:9" ht="20.100000000000001" customHeight="1" x14ac:dyDescent="0.25">
      <c r="A6" s="65" t="s">
        <v>161</v>
      </c>
      <c r="B6" s="59"/>
      <c r="C6" s="59"/>
      <c r="D6" s="59"/>
      <c r="E6" s="59"/>
      <c r="F6" s="59"/>
      <c r="G6" s="5"/>
      <c r="H6" s="5"/>
      <c r="I6" s="3"/>
    </row>
    <row r="7" spans="1:9" ht="20.100000000000001" customHeight="1" thickBot="1" x14ac:dyDescent="0.3">
      <c r="A7" s="65"/>
      <c r="B7" s="59"/>
      <c r="C7" s="59"/>
      <c r="D7" s="59"/>
      <c r="E7" s="59"/>
      <c r="F7" s="59"/>
      <c r="G7" s="5"/>
      <c r="H7" s="5"/>
      <c r="I7" s="3"/>
    </row>
    <row r="8" spans="1:9" ht="45" customHeight="1" x14ac:dyDescent="0.2">
      <c r="A8" s="90" t="s">
        <v>33</v>
      </c>
      <c r="B8" s="97" t="s">
        <v>34</v>
      </c>
      <c r="C8" s="97" t="s">
        <v>182</v>
      </c>
      <c r="D8" s="91" t="s">
        <v>35</v>
      </c>
      <c r="E8" s="92" t="s">
        <v>36</v>
      </c>
      <c r="F8" s="92" t="s">
        <v>6</v>
      </c>
    </row>
    <row r="9" spans="1:9" ht="20.100000000000001" customHeight="1" x14ac:dyDescent="0.2">
      <c r="A9" s="86">
        <v>7101</v>
      </c>
      <c r="B9" s="81" t="s">
        <v>37</v>
      </c>
      <c r="C9" s="181"/>
      <c r="D9" s="93"/>
      <c r="E9" s="94"/>
      <c r="F9" s="94"/>
    </row>
    <row r="10" spans="1:9" ht="20.100000000000001" customHeight="1" x14ac:dyDescent="0.2">
      <c r="A10" s="85">
        <v>710106</v>
      </c>
      <c r="B10" s="82" t="s">
        <v>38</v>
      </c>
      <c r="C10" s="73">
        <v>43056</v>
      </c>
      <c r="D10" s="73">
        <v>43056</v>
      </c>
      <c r="E10" s="73">
        <v>43056</v>
      </c>
      <c r="F10" s="77"/>
      <c r="G10" s="3"/>
      <c r="H10" s="3"/>
    </row>
    <row r="11" spans="1:9" ht="20.100000000000001" customHeight="1" x14ac:dyDescent="0.2">
      <c r="A11" s="85"/>
      <c r="B11" s="82"/>
      <c r="C11" s="74"/>
      <c r="D11" s="74"/>
      <c r="E11" s="74"/>
      <c r="F11" s="71"/>
    </row>
    <row r="12" spans="1:9" ht="20.100000000000001" customHeight="1" x14ac:dyDescent="0.2">
      <c r="A12" s="86">
        <v>7102</v>
      </c>
      <c r="B12" s="81" t="s">
        <v>39</v>
      </c>
      <c r="C12" s="74"/>
      <c r="D12" s="74"/>
      <c r="E12" s="74"/>
      <c r="F12" s="71"/>
    </row>
    <row r="13" spans="1:9" ht="20.100000000000001" customHeight="1" x14ac:dyDescent="0.2">
      <c r="A13" s="85">
        <v>710203</v>
      </c>
      <c r="B13" s="82" t="s">
        <v>40</v>
      </c>
      <c r="C13" s="73">
        <v>3588</v>
      </c>
      <c r="D13" s="73">
        <v>3588</v>
      </c>
      <c r="E13" s="73">
        <v>3588</v>
      </c>
      <c r="F13" s="77"/>
    </row>
    <row r="14" spans="1:9" ht="20.100000000000001" customHeight="1" x14ac:dyDescent="0.2">
      <c r="A14" s="85">
        <v>710204</v>
      </c>
      <c r="B14" s="82" t="s">
        <v>41</v>
      </c>
      <c r="C14" s="73">
        <v>2040</v>
      </c>
      <c r="D14" s="73">
        <v>2124</v>
      </c>
      <c r="E14" s="73">
        <v>2196</v>
      </c>
      <c r="F14" s="77"/>
    </row>
    <row r="15" spans="1:9" ht="20.100000000000001" customHeight="1" x14ac:dyDescent="0.2">
      <c r="A15" s="85"/>
      <c r="B15" s="82"/>
      <c r="C15" s="73"/>
      <c r="D15" s="73"/>
      <c r="E15" s="73"/>
      <c r="F15" s="77"/>
    </row>
    <row r="16" spans="1:9" ht="20.100000000000001" customHeight="1" x14ac:dyDescent="0.2">
      <c r="A16" s="86">
        <v>7103</v>
      </c>
      <c r="B16" s="81" t="s">
        <v>42</v>
      </c>
      <c r="C16" s="73"/>
      <c r="D16" s="73"/>
      <c r="E16" s="73"/>
      <c r="F16" s="77"/>
    </row>
    <row r="17" spans="1:6" ht="20.100000000000001" customHeight="1" x14ac:dyDescent="0.2">
      <c r="A17" s="85">
        <v>710304</v>
      </c>
      <c r="B17" s="82" t="s">
        <v>43</v>
      </c>
      <c r="C17" s="73">
        <v>792</v>
      </c>
      <c r="D17" s="73">
        <v>792</v>
      </c>
      <c r="E17" s="73">
        <v>792</v>
      </c>
      <c r="F17" s="77"/>
    </row>
    <row r="18" spans="1:6" ht="20.100000000000001" customHeight="1" x14ac:dyDescent="0.2">
      <c r="A18" s="85">
        <v>710306</v>
      </c>
      <c r="B18" s="82" t="s">
        <v>143</v>
      </c>
      <c r="C18" s="73">
        <v>6336</v>
      </c>
      <c r="D18" s="73">
        <v>6336</v>
      </c>
      <c r="E18" s="73">
        <v>6336</v>
      </c>
      <c r="F18" s="77"/>
    </row>
    <row r="19" spans="1:6" ht="20.100000000000001" customHeight="1" x14ac:dyDescent="0.2">
      <c r="A19" s="85">
        <v>710307</v>
      </c>
      <c r="B19" s="82" t="s">
        <v>44</v>
      </c>
      <c r="C19" s="73">
        <v>0</v>
      </c>
      <c r="D19" s="73">
        <v>0</v>
      </c>
      <c r="E19" s="73">
        <v>0</v>
      </c>
      <c r="F19" s="77"/>
    </row>
    <row r="20" spans="1:6" ht="20.100000000000001" customHeight="1" x14ac:dyDescent="0.2">
      <c r="A20" s="85"/>
      <c r="B20" s="82"/>
      <c r="C20" s="73"/>
      <c r="D20" s="73"/>
      <c r="E20" s="73"/>
      <c r="F20" s="77"/>
    </row>
    <row r="21" spans="1:6" ht="20.100000000000001" customHeight="1" x14ac:dyDescent="0.2">
      <c r="A21" s="86">
        <v>7104</v>
      </c>
      <c r="B21" s="81" t="s">
        <v>45</v>
      </c>
      <c r="C21" s="73"/>
      <c r="D21" s="73"/>
      <c r="E21" s="73"/>
      <c r="F21" s="77"/>
    </row>
    <row r="22" spans="1:6" ht="20.100000000000001" customHeight="1" x14ac:dyDescent="0.2">
      <c r="A22" s="85">
        <v>710401</v>
      </c>
      <c r="B22" s="82" t="s">
        <v>46</v>
      </c>
      <c r="C22" s="73">
        <v>324.39999999999998</v>
      </c>
      <c r="D22" s="73">
        <v>339.84</v>
      </c>
      <c r="E22" s="73">
        <v>351.36</v>
      </c>
      <c r="F22" s="77"/>
    </row>
    <row r="23" spans="1:6" ht="20.100000000000001" customHeight="1" x14ac:dyDescent="0.2">
      <c r="A23" s="85">
        <v>710408</v>
      </c>
      <c r="B23" s="81" t="s">
        <v>162</v>
      </c>
      <c r="C23" s="73">
        <v>322.92</v>
      </c>
      <c r="D23" s="73">
        <v>430.56</v>
      </c>
      <c r="E23" s="73">
        <v>538.20000000000005</v>
      </c>
      <c r="F23" s="77"/>
    </row>
    <row r="24" spans="1:6" ht="20.100000000000001" customHeight="1" x14ac:dyDescent="0.2">
      <c r="A24" s="86">
        <v>7105</v>
      </c>
      <c r="B24" s="81" t="s">
        <v>47</v>
      </c>
      <c r="C24" s="74"/>
      <c r="D24" s="74"/>
      <c r="E24" s="74"/>
      <c r="F24" s="71"/>
    </row>
    <row r="25" spans="1:6" ht="20.100000000000001" customHeight="1" x14ac:dyDescent="0.2">
      <c r="A25" s="87" t="s">
        <v>139</v>
      </c>
      <c r="B25" s="82" t="s">
        <v>48</v>
      </c>
      <c r="C25" s="74">
        <v>0</v>
      </c>
      <c r="D25" s="74">
        <v>0</v>
      </c>
      <c r="E25" s="74">
        <v>0</v>
      </c>
      <c r="F25" s="71"/>
    </row>
    <row r="26" spans="1:6" ht="20.100000000000001" customHeight="1" x14ac:dyDescent="0.2">
      <c r="A26" s="85"/>
      <c r="B26" s="82"/>
      <c r="C26" s="74"/>
      <c r="D26" s="74"/>
      <c r="E26" s="74"/>
      <c r="F26" s="71"/>
    </row>
    <row r="27" spans="1:6" ht="20.100000000000001" customHeight="1" x14ac:dyDescent="0.2">
      <c r="A27" s="86">
        <v>7106</v>
      </c>
      <c r="B27" s="81" t="s">
        <v>49</v>
      </c>
      <c r="C27" s="74"/>
      <c r="D27" s="74"/>
      <c r="E27" s="74"/>
      <c r="F27" s="71"/>
    </row>
    <row r="28" spans="1:6" ht="20.100000000000001" customHeight="1" x14ac:dyDescent="0.2">
      <c r="A28" s="87" t="s">
        <v>140</v>
      </c>
      <c r="B28" s="82" t="s">
        <v>50</v>
      </c>
      <c r="C28" s="73">
        <v>5231.3</v>
      </c>
      <c r="D28" s="73">
        <v>5231.3</v>
      </c>
      <c r="E28" s="73">
        <v>5231.3</v>
      </c>
      <c r="F28" s="77"/>
    </row>
    <row r="29" spans="1:6" ht="20.100000000000001" customHeight="1" x14ac:dyDescent="0.2">
      <c r="A29" s="87" t="s">
        <v>141</v>
      </c>
      <c r="B29" s="82" t="s">
        <v>51</v>
      </c>
      <c r="C29" s="73">
        <v>3586.56</v>
      </c>
      <c r="D29" s="73">
        <v>3620.55</v>
      </c>
      <c r="E29" s="73">
        <v>3586.56</v>
      </c>
      <c r="F29" s="77"/>
    </row>
    <row r="30" spans="1:6" ht="20.100000000000001" customHeight="1" x14ac:dyDescent="0.2">
      <c r="A30" s="87" t="s">
        <v>142</v>
      </c>
      <c r="B30" s="82" t="s">
        <v>52</v>
      </c>
      <c r="C30" s="73">
        <v>0</v>
      </c>
      <c r="D30" s="73">
        <v>0</v>
      </c>
      <c r="E30" s="73">
        <v>0</v>
      </c>
      <c r="F30" s="77"/>
    </row>
    <row r="31" spans="1:6" ht="20.100000000000001" customHeight="1" x14ac:dyDescent="0.2">
      <c r="A31" s="85"/>
      <c r="B31" s="82"/>
      <c r="C31" s="74"/>
      <c r="D31" s="74"/>
      <c r="E31" s="74"/>
      <c r="F31" s="71"/>
    </row>
    <row r="32" spans="1:6" ht="20.100000000000001" customHeight="1" x14ac:dyDescent="0.2">
      <c r="A32" s="86">
        <v>7107</v>
      </c>
      <c r="B32" s="81" t="s">
        <v>53</v>
      </c>
      <c r="C32" s="74"/>
      <c r="D32" s="74"/>
      <c r="E32" s="74"/>
      <c r="F32" s="71"/>
    </row>
    <row r="33" spans="1:6" ht="20.100000000000001" customHeight="1" x14ac:dyDescent="0.2">
      <c r="A33" s="85">
        <v>710704</v>
      </c>
      <c r="B33" s="82" t="s">
        <v>54</v>
      </c>
      <c r="C33" s="74">
        <v>0</v>
      </c>
      <c r="D33" s="74">
        <v>0</v>
      </c>
      <c r="E33" s="74">
        <v>0</v>
      </c>
      <c r="F33" s="71"/>
    </row>
    <row r="34" spans="1:6" ht="20.100000000000001" customHeight="1" x14ac:dyDescent="0.2">
      <c r="A34" s="85">
        <v>710705</v>
      </c>
      <c r="B34" s="82" t="s">
        <v>55</v>
      </c>
      <c r="C34" s="74">
        <v>0</v>
      </c>
      <c r="D34" s="74">
        <v>0</v>
      </c>
      <c r="E34" s="74">
        <v>46116</v>
      </c>
      <c r="F34" s="71"/>
    </row>
    <row r="35" spans="1:6" ht="20.100000000000001" customHeight="1" x14ac:dyDescent="0.2">
      <c r="A35" s="85"/>
      <c r="B35" s="82"/>
      <c r="C35" s="74"/>
      <c r="D35" s="74"/>
      <c r="E35" s="74"/>
      <c r="F35" s="71"/>
    </row>
    <row r="36" spans="1:6" ht="20.100000000000001" customHeight="1" thickBot="1" x14ac:dyDescent="0.25">
      <c r="A36" s="88"/>
      <c r="B36" s="83"/>
      <c r="C36" s="75"/>
      <c r="D36" s="75"/>
      <c r="E36" s="75"/>
      <c r="F36" s="78"/>
    </row>
    <row r="37" spans="1:6" ht="20.100000000000001" customHeight="1" thickBot="1" x14ac:dyDescent="0.3">
      <c r="A37" s="89"/>
      <c r="B37" s="84" t="s">
        <v>26</v>
      </c>
      <c r="C37" s="69">
        <f>SUM(C9:C36)</f>
        <v>65277.18</v>
      </c>
      <c r="D37" s="69">
        <f>SUM(D9:D36)</f>
        <v>65518.25</v>
      </c>
      <c r="E37" s="69">
        <f>SUM(E9:E36)</f>
        <v>111791.42</v>
      </c>
      <c r="F37" s="79"/>
    </row>
    <row r="38" spans="1:6" ht="20.100000000000001" customHeight="1" thickBot="1" x14ac:dyDescent="0.25">
      <c r="A38" s="80"/>
      <c r="B38" s="70" t="s">
        <v>27</v>
      </c>
      <c r="C38" s="182"/>
      <c r="D38" s="76"/>
      <c r="E38" s="80"/>
      <c r="F38" s="80"/>
    </row>
    <row r="39" spans="1:6" ht="20.100000000000001" customHeight="1" x14ac:dyDescent="0.2">
      <c r="A39" s="60"/>
      <c r="B39" s="61"/>
      <c r="C39" s="61"/>
      <c r="D39" s="60"/>
      <c r="E39" s="60"/>
    </row>
    <row r="40" spans="1:6" ht="20.100000000000001" customHeight="1" x14ac:dyDescent="0.2">
      <c r="A40" s="68" t="s">
        <v>28</v>
      </c>
      <c r="B40" s="61"/>
      <c r="C40" s="61"/>
      <c r="D40" s="60"/>
      <c r="E40" s="60"/>
      <c r="F40" s="3"/>
    </row>
    <row r="41" spans="1:6" ht="20.100000000000001" customHeight="1" x14ac:dyDescent="0.2">
      <c r="A41" s="68" t="s">
        <v>29</v>
      </c>
      <c r="B41" s="60"/>
      <c r="C41" s="60"/>
      <c r="D41" s="60"/>
      <c r="E41" s="62"/>
      <c r="F41" s="3"/>
    </row>
    <row r="42" spans="1:6" ht="20.100000000000001" customHeight="1" x14ac:dyDescent="0.2">
      <c r="A42" s="68" t="s">
        <v>30</v>
      </c>
      <c r="B42" s="60"/>
      <c r="C42" s="60"/>
      <c r="D42" s="60"/>
      <c r="E42" s="62"/>
      <c r="F42" s="3"/>
    </row>
    <row r="43" spans="1:6" ht="20.100000000000001" customHeight="1" x14ac:dyDescent="0.2">
      <c r="A43" s="60"/>
      <c r="B43" s="60"/>
      <c r="C43" s="60"/>
      <c r="D43" s="60"/>
      <c r="E43" s="62"/>
      <c r="F43" s="3"/>
    </row>
    <row r="44" spans="1:6" ht="20.100000000000001" customHeight="1" x14ac:dyDescent="0.2">
      <c r="A44" s="2"/>
      <c r="B44" s="60"/>
      <c r="C44" s="60"/>
      <c r="D44" s="60"/>
      <c r="E44" s="60"/>
      <c r="F44" s="3"/>
    </row>
    <row r="45" spans="1:6" ht="20.100000000000001" customHeight="1" x14ac:dyDescent="0.25">
      <c r="A45" s="2"/>
      <c r="B45" s="198" t="s">
        <v>178</v>
      </c>
      <c r="C45" s="198"/>
      <c r="D45" s="198"/>
      <c r="E45" s="72"/>
      <c r="F45" s="3"/>
    </row>
    <row r="46" spans="1:6" ht="20.100000000000001" customHeight="1" x14ac:dyDescent="0.25">
      <c r="A46" s="2"/>
      <c r="B46" s="56" t="s">
        <v>165</v>
      </c>
      <c r="C46" s="56"/>
      <c r="D46" s="72"/>
      <c r="E46" s="72"/>
      <c r="F46" s="3"/>
    </row>
    <row r="47" spans="1:6" ht="15" x14ac:dyDescent="0.25">
      <c r="A47" s="2"/>
      <c r="B47" s="56" t="s">
        <v>179</v>
      </c>
      <c r="C47" s="56"/>
      <c r="D47" s="8"/>
      <c r="E47" s="8"/>
      <c r="F47" s="3"/>
    </row>
    <row r="48" spans="1:6" ht="20.100000000000001" customHeight="1" x14ac:dyDescent="0.25">
      <c r="A48" s="2"/>
      <c r="B48" s="56" t="s">
        <v>31</v>
      </c>
      <c r="C48" s="56"/>
      <c r="D48" s="60"/>
      <c r="E48" s="60"/>
    </row>
  </sheetData>
  <mergeCells count="3">
    <mergeCell ref="A1:E1"/>
    <mergeCell ref="A2:E2"/>
    <mergeCell ref="B45:D45"/>
  </mergeCells>
  <phoneticPr fontId="0" type="noConversion"/>
  <pageMargins left="0.70866141732283472" right="0.70866141732283472" top="0.74803149606299213" bottom="0.74803149606299213" header="0.31496062992125984" footer="0.31496062992125984"/>
  <pageSetup scale="64" fitToHeight="0" orientation="portrait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5"/>
  <sheetViews>
    <sheetView workbookViewId="0">
      <selection activeCell="A36" sqref="A1:H36"/>
    </sheetView>
  </sheetViews>
  <sheetFormatPr baseColWidth="10" defaultColWidth="11.42578125" defaultRowHeight="20.100000000000001" customHeight="1" x14ac:dyDescent="0.2"/>
  <cols>
    <col min="1" max="1" width="13.85546875" style="63" customWidth="1"/>
    <col min="2" max="2" width="33" style="63" customWidth="1"/>
    <col min="3" max="3" width="12.85546875" style="63" customWidth="1"/>
    <col min="4" max="4" width="9.28515625" style="63" customWidth="1"/>
    <col min="5" max="5" width="27.42578125" style="63" customWidth="1"/>
    <col min="6" max="6" width="15.7109375" style="63" customWidth="1"/>
    <col min="7" max="7" width="16.140625" style="63" customWidth="1"/>
    <col min="8" max="8" width="26" style="2" customWidth="1"/>
    <col min="9" max="16384" width="11.42578125" style="2"/>
  </cols>
  <sheetData>
    <row r="1" spans="1:12" ht="19.5" customHeight="1" x14ac:dyDescent="0.2">
      <c r="A1" s="200" t="s">
        <v>0</v>
      </c>
      <c r="B1" s="200"/>
      <c r="C1" s="200"/>
      <c r="D1" s="200"/>
      <c r="E1" s="200"/>
      <c r="F1" s="200"/>
      <c r="G1" s="200"/>
      <c r="H1" s="1"/>
    </row>
    <row r="2" spans="1:12" ht="23.25" customHeight="1" x14ac:dyDescent="0.2">
      <c r="A2" s="200" t="s">
        <v>177</v>
      </c>
      <c r="B2" s="200"/>
      <c r="C2" s="200"/>
      <c r="D2" s="200"/>
      <c r="E2" s="200"/>
      <c r="F2" s="200"/>
      <c r="G2" s="200"/>
      <c r="H2" s="1"/>
    </row>
    <row r="3" spans="1:12" ht="15.95" customHeight="1" x14ac:dyDescent="0.2">
      <c r="A3" s="201" t="s">
        <v>56</v>
      </c>
      <c r="B3" s="201"/>
      <c r="C3" s="201"/>
      <c r="D3" s="201"/>
      <c r="E3" s="201"/>
      <c r="F3" s="201"/>
      <c r="G3" s="201"/>
      <c r="H3" s="1"/>
    </row>
    <row r="4" spans="1:12" ht="15.95" customHeight="1" x14ac:dyDescent="0.2">
      <c r="A4" s="151"/>
      <c r="B4" s="151"/>
      <c r="C4" s="151"/>
      <c r="D4" s="151"/>
      <c r="E4" s="151"/>
      <c r="F4" s="151"/>
      <c r="G4" s="151"/>
      <c r="H4" s="1"/>
    </row>
    <row r="5" spans="1:12" ht="15.95" customHeight="1" x14ac:dyDescent="0.2">
      <c r="A5" s="152" t="s">
        <v>171</v>
      </c>
      <c r="B5" s="151"/>
      <c r="C5" s="151"/>
      <c r="D5" s="151"/>
      <c r="E5" s="151"/>
      <c r="F5" s="151"/>
      <c r="G5" s="151"/>
      <c r="H5" s="1"/>
    </row>
    <row r="6" spans="1:12" ht="15.95" customHeight="1" x14ac:dyDescent="0.2">
      <c r="A6" s="152" t="s">
        <v>160</v>
      </c>
      <c r="B6" s="153"/>
      <c r="C6" s="154"/>
      <c r="D6" s="154"/>
      <c r="E6" s="152"/>
      <c r="F6" s="152"/>
      <c r="G6" s="152"/>
      <c r="H6" s="1"/>
    </row>
    <row r="7" spans="1:12" ht="15.95" customHeight="1" x14ac:dyDescent="0.2">
      <c r="A7" s="155" t="s">
        <v>161</v>
      </c>
      <c r="B7" s="155"/>
      <c r="C7" s="155"/>
      <c r="D7" s="155"/>
      <c r="E7" s="155"/>
      <c r="F7" s="155"/>
      <c r="G7" s="155"/>
      <c r="H7" s="1"/>
    </row>
    <row r="8" spans="1:12" ht="15.95" customHeight="1" thickBot="1" x14ac:dyDescent="0.25">
      <c r="A8" s="155"/>
      <c r="B8" s="155"/>
      <c r="C8" s="155"/>
      <c r="D8" s="155"/>
      <c r="E8" s="155"/>
      <c r="F8" s="155"/>
      <c r="G8" s="155"/>
      <c r="H8" s="1"/>
    </row>
    <row r="9" spans="1:12" s="1" customFormat="1" ht="60.75" thickBot="1" x14ac:dyDescent="0.25">
      <c r="A9" s="156" t="s">
        <v>57</v>
      </c>
      <c r="B9" s="157" t="s">
        <v>58</v>
      </c>
      <c r="C9" s="157" t="s">
        <v>59</v>
      </c>
      <c r="D9" s="157" t="s">
        <v>60</v>
      </c>
      <c r="E9" s="157" t="s">
        <v>61</v>
      </c>
      <c r="F9" s="157" t="s">
        <v>62</v>
      </c>
      <c r="G9" s="158" t="s">
        <v>63</v>
      </c>
      <c r="H9" s="158" t="s">
        <v>6</v>
      </c>
    </row>
    <row r="10" spans="1:12" ht="15.95" customHeight="1" x14ac:dyDescent="0.2">
      <c r="A10" s="159" t="s">
        <v>144</v>
      </c>
      <c r="B10" s="160" t="s">
        <v>145</v>
      </c>
      <c r="C10" s="161">
        <v>1</v>
      </c>
      <c r="D10" s="161">
        <v>2</v>
      </c>
      <c r="E10" s="162" t="s">
        <v>146</v>
      </c>
      <c r="F10" s="163">
        <v>581</v>
      </c>
      <c r="G10" s="163">
        <v>581</v>
      </c>
      <c r="H10" s="163" t="s">
        <v>147</v>
      </c>
      <c r="I10" s="7"/>
    </row>
    <row r="11" spans="1:12" ht="15.95" customHeight="1" x14ac:dyDescent="0.2">
      <c r="A11" s="164" t="s">
        <v>148</v>
      </c>
      <c r="B11" s="165" t="s">
        <v>149</v>
      </c>
      <c r="C11" s="164">
        <v>2</v>
      </c>
      <c r="D11" s="164">
        <v>4</v>
      </c>
      <c r="E11" s="165" t="s">
        <v>150</v>
      </c>
      <c r="F11" s="166">
        <v>615</v>
      </c>
      <c r="G11" s="166">
        <v>615</v>
      </c>
      <c r="H11" s="166" t="s">
        <v>147</v>
      </c>
      <c r="I11" s="7"/>
    </row>
    <row r="12" spans="1:12" ht="15.95" customHeight="1" x14ac:dyDescent="0.2">
      <c r="A12" s="164" t="s">
        <v>151</v>
      </c>
      <c r="B12" s="165" t="s">
        <v>152</v>
      </c>
      <c r="C12" s="164">
        <v>3</v>
      </c>
      <c r="D12" s="164">
        <v>4</v>
      </c>
      <c r="E12" s="165" t="s">
        <v>153</v>
      </c>
      <c r="F12" s="166">
        <v>598</v>
      </c>
      <c r="G12" s="166">
        <v>598</v>
      </c>
      <c r="H12" s="166" t="s">
        <v>147</v>
      </c>
      <c r="I12" s="7"/>
    </row>
    <row r="13" spans="1:12" ht="15.95" customHeight="1" x14ac:dyDescent="0.2">
      <c r="A13" s="164" t="s">
        <v>154</v>
      </c>
      <c r="B13" s="165" t="s">
        <v>155</v>
      </c>
      <c r="C13" s="164">
        <v>4</v>
      </c>
      <c r="D13" s="164">
        <v>4</v>
      </c>
      <c r="E13" s="165" t="s">
        <v>153</v>
      </c>
      <c r="F13" s="166">
        <v>598</v>
      </c>
      <c r="G13" s="166">
        <v>598</v>
      </c>
      <c r="H13" s="166" t="s">
        <v>147</v>
      </c>
      <c r="I13" s="7"/>
      <c r="J13" s="6"/>
      <c r="K13" s="6"/>
      <c r="L13" s="6"/>
    </row>
    <row r="14" spans="1:12" ht="15.95" customHeight="1" x14ac:dyDescent="0.2">
      <c r="A14" s="164" t="s">
        <v>156</v>
      </c>
      <c r="B14" s="165" t="s">
        <v>157</v>
      </c>
      <c r="C14" s="164">
        <v>5</v>
      </c>
      <c r="D14" s="164">
        <v>3</v>
      </c>
      <c r="E14" s="165" t="s">
        <v>153</v>
      </c>
      <c r="F14" s="166">
        <v>598</v>
      </c>
      <c r="G14" s="166">
        <v>598</v>
      </c>
      <c r="H14" s="166" t="s">
        <v>147</v>
      </c>
      <c r="I14" s="7"/>
      <c r="J14" s="6"/>
      <c r="K14" s="6"/>
      <c r="L14" s="6"/>
    </row>
    <row r="15" spans="1:12" ht="15.95" customHeight="1" x14ac:dyDescent="0.2">
      <c r="A15" s="164" t="s">
        <v>158</v>
      </c>
      <c r="B15" s="165" t="s">
        <v>159</v>
      </c>
      <c r="C15" s="164">
        <v>6</v>
      </c>
      <c r="D15" s="164">
        <v>3</v>
      </c>
      <c r="E15" s="165" t="s">
        <v>153</v>
      </c>
      <c r="F15" s="166">
        <v>598</v>
      </c>
      <c r="G15" s="166">
        <v>598</v>
      </c>
      <c r="H15" s="166" t="s">
        <v>147</v>
      </c>
      <c r="I15" s="7"/>
      <c r="J15" s="6"/>
      <c r="K15" s="6"/>
      <c r="L15" s="6"/>
    </row>
    <row r="16" spans="1:12" ht="15.95" customHeight="1" x14ac:dyDescent="0.2">
      <c r="A16" s="164"/>
      <c r="B16" s="165"/>
      <c r="C16" s="164"/>
      <c r="D16" s="164"/>
      <c r="E16" s="165"/>
      <c r="F16" s="166"/>
      <c r="G16" s="166"/>
      <c r="H16" s="166"/>
      <c r="I16" s="7"/>
      <c r="J16" s="6"/>
      <c r="K16" s="6"/>
      <c r="L16" s="6"/>
    </row>
    <row r="17" spans="1:12" ht="15.95" customHeight="1" x14ac:dyDescent="0.2">
      <c r="A17" s="164"/>
      <c r="B17" s="165"/>
      <c r="C17" s="164"/>
      <c r="D17" s="164"/>
      <c r="E17" s="165"/>
      <c r="F17" s="166"/>
      <c r="G17" s="166"/>
      <c r="H17" s="166"/>
      <c r="I17" s="7"/>
      <c r="J17" s="6"/>
      <c r="K17" s="6"/>
      <c r="L17" s="6"/>
    </row>
    <row r="18" spans="1:12" ht="15.95" customHeight="1" x14ac:dyDescent="0.2">
      <c r="A18" s="164"/>
      <c r="B18" s="165"/>
      <c r="C18" s="164"/>
      <c r="D18" s="164"/>
      <c r="E18" s="165"/>
      <c r="F18" s="166"/>
      <c r="G18" s="166"/>
      <c r="H18" s="166"/>
      <c r="I18" s="7"/>
      <c r="J18" s="6"/>
      <c r="K18" s="6"/>
      <c r="L18" s="6"/>
    </row>
    <row r="19" spans="1:12" ht="15.95" customHeight="1" x14ac:dyDescent="0.2">
      <c r="A19" s="164"/>
      <c r="B19" s="167"/>
      <c r="C19" s="164"/>
      <c r="D19" s="164"/>
      <c r="E19" s="165"/>
      <c r="F19" s="166"/>
      <c r="G19" s="166"/>
      <c r="H19" s="166"/>
      <c r="I19" s="7"/>
      <c r="J19" s="6"/>
      <c r="K19" s="6"/>
      <c r="L19" s="6"/>
    </row>
    <row r="20" spans="1:12" ht="15.95" customHeight="1" x14ac:dyDescent="0.2">
      <c r="A20" s="164"/>
      <c r="B20" s="165"/>
      <c r="C20" s="164"/>
      <c r="D20" s="164"/>
      <c r="E20" s="165"/>
      <c r="F20" s="166"/>
      <c r="G20" s="166"/>
      <c r="H20" s="166"/>
      <c r="I20" s="7"/>
      <c r="J20" s="6"/>
      <c r="K20" s="6"/>
      <c r="L20" s="6"/>
    </row>
    <row r="21" spans="1:12" ht="15.95" customHeight="1" x14ac:dyDescent="0.2">
      <c r="A21" s="164"/>
      <c r="B21" s="165"/>
      <c r="C21" s="164"/>
      <c r="D21" s="164"/>
      <c r="E21" s="165"/>
      <c r="F21" s="166"/>
      <c r="G21" s="166"/>
      <c r="H21" s="166"/>
      <c r="I21" s="7"/>
      <c r="J21" s="6"/>
      <c r="K21" s="6"/>
      <c r="L21" s="6"/>
    </row>
    <row r="22" spans="1:12" ht="15.95" customHeight="1" x14ac:dyDescent="0.2">
      <c r="A22" s="164"/>
      <c r="B22" s="168"/>
      <c r="C22" s="164"/>
      <c r="D22" s="164"/>
      <c r="E22" s="165"/>
      <c r="F22" s="166"/>
      <c r="G22" s="166"/>
      <c r="H22" s="166"/>
      <c r="I22" s="7"/>
    </row>
    <row r="23" spans="1:12" ht="15.95" customHeight="1" x14ac:dyDescent="0.2">
      <c r="A23" s="169"/>
      <c r="B23" s="169"/>
      <c r="C23" s="169"/>
      <c r="D23" s="169"/>
      <c r="E23" s="170" t="s">
        <v>64</v>
      </c>
      <c r="F23" s="171">
        <f>SUM(F10:F22)</f>
        <v>3588</v>
      </c>
      <c r="G23" s="171">
        <f>SUM(G10:G22)</f>
        <v>3588</v>
      </c>
      <c r="H23" s="171"/>
    </row>
    <row r="24" spans="1:12" ht="15.95" customHeight="1" x14ac:dyDescent="0.2">
      <c r="A24" s="172"/>
      <c r="B24" s="172"/>
      <c r="C24" s="172"/>
      <c r="D24" s="172"/>
      <c r="E24" s="151"/>
      <c r="F24" s="173"/>
      <c r="G24" s="173"/>
      <c r="H24" s="174"/>
    </row>
    <row r="25" spans="1:12" ht="15.95" customHeight="1" x14ac:dyDescent="0.2">
      <c r="A25" s="129" t="s">
        <v>65</v>
      </c>
      <c r="B25" s="172"/>
      <c r="C25" s="172"/>
      <c r="D25" s="172"/>
      <c r="E25" s="151"/>
      <c r="F25" s="173"/>
      <c r="G25" s="173"/>
      <c r="H25" s="174"/>
    </row>
    <row r="26" spans="1:12" ht="15.95" customHeight="1" x14ac:dyDescent="0.2">
      <c r="A26" s="129" t="s">
        <v>66</v>
      </c>
      <c r="B26" s="172"/>
      <c r="C26" s="172"/>
      <c r="D26" s="172"/>
      <c r="E26" s="151"/>
      <c r="F26" s="173"/>
      <c r="G26" s="173"/>
      <c r="H26" s="174"/>
    </row>
    <row r="27" spans="1:12" ht="15.95" customHeight="1" x14ac:dyDescent="0.2">
      <c r="A27" s="129" t="s">
        <v>30</v>
      </c>
      <c r="B27" s="129"/>
      <c r="C27" s="129"/>
      <c r="D27" s="129"/>
      <c r="E27" s="129"/>
      <c r="F27" s="129"/>
      <c r="G27" s="129"/>
      <c r="H27" s="1"/>
    </row>
    <row r="28" spans="1:12" ht="31.5" customHeight="1" x14ac:dyDescent="0.2">
      <c r="A28" s="202" t="s">
        <v>181</v>
      </c>
      <c r="B28" s="202"/>
      <c r="C28" s="202"/>
      <c r="D28" s="202"/>
      <c r="E28" s="202"/>
      <c r="F28" s="202"/>
      <c r="G28" s="202"/>
      <c r="H28" s="202"/>
    </row>
    <row r="29" spans="1:12" ht="15.95" customHeight="1" x14ac:dyDescent="0.2">
      <c r="A29" s="129"/>
      <c r="B29" s="129"/>
      <c r="C29" s="129"/>
      <c r="D29" s="129"/>
      <c r="E29" s="129"/>
      <c r="F29" s="129"/>
      <c r="G29" s="129"/>
      <c r="H29" s="1"/>
    </row>
    <row r="30" spans="1:12" ht="15.95" customHeight="1" x14ac:dyDescent="0.2">
      <c r="A30" s="129"/>
      <c r="B30" s="129"/>
      <c r="C30" s="129"/>
      <c r="D30" s="129"/>
      <c r="E30" s="129"/>
      <c r="F30" s="129"/>
      <c r="G30" s="129"/>
      <c r="H30" s="1"/>
    </row>
    <row r="31" spans="1:12" ht="15.95" customHeight="1" x14ac:dyDescent="0.2">
      <c r="A31" s="1"/>
      <c r="B31" s="199" t="s">
        <v>176</v>
      </c>
      <c r="C31" s="199"/>
      <c r="D31" s="199"/>
      <c r="E31" s="129"/>
      <c r="F31" s="175"/>
      <c r="G31" s="176"/>
      <c r="H31" s="1"/>
    </row>
    <row r="32" spans="1:12" ht="15.95" customHeight="1" x14ac:dyDescent="0.2">
      <c r="A32" s="1"/>
      <c r="B32" s="177"/>
      <c r="C32" s="177"/>
      <c r="D32" s="177"/>
      <c r="E32" s="129"/>
      <c r="F32" s="175"/>
      <c r="G32" s="176"/>
      <c r="H32" s="1"/>
    </row>
    <row r="33" spans="1:8" ht="17.25" customHeight="1" x14ac:dyDescent="0.2">
      <c r="A33" s="1"/>
      <c r="B33" s="133" t="s">
        <v>165</v>
      </c>
      <c r="C33" s="178"/>
      <c r="D33" s="178"/>
      <c r="E33" s="179"/>
      <c r="F33" s="180"/>
      <c r="G33" s="180"/>
      <c r="H33" s="1"/>
    </row>
    <row r="34" spans="1:8" ht="20.100000000000001" customHeight="1" x14ac:dyDescent="0.2">
      <c r="A34" s="1"/>
      <c r="B34" s="133" t="s">
        <v>166</v>
      </c>
      <c r="C34" s="129"/>
      <c r="D34" s="129"/>
      <c r="E34" s="134"/>
      <c r="F34" s="134"/>
      <c r="G34" s="134"/>
      <c r="H34" s="1"/>
    </row>
    <row r="35" spans="1:8" ht="20.100000000000001" customHeight="1" x14ac:dyDescent="0.2">
      <c r="A35" s="1"/>
      <c r="B35" s="133" t="s">
        <v>31</v>
      </c>
      <c r="C35" s="129"/>
      <c r="D35" s="129"/>
      <c r="E35" s="134"/>
      <c r="F35" s="134"/>
      <c r="G35" s="134"/>
      <c r="H35" s="1"/>
    </row>
  </sheetData>
  <mergeCells count="5">
    <mergeCell ref="B31:D31"/>
    <mergeCell ref="A1:G1"/>
    <mergeCell ref="A2:G2"/>
    <mergeCell ref="A3:G3"/>
    <mergeCell ref="A28:H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256" scale="8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zoomScaleNormal="100" workbookViewId="0">
      <selection activeCell="A91" sqref="A1:M91"/>
    </sheetView>
  </sheetViews>
  <sheetFormatPr baseColWidth="10" defaultColWidth="11.42578125" defaultRowHeight="15" x14ac:dyDescent="0.25"/>
  <cols>
    <col min="1" max="1" width="8.28515625" style="8" customWidth="1"/>
    <col min="2" max="2" width="34.5703125" style="8" customWidth="1"/>
    <col min="3" max="3" width="9.7109375" style="8" customWidth="1"/>
    <col min="4" max="4" width="10.140625" style="8" customWidth="1"/>
    <col min="5" max="5" width="11.7109375" style="8" customWidth="1"/>
    <col min="6" max="8" width="10.28515625" style="8" customWidth="1"/>
    <col min="9" max="9" width="10.5703125" style="8" customWidth="1"/>
    <col min="10" max="10" width="10.42578125" style="8" customWidth="1"/>
    <col min="11" max="11" width="10.5703125" style="8" customWidth="1"/>
    <col min="12" max="12" width="11.140625" style="8" customWidth="1"/>
    <col min="13" max="13" width="19.28515625" style="8" customWidth="1"/>
    <col min="14" max="16384" width="11.42578125" style="8"/>
  </cols>
  <sheetData>
    <row r="1" spans="1:13" ht="18.75" x14ac:dyDescent="0.3">
      <c r="A1" s="206" t="s">
        <v>67</v>
      </c>
      <c r="B1" s="206"/>
      <c r="C1" s="206"/>
      <c r="D1" s="206"/>
      <c r="E1" s="206"/>
      <c r="F1" s="206"/>
      <c r="G1" s="206"/>
      <c r="H1" s="206"/>
      <c r="I1" s="206"/>
      <c r="J1" s="206"/>
      <c r="K1" s="140"/>
    </row>
    <row r="2" spans="1:13" ht="18.75" x14ac:dyDescent="0.3">
      <c r="A2" s="206" t="s">
        <v>68</v>
      </c>
      <c r="B2" s="206"/>
      <c r="C2" s="206"/>
      <c r="D2" s="206"/>
      <c r="E2" s="206"/>
      <c r="F2" s="206"/>
      <c r="G2" s="206"/>
      <c r="H2" s="206"/>
      <c r="I2" s="206"/>
      <c r="J2" s="206"/>
      <c r="K2" s="140"/>
    </row>
    <row r="3" spans="1:13" ht="19.5" thickBot="1" x14ac:dyDescent="0.35">
      <c r="A3" s="207" t="s">
        <v>170</v>
      </c>
      <c r="B3" s="207"/>
      <c r="C3" s="207"/>
      <c r="D3" s="207"/>
      <c r="E3" s="207"/>
      <c r="F3" s="207"/>
      <c r="G3" s="207"/>
      <c r="H3" s="207"/>
      <c r="I3" s="207"/>
      <c r="J3" s="207"/>
      <c r="K3" s="141"/>
    </row>
    <row r="4" spans="1:13" ht="15" customHeight="1" x14ac:dyDescent="0.25">
      <c r="A4" s="208" t="s">
        <v>69</v>
      </c>
      <c r="B4" s="209"/>
      <c r="C4" s="208" t="s">
        <v>70</v>
      </c>
      <c r="D4" s="209"/>
      <c r="E4" s="209"/>
      <c r="F4" s="212"/>
      <c r="G4" s="144"/>
      <c r="H4" s="210" t="s">
        <v>71</v>
      </c>
      <c r="I4" s="211"/>
      <c r="J4" s="211"/>
      <c r="K4" s="211"/>
      <c r="L4" s="211"/>
      <c r="M4" s="203" t="s">
        <v>6</v>
      </c>
    </row>
    <row r="5" spans="1:13" ht="15.75" customHeight="1" thickBot="1" x14ac:dyDescent="0.3">
      <c r="A5" s="210"/>
      <c r="B5" s="211"/>
      <c r="C5" s="210"/>
      <c r="D5" s="211"/>
      <c r="E5" s="211"/>
      <c r="F5" s="213"/>
      <c r="G5" s="144"/>
      <c r="H5" s="214"/>
      <c r="I5" s="215"/>
      <c r="J5" s="215"/>
      <c r="K5" s="215"/>
      <c r="L5" s="215"/>
      <c r="M5" s="204"/>
    </row>
    <row r="6" spans="1:13" ht="28.5" customHeight="1" thickBot="1" x14ac:dyDescent="0.3">
      <c r="A6" s="9" t="s">
        <v>72</v>
      </c>
      <c r="B6" s="10" t="s">
        <v>73</v>
      </c>
      <c r="C6" s="11">
        <v>2012</v>
      </c>
      <c r="D6" s="12">
        <v>2013</v>
      </c>
      <c r="E6" s="146">
        <v>2014</v>
      </c>
      <c r="F6" s="13">
        <v>2015</v>
      </c>
      <c r="G6" s="146">
        <v>2016</v>
      </c>
      <c r="H6" s="14" t="s">
        <v>74</v>
      </c>
      <c r="I6" s="14" t="s">
        <v>75</v>
      </c>
      <c r="J6" s="15" t="s">
        <v>76</v>
      </c>
      <c r="K6" s="15" t="s">
        <v>168</v>
      </c>
      <c r="L6" s="15" t="s">
        <v>169</v>
      </c>
      <c r="M6" s="205"/>
    </row>
    <row r="7" spans="1:13" ht="15.75" thickBot="1" x14ac:dyDescent="0.3">
      <c r="A7" s="218" t="s">
        <v>77</v>
      </c>
      <c r="B7" s="219"/>
      <c r="C7" s="16">
        <f t="shared" ref="C7:L7" si="0">+C8+C13+C18+C19+C20+C21</f>
        <v>0</v>
      </c>
      <c r="D7" s="16">
        <f t="shared" si="0"/>
        <v>0</v>
      </c>
      <c r="E7" s="16"/>
      <c r="F7" s="16">
        <f t="shared" si="0"/>
        <v>0</v>
      </c>
      <c r="G7" s="16"/>
      <c r="H7" s="16">
        <f t="shared" si="0"/>
        <v>0</v>
      </c>
      <c r="I7" s="16">
        <f t="shared" si="0"/>
        <v>0</v>
      </c>
      <c r="J7" s="16">
        <f t="shared" si="0"/>
        <v>0</v>
      </c>
      <c r="K7" s="16"/>
      <c r="L7" s="16">
        <f t="shared" si="0"/>
        <v>0</v>
      </c>
      <c r="M7" s="16"/>
    </row>
    <row r="8" spans="1:13" x14ac:dyDescent="0.25">
      <c r="A8" s="17">
        <v>11</v>
      </c>
      <c r="B8" s="18" t="s">
        <v>78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25">
      <c r="A9" s="20">
        <v>1101</v>
      </c>
      <c r="B9" s="21" t="s">
        <v>9</v>
      </c>
      <c r="C9" s="19"/>
      <c r="D9" s="22"/>
      <c r="E9" s="147"/>
      <c r="F9" s="23"/>
      <c r="G9" s="147"/>
      <c r="H9" s="24"/>
      <c r="I9" s="25"/>
      <c r="J9" s="26"/>
      <c r="K9" s="26"/>
      <c r="L9" s="26"/>
      <c r="M9" s="26"/>
    </row>
    <row r="10" spans="1:13" x14ac:dyDescent="0.25">
      <c r="A10" s="20">
        <v>1102</v>
      </c>
      <c r="B10" s="21" t="s">
        <v>10</v>
      </c>
      <c r="C10" s="19"/>
      <c r="D10" s="22"/>
      <c r="E10" s="147"/>
      <c r="F10" s="23"/>
      <c r="G10" s="147"/>
      <c r="H10" s="24"/>
      <c r="I10" s="25"/>
      <c r="J10" s="26"/>
      <c r="K10" s="26"/>
      <c r="L10" s="26"/>
      <c r="M10" s="26"/>
    </row>
    <row r="11" spans="1:13" x14ac:dyDescent="0.25">
      <c r="A11" s="20">
        <v>1103</v>
      </c>
      <c r="B11" s="21" t="s">
        <v>11</v>
      </c>
      <c r="C11" s="19"/>
      <c r="D11" s="22"/>
      <c r="E11" s="147"/>
      <c r="F11" s="23"/>
      <c r="G11" s="147"/>
      <c r="H11" s="24"/>
      <c r="I11" s="25"/>
      <c r="J11" s="26"/>
      <c r="K11" s="26"/>
      <c r="L11" s="26"/>
      <c r="M11" s="26"/>
    </row>
    <row r="12" spans="1:13" x14ac:dyDescent="0.25">
      <c r="A12" s="20">
        <v>1107</v>
      </c>
      <c r="B12" s="21" t="s">
        <v>12</v>
      </c>
      <c r="C12" s="19"/>
      <c r="D12" s="22"/>
      <c r="E12" s="147"/>
      <c r="F12" s="23"/>
      <c r="G12" s="147"/>
      <c r="H12" s="24"/>
      <c r="I12" s="25"/>
      <c r="J12" s="26"/>
      <c r="K12" s="26"/>
      <c r="L12" s="26"/>
      <c r="M12" s="26"/>
    </row>
    <row r="13" spans="1:13" x14ac:dyDescent="0.25">
      <c r="A13" s="17">
        <v>13</v>
      </c>
      <c r="B13" s="27" t="s">
        <v>79</v>
      </c>
      <c r="C13" s="19"/>
      <c r="D13" s="22"/>
      <c r="E13" s="147"/>
      <c r="F13" s="23"/>
      <c r="G13" s="147"/>
      <c r="H13" s="24"/>
      <c r="I13" s="25"/>
      <c r="J13" s="26"/>
      <c r="K13" s="26"/>
      <c r="L13" s="26"/>
      <c r="M13" s="26"/>
    </row>
    <row r="14" spans="1:13" x14ac:dyDescent="0.25">
      <c r="A14" s="20">
        <v>1301</v>
      </c>
      <c r="B14" s="21" t="s">
        <v>14</v>
      </c>
      <c r="C14" s="19"/>
      <c r="D14" s="22"/>
      <c r="E14" s="147"/>
      <c r="F14" s="23"/>
      <c r="G14" s="147"/>
      <c r="H14" s="24"/>
      <c r="I14" s="25"/>
      <c r="J14" s="26"/>
      <c r="K14" s="26"/>
      <c r="L14" s="26"/>
      <c r="M14" s="26"/>
    </row>
    <row r="15" spans="1:13" x14ac:dyDescent="0.25">
      <c r="A15" s="20">
        <v>1302</v>
      </c>
      <c r="B15" s="21" t="s">
        <v>15</v>
      </c>
      <c r="C15" s="19"/>
      <c r="D15" s="22"/>
      <c r="E15" s="147"/>
      <c r="F15" s="23"/>
      <c r="G15" s="147"/>
      <c r="H15" s="24"/>
      <c r="I15" s="25"/>
      <c r="J15" s="26"/>
      <c r="K15" s="26"/>
      <c r="L15" s="26"/>
      <c r="M15" s="26"/>
    </row>
    <row r="16" spans="1:13" x14ac:dyDescent="0.25">
      <c r="A16" s="20">
        <v>1303</v>
      </c>
      <c r="B16" s="21" t="s">
        <v>16</v>
      </c>
      <c r="C16" s="19"/>
      <c r="D16" s="22"/>
      <c r="E16" s="147"/>
      <c r="F16" s="23"/>
      <c r="G16" s="147"/>
      <c r="H16" s="24"/>
      <c r="I16" s="25"/>
      <c r="J16" s="26"/>
      <c r="K16" s="26"/>
      <c r="L16" s="26"/>
      <c r="M16" s="26"/>
    </row>
    <row r="17" spans="1:13" x14ac:dyDescent="0.25">
      <c r="A17" s="20">
        <v>1304</v>
      </c>
      <c r="B17" s="21" t="s">
        <v>17</v>
      </c>
      <c r="C17" s="19"/>
      <c r="D17" s="22"/>
      <c r="E17" s="147"/>
      <c r="F17" s="23"/>
      <c r="G17" s="147"/>
      <c r="H17" s="24"/>
      <c r="I17" s="25"/>
      <c r="J17" s="26"/>
      <c r="K17" s="26"/>
      <c r="L17" s="26"/>
      <c r="M17" s="26"/>
    </row>
    <row r="18" spans="1:13" x14ac:dyDescent="0.25">
      <c r="A18" s="17">
        <v>14</v>
      </c>
      <c r="B18" s="27" t="s">
        <v>80</v>
      </c>
      <c r="C18" s="19"/>
      <c r="D18" s="22"/>
      <c r="E18" s="147"/>
      <c r="F18" s="23"/>
      <c r="G18" s="147"/>
      <c r="H18" s="24"/>
      <c r="I18" s="25"/>
      <c r="J18" s="26"/>
      <c r="K18" s="26"/>
      <c r="L18" s="26"/>
      <c r="M18" s="26"/>
    </row>
    <row r="19" spans="1:13" x14ac:dyDescent="0.25">
      <c r="A19" s="17">
        <v>17</v>
      </c>
      <c r="B19" s="27" t="s">
        <v>81</v>
      </c>
      <c r="C19" s="19"/>
      <c r="D19" s="22"/>
      <c r="E19" s="147"/>
      <c r="F19" s="23"/>
      <c r="G19" s="147"/>
      <c r="H19" s="24"/>
      <c r="I19" s="25"/>
      <c r="J19" s="26"/>
      <c r="K19" s="26"/>
      <c r="L19" s="26"/>
      <c r="M19" s="26"/>
    </row>
    <row r="20" spans="1:13" x14ac:dyDescent="0.25">
      <c r="A20" s="17">
        <v>18</v>
      </c>
      <c r="B20" s="27" t="s">
        <v>82</v>
      </c>
      <c r="C20" s="19"/>
      <c r="D20" s="22"/>
      <c r="E20" s="147"/>
      <c r="F20" s="23"/>
      <c r="G20" s="147"/>
      <c r="H20" s="24"/>
      <c r="I20" s="25"/>
      <c r="J20" s="26"/>
      <c r="K20" s="26"/>
      <c r="L20" s="26"/>
      <c r="M20" s="26"/>
    </row>
    <row r="21" spans="1:13" x14ac:dyDescent="0.25">
      <c r="A21" s="17">
        <v>19</v>
      </c>
      <c r="B21" s="27" t="s">
        <v>83</v>
      </c>
      <c r="C21" s="19"/>
      <c r="D21" s="22"/>
      <c r="E21" s="147"/>
      <c r="F21" s="23"/>
      <c r="G21" s="147"/>
      <c r="H21" s="24"/>
      <c r="I21" s="25"/>
      <c r="J21" s="26"/>
      <c r="K21" s="26"/>
      <c r="L21" s="26"/>
      <c r="M21" s="26"/>
    </row>
    <row r="22" spans="1:13" x14ac:dyDescent="0.25">
      <c r="A22" s="20">
        <v>1901</v>
      </c>
      <c r="B22" s="21" t="s">
        <v>23</v>
      </c>
      <c r="C22" s="19"/>
      <c r="D22" s="22"/>
      <c r="E22" s="147"/>
      <c r="F22" s="23"/>
      <c r="G22" s="147"/>
      <c r="H22" s="24"/>
      <c r="I22" s="25"/>
      <c r="J22" s="26"/>
      <c r="K22" s="26"/>
      <c r="L22" s="26"/>
      <c r="M22" s="26"/>
    </row>
    <row r="23" spans="1:13" x14ac:dyDescent="0.25">
      <c r="A23" s="20">
        <v>1902</v>
      </c>
      <c r="B23" s="21" t="s">
        <v>24</v>
      </c>
      <c r="C23" s="19"/>
      <c r="D23" s="22"/>
      <c r="E23" s="147"/>
      <c r="F23" s="23"/>
      <c r="G23" s="147"/>
      <c r="H23" s="24"/>
      <c r="I23" s="25"/>
      <c r="J23" s="26"/>
      <c r="K23" s="26"/>
      <c r="L23" s="26"/>
      <c r="M23" s="26"/>
    </row>
    <row r="24" spans="1:13" ht="15.75" thickBot="1" x14ac:dyDescent="0.3">
      <c r="A24" s="20">
        <v>1904</v>
      </c>
      <c r="B24" s="28" t="s">
        <v>25</v>
      </c>
      <c r="C24" s="19"/>
      <c r="D24" s="22"/>
      <c r="E24" s="147"/>
      <c r="F24" s="23"/>
      <c r="G24" s="147"/>
      <c r="H24" s="24"/>
      <c r="I24" s="25"/>
      <c r="J24" s="26"/>
      <c r="K24" s="26"/>
      <c r="L24" s="26"/>
      <c r="M24" s="26"/>
    </row>
    <row r="25" spans="1:13" ht="15.75" thickBot="1" x14ac:dyDescent="0.3">
      <c r="A25" s="218" t="s">
        <v>84</v>
      </c>
      <c r="B25" s="219"/>
      <c r="C25" s="29">
        <f t="shared" ref="C25:J25" si="1">+C26+C35+C36+C37+C38+C39</f>
        <v>0</v>
      </c>
      <c r="D25" s="29">
        <f t="shared" si="1"/>
        <v>0</v>
      </c>
      <c r="E25" s="29"/>
      <c r="F25" s="29">
        <f t="shared" si="1"/>
        <v>0</v>
      </c>
      <c r="G25" s="29"/>
      <c r="H25" s="29">
        <f t="shared" si="1"/>
        <v>0</v>
      </c>
      <c r="I25" s="29">
        <f t="shared" si="1"/>
        <v>0</v>
      </c>
      <c r="J25" s="29">
        <f t="shared" si="1"/>
        <v>0</v>
      </c>
      <c r="K25" s="29"/>
      <c r="L25" s="29">
        <f>+L26+L35+L36+L37+L38+L39</f>
        <v>0</v>
      </c>
      <c r="M25" s="29"/>
    </row>
    <row r="26" spans="1:13" x14ac:dyDescent="0.25">
      <c r="A26" s="17">
        <v>51</v>
      </c>
      <c r="B26" s="18" t="s">
        <v>85</v>
      </c>
      <c r="C26" s="19"/>
      <c r="D26" s="22"/>
      <c r="E26" s="147"/>
      <c r="F26" s="23"/>
      <c r="G26" s="147"/>
      <c r="H26" s="24"/>
      <c r="I26" s="25"/>
      <c r="J26" s="26"/>
      <c r="K26" s="26"/>
      <c r="L26" s="26"/>
      <c r="M26" s="26"/>
    </row>
    <row r="27" spans="1:13" x14ac:dyDescent="0.25">
      <c r="A27" s="20">
        <v>5101</v>
      </c>
      <c r="B27" s="21" t="s">
        <v>86</v>
      </c>
      <c r="C27" s="19"/>
      <c r="D27" s="22"/>
      <c r="E27" s="147"/>
      <c r="F27" s="23"/>
      <c r="G27" s="147"/>
      <c r="H27" s="24"/>
      <c r="I27" s="25"/>
      <c r="J27" s="26"/>
      <c r="K27" s="26"/>
      <c r="L27" s="26"/>
      <c r="M27" s="26"/>
    </row>
    <row r="28" spans="1:13" x14ac:dyDescent="0.25">
      <c r="A28" s="20">
        <v>5102</v>
      </c>
      <c r="B28" s="21" t="s">
        <v>87</v>
      </c>
      <c r="C28" s="19"/>
      <c r="D28" s="22"/>
      <c r="E28" s="147"/>
      <c r="F28" s="23"/>
      <c r="G28" s="147"/>
      <c r="H28" s="24"/>
      <c r="I28" s="25"/>
      <c r="J28" s="26"/>
      <c r="K28" s="26"/>
      <c r="L28" s="26"/>
      <c r="M28" s="26"/>
    </row>
    <row r="29" spans="1:13" x14ac:dyDescent="0.25">
      <c r="A29" s="20">
        <v>5103</v>
      </c>
      <c r="B29" s="21" t="s">
        <v>88</v>
      </c>
      <c r="C29" s="19"/>
      <c r="D29" s="22"/>
      <c r="E29" s="147"/>
      <c r="F29" s="23"/>
      <c r="G29" s="147"/>
      <c r="H29" s="24"/>
      <c r="I29" s="25"/>
      <c r="J29" s="26"/>
      <c r="K29" s="26"/>
      <c r="L29" s="26"/>
      <c r="M29" s="26"/>
    </row>
    <row r="30" spans="1:13" x14ac:dyDescent="0.25">
      <c r="A30" s="20">
        <v>5104</v>
      </c>
      <c r="B30" s="21" t="s">
        <v>89</v>
      </c>
      <c r="C30" s="19"/>
      <c r="D30" s="22"/>
      <c r="E30" s="147"/>
      <c r="F30" s="23"/>
      <c r="G30" s="147"/>
      <c r="H30" s="24"/>
      <c r="I30" s="25"/>
      <c r="J30" s="26"/>
      <c r="K30" s="26"/>
      <c r="L30" s="26"/>
      <c r="M30" s="26"/>
    </row>
    <row r="31" spans="1:13" x14ac:dyDescent="0.25">
      <c r="A31" s="20">
        <v>5105</v>
      </c>
      <c r="B31" s="21" t="s">
        <v>90</v>
      </c>
      <c r="C31" s="19"/>
      <c r="D31" s="22"/>
      <c r="E31" s="147"/>
      <c r="F31" s="23"/>
      <c r="G31" s="147"/>
      <c r="H31" s="24"/>
      <c r="I31" s="25"/>
      <c r="J31" s="26"/>
      <c r="K31" s="26"/>
      <c r="L31" s="26"/>
      <c r="M31" s="26"/>
    </row>
    <row r="32" spans="1:13" x14ac:dyDescent="0.25">
      <c r="A32" s="20">
        <v>5106</v>
      </c>
      <c r="B32" s="21" t="s">
        <v>91</v>
      </c>
      <c r="C32" s="19"/>
      <c r="D32" s="22"/>
      <c r="E32" s="147"/>
      <c r="F32" s="23"/>
      <c r="G32" s="147"/>
      <c r="H32" s="24"/>
      <c r="I32" s="25"/>
      <c r="J32" s="26"/>
      <c r="K32" s="26"/>
      <c r="L32" s="26"/>
      <c r="M32" s="26"/>
    </row>
    <row r="33" spans="1:13" x14ac:dyDescent="0.25">
      <c r="A33" s="20">
        <v>5107</v>
      </c>
      <c r="B33" s="21" t="s">
        <v>92</v>
      </c>
      <c r="C33" s="19"/>
      <c r="D33" s="22"/>
      <c r="E33" s="147"/>
      <c r="F33" s="23"/>
      <c r="G33" s="147"/>
      <c r="H33" s="24"/>
      <c r="I33" s="25"/>
      <c r="J33" s="26"/>
      <c r="K33" s="26"/>
      <c r="L33" s="26"/>
      <c r="M33" s="26"/>
    </row>
    <row r="34" spans="1:13" x14ac:dyDescent="0.25">
      <c r="A34" s="20">
        <v>5199</v>
      </c>
      <c r="B34" s="21" t="s">
        <v>93</v>
      </c>
      <c r="C34" s="19"/>
      <c r="D34" s="22"/>
      <c r="E34" s="147"/>
      <c r="F34" s="23"/>
      <c r="G34" s="147"/>
      <c r="H34" s="24"/>
      <c r="I34" s="25"/>
      <c r="J34" s="26"/>
      <c r="K34" s="26"/>
      <c r="L34" s="26"/>
      <c r="M34" s="26"/>
    </row>
    <row r="35" spans="1:13" x14ac:dyDescent="0.25">
      <c r="A35" s="17">
        <v>53</v>
      </c>
      <c r="B35" s="27" t="s">
        <v>94</v>
      </c>
      <c r="C35" s="19"/>
      <c r="D35" s="22"/>
      <c r="E35" s="147"/>
      <c r="F35" s="23"/>
      <c r="G35" s="147"/>
      <c r="H35" s="24"/>
      <c r="I35" s="25"/>
      <c r="J35" s="26"/>
      <c r="K35" s="26"/>
      <c r="L35" s="26"/>
      <c r="M35" s="26"/>
    </row>
    <row r="36" spans="1:13" x14ac:dyDescent="0.25">
      <c r="A36" s="17">
        <v>56</v>
      </c>
      <c r="B36" s="27" t="s">
        <v>95</v>
      </c>
      <c r="C36" s="19"/>
      <c r="D36" s="22"/>
      <c r="E36" s="147"/>
      <c r="F36" s="23"/>
      <c r="G36" s="147"/>
      <c r="H36" s="24"/>
      <c r="I36" s="25"/>
      <c r="J36" s="26"/>
      <c r="K36" s="26"/>
      <c r="L36" s="26"/>
      <c r="M36" s="26"/>
    </row>
    <row r="37" spans="1:13" x14ac:dyDescent="0.25">
      <c r="A37" s="17">
        <v>57</v>
      </c>
      <c r="B37" s="27" t="s">
        <v>96</v>
      </c>
      <c r="C37" s="19"/>
      <c r="D37" s="22"/>
      <c r="E37" s="147"/>
      <c r="F37" s="23"/>
      <c r="G37" s="147"/>
      <c r="H37" s="24"/>
      <c r="I37" s="25"/>
      <c r="J37" s="26"/>
      <c r="K37" s="26"/>
      <c r="L37" s="26"/>
      <c r="M37" s="26"/>
    </row>
    <row r="38" spans="1:13" x14ac:dyDescent="0.25">
      <c r="A38" s="17">
        <v>58</v>
      </c>
      <c r="B38" s="27" t="s">
        <v>97</v>
      </c>
      <c r="C38" s="19"/>
      <c r="D38" s="22"/>
      <c r="E38" s="147"/>
      <c r="F38" s="23"/>
      <c r="G38" s="147"/>
      <c r="H38" s="24"/>
      <c r="I38" s="25"/>
      <c r="J38" s="26"/>
      <c r="K38" s="26"/>
      <c r="L38" s="26"/>
      <c r="M38" s="26"/>
    </row>
    <row r="39" spans="1:13" ht="15.75" thickBot="1" x14ac:dyDescent="0.3">
      <c r="A39" s="17">
        <v>59</v>
      </c>
      <c r="B39" s="30" t="s">
        <v>98</v>
      </c>
      <c r="C39" s="19"/>
      <c r="D39" s="22"/>
      <c r="E39" s="147"/>
      <c r="F39" s="23"/>
      <c r="G39" s="147"/>
      <c r="H39" s="24"/>
      <c r="I39" s="25"/>
      <c r="J39" s="26"/>
      <c r="K39" s="26"/>
      <c r="L39" s="26"/>
      <c r="M39" s="26"/>
    </row>
    <row r="40" spans="1:13" x14ac:dyDescent="0.25">
      <c r="A40" s="220" t="s">
        <v>99</v>
      </c>
      <c r="B40" s="221"/>
      <c r="C40" s="31">
        <f t="shared" ref="C40:J40" si="2">+C7-C25</f>
        <v>0</v>
      </c>
      <c r="D40" s="31">
        <f t="shared" si="2"/>
        <v>0</v>
      </c>
      <c r="E40" s="31"/>
      <c r="F40" s="31">
        <f t="shared" si="2"/>
        <v>0</v>
      </c>
      <c r="G40" s="31"/>
      <c r="H40" s="31">
        <f t="shared" si="2"/>
        <v>0</v>
      </c>
      <c r="I40" s="31">
        <f t="shared" si="2"/>
        <v>0</v>
      </c>
      <c r="J40" s="31">
        <f t="shared" si="2"/>
        <v>0</v>
      </c>
      <c r="K40" s="31"/>
      <c r="L40" s="31">
        <f>+L7-L25</f>
        <v>0</v>
      </c>
      <c r="M40" s="31"/>
    </row>
    <row r="41" spans="1:13" x14ac:dyDescent="0.25">
      <c r="A41" s="218" t="s">
        <v>100</v>
      </c>
      <c r="B41" s="222"/>
      <c r="C41" s="29"/>
      <c r="D41" s="32"/>
      <c r="E41" s="148"/>
      <c r="F41" s="33"/>
      <c r="G41" s="148"/>
      <c r="H41" s="34"/>
      <c r="I41" s="35"/>
      <c r="J41" s="36"/>
      <c r="K41" s="36"/>
      <c r="L41" s="36"/>
      <c r="M41" s="36"/>
    </row>
    <row r="42" spans="1:13" x14ac:dyDescent="0.25">
      <c r="A42" s="37">
        <v>24</v>
      </c>
      <c r="B42" s="38" t="s">
        <v>101</v>
      </c>
      <c r="C42" s="19"/>
      <c r="D42" s="22"/>
      <c r="E42" s="147"/>
      <c r="F42" s="23"/>
      <c r="G42" s="147"/>
      <c r="H42" s="24"/>
      <c r="I42" s="25"/>
      <c r="J42" s="26"/>
      <c r="K42" s="26"/>
      <c r="L42" s="26"/>
      <c r="M42" s="26"/>
    </row>
    <row r="43" spans="1:13" x14ac:dyDescent="0.25">
      <c r="A43" s="37">
        <v>28</v>
      </c>
      <c r="B43" s="38" t="s">
        <v>102</v>
      </c>
      <c r="C43" s="137">
        <v>67191.179999999993</v>
      </c>
      <c r="D43" s="137">
        <v>67191.820000000007</v>
      </c>
      <c r="E43" s="138">
        <v>65279.79</v>
      </c>
      <c r="F43" s="138">
        <v>65484.27</v>
      </c>
      <c r="G43" s="138">
        <v>65675.429999999993</v>
      </c>
      <c r="H43" s="137">
        <v>67191.179999999993</v>
      </c>
      <c r="I43" s="137">
        <v>67191.820000000007</v>
      </c>
      <c r="J43" s="138">
        <v>65279.79</v>
      </c>
      <c r="K43" s="138">
        <v>65484.27</v>
      </c>
      <c r="L43" s="138">
        <v>65675.429999999993</v>
      </c>
      <c r="M43" s="26"/>
    </row>
    <row r="44" spans="1:13" ht="15.75" thickBot="1" x14ac:dyDescent="0.3">
      <c r="A44" s="218" t="s">
        <v>103</v>
      </c>
      <c r="B44" s="223"/>
      <c r="C44" s="29"/>
      <c r="D44" s="32"/>
      <c r="E44" s="33"/>
      <c r="F44" s="33"/>
      <c r="G44" s="33"/>
      <c r="H44" s="29"/>
      <c r="I44" s="32"/>
      <c r="J44" s="33"/>
      <c r="K44" s="33"/>
      <c r="L44" s="33"/>
      <c r="M44" s="36"/>
    </row>
    <row r="45" spans="1:13" x14ac:dyDescent="0.25">
      <c r="A45" s="17" t="s">
        <v>104</v>
      </c>
      <c r="B45" s="18" t="s">
        <v>105</v>
      </c>
      <c r="C45" s="19"/>
      <c r="D45" s="22"/>
      <c r="E45" s="23"/>
      <c r="F45" s="23"/>
      <c r="G45" s="23"/>
      <c r="H45" s="19"/>
      <c r="I45" s="22"/>
      <c r="J45" s="23"/>
      <c r="K45" s="23"/>
      <c r="L45" s="23"/>
      <c r="M45" s="26"/>
    </row>
    <row r="46" spans="1:13" x14ac:dyDescent="0.25">
      <c r="A46" s="17" t="s">
        <v>106</v>
      </c>
      <c r="B46" s="27" t="s">
        <v>107</v>
      </c>
      <c r="C46" s="19"/>
      <c r="D46" s="22"/>
      <c r="E46" s="23"/>
      <c r="F46" s="23"/>
      <c r="G46" s="23"/>
      <c r="H46" s="19"/>
      <c r="I46" s="22"/>
      <c r="J46" s="23"/>
      <c r="K46" s="23"/>
      <c r="L46" s="23"/>
      <c r="M46" s="26"/>
    </row>
    <row r="47" spans="1:13" x14ac:dyDescent="0.25">
      <c r="A47" s="17" t="s">
        <v>108</v>
      </c>
      <c r="B47" s="27" t="s">
        <v>109</v>
      </c>
      <c r="C47" s="19"/>
      <c r="D47" s="22"/>
      <c r="E47" s="23"/>
      <c r="F47" s="23"/>
      <c r="G47" s="23"/>
      <c r="H47" s="19"/>
      <c r="I47" s="22"/>
      <c r="J47" s="23"/>
      <c r="K47" s="23"/>
      <c r="L47" s="23"/>
      <c r="M47" s="26"/>
    </row>
    <row r="48" spans="1:13" x14ac:dyDescent="0.25">
      <c r="A48" s="17">
        <v>71</v>
      </c>
      <c r="B48" s="27" t="s">
        <v>110</v>
      </c>
      <c r="C48" s="19"/>
      <c r="D48" s="22"/>
      <c r="E48" s="23"/>
      <c r="F48" s="23"/>
      <c r="G48" s="23"/>
      <c r="H48" s="19"/>
      <c r="I48" s="22"/>
      <c r="J48" s="23"/>
      <c r="K48" s="23"/>
      <c r="L48" s="23"/>
      <c r="M48" s="26"/>
    </row>
    <row r="49" spans="1:13" x14ac:dyDescent="0.25">
      <c r="A49" s="20">
        <v>7101</v>
      </c>
      <c r="B49" s="21" t="s">
        <v>86</v>
      </c>
      <c r="C49" s="136">
        <v>45048</v>
      </c>
      <c r="D49" s="136">
        <v>45048</v>
      </c>
      <c r="E49" s="138">
        <v>43056</v>
      </c>
      <c r="F49" s="138">
        <v>43056</v>
      </c>
      <c r="G49" s="138">
        <v>43056</v>
      </c>
      <c r="H49" s="136">
        <v>45048</v>
      </c>
      <c r="I49" s="136">
        <v>45048</v>
      </c>
      <c r="J49" s="138">
        <v>43056</v>
      </c>
      <c r="K49" s="138">
        <v>43056</v>
      </c>
      <c r="L49" s="138">
        <v>43056</v>
      </c>
      <c r="M49" s="26"/>
    </row>
    <row r="50" spans="1:13" x14ac:dyDescent="0.25">
      <c r="A50" s="20">
        <v>7102</v>
      </c>
      <c r="B50" s="21" t="s">
        <v>87</v>
      </c>
      <c r="C50" s="136">
        <f>3754+2040</f>
        <v>5794</v>
      </c>
      <c r="D50" s="136">
        <f>3754+2040</f>
        <v>5794</v>
      </c>
      <c r="E50" s="136">
        <f>3588+2040</f>
        <v>5628</v>
      </c>
      <c r="F50" s="136">
        <f>3588+2124</f>
        <v>5712</v>
      </c>
      <c r="G50" s="136">
        <f>3588+2196</f>
        <v>5784</v>
      </c>
      <c r="H50" s="136">
        <f>3754+2040</f>
        <v>5794</v>
      </c>
      <c r="I50" s="136">
        <f>3754+2040</f>
        <v>5794</v>
      </c>
      <c r="J50" s="136">
        <f>3588+2040</f>
        <v>5628</v>
      </c>
      <c r="K50" s="136">
        <f>3588+2124</f>
        <v>5712</v>
      </c>
      <c r="L50" s="136">
        <f>3588+2196</f>
        <v>5784</v>
      </c>
      <c r="M50" s="26"/>
    </row>
    <row r="51" spans="1:13" x14ac:dyDescent="0.25">
      <c r="A51" s="20">
        <v>7103</v>
      </c>
      <c r="B51" s="21" t="s">
        <v>88</v>
      </c>
      <c r="C51" s="136">
        <v>7128</v>
      </c>
      <c r="D51" s="136">
        <v>7128</v>
      </c>
      <c r="E51" s="136">
        <v>3586.57</v>
      </c>
      <c r="F51" s="136">
        <v>3586.57</v>
      </c>
      <c r="G51" s="136">
        <v>3586.57</v>
      </c>
      <c r="H51" s="136">
        <v>7128</v>
      </c>
      <c r="I51" s="136">
        <v>7128</v>
      </c>
      <c r="J51" s="136">
        <v>3586.57</v>
      </c>
      <c r="K51" s="136">
        <v>3586.57</v>
      </c>
      <c r="L51" s="136">
        <v>3586.57</v>
      </c>
      <c r="M51" s="26"/>
    </row>
    <row r="52" spans="1:13" x14ac:dyDescent="0.25">
      <c r="A52" s="20">
        <v>7104</v>
      </c>
      <c r="B52" s="21" t="s">
        <v>89</v>
      </c>
      <c r="C52" s="136">
        <v>698.64</v>
      </c>
      <c r="D52" s="136">
        <v>698.64</v>
      </c>
      <c r="E52" s="136">
        <v>7777.32</v>
      </c>
      <c r="F52" s="136">
        <v>7898.4</v>
      </c>
      <c r="G52" s="136">
        <v>8017.56</v>
      </c>
      <c r="H52" s="136">
        <v>698.64</v>
      </c>
      <c r="I52" s="136">
        <v>698.64</v>
      </c>
      <c r="J52" s="136">
        <v>7777.32</v>
      </c>
      <c r="K52" s="136">
        <v>7898.4</v>
      </c>
      <c r="L52" s="136">
        <v>8017.56</v>
      </c>
      <c r="M52" s="26"/>
    </row>
    <row r="53" spans="1:13" x14ac:dyDescent="0.25">
      <c r="A53" s="20">
        <v>7105</v>
      </c>
      <c r="B53" s="21" t="s">
        <v>90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26"/>
    </row>
    <row r="54" spans="1:13" x14ac:dyDescent="0.25">
      <c r="A54" s="20">
        <v>7106</v>
      </c>
      <c r="B54" s="21" t="s">
        <v>91</v>
      </c>
      <c r="C54" s="136">
        <f>5022.96+450.48+3149.74</f>
        <v>8623.18</v>
      </c>
      <c r="D54" s="136">
        <f t="shared" ref="D54" si="3">5022.96+450.48+3149.74</f>
        <v>8623.18</v>
      </c>
      <c r="E54" s="136">
        <f>4800.74+430.56</f>
        <v>5231.3</v>
      </c>
      <c r="F54" s="136">
        <f>4800.74+430.56</f>
        <v>5231.3</v>
      </c>
      <c r="G54" s="136">
        <f>4800.74+430.56</f>
        <v>5231.3</v>
      </c>
      <c r="H54" s="136">
        <f>5022.96+450.48+3149.74</f>
        <v>8623.18</v>
      </c>
      <c r="I54" s="136">
        <f t="shared" ref="I54" si="4">5022.96+450.48+3149.74</f>
        <v>8623.18</v>
      </c>
      <c r="J54" s="136">
        <f>4800.74+430.56</f>
        <v>5231.3</v>
      </c>
      <c r="K54" s="136">
        <f>4800.74+430.56</f>
        <v>5231.3</v>
      </c>
      <c r="L54" s="136">
        <f>4800.74+430.56</f>
        <v>5231.3</v>
      </c>
      <c r="M54" s="26"/>
    </row>
    <row r="55" spans="1:13" x14ac:dyDescent="0.25">
      <c r="A55" s="20">
        <v>7107</v>
      </c>
      <c r="B55" s="21" t="s">
        <v>92</v>
      </c>
      <c r="C55" s="136"/>
      <c r="D55" s="136"/>
      <c r="E55" s="136"/>
      <c r="F55" s="136"/>
      <c r="G55" s="136"/>
      <c r="H55" s="136"/>
      <c r="I55" s="136"/>
      <c r="J55" s="136"/>
      <c r="K55" s="145"/>
      <c r="L55" s="135"/>
      <c r="M55" s="26"/>
    </row>
    <row r="56" spans="1:13" x14ac:dyDescent="0.25">
      <c r="A56" s="20">
        <v>7199</v>
      </c>
      <c r="B56" s="21" t="s">
        <v>93</v>
      </c>
      <c r="C56" s="139"/>
      <c r="D56" s="22"/>
      <c r="E56" s="147"/>
      <c r="F56" s="23"/>
      <c r="G56" s="147"/>
      <c r="H56" s="24"/>
      <c r="I56" s="25"/>
      <c r="J56" s="26"/>
      <c r="K56" s="26"/>
      <c r="L56" s="26"/>
      <c r="M56" s="26"/>
    </row>
    <row r="57" spans="1:13" x14ac:dyDescent="0.25">
      <c r="A57" s="17">
        <v>73</v>
      </c>
      <c r="B57" s="27" t="s">
        <v>111</v>
      </c>
      <c r="C57" s="19"/>
      <c r="D57" s="22"/>
      <c r="E57" s="147"/>
      <c r="F57" s="23"/>
      <c r="G57" s="147"/>
      <c r="H57" s="24"/>
      <c r="I57" s="25"/>
      <c r="J57" s="26"/>
      <c r="K57" s="26"/>
      <c r="L57" s="26"/>
      <c r="M57" s="26"/>
    </row>
    <row r="58" spans="1:13" x14ac:dyDescent="0.25">
      <c r="A58" s="17">
        <v>75</v>
      </c>
      <c r="B58" s="27" t="s">
        <v>112</v>
      </c>
      <c r="C58" s="19"/>
      <c r="D58" s="22"/>
      <c r="E58" s="147"/>
      <c r="F58" s="23"/>
      <c r="G58" s="147"/>
      <c r="H58" s="24"/>
      <c r="I58" s="25"/>
      <c r="J58" s="26"/>
      <c r="K58" s="26"/>
      <c r="L58" s="26"/>
      <c r="M58" s="26"/>
    </row>
    <row r="59" spans="1:13" x14ac:dyDescent="0.25">
      <c r="A59" s="20">
        <v>7501</v>
      </c>
      <c r="B59" s="21" t="s">
        <v>113</v>
      </c>
      <c r="C59" s="19"/>
      <c r="D59" s="22"/>
      <c r="E59" s="147"/>
      <c r="F59" s="23"/>
      <c r="G59" s="147"/>
      <c r="H59" s="24"/>
      <c r="I59" s="25"/>
      <c r="J59" s="26"/>
      <c r="K59" s="26"/>
      <c r="L59" s="26"/>
      <c r="M59" s="26"/>
    </row>
    <row r="60" spans="1:13" x14ac:dyDescent="0.25">
      <c r="A60" s="20">
        <v>7502</v>
      </c>
      <c r="B60" s="21" t="s">
        <v>114</v>
      </c>
      <c r="C60" s="19"/>
      <c r="D60" s="22"/>
      <c r="E60" s="147"/>
      <c r="F60" s="23"/>
      <c r="G60" s="147"/>
      <c r="H60" s="24"/>
      <c r="I60" s="25"/>
      <c r="J60" s="26"/>
      <c r="K60" s="26"/>
      <c r="L60" s="26"/>
      <c r="M60" s="26"/>
    </row>
    <row r="61" spans="1:13" x14ac:dyDescent="0.25">
      <c r="A61" s="20">
        <v>7503</v>
      </c>
      <c r="B61" s="21" t="s">
        <v>115</v>
      </c>
      <c r="C61" s="19"/>
      <c r="D61" s="22"/>
      <c r="E61" s="147"/>
      <c r="F61" s="23"/>
      <c r="G61" s="147"/>
      <c r="H61" s="24"/>
      <c r="I61" s="25"/>
      <c r="J61" s="26"/>
      <c r="K61" s="26"/>
      <c r="L61" s="26"/>
      <c r="M61" s="26"/>
    </row>
    <row r="62" spans="1:13" x14ac:dyDescent="0.25">
      <c r="A62" s="20">
        <v>7504</v>
      </c>
      <c r="B62" s="21" t="s">
        <v>116</v>
      </c>
      <c r="C62" s="19"/>
      <c r="D62" s="22"/>
      <c r="E62" s="147"/>
      <c r="F62" s="23"/>
      <c r="G62" s="147"/>
      <c r="H62" s="24"/>
      <c r="I62" s="25"/>
      <c r="J62" s="26"/>
      <c r="K62" s="26"/>
      <c r="L62" s="26"/>
      <c r="M62" s="26"/>
    </row>
    <row r="63" spans="1:13" x14ac:dyDescent="0.25">
      <c r="A63" s="20">
        <v>7505</v>
      </c>
      <c r="B63" s="21" t="s">
        <v>117</v>
      </c>
      <c r="C63" s="19"/>
      <c r="D63" s="22"/>
      <c r="E63" s="147"/>
      <c r="F63" s="23"/>
      <c r="G63" s="147"/>
      <c r="H63" s="24"/>
      <c r="I63" s="25"/>
      <c r="J63" s="26"/>
      <c r="K63" s="26"/>
      <c r="L63" s="26"/>
      <c r="M63" s="26"/>
    </row>
    <row r="64" spans="1:13" x14ac:dyDescent="0.25">
      <c r="A64" s="20">
        <v>7599</v>
      </c>
      <c r="B64" s="21" t="s">
        <v>93</v>
      </c>
      <c r="C64" s="19"/>
      <c r="D64" s="22"/>
      <c r="E64" s="147"/>
      <c r="F64" s="23"/>
      <c r="G64" s="147"/>
      <c r="H64" s="24"/>
      <c r="I64" s="25"/>
      <c r="J64" s="26"/>
      <c r="K64" s="26"/>
      <c r="L64" s="26"/>
      <c r="M64" s="26"/>
    </row>
    <row r="65" spans="1:13" x14ac:dyDescent="0.25">
      <c r="A65" s="17">
        <v>77</v>
      </c>
      <c r="B65" s="39" t="s">
        <v>118</v>
      </c>
      <c r="C65" s="19"/>
      <c r="D65" s="22"/>
      <c r="E65" s="147"/>
      <c r="F65" s="23"/>
      <c r="G65" s="147"/>
      <c r="H65" s="24"/>
      <c r="I65" s="25"/>
      <c r="J65" s="26"/>
      <c r="K65" s="26"/>
      <c r="L65" s="26"/>
      <c r="M65" s="26"/>
    </row>
    <row r="66" spans="1:13" x14ac:dyDescent="0.25">
      <c r="A66" s="17">
        <v>78</v>
      </c>
      <c r="B66" s="27" t="s">
        <v>119</v>
      </c>
      <c r="C66" s="19"/>
      <c r="D66" s="22"/>
      <c r="E66" s="147"/>
      <c r="F66" s="23"/>
      <c r="G66" s="147"/>
      <c r="H66" s="24"/>
      <c r="I66" s="25"/>
      <c r="J66" s="26"/>
      <c r="K66" s="26"/>
      <c r="L66" s="26"/>
      <c r="M66" s="26"/>
    </row>
    <row r="67" spans="1:13" x14ac:dyDescent="0.25">
      <c r="A67" s="17">
        <v>84</v>
      </c>
      <c r="B67" s="27" t="s">
        <v>120</v>
      </c>
      <c r="C67" s="19"/>
      <c r="D67" s="22"/>
      <c r="E67" s="147"/>
      <c r="F67" s="23"/>
      <c r="G67" s="147"/>
      <c r="H67" s="24"/>
      <c r="I67" s="25"/>
      <c r="J67" s="26"/>
      <c r="K67" s="26"/>
      <c r="L67" s="26"/>
      <c r="M67" s="26"/>
    </row>
    <row r="68" spans="1:13" ht="15.75" thickBot="1" x14ac:dyDescent="0.3">
      <c r="A68" s="17">
        <v>88</v>
      </c>
      <c r="B68" s="30" t="s">
        <v>121</v>
      </c>
      <c r="C68" s="40"/>
      <c r="D68" s="22"/>
      <c r="E68" s="147"/>
      <c r="F68" s="23"/>
      <c r="G68" s="147"/>
      <c r="H68" s="24"/>
      <c r="I68" s="25"/>
      <c r="J68" s="26"/>
      <c r="K68" s="26"/>
      <c r="L68" s="26"/>
      <c r="M68" s="26"/>
    </row>
    <row r="69" spans="1:13" x14ac:dyDescent="0.25">
      <c r="A69" s="220" t="s">
        <v>122</v>
      </c>
      <c r="B69" s="221"/>
      <c r="C69" s="41"/>
      <c r="D69" s="42"/>
      <c r="E69" s="149"/>
      <c r="F69" s="43"/>
      <c r="G69" s="149"/>
      <c r="H69" s="44"/>
      <c r="I69" s="45"/>
      <c r="J69" s="46"/>
      <c r="K69" s="46"/>
      <c r="L69" s="46"/>
      <c r="M69" s="46"/>
    </row>
    <row r="70" spans="1:13" x14ac:dyDescent="0.25">
      <c r="A70" s="224" t="s">
        <v>123</v>
      </c>
      <c r="B70" s="225"/>
      <c r="C70" s="47">
        <f t="shared" ref="C70:J70" si="5">+C40+C69</f>
        <v>0</v>
      </c>
      <c r="D70" s="47">
        <f t="shared" si="5"/>
        <v>0</v>
      </c>
      <c r="E70" s="47"/>
      <c r="F70" s="47">
        <f t="shared" si="5"/>
        <v>0</v>
      </c>
      <c r="G70" s="47"/>
      <c r="H70" s="47">
        <f t="shared" si="5"/>
        <v>0</v>
      </c>
      <c r="I70" s="47">
        <f t="shared" si="5"/>
        <v>0</v>
      </c>
      <c r="J70" s="47">
        <f t="shared" si="5"/>
        <v>0</v>
      </c>
      <c r="K70" s="47"/>
      <c r="L70" s="47">
        <f>+L40+L69</f>
        <v>0</v>
      </c>
      <c r="M70" s="47"/>
    </row>
    <row r="71" spans="1:13" x14ac:dyDescent="0.25">
      <c r="A71" s="226" t="s">
        <v>124</v>
      </c>
      <c r="B71" s="223"/>
      <c r="C71" s="29"/>
      <c r="D71" s="32"/>
      <c r="E71" s="148"/>
      <c r="F71" s="33"/>
      <c r="G71" s="148"/>
      <c r="H71" s="34"/>
      <c r="I71" s="35"/>
      <c r="J71" s="36"/>
      <c r="K71" s="36"/>
      <c r="L71" s="36"/>
      <c r="M71" s="36"/>
    </row>
    <row r="72" spans="1:13" x14ac:dyDescent="0.25">
      <c r="A72" s="48">
        <v>27</v>
      </c>
      <c r="B72" s="38" t="s">
        <v>125</v>
      </c>
      <c r="C72" s="19"/>
      <c r="D72" s="22"/>
      <c r="E72" s="147"/>
      <c r="F72" s="23"/>
      <c r="G72" s="147"/>
      <c r="H72" s="24"/>
      <c r="I72" s="25"/>
      <c r="J72" s="26"/>
      <c r="K72" s="26"/>
      <c r="L72" s="26"/>
      <c r="M72" s="26"/>
    </row>
    <row r="73" spans="1:13" x14ac:dyDescent="0.25">
      <c r="A73" s="49">
        <v>36</v>
      </c>
      <c r="B73" s="50" t="s">
        <v>126</v>
      </c>
      <c r="C73" s="19"/>
      <c r="D73" s="22"/>
      <c r="E73" s="147"/>
      <c r="F73" s="23"/>
      <c r="G73" s="147"/>
      <c r="H73" s="24"/>
      <c r="I73" s="25"/>
      <c r="J73" s="26"/>
      <c r="K73" s="26"/>
      <c r="L73" s="26"/>
      <c r="M73" s="26"/>
    </row>
    <row r="74" spans="1:13" x14ac:dyDescent="0.25">
      <c r="A74" s="37">
        <v>37</v>
      </c>
      <c r="B74" s="38" t="s">
        <v>127</v>
      </c>
      <c r="C74" s="19"/>
      <c r="D74" s="22"/>
      <c r="E74" s="147"/>
      <c r="F74" s="23"/>
      <c r="G74" s="147"/>
      <c r="H74" s="24"/>
      <c r="I74" s="25"/>
      <c r="J74" s="26"/>
      <c r="K74" s="26"/>
      <c r="L74" s="26"/>
      <c r="M74" s="26"/>
    </row>
    <row r="75" spans="1:13" x14ac:dyDescent="0.25">
      <c r="A75" s="37">
        <v>38</v>
      </c>
      <c r="B75" s="38" t="s">
        <v>128</v>
      </c>
      <c r="C75" s="19"/>
      <c r="D75" s="22"/>
      <c r="E75" s="147"/>
      <c r="F75" s="23"/>
      <c r="G75" s="147"/>
      <c r="H75" s="24"/>
      <c r="I75" s="25"/>
      <c r="J75" s="26"/>
      <c r="K75" s="26"/>
      <c r="L75" s="26"/>
      <c r="M75" s="26"/>
    </row>
    <row r="76" spans="1:13" x14ac:dyDescent="0.25">
      <c r="A76" s="218" t="s">
        <v>129</v>
      </c>
      <c r="B76" s="222"/>
      <c r="C76" s="29"/>
      <c r="D76" s="32"/>
      <c r="E76" s="148"/>
      <c r="F76" s="33"/>
      <c r="G76" s="148"/>
      <c r="H76" s="34"/>
      <c r="I76" s="35"/>
      <c r="J76" s="36"/>
      <c r="K76" s="36"/>
      <c r="L76" s="36"/>
      <c r="M76" s="36"/>
    </row>
    <row r="77" spans="1:13" x14ac:dyDescent="0.25">
      <c r="A77" s="37">
        <v>87</v>
      </c>
      <c r="B77" s="38" t="s">
        <v>130</v>
      </c>
      <c r="C77" s="19"/>
      <c r="D77" s="22"/>
      <c r="E77" s="147"/>
      <c r="F77" s="23"/>
      <c r="G77" s="147"/>
      <c r="H77" s="24"/>
      <c r="I77" s="25"/>
      <c r="J77" s="26"/>
      <c r="K77" s="26"/>
      <c r="L77" s="26"/>
      <c r="M77" s="26"/>
    </row>
    <row r="78" spans="1:13" x14ac:dyDescent="0.25">
      <c r="A78" s="37">
        <v>96</v>
      </c>
      <c r="B78" s="38" t="s">
        <v>131</v>
      </c>
      <c r="C78" s="19"/>
      <c r="D78" s="22"/>
      <c r="E78" s="147"/>
      <c r="F78" s="23"/>
      <c r="G78" s="147"/>
      <c r="H78" s="24"/>
      <c r="I78" s="25"/>
      <c r="J78" s="26"/>
      <c r="K78" s="26"/>
      <c r="L78" s="26"/>
      <c r="M78" s="26"/>
    </row>
    <row r="79" spans="1:13" x14ac:dyDescent="0.25">
      <c r="A79" s="37">
        <v>97</v>
      </c>
      <c r="B79" s="38" t="s">
        <v>132</v>
      </c>
      <c r="C79" s="19"/>
      <c r="D79" s="22"/>
      <c r="E79" s="147"/>
      <c r="F79" s="23"/>
      <c r="G79" s="147"/>
      <c r="H79" s="24"/>
      <c r="I79" s="25"/>
      <c r="J79" s="26"/>
      <c r="K79" s="26"/>
      <c r="L79" s="26"/>
      <c r="M79" s="26"/>
    </row>
    <row r="80" spans="1:13" ht="15.75" thickBot="1" x14ac:dyDescent="0.3">
      <c r="A80" s="51">
        <v>99</v>
      </c>
      <c r="B80" s="52" t="s">
        <v>133</v>
      </c>
      <c r="C80" s="19"/>
      <c r="D80" s="22"/>
      <c r="E80" s="147"/>
      <c r="F80" s="23"/>
      <c r="G80" s="147"/>
      <c r="H80" s="24"/>
      <c r="I80" s="25"/>
      <c r="J80" s="26"/>
      <c r="K80" s="26"/>
      <c r="L80" s="26"/>
      <c r="M80" s="26"/>
    </row>
    <row r="81" spans="1:13" ht="15.75" thickBot="1" x14ac:dyDescent="0.3">
      <c r="A81" s="227" t="s">
        <v>134</v>
      </c>
      <c r="B81" s="228"/>
      <c r="C81" s="53">
        <f t="shared" ref="C81:J81" si="6">+C71-C76</f>
        <v>0</v>
      </c>
      <c r="D81" s="53">
        <f t="shared" si="6"/>
        <v>0</v>
      </c>
      <c r="E81" s="53"/>
      <c r="F81" s="53">
        <f t="shared" si="6"/>
        <v>0</v>
      </c>
      <c r="G81" s="53"/>
      <c r="H81" s="53">
        <f t="shared" si="6"/>
        <v>0</v>
      </c>
      <c r="I81" s="53">
        <f t="shared" si="6"/>
        <v>0</v>
      </c>
      <c r="J81" s="53">
        <f t="shared" si="6"/>
        <v>0</v>
      </c>
      <c r="K81" s="53"/>
      <c r="L81" s="53">
        <f>+L71-L76</f>
        <v>0</v>
      </c>
      <c r="M81" s="53"/>
    </row>
    <row r="82" spans="1:13" s="54" customFormat="1" ht="15.75" thickBot="1" x14ac:dyDescent="0.3">
      <c r="A82" s="95" t="s">
        <v>135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</row>
    <row r="83" spans="1:13" x14ac:dyDescent="0.25">
      <c r="A83" s="55" t="s">
        <v>136</v>
      </c>
    </row>
    <row r="84" spans="1:13" x14ac:dyDescent="0.25">
      <c r="A84" s="55" t="s">
        <v>137</v>
      </c>
    </row>
    <row r="85" spans="1:13" x14ac:dyDescent="0.25">
      <c r="A85" s="55" t="s">
        <v>138</v>
      </c>
    </row>
    <row r="86" spans="1:13" x14ac:dyDescent="0.25">
      <c r="A86" s="55" t="s">
        <v>30</v>
      </c>
    </row>
    <row r="89" spans="1:13" x14ac:dyDescent="0.25">
      <c r="A89" s="198" t="s">
        <v>175</v>
      </c>
      <c r="B89" s="198"/>
      <c r="C89" s="198"/>
      <c r="F89" s="217" t="s">
        <v>174</v>
      </c>
      <c r="G89" s="217"/>
      <c r="H89" s="217"/>
      <c r="I89" s="217"/>
    </row>
    <row r="90" spans="1:13" x14ac:dyDescent="0.25">
      <c r="A90" s="216" t="s">
        <v>167</v>
      </c>
      <c r="B90" s="216"/>
      <c r="C90" s="216"/>
      <c r="F90" s="56" t="s">
        <v>165</v>
      </c>
      <c r="G90" s="56"/>
    </row>
    <row r="91" spans="1:13" x14ac:dyDescent="0.25">
      <c r="A91" s="56" t="s">
        <v>173</v>
      </c>
    </row>
    <row r="92" spans="1:13" x14ac:dyDescent="0.25">
      <c r="A92" s="56" t="s">
        <v>31</v>
      </c>
    </row>
  </sheetData>
  <mergeCells count="20">
    <mergeCell ref="A90:C90"/>
    <mergeCell ref="F89:I89"/>
    <mergeCell ref="A7:B7"/>
    <mergeCell ref="A25:B25"/>
    <mergeCell ref="A40:B40"/>
    <mergeCell ref="A41:B41"/>
    <mergeCell ref="A44:B44"/>
    <mergeCell ref="A69:B69"/>
    <mergeCell ref="A70:B70"/>
    <mergeCell ref="A71:B71"/>
    <mergeCell ref="A76:B76"/>
    <mergeCell ref="A81:B81"/>
    <mergeCell ref="A89:C89"/>
    <mergeCell ref="M4:M6"/>
    <mergeCell ref="A1:J1"/>
    <mergeCell ref="A2:J2"/>
    <mergeCell ref="A3:J3"/>
    <mergeCell ref="A4:B5"/>
    <mergeCell ref="C4:F5"/>
    <mergeCell ref="H4:L5"/>
  </mergeCells>
  <printOptions horizontalCentered="1"/>
  <pageMargins left="0" right="0" top="0.74803149606299213" bottom="0.74803149606299213" header="0.31496062992125984" footer="0.31496062992125984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  <vt:lpstr>'FORMULARIO 3'!Área_de_impresión</vt:lpstr>
      <vt:lpstr>'FORMULARIO 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revision/>
  <cp:lastPrinted>2016-03-02T16:34:30Z</cp:lastPrinted>
  <dcterms:created xsi:type="dcterms:W3CDTF">2001-11-14T15:50:59Z</dcterms:created>
  <dcterms:modified xsi:type="dcterms:W3CDTF">2016-03-02T20:08:48Z</dcterms:modified>
</cp:coreProperties>
</file>