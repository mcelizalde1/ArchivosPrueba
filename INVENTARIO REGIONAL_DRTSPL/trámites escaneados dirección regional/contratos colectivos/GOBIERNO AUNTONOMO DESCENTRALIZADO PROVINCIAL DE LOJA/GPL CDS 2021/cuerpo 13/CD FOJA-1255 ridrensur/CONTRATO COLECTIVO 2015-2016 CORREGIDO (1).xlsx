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defaultThemeVersion="124226"/>
  <bookViews>
    <workbookView xWindow="0" yWindow="240" windowWidth="19320" windowHeight="7230" tabRatio="685" activeTab="3"/>
  </bookViews>
  <sheets>
    <sheet name="FORMULARIO 1" sheetId="21" r:id="rId1"/>
    <sheet name="FORMULARIO 2" sheetId="20" r:id="rId2"/>
    <sheet name="FORMULARIO 3" sheetId="23" r:id="rId3"/>
    <sheet name="FORMULARIO 4" sheetId="24" r:id="rId4"/>
  </sheets>
  <definedNames>
    <definedName name="_xlnm.Print_Area" localSheetId="0">'FORMULARIO 1'!$A$1:$F$23</definedName>
    <definedName name="_xlnm.Print_Area" localSheetId="1">'FORMULARIO 2'!$A$1:$F$50</definedName>
    <definedName name="_xlnm.Print_Area" localSheetId="2">'FORMULARIO 3'!$A$1:$I$34</definedName>
    <definedName name="_xlnm.Print_Area" localSheetId="3">'FORMULARIO 4'!$A$1:$I$90</definedName>
  </definedNames>
  <calcPr calcId="145621"/>
</workbook>
</file>

<file path=xl/calcChain.xml><?xml version="1.0" encoding="utf-8"?>
<calcChain xmlns="http://schemas.openxmlformats.org/spreadsheetml/2006/main">
  <c r="G71" i="24" l="1"/>
  <c r="H71" i="24"/>
  <c r="E10" i="21" l="1"/>
  <c r="D10" i="21"/>
  <c r="E43" i="24"/>
  <c r="E41" i="24" s="1"/>
  <c r="G59" i="24"/>
  <c r="H59" i="24" s="1"/>
  <c r="G55" i="24"/>
  <c r="H55" i="24" s="1"/>
  <c r="G54" i="24"/>
  <c r="H54" i="24" s="1"/>
  <c r="G53" i="24"/>
  <c r="H53" i="24" s="1"/>
  <c r="G52" i="24"/>
  <c r="H52" i="24" s="1"/>
  <c r="G51" i="24"/>
  <c r="H51" i="24" s="1"/>
  <c r="G50" i="24"/>
  <c r="H50" i="24" s="1"/>
  <c r="G49" i="24"/>
  <c r="H49" i="24" s="1"/>
  <c r="G33" i="24"/>
  <c r="H33" i="24" s="1"/>
  <c r="G32" i="24"/>
  <c r="H32" i="24" s="1"/>
  <c r="G31" i="24"/>
  <c r="H31" i="24" s="1"/>
  <c r="G28" i="24"/>
  <c r="H28" i="24" s="1"/>
  <c r="G27" i="24"/>
  <c r="H27" i="24" s="1"/>
  <c r="G24" i="24"/>
  <c r="H24" i="24" s="1"/>
  <c r="H21" i="24" s="1"/>
  <c r="G20" i="24"/>
  <c r="H20" i="24" s="1"/>
  <c r="G14" i="24"/>
  <c r="G13" i="24" s="1"/>
  <c r="I13" i="24"/>
  <c r="C18" i="24"/>
  <c r="C43" i="24"/>
  <c r="C57" i="24"/>
  <c r="C49" i="24"/>
  <c r="C59" i="24"/>
  <c r="C54" i="24"/>
  <c r="C53" i="24"/>
  <c r="C51" i="24"/>
  <c r="C52" i="24"/>
  <c r="C50" i="24"/>
  <c r="C67" i="24"/>
  <c r="C65" i="24"/>
  <c r="D57" i="24"/>
  <c r="H76" i="24"/>
  <c r="G76" i="24"/>
  <c r="G67" i="24"/>
  <c r="H67" i="24" s="1"/>
  <c r="D76" i="24"/>
  <c r="D71" i="24"/>
  <c r="D59" i="24"/>
  <c r="D58" i="24"/>
  <c r="D54" i="24"/>
  <c r="D53" i="24"/>
  <c r="D50" i="24"/>
  <c r="D49" i="24"/>
  <c r="D43" i="24"/>
  <c r="D41" i="24" s="1"/>
  <c r="D25" i="24"/>
  <c r="D21" i="24"/>
  <c r="D13" i="24"/>
  <c r="D8" i="24"/>
  <c r="E76" i="24"/>
  <c r="E71" i="24"/>
  <c r="E65" i="24"/>
  <c r="E58" i="24"/>
  <c r="E57" i="24"/>
  <c r="E48" i="24"/>
  <c r="E26" i="24"/>
  <c r="E25" i="24" s="1"/>
  <c r="E21" i="24"/>
  <c r="E13" i="24"/>
  <c r="E8" i="24"/>
  <c r="G21" i="24" l="1"/>
  <c r="D81" i="24"/>
  <c r="H14" i="24"/>
  <c r="H13" i="24" s="1"/>
  <c r="E7" i="24"/>
  <c r="E40" i="24" s="1"/>
  <c r="D7" i="24"/>
  <c r="D40" i="24" s="1"/>
  <c r="D48" i="24"/>
  <c r="D44" i="24" s="1"/>
  <c r="D69" i="24" s="1"/>
  <c r="D70" i="24" s="1"/>
  <c r="E44" i="24"/>
  <c r="E69" i="24" s="1"/>
  <c r="E81" i="24"/>
  <c r="G26" i="24"/>
  <c r="G25" i="24" s="1"/>
  <c r="G40" i="24" s="1"/>
  <c r="H26" i="24"/>
  <c r="H25" i="24" s="1"/>
  <c r="H40" i="24" s="1"/>
  <c r="F43" i="24"/>
  <c r="G43" i="24" s="1"/>
  <c r="G41" i="24" l="1"/>
  <c r="H43" i="24"/>
  <c r="H41" i="24" s="1"/>
  <c r="E70" i="24"/>
  <c r="F76" i="24"/>
  <c r="F8" i="24"/>
  <c r="F13" i="24"/>
  <c r="F21" i="24"/>
  <c r="F26" i="24"/>
  <c r="F25" i="24" s="1"/>
  <c r="F41" i="24"/>
  <c r="F48" i="24"/>
  <c r="G48" i="24" s="1"/>
  <c r="F57" i="24"/>
  <c r="F58" i="24"/>
  <c r="F65" i="24"/>
  <c r="G65" i="24" s="1"/>
  <c r="H65" i="24" s="1"/>
  <c r="C76" i="24"/>
  <c r="F71" i="24"/>
  <c r="C71" i="24"/>
  <c r="C58" i="24"/>
  <c r="C41" i="24"/>
  <c r="C25" i="24"/>
  <c r="C21" i="24"/>
  <c r="C13" i="24"/>
  <c r="C8" i="24"/>
  <c r="F81" i="24" l="1"/>
  <c r="F7" i="24"/>
  <c r="F40" i="24" s="1"/>
  <c r="H48" i="24"/>
  <c r="H44" i="24" s="1"/>
  <c r="G44" i="24"/>
  <c r="C7" i="24"/>
  <c r="C40" i="24" s="1"/>
  <c r="C81" i="24"/>
  <c r="C48" i="24"/>
  <c r="C44" i="24" s="1"/>
  <c r="C69" i="24" s="1"/>
  <c r="F44" i="24"/>
  <c r="F69" i="24" s="1"/>
  <c r="C70" i="24" l="1"/>
  <c r="F70" i="24"/>
  <c r="E11" i="21"/>
  <c r="D11" i="21"/>
  <c r="C39" i="20"/>
  <c r="E39" i="20" l="1"/>
  <c r="D39" i="20" l="1"/>
  <c r="G23" i="23"/>
  <c r="F23" i="23"/>
</calcChain>
</file>

<file path=xl/comments1.xml><?xml version="1.0" encoding="utf-8"?>
<comments xmlns="http://schemas.openxmlformats.org/spreadsheetml/2006/main">
  <authors>
    <author>avillareal</author>
  </authors>
  <commentList>
    <comment ref="D7" author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E7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D8" author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<sst xmlns="http://schemas.openxmlformats.org/spreadsheetml/2006/main" count="217" uniqueCount="180">
  <si>
    <t>MINISTERIO DE FINANZAS</t>
  </si>
  <si>
    <t>FORMULARIO 1: "FUENTES DE FINANCIAMIENTO DEL PROYECTO DE CONTRATO COLECTIVO"</t>
  </si>
  <si>
    <t>DETALLE DE INGRESOS</t>
  </si>
  <si>
    <t>FUENTES DE FINANCIAMIENTO</t>
  </si>
  <si>
    <t>FINANCIAMIENTO REAL DEL CONTRATO COLECTIVO VIGENTE USD</t>
  </si>
  <si>
    <t>FINANCIAMIENTO ESTIMADO DEL   CONTRATO COLECTIVO PROPUESTO USD $</t>
  </si>
  <si>
    <t>OBSERVACIONES</t>
  </si>
  <si>
    <t>INGRESOS CORRIENTES  Y PERMANENTES</t>
  </si>
  <si>
    <t>Sobre la Renta, Utilidades y Ganancias de Capital</t>
  </si>
  <si>
    <t>Sobre la propiedad</t>
  </si>
  <si>
    <t>Al consumo de Bienes y Servicios</t>
  </si>
  <si>
    <t>Impuestos Diversos</t>
  </si>
  <si>
    <t>Tasas generales</t>
  </si>
  <si>
    <t>Tasas portuarias y aeroportuarias</t>
  </si>
  <si>
    <t>Tasas diversas</t>
  </si>
  <si>
    <t>Contribuciones</t>
  </si>
  <si>
    <t xml:space="preserve">TRANSFERENCIAS Y DONACIONES CORRIENTES  </t>
  </si>
  <si>
    <t>Garantías y Fianzas</t>
  </si>
  <si>
    <t>Indemnizaciones y valores no reclamados</t>
  </si>
  <si>
    <t>Otros no Operacionales</t>
  </si>
  <si>
    <t xml:space="preserve">TOTAL </t>
  </si>
  <si>
    <t>INCREMENTO PORCENTUAL %</t>
  </si>
  <si>
    <t>* De ser el caso,  se deberá incluir filas adicionales, para detallar los subgrupos o items correspondientes.</t>
  </si>
  <si>
    <t>* En caso de que en el contrato colectivo se negocie algún beneficio adicional a los expuestos favor incluir el item correspondiente.</t>
  </si>
  <si>
    <t>* La información de los formularios deberá remitirse en medio magnético (Excel) e impreso con las respectivas firmas de responsabilidad.</t>
  </si>
  <si>
    <t>Sello Institucional</t>
  </si>
  <si>
    <t>FORMULARIO 2: "COSTOS DEL PROYECTO DE CONTRATO COLECTIVO"</t>
  </si>
  <si>
    <t>CLASIFICADOR PRESUPUESTARIO</t>
  </si>
  <si>
    <t>GASTO DEL PERSONAL</t>
  </si>
  <si>
    <t>COSTO REAL DEL CONTRATO COLECTIVO VIGENTE USD</t>
  </si>
  <si>
    <t>COSTO ESTIMADO DEL CONTRATO COLECTIVO PROPUESTO USD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</si>
  <si>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</si>
  <si>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</si>
  <si>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</si>
  <si>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</si>
  <si>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</si>
  <si>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</si>
  <si>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</si>
  <si>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COMISARIATO</t>
  </si>
  <si>
    <t>SUBSIDIOS</t>
  </si>
  <si>
    <t>POR CARGAS FAMILIARES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</si>
  <si>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</si>
  <si>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</si>
  <si>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</si>
  <si>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</si>
  <si>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</si>
  <si>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>FONDO DE JUBILACION PATRONAL</t>
  </si>
  <si>
    <t xml:space="preserve">INDEMNIZACIONES </t>
  </si>
  <si>
    <t>COMPENSACION POR DESAHUCIO</t>
  </si>
  <si>
    <t xml:space="preserve">POR JUBILACIÓN </t>
  </si>
  <si>
    <t>DISTRIBUTIVO DE SALARIO UNIFICADO DESAGREGADO POR TRABAJADOR</t>
  </si>
  <si>
    <t>CEDULA</t>
  </si>
  <si>
    <t>APELLIDOS Y NOMBRES</t>
  </si>
  <si>
    <t>No. TRABAJADOR</t>
  </si>
  <si>
    <t>GRADO DEL CARGO O PUESTO</t>
  </si>
  <si>
    <t>DENOMINACIÓN DEL PUESTO O CARGO DE OCUPACIÓN</t>
  </si>
  <si>
    <t>REMUNERACIÓN UNIFICADA CONTRATO COLECTIVO VIGENTE USD $</t>
  </si>
  <si>
    <t>REMUNERACIÓN UNIFICADA CONTRATO COLECTIVO PROPUESTO USD $</t>
  </si>
  <si>
    <t>SUMAN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</si>
  <si>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</si>
  <si>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</si>
  <si>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t>FORMULARIO 4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</si>
  <si>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</si>
  <si>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</si>
  <si>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</si>
  <si>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</si>
  <si>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</si>
  <si>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</si>
  <si>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</si>
  <si>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</si>
  <si>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 xml:space="preserve">Tasas y contribuciones </t>
  </si>
  <si>
    <t>Venta de Bienes y Servicios</t>
  </si>
  <si>
    <t>Rentas de Invesiones y Multas</t>
  </si>
  <si>
    <t>Transferencias y Donaciones Corrientes</t>
  </si>
  <si>
    <t>Otros ingresos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</si>
  <si>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</si>
  <si>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</si>
  <si>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</si>
  <si>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</si>
  <si>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</si>
  <si>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</si>
  <si>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</si>
  <si>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</si>
  <si>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</si>
  <si>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</si>
  <si>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</si>
  <si>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</si>
  <si>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</si>
  <si>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</si>
  <si>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</si>
  <si>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</si>
  <si>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</si>
  <si>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</si>
  <si>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</si>
  <si>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</si>
  <si>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</si>
  <si>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</si>
  <si>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</si>
  <si>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</si>
  <si>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</si>
  <si>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</si>
  <si>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</si>
  <si>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</si>
  <si>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</si>
  <si>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</si>
  <si>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</si>
  <si>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</si>
  <si>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</si>
  <si>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</si>
  <si>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</si>
  <si>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</si>
  <si>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</si>
  <si>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</si>
  <si>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</si>
  <si>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</si>
  <si>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</si>
  <si>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</si>
  <si>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</si>
  <si>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</si>
  <si>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</si>
  <si>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</si>
  <si>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</si>
  <si>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</si>
  <si>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</si>
  <si>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</si>
  <si>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</si>
  <si>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</si>
  <si>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</si>
  <si>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*La información histórica presentada en este anexo deberá corresponder a la que el GAD cargó a través del Módulo de Consolidación del E-sigef del Ministerio de Finanzas.</t>
  </si>
  <si>
    <t>* Se requiere incluir el cálculo de los límites de endeudamiento establecidos en el artículo 125 del Código Orgánico de Planificación y Finanzas Públicas - COPLAFIP y el artículo 136 al Reglamento al COPLAFIP.</t>
  </si>
  <si>
    <t>710509</t>
  </si>
  <si>
    <t>710601</t>
  </si>
  <si>
    <t>710602</t>
  </si>
  <si>
    <t>710603</t>
  </si>
  <si>
    <t>ALIMENTACION</t>
  </si>
  <si>
    <t xml:space="preserve">      1.103.034.201 </t>
  </si>
  <si>
    <t>CABRERA GRANDA CÉSAR HUMBERTO</t>
  </si>
  <si>
    <t xml:space="preserve">ALBAÑIL </t>
  </si>
  <si>
    <t>RMU EN BASE A RESOLUCION NRO. 032-GG-2014</t>
  </si>
  <si>
    <t xml:space="preserve">      1.900.060.672 </t>
  </si>
  <si>
    <t>ORDOÑEZ ESPINOSA OSWALDO FRANCISCO</t>
  </si>
  <si>
    <t xml:space="preserve"> CONDUCTOR VEHICULOS LIVIANOS Y PESADOS </t>
  </si>
  <si>
    <t xml:space="preserve">      1.101.444.261 </t>
  </si>
  <si>
    <t xml:space="preserve">TIGRE ESCALERAS LUIS ANTONIO </t>
  </si>
  <si>
    <t xml:space="preserve"> CONDUCTOR </t>
  </si>
  <si>
    <t xml:space="preserve">      1.102.620.976 </t>
  </si>
  <si>
    <t xml:space="preserve">GONZAGA CORREA BENITO </t>
  </si>
  <si>
    <t xml:space="preserve">      1.102.589.072 </t>
  </si>
  <si>
    <t xml:space="preserve">ESTRELLA CAMPOVERDE MANUEL AUGUSTO </t>
  </si>
  <si>
    <t xml:space="preserve">      1.103.381.669 </t>
  </si>
  <si>
    <t>ESPINOZA LANCHI HENRY ALCIVAR</t>
  </si>
  <si>
    <t>Nº PROYECTO DEL DECIMO NOVENO CONTRATO COLECTIVO</t>
  </si>
  <si>
    <t xml:space="preserve"> Nº ACTA TRANSACCIONAL </t>
  </si>
  <si>
    <t>SUBSIDIO POR ANTIGÜEDAD</t>
  </si>
  <si>
    <t>GOBIERNO AUTÓNOMO DESCENTRALIZADO EMPRESA PUBLICA DE RIEGO Y DRENAJE DEL SUR RIDRENSUR E.P.</t>
  </si>
  <si>
    <t xml:space="preserve">Nº PROYECTO DEL DECIMO NOVENO CONTRATO COLECTIVO </t>
  </si>
  <si>
    <t>Nombre: Dra. Lilia Espinoza Erreiz</t>
  </si>
  <si>
    <t>EMPRESA PUBLICA DE RIEGO Y DRENAJE DEL SUR RIDRENSUR E.P.</t>
  </si>
  <si>
    <t>EMPRESA PUBLICA DE RIEGO Y DRENAJE DEL SUR E.P.</t>
  </si>
  <si>
    <t>EMPRESA PÚBLICA DE RIEGO Y DRENAJE DEL SUR RIDRENSUR E.P.</t>
  </si>
  <si>
    <t xml:space="preserve">FIRMA MÁXIMA AUTORIDAD </t>
  </si>
  <si>
    <t>FIRMA GERENTE ADMINISTRATIVO  FINANCIERO</t>
  </si>
  <si>
    <r>
      <t>FORMULARIO 3:</t>
    </r>
    <r>
      <rPr>
        <sz val="9"/>
        <color indexed="8"/>
        <rFont val="Calibri"/>
        <family val="2"/>
      </rPr>
      <t xml:space="preserve"> </t>
    </r>
    <r>
      <rPr>
        <b/>
        <sz val="9"/>
        <color indexed="8"/>
        <rFont val="Calibri"/>
        <family val="2"/>
      </rPr>
      <t xml:space="preserve">"COMPARATIVO ENTRE REMUNERACIÓN UNIFICADA Y PROPUESTA" </t>
    </r>
  </si>
  <si>
    <t>FIRMA GERENTE ADMINISTRATIVO FINANCIERO</t>
  </si>
  <si>
    <t>* A la remuneración antes descrita debe agregarse el valor que se reconoce a cada trabajador por concepto de beneficios del contrato colectivo un avor aproximado por trabajador de $ 123.81 dólares americanos en forma mensual</t>
  </si>
  <si>
    <t>2014</t>
  </si>
  <si>
    <t>GOBIERNO PROVINCIAL DE LOJA (CNC)</t>
  </si>
  <si>
    <t>AÑO 2015</t>
  </si>
  <si>
    <t>Nombre: Ing. Fernando Ortega Novillo</t>
  </si>
  <si>
    <t>Lugar y Fecha: Loja, 20 de Junio del 2016</t>
  </si>
  <si>
    <t>FECHA DE INGRESO A LA EMPRESA</t>
  </si>
  <si>
    <t>BIENES Y SERVICIOS</t>
  </si>
  <si>
    <t>UNIFORMES</t>
  </si>
  <si>
    <t>Lugar y fecha: Loja,  20 de junio del 2016</t>
  </si>
  <si>
    <t>Lugar y Fecha: Loja,  20 de junio del 2016</t>
  </si>
  <si>
    <t>La Empresa no cuenta con este valor para la jubilación</t>
  </si>
  <si>
    <t>Este valor difiere del formulario 1 debido a que no está presupuestado el monto de la jubilación por falta de recursos</t>
  </si>
  <si>
    <t>Lugar y Fecha: Loja, 20 de junio del 2016</t>
  </si>
  <si>
    <t>GERENTE ADMINISTRATIVO FINANCIERO</t>
  </si>
  <si>
    <t>DRA. LILIA ESPINOZA ERREIZ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</si>
</sst>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[$€]* #,##0.00_);_([$€]* \(#,##0.00\);_([$€]* &quot;-&quot;??_);_(@_)"/>
    <numFmt numFmtId="165" formatCode="_(* #.##0._);_(* \(#.##0.\);_(* &quot;-&quot;??_);_(@_)"/>
    <numFmt numFmtId="166" formatCode="dd/mm/yyyy;@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0"/>
      <name val="Calibri"/>
      <family val="2"/>
      <scheme val="minor"/>
    </font>
    <font>
      <sz val="9"/>
      <color rgb="FFFF0000"/>
      <name val="Times New Roman"/>
      <family val="1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0" fillId="0" borderId="0"/>
    <xf numFmtId="0" fontId="2" fillId="0" borderId="0"/>
    <xf numFmtId="0" fontId="7" fillId="0" borderId="0" applyNumberFormat="0" applyFont="0" applyBorder="0" applyProtection="0"/>
  </cellStyleXfs>
  <cellXfs count="249">
    <xf numFmtId="0" fontId="0" fillId="0" borderId="0" xfId="0"/>
    <xf numFmtId="0" fontId="3" fillId="0" borderId="0" xfId="0" applyFont="1"/>
    <xf numFmtId="0" fontId="6" fillId="0" borderId="0" xfId="0" applyFont="1"/>
    <xf numFmtId="0" fontId="6" fillId="0" borderId="0" xfId="0" applyFont="1" applyBorder="1"/>
    <xf numFmtId="0" fontId="4" fillId="0" borderId="0" xfId="0" applyFont="1" applyFill="1" applyBorder="1" applyAlignment="1"/>
    <xf numFmtId="0" fontId="4" fillId="0" borderId="0" xfId="0" applyFont="1" applyBorder="1" applyAlignment="1"/>
    <xf numFmtId="0" fontId="13" fillId="0" borderId="0" xfId="0" applyFont="1"/>
    <xf numFmtId="4" fontId="6" fillId="0" borderId="0" xfId="0" applyNumberFormat="1" applyFont="1"/>
    <xf numFmtId="0" fontId="10" fillId="0" borderId="0" xfId="6"/>
    <xf numFmtId="0" fontId="15" fillId="2" borderId="1" xfId="6" applyFont="1" applyFill="1" applyBorder="1" applyAlignment="1">
      <alignment horizontal="center" vertical="center" wrapText="1"/>
    </xf>
    <xf numFmtId="0" fontId="16" fillId="2" borderId="2" xfId="6" applyFont="1" applyFill="1" applyBorder="1" applyAlignment="1">
      <alignment horizontal="center" vertical="center"/>
    </xf>
    <xf numFmtId="0" fontId="16" fillId="2" borderId="3" xfId="6" applyFont="1" applyFill="1" applyBorder="1" applyAlignment="1">
      <alignment horizontal="center" vertical="center"/>
    </xf>
    <xf numFmtId="0" fontId="11" fillId="2" borderId="3" xfId="6" applyFont="1" applyFill="1" applyBorder="1" applyAlignment="1">
      <alignment horizontal="center" vertical="center" wrapText="1"/>
    </xf>
    <xf numFmtId="0" fontId="17" fillId="3" borderId="7" xfId="6" applyFont="1" applyFill="1" applyBorder="1"/>
    <xf numFmtId="0" fontId="18" fillId="0" borderId="8" xfId="6" applyFont="1" applyBorder="1" applyAlignment="1">
      <alignment horizontal="left"/>
    </xf>
    <xf numFmtId="0" fontId="17" fillId="0" borderId="10" xfId="6" applyFont="1" applyBorder="1"/>
    <xf numFmtId="0" fontId="17" fillId="0" borderId="8" xfId="6" applyFont="1" applyBorder="1" applyAlignment="1">
      <alignment horizontal="center"/>
    </xf>
    <xf numFmtId="0" fontId="17" fillId="3" borderId="10" xfId="6" applyFont="1" applyFill="1" applyBorder="1"/>
    <xf numFmtId="0" fontId="18" fillId="0" borderId="12" xfId="6" applyFont="1" applyBorder="1" applyAlignment="1">
      <alignment horizontal="left"/>
    </xf>
    <xf numFmtId="0" fontId="18" fillId="0" borderId="15" xfId="6" applyFont="1" applyBorder="1"/>
    <xf numFmtId="0" fontId="17" fillId="0" borderId="16" xfId="6" applyFont="1" applyBorder="1"/>
    <xf numFmtId="0" fontId="18" fillId="0" borderId="13" xfId="6" applyFont="1" applyBorder="1" applyAlignment="1">
      <alignment horizontal="left"/>
    </xf>
    <xf numFmtId="0" fontId="18" fillId="0" borderId="17" xfId="6" applyFont="1" applyBorder="1" applyAlignment="1">
      <alignment horizontal="left"/>
    </xf>
    <xf numFmtId="0" fontId="18" fillId="0" borderId="18" xfId="6" applyFont="1" applyBorder="1"/>
    <xf numFmtId="0" fontId="18" fillId="0" borderId="19" xfId="6" applyFont="1" applyBorder="1" applyAlignment="1">
      <alignment horizontal="left"/>
    </xf>
    <xf numFmtId="0" fontId="18" fillId="0" borderId="20" xfId="6" applyFont="1" applyBorder="1"/>
    <xf numFmtId="0" fontId="21" fillId="2" borderId="14" xfId="6" applyFont="1" applyFill="1" applyBorder="1"/>
    <xf numFmtId="0" fontId="10" fillId="0" borderId="0" xfId="6" applyFill="1"/>
    <xf numFmtId="0" fontId="17" fillId="0" borderId="0" xfId="6" applyFont="1" applyFill="1" applyBorder="1"/>
    <xf numFmtId="0" fontId="12" fillId="0" borderId="0" xfId="6" applyFont="1"/>
    <xf numFmtId="0" fontId="22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2" fillId="0" borderId="0" xfId="0" applyFont="1" applyBorder="1" applyAlignment="1"/>
    <xf numFmtId="0" fontId="23" fillId="0" borderId="0" xfId="0" applyFont="1" applyBorder="1"/>
    <xf numFmtId="0" fontId="24" fillId="0" borderId="0" xfId="0" applyFont="1" applyBorder="1" applyAlignment="1">
      <alignment horizontal="center"/>
    </xf>
    <xf numFmtId="4" fontId="23" fillId="0" borderId="0" xfId="0" applyNumberFormat="1" applyFont="1" applyBorder="1"/>
    <xf numFmtId="0" fontId="23" fillId="0" borderId="0" xfId="0" applyFont="1"/>
    <xf numFmtId="0" fontId="25" fillId="0" borderId="0" xfId="0" applyFont="1" applyFill="1" applyBorder="1" applyAlignment="1"/>
    <xf numFmtId="0" fontId="25" fillId="0" borderId="0" xfId="0" applyFont="1" applyBorder="1" applyAlignment="1"/>
    <xf numFmtId="0" fontId="22" fillId="0" borderId="0" xfId="0" applyFont="1" applyFill="1" applyBorder="1" applyAlignment="1">
      <alignment horizontal="left"/>
    </xf>
    <xf numFmtId="0" fontId="26" fillId="0" borderId="0" xfId="0" applyFont="1" applyFill="1" applyBorder="1" applyAlignment="1"/>
    <xf numFmtId="0" fontId="27" fillId="0" borderId="0" xfId="0" applyFont="1" applyBorder="1"/>
    <xf numFmtId="4" fontId="28" fillId="0" borderId="2" xfId="2" applyNumberFormat="1" applyFont="1" applyBorder="1" applyAlignment="1">
      <alignment horizontal="center"/>
    </xf>
    <xf numFmtId="0" fontId="24" fillId="0" borderId="32" xfId="0" applyFont="1" applyBorder="1" applyAlignment="1">
      <alignment horizontal="center"/>
    </xf>
    <xf numFmtId="4" fontId="26" fillId="0" borderId="10" xfId="0" applyNumberFormat="1" applyFont="1" applyFill="1" applyBorder="1" applyAlignment="1">
      <alignment horizontal="center"/>
    </xf>
    <xf numFmtId="0" fontId="12" fillId="0" borderId="0" xfId="6" applyFont="1" applyBorder="1" applyAlignment="1">
      <alignment horizontal="center"/>
    </xf>
    <xf numFmtId="4" fontId="26" fillId="0" borderId="15" xfId="2" applyNumberFormat="1" applyFont="1" applyFill="1" applyBorder="1" applyAlignment="1">
      <alignment horizontal="center"/>
    </xf>
    <xf numFmtId="4" fontId="26" fillId="0" borderId="15" xfId="0" applyNumberFormat="1" applyFont="1" applyFill="1" applyBorder="1" applyAlignment="1">
      <alignment horizontal="center"/>
    </xf>
    <xf numFmtId="4" fontId="26" fillId="0" borderId="38" xfId="0" applyNumberFormat="1" applyFont="1" applyBorder="1" applyAlignment="1">
      <alignment horizontal="center"/>
    </xf>
    <xf numFmtId="0" fontId="23" fillId="0" borderId="39" xfId="0" applyFont="1" applyBorder="1"/>
    <xf numFmtId="4" fontId="26" fillId="0" borderId="10" xfId="2" applyNumberFormat="1" applyFont="1" applyFill="1" applyBorder="1" applyAlignment="1">
      <alignment horizontal="center"/>
    </xf>
    <xf numFmtId="4" fontId="26" fillId="0" borderId="40" xfId="0" applyNumberFormat="1" applyFont="1" applyBorder="1" applyAlignment="1">
      <alignment horizontal="center"/>
    </xf>
    <xf numFmtId="0" fontId="23" fillId="0" borderId="41" xfId="0" applyFont="1" applyBorder="1"/>
    <xf numFmtId="0" fontId="22" fillId="0" borderId="42" xfId="0" applyFont="1" applyBorder="1" applyAlignment="1">
      <alignment horizontal="left"/>
    </xf>
    <xf numFmtId="0" fontId="26" fillId="0" borderId="42" xfId="0" applyFont="1" applyBorder="1" applyAlignment="1">
      <alignment horizontal="left"/>
    </xf>
    <xf numFmtId="0" fontId="26" fillId="0" borderId="43" xfId="0" applyFont="1" applyBorder="1" applyAlignment="1">
      <alignment horizontal="left"/>
    </xf>
    <xf numFmtId="0" fontId="28" fillId="0" borderId="4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49" fontId="26" fillId="0" borderId="7" xfId="0" applyNumberFormat="1" applyFont="1" applyBorder="1" applyAlignment="1">
      <alignment horizontal="center"/>
    </xf>
    <xf numFmtId="0" fontId="26" fillId="0" borderId="40" xfId="0" applyFont="1" applyBorder="1" applyAlignment="1">
      <alignment horizontal="center"/>
    </xf>
    <xf numFmtId="0" fontId="26" fillId="0" borderId="3" xfId="0" applyFont="1" applyBorder="1"/>
    <xf numFmtId="49" fontId="16" fillId="2" borderId="44" xfId="0" applyNumberFormat="1" applyFont="1" applyFill="1" applyBorder="1" applyAlignment="1">
      <alignment horizontal="center" vertical="center" wrapText="1"/>
    </xf>
    <xf numFmtId="0" fontId="16" fillId="2" borderId="45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2" fontId="22" fillId="0" borderId="18" xfId="0" applyNumberFormat="1" applyFont="1" applyFill="1" applyBorder="1" applyAlignment="1">
      <alignment horizontal="center"/>
    </xf>
    <xf numFmtId="2" fontId="22" fillId="0" borderId="7" xfId="0" applyNumberFormat="1" applyFont="1" applyFill="1" applyBorder="1" applyAlignment="1">
      <alignment horizontal="center"/>
    </xf>
    <xf numFmtId="0" fontId="11" fillId="2" borderId="24" xfId="6" applyFont="1" applyFill="1" applyBorder="1" applyAlignment="1"/>
    <xf numFmtId="0" fontId="11" fillId="2" borderId="25" xfId="6" applyFont="1" applyFill="1" applyBorder="1" applyAlignment="1"/>
    <xf numFmtId="49" fontId="16" fillId="2" borderId="45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/>
    </xf>
    <xf numFmtId="49" fontId="15" fillId="2" borderId="22" xfId="0" applyNumberFormat="1" applyFont="1" applyFill="1" applyBorder="1" applyAlignment="1">
      <alignment horizontal="center" vertical="center" wrapText="1"/>
    </xf>
    <xf numFmtId="49" fontId="15" fillId="2" borderId="31" xfId="0" applyNumberFormat="1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 applyBorder="1"/>
    <xf numFmtId="0" fontId="32" fillId="0" borderId="0" xfId="0" applyFont="1"/>
    <xf numFmtId="0" fontId="19" fillId="0" borderId="35" xfId="6" applyFont="1" applyBorder="1" applyAlignment="1">
      <alignment horizontal="left" indent="2"/>
    </xf>
    <xf numFmtId="0" fontId="33" fillId="0" borderId="10" xfId="0" applyFont="1" applyBorder="1" applyAlignment="1">
      <alignment horizontal="center"/>
    </xf>
    <xf numFmtId="0" fontId="33" fillId="0" borderId="35" xfId="0" applyFont="1" applyBorder="1" applyAlignment="1">
      <alignment horizontal="left"/>
    </xf>
    <xf numFmtId="0" fontId="35" fillId="0" borderId="34" xfId="0" applyFont="1" applyBorder="1"/>
    <xf numFmtId="4" fontId="35" fillId="0" borderId="34" xfId="0" applyNumberFormat="1" applyFont="1" applyBorder="1"/>
    <xf numFmtId="0" fontId="34" fillId="0" borderId="10" xfId="0" applyFont="1" applyBorder="1" applyAlignment="1">
      <alignment horizontal="center"/>
    </xf>
    <xf numFmtId="4" fontId="35" fillId="0" borderId="34" xfId="0" applyNumberFormat="1" applyFont="1" applyBorder="1" applyAlignment="1">
      <alignment wrapText="1"/>
    </xf>
    <xf numFmtId="0" fontId="34" fillId="0" borderId="9" xfId="0" applyFont="1" applyBorder="1"/>
    <xf numFmtId="0" fontId="33" fillId="0" borderId="22" xfId="0" applyFont="1" applyBorder="1" applyAlignment="1">
      <alignment horizontal="center"/>
    </xf>
    <xf numFmtId="0" fontId="35" fillId="0" borderId="23" xfId="0" applyFont="1" applyBorder="1"/>
    <xf numFmtId="0" fontId="35" fillId="0" borderId="14" xfId="0" applyFont="1" applyBorder="1"/>
    <xf numFmtId="0" fontId="36" fillId="0" borderId="6" xfId="0" applyFont="1" applyBorder="1" applyAlignment="1">
      <alignment horizontal="center"/>
    </xf>
    <xf numFmtId="0" fontId="35" fillId="0" borderId="3" xfId="0" applyFont="1" applyBorder="1"/>
    <xf numFmtId="0" fontId="35" fillId="0" borderId="37" xfId="0" applyFont="1" applyBorder="1"/>
    <xf numFmtId="0" fontId="35" fillId="0" borderId="0" xfId="0" applyFont="1" applyBorder="1"/>
    <xf numFmtId="0" fontId="36" fillId="0" borderId="0" xfId="0" applyFont="1" applyBorder="1" applyAlignment="1">
      <alignment horizontal="center"/>
    </xf>
    <xf numFmtId="0" fontId="35" fillId="0" borderId="26" xfId="0" applyFont="1" applyBorder="1"/>
    <xf numFmtId="0" fontId="18" fillId="0" borderId="33" xfId="6" applyFont="1" applyBorder="1" applyAlignment="1">
      <alignment horizontal="center"/>
    </xf>
    <xf numFmtId="0" fontId="18" fillId="0" borderId="0" xfId="6" applyFont="1"/>
    <xf numFmtId="0" fontId="35" fillId="0" borderId="0" xfId="0" applyFont="1"/>
    <xf numFmtId="43" fontId="17" fillId="0" borderId="11" xfId="2" applyFont="1" applyBorder="1"/>
    <xf numFmtId="43" fontId="17" fillId="0" borderId="10" xfId="6" applyNumberFormat="1" applyFont="1" applyBorder="1"/>
    <xf numFmtId="0" fontId="22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43" fontId="17" fillId="0" borderId="34" xfId="2" applyFont="1" applyBorder="1"/>
    <xf numFmtId="0" fontId="16" fillId="2" borderId="46" xfId="6" applyFont="1" applyFill="1" applyBorder="1" applyAlignment="1">
      <alignment horizontal="center" vertical="center"/>
    </xf>
    <xf numFmtId="0" fontId="17" fillId="0" borderId="35" xfId="6" applyFont="1" applyBorder="1"/>
    <xf numFmtId="0" fontId="18" fillId="0" borderId="33" xfId="6" applyFont="1" applyBorder="1" applyAlignment="1">
      <alignment horizontal="center"/>
    </xf>
    <xf numFmtId="0" fontId="33" fillId="0" borderId="0" xfId="0" applyFont="1" applyFill="1" applyBorder="1" applyAlignment="1">
      <alignment horizontal="center"/>
    </xf>
    <xf numFmtId="0" fontId="33" fillId="0" borderId="0" xfId="0" applyFont="1" applyFill="1" applyBorder="1" applyAlignment="1"/>
    <xf numFmtId="0" fontId="33" fillId="0" borderId="0" xfId="0" applyFont="1" applyFill="1" applyBorder="1" applyAlignment="1">
      <alignment horizontal="left"/>
    </xf>
    <xf numFmtId="0" fontId="34" fillId="0" borderId="0" xfId="0" applyFont="1" applyFill="1" applyBorder="1" applyAlignment="1"/>
    <xf numFmtId="0" fontId="33" fillId="0" borderId="0" xfId="0" applyFont="1" applyBorder="1" applyAlignment="1"/>
    <xf numFmtId="0" fontId="40" fillId="2" borderId="1" xfId="0" applyFont="1" applyFill="1" applyBorder="1" applyAlignment="1">
      <alignment horizontal="center" vertical="center" wrapText="1"/>
    </xf>
    <xf numFmtId="0" fontId="40" fillId="2" borderId="30" xfId="0" applyFont="1" applyFill="1" applyBorder="1" applyAlignment="1">
      <alignment horizontal="center" vertical="center" wrapText="1"/>
    </xf>
    <xf numFmtId="0" fontId="40" fillId="2" borderId="5" xfId="0" applyFont="1" applyFill="1" applyBorder="1" applyAlignment="1">
      <alignment horizontal="center" vertical="center" wrapText="1"/>
    </xf>
    <xf numFmtId="49" fontId="34" fillId="0" borderId="28" xfId="0" applyNumberFormat="1" applyFont="1" applyFill="1" applyBorder="1" applyAlignment="1">
      <alignment horizontal="center"/>
    </xf>
    <xf numFmtId="0" fontId="34" fillId="0" borderId="29" xfId="0" applyFont="1" applyFill="1" applyBorder="1" applyAlignment="1">
      <alignment horizontal="left"/>
    </xf>
    <xf numFmtId="0" fontId="34" fillId="0" borderId="28" xfId="0" applyFont="1" applyFill="1" applyBorder="1" applyAlignment="1">
      <alignment horizontal="center"/>
    </xf>
    <xf numFmtId="0" fontId="34" fillId="0" borderId="28" xfId="0" applyFont="1" applyFill="1" applyBorder="1" applyAlignment="1">
      <alignment horizontal="left"/>
    </xf>
    <xf numFmtId="4" fontId="34" fillId="0" borderId="28" xfId="0" applyNumberFormat="1" applyFont="1" applyFill="1" applyBorder="1" applyAlignment="1">
      <alignment horizontal="right"/>
    </xf>
    <xf numFmtId="0" fontId="34" fillId="0" borderId="13" xfId="0" applyFont="1" applyFill="1" applyBorder="1" applyAlignment="1">
      <alignment horizontal="center"/>
    </xf>
    <xf numFmtId="0" fontId="34" fillId="0" borderId="13" xfId="0" applyFont="1" applyFill="1" applyBorder="1" applyAlignment="1">
      <alignment horizontal="left"/>
    </xf>
    <xf numFmtId="4" fontId="34" fillId="0" borderId="13" xfId="0" applyNumberFormat="1" applyFont="1" applyFill="1" applyBorder="1" applyAlignment="1">
      <alignment horizontal="right"/>
    </xf>
    <xf numFmtId="0" fontId="34" fillId="0" borderId="27" xfId="8" applyFont="1" applyFill="1" applyBorder="1" applyAlignment="1">
      <alignment horizontal="justify"/>
    </xf>
    <xf numFmtId="0" fontId="34" fillId="0" borderId="13" xfId="8" applyFont="1" applyFill="1" applyBorder="1" applyAlignment="1">
      <alignment horizontal="left" vertical="center" wrapText="1"/>
    </xf>
    <xf numFmtId="0" fontId="33" fillId="0" borderId="13" xfId="0" applyFont="1" applyBorder="1" applyAlignment="1">
      <alignment horizontal="center"/>
    </xf>
    <xf numFmtId="0" fontId="33" fillId="0" borderId="13" xfId="0" applyFont="1" applyFill="1" applyBorder="1" applyAlignment="1">
      <alignment horizontal="center"/>
    </xf>
    <xf numFmtId="4" fontId="33" fillId="0" borderId="13" xfId="0" applyNumberFormat="1" applyFont="1" applyFill="1" applyBorder="1" applyAlignment="1">
      <alignment horizontal="right" vertical="center" wrapText="1"/>
    </xf>
    <xf numFmtId="0" fontId="33" fillId="0" borderId="0" xfId="0" applyFont="1" applyBorder="1" applyAlignment="1">
      <alignment horizontal="center"/>
    </xf>
    <xf numFmtId="4" fontId="33" fillId="0" borderId="0" xfId="0" applyNumberFormat="1" applyFont="1" applyFill="1" applyBorder="1" applyAlignment="1">
      <alignment horizontal="right" vertical="center" wrapText="1"/>
    </xf>
    <xf numFmtId="0" fontId="41" fillId="0" borderId="0" xfId="0" applyFont="1" applyBorder="1"/>
    <xf numFmtId="0" fontId="35" fillId="0" borderId="0" xfId="0" applyFont="1" applyBorder="1" applyAlignment="1">
      <alignment horizontal="center"/>
    </xf>
    <xf numFmtId="0" fontId="35" fillId="0" borderId="0" xfId="0" applyFont="1" applyBorder="1" applyAlignment="1"/>
    <xf numFmtId="0" fontId="18" fillId="0" borderId="0" xfId="6" applyFont="1" applyBorder="1" applyAlignment="1">
      <alignment horizontal="center"/>
    </xf>
    <xf numFmtId="0" fontId="19" fillId="0" borderId="0" xfId="6" applyFont="1"/>
    <xf numFmtId="0" fontId="35" fillId="0" borderId="0" xfId="0" applyFont="1" applyBorder="1" applyAlignment="1">
      <alignment horizontal="center" wrapText="1"/>
    </xf>
    <xf numFmtId="0" fontId="36" fillId="0" borderId="0" xfId="0" applyFont="1" applyBorder="1" applyAlignment="1"/>
    <xf numFmtId="0" fontId="22" fillId="0" borderId="26" xfId="0" applyFont="1" applyBorder="1" applyAlignment="1">
      <alignment horizontal="left"/>
    </xf>
    <xf numFmtId="0" fontId="24" fillId="0" borderId="25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33" fillId="0" borderId="13" xfId="0" applyFont="1" applyBorder="1" applyAlignment="1">
      <alignment horizontal="left"/>
    </xf>
    <xf numFmtId="43" fontId="17" fillId="0" borderId="13" xfId="2" applyFont="1" applyBorder="1"/>
    <xf numFmtId="0" fontId="37" fillId="0" borderId="10" xfId="6" applyFont="1" applyBorder="1"/>
    <xf numFmtId="43" fontId="17" fillId="0" borderId="10" xfId="3" applyFont="1" applyBorder="1"/>
    <xf numFmtId="0" fontId="33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/>
    </xf>
    <xf numFmtId="0" fontId="14" fillId="0" borderId="0" xfId="6" applyFont="1" applyAlignment="1">
      <alignment horizontal="center"/>
    </xf>
    <xf numFmtId="0" fontId="14" fillId="0" borderId="0" xfId="6" applyFont="1" applyAlignment="1">
      <alignment horizontal="left"/>
    </xf>
    <xf numFmtId="43" fontId="17" fillId="0" borderId="35" xfId="2" applyFont="1" applyBorder="1"/>
    <xf numFmtId="43" fontId="17" fillId="3" borderId="10" xfId="2" applyFont="1" applyFill="1" applyBorder="1"/>
    <xf numFmtId="43" fontId="17" fillId="0" borderId="10" xfId="2" applyFont="1" applyBorder="1"/>
    <xf numFmtId="43" fontId="37" fillId="0" borderId="35" xfId="2" applyFont="1" applyBorder="1"/>
    <xf numFmtId="0" fontId="17" fillId="3" borderId="35" xfId="6" applyFont="1" applyFill="1" applyBorder="1"/>
    <xf numFmtId="0" fontId="11" fillId="2" borderId="0" xfId="6" applyFont="1" applyFill="1" applyBorder="1" applyAlignment="1"/>
    <xf numFmtId="0" fontId="37" fillId="0" borderId="35" xfId="6" applyFont="1" applyBorder="1"/>
    <xf numFmtId="43" fontId="37" fillId="0" borderId="35" xfId="6" applyNumberFormat="1" applyFont="1" applyBorder="1"/>
    <xf numFmtId="43" fontId="37" fillId="0" borderId="10" xfId="2" applyFont="1" applyBorder="1"/>
    <xf numFmtId="43" fontId="17" fillId="0" borderId="10" xfId="2" applyFont="1" applyFill="1" applyBorder="1"/>
    <xf numFmtId="43" fontId="37" fillId="0" borderId="10" xfId="2" applyFont="1" applyFill="1" applyBorder="1"/>
    <xf numFmtId="165" fontId="17" fillId="0" borderId="10" xfId="2" applyNumberFormat="1" applyFont="1" applyBorder="1"/>
    <xf numFmtId="43" fontId="17" fillId="0" borderId="35" xfId="3" applyFont="1" applyBorder="1"/>
    <xf numFmtId="0" fontId="17" fillId="3" borderId="26" xfId="6" applyFont="1" applyFill="1" applyBorder="1"/>
    <xf numFmtId="0" fontId="21" fillId="2" borderId="52" xfId="6" applyFont="1" applyFill="1" applyBorder="1"/>
    <xf numFmtId="43" fontId="37" fillId="0" borderId="10" xfId="6" applyNumberFormat="1" applyFont="1" applyBorder="1"/>
    <xf numFmtId="4" fontId="34" fillId="0" borderId="28" xfId="0" applyNumberFormat="1" applyFont="1" applyFill="1" applyBorder="1" applyAlignment="1">
      <alignment horizontal="left"/>
    </xf>
    <xf numFmtId="4" fontId="34" fillId="0" borderId="13" xfId="0" applyNumberFormat="1" applyFont="1" applyFill="1" applyBorder="1" applyAlignment="1">
      <alignment horizontal="left"/>
    </xf>
    <xf numFmtId="4" fontId="26" fillId="0" borderId="10" xfId="0" applyNumberFormat="1" applyFont="1" applyFill="1" applyBorder="1" applyAlignment="1">
      <alignment horizontal="center" wrapText="1"/>
    </xf>
    <xf numFmtId="4" fontId="42" fillId="0" borderId="3" xfId="2" applyNumberFormat="1" applyFont="1" applyBorder="1" applyAlignment="1">
      <alignment horizontal="left" wrapText="1"/>
    </xf>
    <xf numFmtId="166" fontId="34" fillId="0" borderId="28" xfId="0" applyNumberFormat="1" applyFont="1" applyFill="1" applyBorder="1" applyAlignment="1">
      <alignment horizontal="right"/>
    </xf>
    <xf numFmtId="166" fontId="34" fillId="0" borderId="13" xfId="0" applyNumberFormat="1" applyFont="1" applyFill="1" applyBorder="1" applyAlignment="1">
      <alignment horizontal="right"/>
    </xf>
    <xf numFmtId="0" fontId="18" fillId="0" borderId="53" xfId="6" applyFont="1" applyBorder="1"/>
    <xf numFmtId="0" fontId="17" fillId="0" borderId="8" xfId="6" applyFont="1" applyBorder="1" applyAlignment="1">
      <alignment horizontal="left" wrapText="1" indent="2"/>
    </xf>
    <xf numFmtId="0" fontId="17" fillId="0" borderId="8" xfId="6" applyFont="1" applyBorder="1" applyAlignment="1">
      <alignment horizontal="left" indent="2"/>
    </xf>
    <xf numFmtId="0" fontId="18" fillId="0" borderId="8" xfId="6" applyFont="1" applyBorder="1"/>
    <xf numFmtId="0" fontId="10" fillId="0" borderId="10" xfId="6" applyBorder="1"/>
    <xf numFmtId="0" fontId="10" fillId="3" borderId="10" xfId="6" applyFill="1" applyBorder="1"/>
    <xf numFmtId="0" fontId="17" fillId="0" borderId="55" xfId="6" applyFont="1" applyBorder="1" applyAlignment="1">
      <alignment horizontal="center"/>
    </xf>
    <xf numFmtId="0" fontId="17" fillId="0" borderId="55" xfId="6" applyFont="1" applyBorder="1" applyAlignment="1">
      <alignment horizontal="left" indent="2"/>
    </xf>
    <xf numFmtId="43" fontId="17" fillId="0" borderId="16" xfId="2" applyFont="1" applyBorder="1"/>
    <xf numFmtId="43" fontId="17" fillId="0" borderId="33" xfId="2" applyFont="1" applyBorder="1"/>
    <xf numFmtId="0" fontId="10" fillId="0" borderId="16" xfId="6" applyBorder="1"/>
    <xf numFmtId="0" fontId="18" fillId="0" borderId="56" xfId="6" applyFont="1" applyBorder="1" applyAlignment="1">
      <alignment horizontal="left"/>
    </xf>
    <xf numFmtId="0" fontId="18" fillId="0" borderId="56" xfId="6" applyFont="1" applyBorder="1"/>
    <xf numFmtId="0" fontId="17" fillId="0" borderId="7" xfId="6" applyFont="1" applyBorder="1"/>
    <xf numFmtId="0" fontId="37" fillId="0" borderId="26" xfId="6" applyFont="1" applyBorder="1"/>
    <xf numFmtId="43" fontId="37" fillId="0" borderId="7" xfId="2" applyFont="1" applyBorder="1"/>
    <xf numFmtId="0" fontId="10" fillId="0" borderId="7" xfId="6" applyBorder="1"/>
    <xf numFmtId="0" fontId="17" fillId="3" borderId="3" xfId="6" applyFont="1" applyFill="1" applyBorder="1"/>
    <xf numFmtId="0" fontId="17" fillId="3" borderId="46" xfId="6" applyFont="1" applyFill="1" applyBorder="1"/>
    <xf numFmtId="43" fontId="17" fillId="3" borderId="3" xfId="2" applyFont="1" applyFill="1" applyBorder="1"/>
    <xf numFmtId="0" fontId="18" fillId="0" borderId="55" xfId="6" applyFont="1" applyBorder="1" applyAlignment="1">
      <alignment horizontal="left"/>
    </xf>
    <xf numFmtId="0" fontId="18" fillId="0" borderId="55" xfId="6" applyFont="1" applyBorder="1"/>
    <xf numFmtId="0" fontId="17" fillId="0" borderId="33" xfId="6" applyFont="1" applyBorder="1"/>
    <xf numFmtId="0" fontId="10" fillId="3" borderId="7" xfId="6" applyFill="1" applyBorder="1"/>
    <xf numFmtId="0" fontId="19" fillId="4" borderId="3" xfId="6" applyFont="1" applyFill="1" applyBorder="1"/>
    <xf numFmtId="0" fontId="19" fillId="4" borderId="46" xfId="6" applyFont="1" applyFill="1" applyBorder="1"/>
    <xf numFmtId="0" fontId="18" fillId="0" borderId="47" xfId="6" applyFont="1" applyBorder="1" applyAlignment="1">
      <alignment horizontal="left"/>
    </xf>
    <xf numFmtId="0" fontId="18" fillId="0" borderId="48" xfId="6" applyFont="1" applyBorder="1"/>
    <xf numFmtId="43" fontId="17" fillId="0" borderId="16" xfId="3" applyFont="1" applyBorder="1"/>
    <xf numFmtId="43" fontId="17" fillId="0" borderId="33" xfId="3" applyFont="1" applyBorder="1"/>
    <xf numFmtId="0" fontId="17" fillId="0" borderId="26" xfId="6" applyFont="1" applyBorder="1"/>
    <xf numFmtId="0" fontId="10" fillId="3" borderId="3" xfId="6" applyFill="1" applyBorder="1"/>
    <xf numFmtId="0" fontId="21" fillId="2" borderId="7" xfId="6" applyFont="1" applyFill="1" applyBorder="1"/>
    <xf numFmtId="0" fontId="21" fillId="2" borderId="26" xfId="6" applyFont="1" applyFill="1" applyBorder="1"/>
    <xf numFmtId="0" fontId="27" fillId="4" borderId="3" xfId="6" applyFont="1" applyFill="1" applyBorder="1"/>
    <xf numFmtId="0" fontId="27" fillId="4" borderId="46" xfId="6" applyFont="1" applyFill="1" applyBorder="1"/>
    <xf numFmtId="0" fontId="20" fillId="4" borderId="3" xfId="6" applyFont="1" applyFill="1" applyBorder="1"/>
    <xf numFmtId="0" fontId="22" fillId="0" borderId="0" xfId="0" applyFont="1" applyFill="1" applyBorder="1" applyAlignment="1">
      <alignment horizontal="center"/>
    </xf>
    <xf numFmtId="49" fontId="15" fillId="2" borderId="21" xfId="0" applyNumberFormat="1" applyFont="1" applyFill="1" applyBorder="1" applyAlignment="1">
      <alignment horizontal="center" vertical="center" wrapText="1"/>
    </xf>
    <xf numFmtId="49" fontId="15" fillId="2" borderId="45" xfId="0" applyNumberFormat="1" applyFont="1" applyFill="1" applyBorder="1" applyAlignment="1">
      <alignment horizontal="center" vertical="center" wrapText="1"/>
    </xf>
    <xf numFmtId="0" fontId="22" fillId="3" borderId="24" xfId="0" applyFont="1" applyFill="1" applyBorder="1" applyAlignment="1">
      <alignment horizontal="center"/>
    </xf>
    <xf numFmtId="0" fontId="22" fillId="3" borderId="25" xfId="0" applyFont="1" applyFill="1" applyBorder="1" applyAlignment="1">
      <alignment horizontal="center"/>
    </xf>
    <xf numFmtId="0" fontId="22" fillId="3" borderId="0" xfId="0" applyFont="1" applyFill="1" applyBorder="1" applyAlignment="1">
      <alignment horizontal="center"/>
    </xf>
    <xf numFmtId="0" fontId="29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12" fillId="0" borderId="33" xfId="6" applyFont="1" applyBorder="1" applyAlignment="1">
      <alignment horizontal="center"/>
    </xf>
    <xf numFmtId="0" fontId="18" fillId="0" borderId="33" xfId="6" applyFont="1" applyBorder="1" applyAlignment="1">
      <alignment horizontal="center"/>
    </xf>
    <xf numFmtId="0" fontId="33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/>
    </xf>
    <xf numFmtId="0" fontId="35" fillId="0" borderId="0" xfId="0" applyFont="1" applyBorder="1" applyAlignment="1">
      <alignment horizontal="left" wrapText="1"/>
    </xf>
    <xf numFmtId="0" fontId="18" fillId="0" borderId="0" xfId="6" applyFont="1" applyBorder="1" applyAlignment="1">
      <alignment horizontal="center"/>
    </xf>
    <xf numFmtId="0" fontId="1" fillId="0" borderId="0" xfId="6" applyFont="1" applyAlignment="1">
      <alignment horizontal="center"/>
    </xf>
    <xf numFmtId="0" fontId="12" fillId="0" borderId="0" xfId="6" applyFont="1" applyAlignment="1">
      <alignment horizontal="center" wrapText="1"/>
    </xf>
    <xf numFmtId="0" fontId="18" fillId="3" borderId="12" xfId="6" applyFont="1" applyFill="1" applyBorder="1" applyAlignment="1">
      <alignment horizontal="left"/>
    </xf>
    <xf numFmtId="0" fontId="18" fillId="3" borderId="38" xfId="6" applyFont="1" applyFill="1" applyBorder="1" applyAlignment="1">
      <alignment horizontal="left"/>
    </xf>
    <xf numFmtId="0" fontId="18" fillId="3" borderId="1" xfId="6" applyFont="1" applyFill="1" applyBorder="1" applyAlignment="1">
      <alignment horizontal="left"/>
    </xf>
    <xf numFmtId="0" fontId="18" fillId="3" borderId="2" xfId="6" applyFont="1" applyFill="1" applyBorder="1" applyAlignment="1">
      <alignment horizontal="left"/>
    </xf>
    <xf numFmtId="0" fontId="18" fillId="4" borderId="1" xfId="6" applyFont="1" applyFill="1" applyBorder="1" applyAlignment="1">
      <alignment horizontal="center"/>
    </xf>
    <xf numFmtId="0" fontId="18" fillId="4" borderId="2" xfId="6" applyFont="1" applyFill="1" applyBorder="1" applyAlignment="1">
      <alignment horizontal="center"/>
    </xf>
    <xf numFmtId="0" fontId="18" fillId="3" borderId="17" xfId="6" applyFont="1" applyFill="1" applyBorder="1" applyAlignment="1">
      <alignment horizontal="left"/>
    </xf>
    <xf numFmtId="0" fontId="18" fillId="3" borderId="18" xfId="6" applyFont="1" applyFill="1" applyBorder="1" applyAlignment="1">
      <alignment horizontal="left"/>
    </xf>
    <xf numFmtId="0" fontId="21" fillId="2" borderId="17" xfId="6" applyFont="1" applyFill="1" applyBorder="1" applyAlignment="1">
      <alignment horizontal="center"/>
    </xf>
    <xf numFmtId="0" fontId="21" fillId="2" borderId="18" xfId="6" applyFont="1" applyFill="1" applyBorder="1" applyAlignment="1">
      <alignment horizontal="center"/>
    </xf>
    <xf numFmtId="0" fontId="18" fillId="3" borderId="47" xfId="6" applyFont="1" applyFill="1" applyBorder="1" applyAlignment="1">
      <alignment horizontal="left"/>
    </xf>
    <xf numFmtId="0" fontId="18" fillId="3" borderId="48" xfId="6" applyFont="1" applyFill="1" applyBorder="1" applyAlignment="1">
      <alignment horizontal="left"/>
    </xf>
    <xf numFmtId="0" fontId="18" fillId="3" borderId="15" xfId="6" applyFont="1" applyFill="1" applyBorder="1" applyAlignment="1">
      <alignment horizontal="left"/>
    </xf>
    <xf numFmtId="0" fontId="21" fillId="2" borderId="49" xfId="6" applyFont="1" applyFill="1" applyBorder="1" applyAlignment="1">
      <alignment horizontal="center"/>
    </xf>
    <xf numFmtId="0" fontId="21" fillId="2" borderId="39" xfId="6" applyFont="1" applyFill="1" applyBorder="1" applyAlignment="1">
      <alignment horizontal="center"/>
    </xf>
    <xf numFmtId="0" fontId="10" fillId="0" borderId="26" xfId="6" applyBorder="1" applyAlignment="1">
      <alignment horizontal="center"/>
    </xf>
    <xf numFmtId="0" fontId="11" fillId="2" borderId="36" xfId="6" applyFont="1" applyFill="1" applyBorder="1" applyAlignment="1">
      <alignment horizontal="center" vertical="center" wrapText="1"/>
    </xf>
    <xf numFmtId="0" fontId="11" fillId="2" borderId="40" xfId="6" applyFont="1" applyFill="1" applyBorder="1" applyAlignment="1">
      <alignment horizontal="center" vertical="center" wrapText="1"/>
    </xf>
    <xf numFmtId="0" fontId="11" fillId="2" borderId="41" xfId="6" applyFont="1" applyFill="1" applyBorder="1" applyAlignment="1">
      <alignment horizontal="center" vertical="center" wrapText="1"/>
    </xf>
    <xf numFmtId="0" fontId="14" fillId="0" borderId="0" xfId="6" applyFont="1" applyAlignment="1">
      <alignment horizontal="center"/>
    </xf>
    <xf numFmtId="0" fontId="14" fillId="0" borderId="0" xfId="6" applyFont="1" applyAlignment="1">
      <alignment horizontal="left"/>
    </xf>
    <xf numFmtId="0" fontId="11" fillId="2" borderId="21" xfId="6" applyFont="1" applyFill="1" applyBorder="1" applyAlignment="1">
      <alignment horizontal="center" vertical="center" wrapText="1"/>
    </xf>
    <xf numFmtId="0" fontId="11" fillId="2" borderId="22" xfId="6" applyFont="1" applyFill="1" applyBorder="1" applyAlignment="1">
      <alignment horizontal="center" vertical="center" wrapText="1"/>
    </xf>
    <xf numFmtId="0" fontId="11" fillId="2" borderId="50" xfId="6" applyFont="1" applyFill="1" applyBorder="1" applyAlignment="1">
      <alignment horizontal="center" vertical="center" wrapText="1"/>
    </xf>
    <xf numFmtId="0" fontId="11" fillId="2" borderId="0" xfId="6" applyFont="1" applyFill="1" applyBorder="1" applyAlignment="1">
      <alignment horizontal="center" vertical="center" wrapText="1"/>
    </xf>
    <xf numFmtId="0" fontId="11" fillId="2" borderId="54" xfId="6" applyFont="1" applyFill="1" applyBorder="1" applyAlignment="1">
      <alignment horizontal="center" vertical="center" wrapText="1"/>
    </xf>
    <xf numFmtId="0" fontId="11" fillId="2" borderId="25" xfId="6" applyFont="1" applyFill="1" applyBorder="1" applyAlignment="1">
      <alignment horizontal="center" vertical="center" wrapText="1"/>
    </xf>
    <xf numFmtId="0" fontId="11" fillId="2" borderId="51" xfId="6" applyFont="1" applyFill="1" applyBorder="1" applyAlignment="1">
      <alignment horizontal="center" vertical="center" wrapText="1"/>
    </xf>
  </cellXfs>
  <cellStyles count="9">
    <cellStyle name="Euro" xfId="1"/>
    <cellStyle name="Millares" xfId="2" builtinId="3"/>
    <cellStyle name="Millares 2" xfId="3"/>
    <cellStyle name="Normal" xfId="0" builtinId="0"/>
    <cellStyle name="Normal 14" xfId="4"/>
    <cellStyle name="Normal 15" xfId="5"/>
    <cellStyle name="Normal 2" xfId="6"/>
    <cellStyle name="Normal 7" xfId="7"/>
    <cellStyle name="Normal_2011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105"/>
  <sheetViews>
    <sheetView workbookViewId="0">
      <selection activeCell="B9" sqref="B9"/>
    </sheetView>
  </sheetViews>
  <sheetFormatPr baseColWidth="10" defaultColWidth="11.42578125" defaultRowHeight="20.100000000000001" customHeight="1" x14ac:dyDescent="0.2"/>
  <cols>
    <col min="1" max="1" width="13.140625" style="36" customWidth="1"/>
    <col min="2" max="2" width="33.42578125" style="36" customWidth="1"/>
    <col min="3" max="3" width="21.140625" style="36" customWidth="1"/>
    <col min="4" max="4" width="20.28515625" style="36" customWidth="1"/>
    <col min="5" max="5" width="28.7109375" style="36" customWidth="1"/>
    <col min="6" max="6" width="26" style="2" customWidth="1"/>
    <col min="7" max="16384" width="11.42578125" style="2"/>
  </cols>
  <sheetData>
    <row r="1" spans="1:7" ht="20.25" customHeight="1" x14ac:dyDescent="0.2">
      <c r="A1" s="205" t="s">
        <v>0</v>
      </c>
      <c r="B1" s="205"/>
      <c r="C1" s="205"/>
      <c r="D1" s="205"/>
      <c r="E1" s="205"/>
    </row>
    <row r="2" spans="1:7" ht="20.100000000000001" customHeight="1" x14ac:dyDescent="0.2">
      <c r="A2" s="205" t="s">
        <v>1</v>
      </c>
      <c r="B2" s="205"/>
      <c r="C2" s="205"/>
      <c r="D2" s="205"/>
      <c r="E2" s="205"/>
    </row>
    <row r="3" spans="1:7" ht="20.100000000000001" customHeight="1" x14ac:dyDescent="0.2">
      <c r="A3" s="205" t="s">
        <v>2</v>
      </c>
      <c r="B3" s="205"/>
      <c r="C3" s="205"/>
      <c r="D3" s="205"/>
      <c r="E3" s="205"/>
    </row>
    <row r="4" spans="1:7" ht="20.100000000000001" customHeight="1" x14ac:dyDescent="0.2">
      <c r="A4" s="30" t="s">
        <v>154</v>
      </c>
      <c r="B4" s="31"/>
      <c r="C4" s="99"/>
      <c r="D4" s="2"/>
      <c r="E4" s="30"/>
    </row>
    <row r="5" spans="1:7" ht="20.100000000000001" customHeight="1" x14ac:dyDescent="0.2">
      <c r="A5" s="30" t="s">
        <v>151</v>
      </c>
      <c r="B5" s="31"/>
      <c r="C5" s="99"/>
      <c r="D5" s="2"/>
      <c r="E5" s="30"/>
    </row>
    <row r="6" spans="1:7" ht="20.100000000000001" customHeight="1" thickBot="1" x14ac:dyDescent="0.25">
      <c r="A6" s="32" t="s">
        <v>152</v>
      </c>
      <c r="B6" s="32"/>
      <c r="C6" s="32"/>
      <c r="D6" s="2"/>
      <c r="E6" s="32"/>
    </row>
    <row r="7" spans="1:7" ht="62.25" customHeight="1" x14ac:dyDescent="0.25">
      <c r="A7" s="206" t="s">
        <v>3</v>
      </c>
      <c r="B7" s="207"/>
      <c r="C7" s="71" t="s">
        <v>165</v>
      </c>
      <c r="D7" s="71" t="s">
        <v>4</v>
      </c>
      <c r="E7" s="72" t="s">
        <v>5</v>
      </c>
      <c r="F7" s="72" t="s">
        <v>6</v>
      </c>
      <c r="G7" s="73"/>
    </row>
    <row r="8" spans="1:7" ht="20.100000000000001" customHeight="1" thickBot="1" x14ac:dyDescent="0.3">
      <c r="A8" s="208" t="s">
        <v>7</v>
      </c>
      <c r="B8" s="209"/>
      <c r="C8" s="210"/>
      <c r="D8" s="209"/>
      <c r="E8" s="209"/>
      <c r="F8" s="209"/>
      <c r="G8" s="73"/>
    </row>
    <row r="9" spans="1:7" ht="20.100000000000001" customHeight="1" x14ac:dyDescent="0.25">
      <c r="A9" s="78">
        <v>18</v>
      </c>
      <c r="B9" s="79" t="s">
        <v>16</v>
      </c>
      <c r="C9" s="138"/>
      <c r="D9" s="80"/>
      <c r="E9" s="81"/>
      <c r="F9" s="81"/>
      <c r="G9" s="73"/>
    </row>
    <row r="10" spans="1:7" ht="32.25" customHeight="1" thickBot="1" x14ac:dyDescent="0.3">
      <c r="A10" s="82"/>
      <c r="B10" s="77" t="s">
        <v>166</v>
      </c>
      <c r="C10" s="139">
        <v>65279.79</v>
      </c>
      <c r="D10" s="101">
        <f>65484.27+1623.2</f>
        <v>67107.47</v>
      </c>
      <c r="E10" s="97">
        <f>65675.43+1623.2</f>
        <v>67298.62999999999</v>
      </c>
      <c r="F10" s="83"/>
      <c r="G10" s="73"/>
    </row>
    <row r="11" spans="1:7" ht="20.100000000000001" customHeight="1" thickBot="1" x14ac:dyDescent="0.3">
      <c r="A11" s="84"/>
      <c r="B11" s="85" t="s">
        <v>20</v>
      </c>
      <c r="C11" s="139">
        <v>65279.79</v>
      </c>
      <c r="D11" s="81">
        <f>SUM(D10:D10)</f>
        <v>67107.47</v>
      </c>
      <c r="E11" s="81">
        <f>SUM(E10:E10)</f>
        <v>67298.62999999999</v>
      </c>
      <c r="F11" s="86"/>
      <c r="G11" s="73"/>
    </row>
    <row r="12" spans="1:7" ht="20.100000000000001" customHeight="1" thickBot="1" x14ac:dyDescent="0.3">
      <c r="A12" s="87"/>
      <c r="B12" s="88" t="s">
        <v>21</v>
      </c>
      <c r="C12" s="137"/>
      <c r="D12" s="89"/>
      <c r="E12" s="90"/>
      <c r="F12" s="90"/>
      <c r="G12" s="73"/>
    </row>
    <row r="13" spans="1:7" ht="20.100000000000001" customHeight="1" x14ac:dyDescent="0.2">
      <c r="A13" s="91" t="s">
        <v>22</v>
      </c>
      <c r="B13" s="92"/>
      <c r="C13" s="92"/>
      <c r="D13" s="91"/>
      <c r="E13" s="91"/>
      <c r="F13" s="1"/>
    </row>
    <row r="14" spans="1:7" ht="20.100000000000001" customHeight="1" x14ac:dyDescent="0.2">
      <c r="A14" s="91" t="s">
        <v>23</v>
      </c>
      <c r="B14" s="92"/>
      <c r="C14" s="92"/>
      <c r="D14" s="91"/>
      <c r="E14" s="91"/>
      <c r="F14" s="1"/>
    </row>
    <row r="15" spans="1:7" ht="20.100000000000001" customHeight="1" x14ac:dyDescent="0.2">
      <c r="A15" s="91" t="s">
        <v>24</v>
      </c>
      <c r="B15" s="92"/>
      <c r="C15" s="92"/>
      <c r="D15" s="91"/>
      <c r="E15" s="91"/>
      <c r="F15" s="1"/>
    </row>
    <row r="16" spans="1:7" ht="20.100000000000001" customHeight="1" x14ac:dyDescent="0.2">
      <c r="A16" s="91"/>
      <c r="B16" s="92"/>
      <c r="C16" s="92"/>
      <c r="D16" s="91"/>
      <c r="E16" s="91"/>
      <c r="F16" s="1"/>
    </row>
    <row r="17" spans="1:6" ht="20.100000000000001" customHeight="1" x14ac:dyDescent="0.2">
      <c r="A17" s="91"/>
      <c r="B17" s="91"/>
      <c r="C17" s="91"/>
      <c r="D17" s="91"/>
      <c r="E17" s="91"/>
      <c r="F17" s="1"/>
    </row>
    <row r="18" spans="1:6" ht="20.100000000000001" customHeight="1" x14ac:dyDescent="0.2">
      <c r="A18" s="1"/>
      <c r="B18" s="93"/>
      <c r="C18" s="91"/>
      <c r="D18" s="91"/>
      <c r="E18" s="91"/>
      <c r="F18" s="1"/>
    </row>
    <row r="19" spans="1:6" ht="20.100000000000001" customHeight="1" x14ac:dyDescent="0.2">
      <c r="A19" s="1"/>
      <c r="B19" s="94" t="s">
        <v>163</v>
      </c>
      <c r="C19" s="104"/>
      <c r="D19" s="94"/>
      <c r="E19" s="91"/>
      <c r="F19" s="1"/>
    </row>
    <row r="20" spans="1:6" ht="20.100000000000001" customHeight="1" x14ac:dyDescent="0.2">
      <c r="A20" s="1"/>
      <c r="B20" s="95" t="s">
        <v>156</v>
      </c>
      <c r="C20" s="95"/>
      <c r="D20" s="91"/>
      <c r="E20" s="91"/>
      <c r="F20" s="1"/>
    </row>
    <row r="21" spans="1:6" ht="20.100000000000001" customHeight="1" x14ac:dyDescent="0.2">
      <c r="A21" s="1"/>
      <c r="B21" s="95" t="s">
        <v>177</v>
      </c>
      <c r="C21" s="95"/>
      <c r="D21" s="91"/>
      <c r="E21" s="91"/>
      <c r="F21" s="1"/>
    </row>
    <row r="22" spans="1:6" ht="20.100000000000001" customHeight="1" x14ac:dyDescent="0.2">
      <c r="A22" s="91"/>
      <c r="B22" s="95" t="s">
        <v>25</v>
      </c>
      <c r="C22" s="95"/>
      <c r="D22" s="91"/>
      <c r="E22" s="91"/>
      <c r="F22" s="1"/>
    </row>
    <row r="23" spans="1:6" ht="20.100000000000001" customHeight="1" x14ac:dyDescent="0.2">
      <c r="A23" s="91"/>
      <c r="B23" s="91"/>
      <c r="C23" s="91"/>
      <c r="D23" s="96"/>
      <c r="E23" s="96"/>
      <c r="F23" s="1"/>
    </row>
    <row r="24" spans="1:6" ht="20.100000000000001" customHeight="1" x14ac:dyDescent="0.25">
      <c r="A24" s="75"/>
      <c r="B24" s="75"/>
      <c r="C24" s="75"/>
      <c r="D24" s="76"/>
      <c r="E24" s="76"/>
      <c r="F24" s="74"/>
    </row>
    <row r="25" spans="1:6" ht="20.100000000000001" customHeight="1" x14ac:dyDescent="0.25">
      <c r="A25" s="75"/>
      <c r="B25" s="75"/>
      <c r="C25" s="75"/>
      <c r="D25" s="76"/>
      <c r="E25" s="76"/>
      <c r="F25" s="74"/>
    </row>
    <row r="26" spans="1:6" ht="20.100000000000001" customHeight="1" x14ac:dyDescent="0.25">
      <c r="A26" s="75"/>
      <c r="B26" s="75"/>
      <c r="C26" s="75"/>
      <c r="D26" s="76"/>
      <c r="E26" s="76"/>
      <c r="F26" s="74"/>
    </row>
    <row r="27" spans="1:6" ht="20.100000000000001" customHeight="1" x14ac:dyDescent="0.2">
      <c r="A27" s="33"/>
      <c r="B27" s="33"/>
      <c r="C27" s="33"/>
    </row>
    <row r="28" spans="1:6" ht="45.75" customHeight="1" x14ac:dyDescent="0.2">
      <c r="A28" s="33"/>
      <c r="B28" s="33"/>
      <c r="C28" s="33"/>
    </row>
    <row r="29" spans="1:6" ht="20.100000000000001" customHeight="1" x14ac:dyDescent="0.2">
      <c r="A29" s="33"/>
      <c r="B29" s="33"/>
      <c r="C29" s="33"/>
    </row>
    <row r="30" spans="1:6" ht="20.100000000000001" customHeight="1" x14ac:dyDescent="0.2">
      <c r="A30" s="33"/>
      <c r="B30" s="33"/>
      <c r="C30" s="33"/>
    </row>
    <row r="31" spans="1:6" ht="20.100000000000001" customHeight="1" x14ac:dyDescent="0.2">
      <c r="A31" s="33"/>
      <c r="B31" s="33"/>
      <c r="C31" s="33"/>
    </row>
    <row r="32" spans="1:6" ht="20.100000000000001" customHeight="1" x14ac:dyDescent="0.2">
      <c r="A32" s="33"/>
      <c r="B32" s="33"/>
      <c r="C32" s="33"/>
    </row>
    <row r="33" spans="1:3" ht="20.100000000000001" customHeight="1" x14ac:dyDescent="0.2">
      <c r="A33" s="33"/>
      <c r="B33" s="33"/>
      <c r="C33" s="33"/>
    </row>
    <row r="34" spans="1:3" ht="20.100000000000001" customHeight="1" x14ac:dyDescent="0.2">
      <c r="B34" s="33"/>
      <c r="C34" s="33"/>
    </row>
    <row r="105" ht="27.75" customHeight="1" x14ac:dyDescent="0.2"/>
  </sheetData>
  <mergeCells count="5">
    <mergeCell ref="A1:E1"/>
    <mergeCell ref="A7:B7"/>
    <mergeCell ref="A2:E2"/>
    <mergeCell ref="A3:E3"/>
    <mergeCell ref="A8:F8"/>
  </mergeCells>
  <phoneticPr fontId="0" type="noConversion"/>
  <printOptions horizontalCentered="1" verticalCentered="1"/>
  <pageMargins left="0.39370078740157483" right="0.70866141732283472" top="0.39370078740157483" bottom="0.39370078740157483" header="0" footer="0"/>
  <pageSetup paperSize="256" scale="89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50"/>
  <sheetViews>
    <sheetView topLeftCell="A25" workbookViewId="0">
      <selection activeCell="B10" sqref="B10"/>
    </sheetView>
  </sheetViews>
  <sheetFormatPr baseColWidth="10" defaultColWidth="11.42578125" defaultRowHeight="20.100000000000001" customHeight="1" x14ac:dyDescent="0.2"/>
  <cols>
    <col min="1" max="1" width="12.28515625" style="36" customWidth="1"/>
    <col min="2" max="3" width="34.42578125" style="36" customWidth="1"/>
    <col min="4" max="4" width="19.28515625" style="36" customWidth="1"/>
    <col min="5" max="5" width="18" style="36" customWidth="1"/>
    <col min="6" max="6" width="29.28515625" style="2" customWidth="1"/>
    <col min="7" max="16384" width="11.42578125" style="2"/>
  </cols>
  <sheetData>
    <row r="1" spans="1:9" ht="20.100000000000001" customHeight="1" x14ac:dyDescent="0.3">
      <c r="A1" s="211" t="s">
        <v>0</v>
      </c>
      <c r="B1" s="211"/>
      <c r="C1" s="211"/>
      <c r="D1" s="211"/>
      <c r="E1" s="211"/>
      <c r="F1" s="4"/>
      <c r="G1" s="4"/>
      <c r="H1" s="4"/>
    </row>
    <row r="2" spans="1:9" ht="20.100000000000001" customHeight="1" x14ac:dyDescent="0.25">
      <c r="A2" s="212" t="s">
        <v>26</v>
      </c>
      <c r="B2" s="212"/>
      <c r="C2" s="212"/>
      <c r="D2" s="212"/>
      <c r="E2" s="212"/>
      <c r="F2" s="4"/>
      <c r="G2" s="4"/>
      <c r="H2" s="4"/>
    </row>
    <row r="3" spans="1:9" ht="20.100000000000001" customHeight="1" x14ac:dyDescent="0.25">
      <c r="A3" s="70"/>
      <c r="B3" s="70"/>
      <c r="C3" s="100"/>
      <c r="D3" s="70"/>
      <c r="E3" s="70"/>
      <c r="F3" s="4"/>
      <c r="G3" s="4"/>
      <c r="H3" s="4"/>
    </row>
    <row r="4" spans="1:9" ht="20.100000000000001" customHeight="1" x14ac:dyDescent="0.25">
      <c r="A4" s="37" t="s">
        <v>159</v>
      </c>
      <c r="B4" s="70"/>
      <c r="C4" s="100"/>
      <c r="D4" s="70"/>
      <c r="E4" s="70"/>
      <c r="F4" s="70"/>
      <c r="G4" s="4"/>
      <c r="H4" s="4"/>
    </row>
    <row r="5" spans="1:9" ht="20.100000000000001" customHeight="1" x14ac:dyDescent="0.25">
      <c r="A5" s="37" t="s">
        <v>155</v>
      </c>
      <c r="B5" s="39"/>
      <c r="C5" s="39"/>
      <c r="D5" s="40"/>
      <c r="E5" s="40"/>
      <c r="F5" s="30"/>
      <c r="G5" s="4"/>
      <c r="H5" s="4"/>
    </row>
    <row r="6" spans="1:9" ht="20.100000000000001" customHeight="1" x14ac:dyDescent="0.25">
      <c r="A6" s="38" t="s">
        <v>152</v>
      </c>
      <c r="B6" s="32"/>
      <c r="C6" s="32"/>
      <c r="D6" s="32"/>
      <c r="E6" s="32"/>
      <c r="F6" s="32"/>
      <c r="G6" s="5"/>
      <c r="H6" s="5"/>
      <c r="I6" s="3"/>
    </row>
    <row r="7" spans="1:9" ht="20.100000000000001" customHeight="1" thickBot="1" x14ac:dyDescent="0.3">
      <c r="A7" s="38"/>
      <c r="B7" s="32"/>
      <c r="C7" s="32"/>
      <c r="D7" s="32"/>
      <c r="E7" s="32"/>
      <c r="F7" s="32"/>
      <c r="G7" s="5"/>
      <c r="H7" s="5"/>
      <c r="I7" s="3"/>
    </row>
    <row r="8" spans="1:9" ht="45" customHeight="1" x14ac:dyDescent="0.2">
      <c r="A8" s="62" t="s">
        <v>27</v>
      </c>
      <c r="B8" s="69" t="s">
        <v>28</v>
      </c>
      <c r="C8" s="69" t="s">
        <v>167</v>
      </c>
      <c r="D8" s="63" t="s">
        <v>29</v>
      </c>
      <c r="E8" s="64" t="s">
        <v>30</v>
      </c>
      <c r="F8" s="64" t="s">
        <v>6</v>
      </c>
    </row>
    <row r="9" spans="1:9" ht="20.100000000000001" customHeight="1" x14ac:dyDescent="0.2">
      <c r="A9" s="58">
        <v>7101</v>
      </c>
      <c r="B9" s="53" t="s">
        <v>31</v>
      </c>
      <c r="C9" s="135"/>
      <c r="D9" s="65"/>
      <c r="E9" s="66"/>
      <c r="F9" s="66"/>
    </row>
    <row r="10" spans="1:9" ht="20.100000000000001" customHeight="1" x14ac:dyDescent="0.2">
      <c r="A10" s="57">
        <v>710106</v>
      </c>
      <c r="B10" s="54" t="s">
        <v>32</v>
      </c>
      <c r="C10" s="46">
        <v>43056</v>
      </c>
      <c r="D10" s="46">
        <v>43056</v>
      </c>
      <c r="E10" s="46">
        <v>43056</v>
      </c>
      <c r="F10" s="50"/>
      <c r="G10" s="3"/>
      <c r="H10" s="3"/>
    </row>
    <row r="11" spans="1:9" ht="20.100000000000001" customHeight="1" x14ac:dyDescent="0.2">
      <c r="A11" s="57"/>
      <c r="B11" s="54"/>
      <c r="C11" s="47"/>
      <c r="D11" s="47"/>
      <c r="E11" s="47"/>
      <c r="F11" s="44"/>
    </row>
    <row r="12" spans="1:9" ht="20.100000000000001" customHeight="1" x14ac:dyDescent="0.2">
      <c r="A12" s="58">
        <v>7102</v>
      </c>
      <c r="B12" s="53" t="s">
        <v>33</v>
      </c>
      <c r="C12" s="47"/>
      <c r="D12" s="47"/>
      <c r="E12" s="47"/>
      <c r="F12" s="44"/>
    </row>
    <row r="13" spans="1:9" ht="20.100000000000001" customHeight="1" x14ac:dyDescent="0.2">
      <c r="A13" s="57">
        <v>710203</v>
      </c>
      <c r="B13" s="54" t="s">
        <v>34</v>
      </c>
      <c r="C13" s="46">
        <v>3588</v>
      </c>
      <c r="D13" s="46">
        <v>3588</v>
      </c>
      <c r="E13" s="46">
        <v>3588</v>
      </c>
      <c r="F13" s="50"/>
    </row>
    <row r="14" spans="1:9" ht="20.100000000000001" customHeight="1" x14ac:dyDescent="0.2">
      <c r="A14" s="57">
        <v>710204</v>
      </c>
      <c r="B14" s="54" t="s">
        <v>35</v>
      </c>
      <c r="C14" s="46">
        <v>2040</v>
      </c>
      <c r="D14" s="46">
        <v>2124</v>
      </c>
      <c r="E14" s="46">
        <v>2196</v>
      </c>
      <c r="F14" s="50"/>
    </row>
    <row r="15" spans="1:9" ht="20.100000000000001" customHeight="1" x14ac:dyDescent="0.2">
      <c r="A15" s="57"/>
      <c r="B15" s="54"/>
      <c r="C15" s="46"/>
      <c r="D15" s="46"/>
      <c r="E15" s="46"/>
      <c r="F15" s="50"/>
    </row>
    <row r="16" spans="1:9" ht="20.100000000000001" customHeight="1" x14ac:dyDescent="0.2">
      <c r="A16" s="58">
        <v>7103</v>
      </c>
      <c r="B16" s="53" t="s">
        <v>36</v>
      </c>
      <c r="C16" s="46"/>
      <c r="D16" s="46"/>
      <c r="E16" s="46"/>
      <c r="F16" s="50"/>
    </row>
    <row r="17" spans="1:6" ht="20.100000000000001" customHeight="1" x14ac:dyDescent="0.2">
      <c r="A17" s="57">
        <v>710304</v>
      </c>
      <c r="B17" s="54" t="s">
        <v>37</v>
      </c>
      <c r="C17" s="46">
        <v>792</v>
      </c>
      <c r="D17" s="46">
        <v>792</v>
      </c>
      <c r="E17" s="46">
        <v>792</v>
      </c>
      <c r="F17" s="50"/>
    </row>
    <row r="18" spans="1:6" ht="20.100000000000001" customHeight="1" x14ac:dyDescent="0.2">
      <c r="A18" s="57">
        <v>710306</v>
      </c>
      <c r="B18" s="54" t="s">
        <v>134</v>
      </c>
      <c r="C18" s="46">
        <v>6336</v>
      </c>
      <c r="D18" s="46">
        <v>6336</v>
      </c>
      <c r="E18" s="46">
        <v>6336</v>
      </c>
      <c r="F18" s="50"/>
    </row>
    <row r="19" spans="1:6" ht="20.100000000000001" customHeight="1" x14ac:dyDescent="0.2">
      <c r="A19" s="57">
        <v>710307</v>
      </c>
      <c r="B19" s="54" t="s">
        <v>38</v>
      </c>
      <c r="C19" s="46">
        <v>0</v>
      </c>
      <c r="D19" s="46">
        <v>0</v>
      </c>
      <c r="E19" s="46">
        <v>0</v>
      </c>
      <c r="F19" s="50"/>
    </row>
    <row r="20" spans="1:6" ht="20.100000000000001" customHeight="1" x14ac:dyDescent="0.2">
      <c r="A20" s="57"/>
      <c r="B20" s="54"/>
      <c r="C20" s="46"/>
      <c r="D20" s="46"/>
      <c r="E20" s="46"/>
      <c r="F20" s="50"/>
    </row>
    <row r="21" spans="1:6" ht="20.100000000000001" customHeight="1" x14ac:dyDescent="0.2">
      <c r="A21" s="58">
        <v>7104</v>
      </c>
      <c r="B21" s="53" t="s">
        <v>39</v>
      </c>
      <c r="C21" s="46"/>
      <c r="D21" s="46"/>
      <c r="E21" s="46"/>
      <c r="F21" s="50"/>
    </row>
    <row r="22" spans="1:6" ht="20.100000000000001" customHeight="1" x14ac:dyDescent="0.2">
      <c r="A22" s="57">
        <v>710401</v>
      </c>
      <c r="B22" s="54" t="s">
        <v>40</v>
      </c>
      <c r="C22" s="46">
        <v>324.39999999999998</v>
      </c>
      <c r="D22" s="46">
        <v>339.84</v>
      </c>
      <c r="E22" s="46">
        <v>339.84</v>
      </c>
      <c r="F22" s="50"/>
    </row>
    <row r="23" spans="1:6" ht="20.100000000000001" customHeight="1" x14ac:dyDescent="0.2">
      <c r="A23" s="57">
        <v>710408</v>
      </c>
      <c r="B23" s="53" t="s">
        <v>153</v>
      </c>
      <c r="C23" s="46">
        <v>322.92</v>
      </c>
      <c r="D23" s="46">
        <v>430.56</v>
      </c>
      <c r="E23" s="46">
        <v>358.8</v>
      </c>
      <c r="F23" s="50"/>
    </row>
    <row r="24" spans="1:6" ht="20.100000000000001" customHeight="1" x14ac:dyDescent="0.2">
      <c r="A24" s="58">
        <v>7105</v>
      </c>
      <c r="B24" s="53" t="s">
        <v>41</v>
      </c>
      <c r="C24" s="47"/>
      <c r="D24" s="47"/>
      <c r="E24" s="47"/>
      <c r="F24" s="44"/>
    </row>
    <row r="25" spans="1:6" ht="20.100000000000001" customHeight="1" x14ac:dyDescent="0.2">
      <c r="A25" s="59" t="s">
        <v>130</v>
      </c>
      <c r="B25" s="54" t="s">
        <v>42</v>
      </c>
      <c r="C25" s="47">
        <v>0</v>
      </c>
      <c r="D25" s="47">
        <v>0</v>
      </c>
      <c r="E25" s="47">
        <v>0</v>
      </c>
      <c r="F25" s="44"/>
    </row>
    <row r="26" spans="1:6" ht="20.100000000000001" customHeight="1" x14ac:dyDescent="0.2">
      <c r="A26" s="57"/>
      <c r="B26" s="54"/>
      <c r="C26" s="47"/>
      <c r="D26" s="47"/>
      <c r="E26" s="47"/>
      <c r="F26" s="44"/>
    </row>
    <row r="27" spans="1:6" ht="20.100000000000001" customHeight="1" x14ac:dyDescent="0.2">
      <c r="A27" s="58">
        <v>7106</v>
      </c>
      <c r="B27" s="53" t="s">
        <v>43</v>
      </c>
      <c r="C27" s="47"/>
      <c r="D27" s="47"/>
      <c r="E27" s="47"/>
      <c r="F27" s="44"/>
    </row>
    <row r="28" spans="1:6" ht="20.100000000000001" customHeight="1" x14ac:dyDescent="0.2">
      <c r="A28" s="59" t="s">
        <v>131</v>
      </c>
      <c r="B28" s="54" t="s">
        <v>44</v>
      </c>
      <c r="C28" s="46">
        <v>5231.3</v>
      </c>
      <c r="D28" s="46">
        <v>5231.3</v>
      </c>
      <c r="E28" s="46">
        <v>5231.3</v>
      </c>
      <c r="F28" s="50"/>
    </row>
    <row r="29" spans="1:6" ht="20.100000000000001" customHeight="1" x14ac:dyDescent="0.2">
      <c r="A29" s="59" t="s">
        <v>132</v>
      </c>
      <c r="B29" s="54" t="s">
        <v>45</v>
      </c>
      <c r="C29" s="46">
        <v>3586.56</v>
      </c>
      <c r="D29" s="46">
        <v>3620.55</v>
      </c>
      <c r="E29" s="46">
        <v>3586.56</v>
      </c>
      <c r="F29" s="50"/>
    </row>
    <row r="30" spans="1:6" ht="20.100000000000001" customHeight="1" x14ac:dyDescent="0.2">
      <c r="A30" s="59" t="s">
        <v>133</v>
      </c>
      <c r="B30" s="54" t="s">
        <v>46</v>
      </c>
      <c r="C30" s="46">
        <v>0</v>
      </c>
      <c r="D30" s="46">
        <v>0</v>
      </c>
      <c r="E30" s="46">
        <v>0</v>
      </c>
      <c r="F30" s="50"/>
    </row>
    <row r="31" spans="1:6" ht="20.100000000000001" customHeight="1" x14ac:dyDescent="0.2">
      <c r="A31" s="57"/>
      <c r="B31" s="54"/>
      <c r="C31" s="47"/>
      <c r="D31" s="47"/>
      <c r="E31" s="47"/>
      <c r="F31" s="44"/>
    </row>
    <row r="32" spans="1:6" ht="20.100000000000001" customHeight="1" x14ac:dyDescent="0.2">
      <c r="A32" s="58">
        <v>7107</v>
      </c>
      <c r="B32" s="53" t="s">
        <v>47</v>
      </c>
      <c r="C32" s="47"/>
      <c r="D32" s="47"/>
      <c r="E32" s="47"/>
      <c r="F32" s="44"/>
    </row>
    <row r="33" spans="1:6" ht="20.100000000000001" customHeight="1" x14ac:dyDescent="0.2">
      <c r="A33" s="57">
        <v>710704</v>
      </c>
      <c r="B33" s="54" t="s">
        <v>48</v>
      </c>
      <c r="C33" s="47">
        <v>0</v>
      </c>
      <c r="D33" s="47">
        <v>0</v>
      </c>
      <c r="E33" s="47">
        <v>145.25</v>
      </c>
      <c r="F33" s="44"/>
    </row>
    <row r="34" spans="1:6" ht="29.25" customHeight="1" x14ac:dyDescent="0.2">
      <c r="A34" s="57">
        <v>710705</v>
      </c>
      <c r="B34" s="54" t="s">
        <v>49</v>
      </c>
      <c r="C34" s="47">
        <v>27171.67</v>
      </c>
      <c r="D34" s="47">
        <v>28290.5</v>
      </c>
      <c r="E34" s="47">
        <v>31811.5</v>
      </c>
      <c r="F34" s="164" t="s">
        <v>175</v>
      </c>
    </row>
    <row r="35" spans="1:6" ht="20.100000000000001" customHeight="1" x14ac:dyDescent="0.2">
      <c r="A35" s="57"/>
      <c r="B35" s="54"/>
      <c r="C35" s="47"/>
      <c r="D35" s="47"/>
      <c r="E35" s="47"/>
      <c r="F35" s="44"/>
    </row>
    <row r="36" spans="1:6" ht="20.100000000000001" customHeight="1" x14ac:dyDescent="0.2">
      <c r="A36" s="58">
        <v>7308</v>
      </c>
      <c r="B36" s="53" t="s">
        <v>171</v>
      </c>
      <c r="C36" s="47"/>
      <c r="D36" s="47"/>
      <c r="E36" s="47"/>
      <c r="F36" s="44"/>
    </row>
    <row r="37" spans="1:6" ht="20.100000000000001" customHeight="1" x14ac:dyDescent="0.2">
      <c r="A37" s="57">
        <v>730802</v>
      </c>
      <c r="B37" s="54" t="s">
        <v>172</v>
      </c>
      <c r="C37" s="47">
        <v>1623.2</v>
      </c>
      <c r="D37" s="47">
        <v>1623.2</v>
      </c>
      <c r="E37" s="47">
        <v>1623.2</v>
      </c>
      <c r="F37" s="44"/>
    </row>
    <row r="38" spans="1:6" ht="20.100000000000001" customHeight="1" thickBot="1" x14ac:dyDescent="0.25">
      <c r="A38" s="60"/>
      <c r="B38" s="55"/>
      <c r="C38" s="48"/>
      <c r="D38" s="48"/>
      <c r="E38" s="48"/>
      <c r="F38" s="51"/>
    </row>
    <row r="39" spans="1:6" ht="40.5" customHeight="1" thickBot="1" x14ac:dyDescent="0.3">
      <c r="A39" s="61"/>
      <c r="B39" s="56" t="s">
        <v>20</v>
      </c>
      <c r="C39" s="42">
        <f>SUM(C9:C38)</f>
        <v>94072.05</v>
      </c>
      <c r="D39" s="42">
        <f>SUM(D9:D38)</f>
        <v>95431.95</v>
      </c>
      <c r="E39" s="42">
        <f>SUM(E9:E38)</f>
        <v>99064.45</v>
      </c>
      <c r="F39" s="165" t="s">
        <v>176</v>
      </c>
    </row>
    <row r="40" spans="1:6" ht="20.100000000000001" customHeight="1" thickBot="1" x14ac:dyDescent="0.25">
      <c r="A40" s="52"/>
      <c r="B40" s="43" t="s">
        <v>21</v>
      </c>
      <c r="C40" s="136"/>
      <c r="D40" s="49"/>
      <c r="E40" s="52"/>
      <c r="F40" s="52"/>
    </row>
    <row r="41" spans="1:6" ht="20.100000000000001" customHeight="1" x14ac:dyDescent="0.2">
      <c r="A41" s="33"/>
      <c r="B41" s="34"/>
      <c r="C41" s="34"/>
      <c r="D41" s="33"/>
      <c r="E41" s="33"/>
    </row>
    <row r="42" spans="1:6" ht="20.100000000000001" customHeight="1" x14ac:dyDescent="0.2">
      <c r="A42" s="41" t="s">
        <v>22</v>
      </c>
      <c r="B42" s="34"/>
      <c r="C42" s="34"/>
      <c r="D42" s="33"/>
      <c r="E42" s="33"/>
      <c r="F42" s="3"/>
    </row>
    <row r="43" spans="1:6" ht="20.100000000000001" customHeight="1" x14ac:dyDescent="0.2">
      <c r="A43" s="41" t="s">
        <v>23</v>
      </c>
      <c r="B43" s="33"/>
      <c r="C43" s="33"/>
      <c r="D43" s="33"/>
      <c r="E43" s="35"/>
      <c r="F43" s="3"/>
    </row>
    <row r="44" spans="1:6" ht="20.100000000000001" customHeight="1" x14ac:dyDescent="0.2">
      <c r="A44" s="41" t="s">
        <v>24</v>
      </c>
      <c r="B44" s="33"/>
      <c r="C44" s="33"/>
      <c r="D44" s="33"/>
      <c r="E44" s="35"/>
      <c r="F44" s="3"/>
    </row>
    <row r="45" spans="1:6" ht="20.100000000000001" customHeight="1" x14ac:dyDescent="0.2">
      <c r="A45" s="33"/>
      <c r="B45" s="33"/>
      <c r="C45" s="33"/>
      <c r="D45" s="33"/>
      <c r="E45" s="35"/>
      <c r="F45" s="3"/>
    </row>
    <row r="46" spans="1:6" ht="20.100000000000001" customHeight="1" x14ac:dyDescent="0.2">
      <c r="A46" s="2"/>
      <c r="B46" s="33"/>
      <c r="C46" s="33"/>
      <c r="D46" s="33"/>
      <c r="E46" s="33"/>
      <c r="F46" s="3"/>
    </row>
    <row r="47" spans="1:6" ht="20.100000000000001" customHeight="1" x14ac:dyDescent="0.25">
      <c r="A47" s="2"/>
      <c r="B47" s="213" t="s">
        <v>163</v>
      </c>
      <c r="C47" s="213"/>
      <c r="D47" s="213"/>
      <c r="E47" s="45"/>
      <c r="F47" s="3"/>
    </row>
    <row r="48" spans="1:6" ht="20.100000000000001" customHeight="1" x14ac:dyDescent="0.25">
      <c r="A48" s="2"/>
      <c r="B48" s="29" t="s">
        <v>156</v>
      </c>
      <c r="C48" s="29"/>
      <c r="D48" s="45"/>
      <c r="E48" s="45"/>
      <c r="F48" s="3"/>
    </row>
    <row r="49" spans="1:6" ht="15" x14ac:dyDescent="0.25">
      <c r="A49" s="2"/>
      <c r="B49" s="29" t="s">
        <v>173</v>
      </c>
      <c r="C49" s="29"/>
      <c r="D49" s="8"/>
      <c r="E49" s="8"/>
      <c r="F49" s="3"/>
    </row>
    <row r="50" spans="1:6" ht="20.100000000000001" customHeight="1" x14ac:dyDescent="0.25">
      <c r="A50" s="2"/>
      <c r="B50" s="29" t="s">
        <v>25</v>
      </c>
      <c r="C50" s="29"/>
      <c r="D50" s="33"/>
      <c r="E50" s="33"/>
    </row>
  </sheetData>
  <mergeCells count="3">
    <mergeCell ref="A1:E1"/>
    <mergeCell ref="A2:E2"/>
    <mergeCell ref="B47:D47"/>
  </mergeCells>
  <phoneticPr fontId="0" type="noConversion"/>
  <pageMargins left="0.70866141732283472" right="0.70866141732283472" top="0.74803149606299213" bottom="0.74803149606299213" header="0.31496062992125984" footer="0.31496062992125984"/>
  <pageSetup paperSize="256" scale="61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workbookViewId="0">
      <selection activeCell="H14" sqref="H14:H15"/>
    </sheetView>
  </sheetViews>
  <sheetFormatPr baseColWidth="10" defaultColWidth="11.42578125" defaultRowHeight="20.100000000000001" customHeight="1" x14ac:dyDescent="0.2"/>
  <cols>
    <col min="1" max="1" width="13.85546875" style="36" customWidth="1"/>
    <col min="2" max="2" width="31.7109375" style="36" customWidth="1"/>
    <col min="3" max="3" width="12" style="36" customWidth="1"/>
    <col min="4" max="4" width="9.28515625" style="36" customWidth="1"/>
    <col min="5" max="5" width="27.42578125" style="36" customWidth="1"/>
    <col min="6" max="6" width="15.7109375" style="36" customWidth="1"/>
    <col min="7" max="7" width="16.140625" style="36" customWidth="1"/>
    <col min="8" max="8" width="15.5703125" style="36" customWidth="1"/>
    <col min="9" max="9" width="37.5703125" style="2" customWidth="1"/>
    <col min="10" max="16384" width="11.42578125" style="2"/>
  </cols>
  <sheetData>
    <row r="1" spans="1:13" ht="19.5" customHeight="1" x14ac:dyDescent="0.2">
      <c r="A1" s="215" t="s">
        <v>0</v>
      </c>
      <c r="B1" s="215"/>
      <c r="C1" s="215"/>
      <c r="D1" s="215"/>
      <c r="E1" s="215"/>
      <c r="F1" s="215"/>
      <c r="G1" s="215"/>
      <c r="H1" s="142"/>
      <c r="I1" s="1"/>
    </row>
    <row r="2" spans="1:13" ht="23.25" customHeight="1" x14ac:dyDescent="0.2">
      <c r="A2" s="215" t="s">
        <v>162</v>
      </c>
      <c r="B2" s="215"/>
      <c r="C2" s="215"/>
      <c r="D2" s="215"/>
      <c r="E2" s="215"/>
      <c r="F2" s="215"/>
      <c r="G2" s="215"/>
      <c r="H2" s="142"/>
      <c r="I2" s="1"/>
    </row>
    <row r="3" spans="1:13" ht="15.95" customHeight="1" x14ac:dyDescent="0.2">
      <c r="A3" s="216" t="s">
        <v>50</v>
      </c>
      <c r="B3" s="216"/>
      <c r="C3" s="216"/>
      <c r="D3" s="216"/>
      <c r="E3" s="216"/>
      <c r="F3" s="216"/>
      <c r="G3" s="216"/>
      <c r="H3" s="143"/>
      <c r="I3" s="1"/>
    </row>
    <row r="4" spans="1:13" ht="15.95" customHeight="1" x14ac:dyDescent="0.2">
      <c r="A4" s="105"/>
      <c r="B4" s="105"/>
      <c r="C4" s="105"/>
      <c r="D4" s="105"/>
      <c r="E4" s="105"/>
      <c r="F4" s="105"/>
      <c r="G4" s="105"/>
      <c r="H4" s="143"/>
      <c r="I4" s="1"/>
    </row>
    <row r="5" spans="1:13" ht="15.95" customHeight="1" x14ac:dyDescent="0.2">
      <c r="A5" s="106" t="s">
        <v>158</v>
      </c>
      <c r="B5" s="105"/>
      <c r="C5" s="105"/>
      <c r="D5" s="105"/>
      <c r="E5" s="105"/>
      <c r="F5" s="105"/>
      <c r="G5" s="105"/>
      <c r="H5" s="143"/>
      <c r="I5" s="1"/>
    </row>
    <row r="6" spans="1:13" ht="15.95" customHeight="1" x14ac:dyDescent="0.2">
      <c r="A6" s="106" t="s">
        <v>151</v>
      </c>
      <c r="B6" s="107"/>
      <c r="C6" s="108"/>
      <c r="D6" s="108"/>
      <c r="E6" s="106"/>
      <c r="F6" s="106"/>
      <c r="G6" s="106"/>
      <c r="H6" s="106"/>
      <c r="I6" s="1"/>
    </row>
    <row r="7" spans="1:13" ht="15.95" customHeight="1" x14ac:dyDescent="0.2">
      <c r="A7" s="109" t="s">
        <v>152</v>
      </c>
      <c r="B7" s="109"/>
      <c r="C7" s="109"/>
      <c r="D7" s="109"/>
      <c r="E7" s="109"/>
      <c r="F7" s="109"/>
      <c r="G7" s="109"/>
      <c r="H7" s="109"/>
      <c r="I7" s="1"/>
    </row>
    <row r="8" spans="1:13" ht="15.95" customHeight="1" thickBot="1" x14ac:dyDescent="0.25">
      <c r="A8" s="109"/>
      <c r="B8" s="109"/>
      <c r="C8" s="109"/>
      <c r="D8" s="109"/>
      <c r="E8" s="109"/>
      <c r="F8" s="109"/>
      <c r="G8" s="109"/>
      <c r="H8" s="109"/>
      <c r="I8" s="1"/>
    </row>
    <row r="9" spans="1:13" s="1" customFormat="1" ht="60.75" thickBot="1" x14ac:dyDescent="0.25">
      <c r="A9" s="110" t="s">
        <v>51</v>
      </c>
      <c r="B9" s="111" t="s">
        <v>52</v>
      </c>
      <c r="C9" s="111" t="s">
        <v>53</v>
      </c>
      <c r="D9" s="111" t="s">
        <v>54</v>
      </c>
      <c r="E9" s="111" t="s">
        <v>55</v>
      </c>
      <c r="F9" s="111" t="s">
        <v>56</v>
      </c>
      <c r="G9" s="112" t="s">
        <v>57</v>
      </c>
      <c r="H9" s="112" t="s">
        <v>170</v>
      </c>
      <c r="I9" s="112" t="s">
        <v>6</v>
      </c>
    </row>
    <row r="10" spans="1:13" ht="15.95" customHeight="1" x14ac:dyDescent="0.2">
      <c r="A10" s="113" t="s">
        <v>135</v>
      </c>
      <c r="B10" s="114" t="s">
        <v>136</v>
      </c>
      <c r="C10" s="115">
        <v>1</v>
      </c>
      <c r="D10" s="115">
        <v>2</v>
      </c>
      <c r="E10" s="116" t="s">
        <v>137</v>
      </c>
      <c r="F10" s="117">
        <v>581</v>
      </c>
      <c r="G10" s="117">
        <v>581</v>
      </c>
      <c r="H10" s="166">
        <v>40909</v>
      </c>
      <c r="I10" s="162" t="s">
        <v>138</v>
      </c>
      <c r="J10" s="7"/>
    </row>
    <row r="11" spans="1:13" ht="15.95" customHeight="1" x14ac:dyDescent="0.2">
      <c r="A11" s="118" t="s">
        <v>139</v>
      </c>
      <c r="B11" s="119" t="s">
        <v>140</v>
      </c>
      <c r="C11" s="118">
        <v>2</v>
      </c>
      <c r="D11" s="118">
        <v>4</v>
      </c>
      <c r="E11" s="119" t="s">
        <v>141</v>
      </c>
      <c r="F11" s="120">
        <v>615</v>
      </c>
      <c r="G11" s="120">
        <v>615</v>
      </c>
      <c r="H11" s="166">
        <v>40909</v>
      </c>
      <c r="I11" s="163" t="s">
        <v>138</v>
      </c>
      <c r="J11" s="7"/>
    </row>
    <row r="12" spans="1:13" ht="15.95" customHeight="1" x14ac:dyDescent="0.2">
      <c r="A12" s="118" t="s">
        <v>142</v>
      </c>
      <c r="B12" s="119" t="s">
        <v>143</v>
      </c>
      <c r="C12" s="118">
        <v>3</v>
      </c>
      <c r="D12" s="118">
        <v>4</v>
      </c>
      <c r="E12" s="119" t="s">
        <v>144</v>
      </c>
      <c r="F12" s="120">
        <v>598</v>
      </c>
      <c r="G12" s="120">
        <v>598</v>
      </c>
      <c r="H12" s="167">
        <v>41641</v>
      </c>
      <c r="I12" s="163" t="s">
        <v>138</v>
      </c>
      <c r="J12" s="7"/>
    </row>
    <row r="13" spans="1:13" ht="15.95" customHeight="1" x14ac:dyDescent="0.2">
      <c r="A13" s="118" t="s">
        <v>145</v>
      </c>
      <c r="B13" s="119" t="s">
        <v>146</v>
      </c>
      <c r="C13" s="118">
        <v>4</v>
      </c>
      <c r="D13" s="118">
        <v>4</v>
      </c>
      <c r="E13" s="119" t="s">
        <v>144</v>
      </c>
      <c r="F13" s="120">
        <v>598</v>
      </c>
      <c r="G13" s="120">
        <v>598</v>
      </c>
      <c r="H13" s="167">
        <v>41641</v>
      </c>
      <c r="I13" s="163" t="s">
        <v>138</v>
      </c>
      <c r="J13" s="7"/>
      <c r="K13" s="6"/>
      <c r="L13" s="6"/>
      <c r="M13" s="6"/>
    </row>
    <row r="14" spans="1:13" ht="15.95" customHeight="1" x14ac:dyDescent="0.2">
      <c r="A14" s="118" t="s">
        <v>147</v>
      </c>
      <c r="B14" s="119" t="s">
        <v>148</v>
      </c>
      <c r="C14" s="118">
        <v>5</v>
      </c>
      <c r="D14" s="118">
        <v>3</v>
      </c>
      <c r="E14" s="119" t="s">
        <v>144</v>
      </c>
      <c r="F14" s="120">
        <v>598</v>
      </c>
      <c r="G14" s="120">
        <v>598</v>
      </c>
      <c r="H14" s="167">
        <v>41641</v>
      </c>
      <c r="I14" s="163" t="s">
        <v>138</v>
      </c>
      <c r="J14" s="7"/>
      <c r="K14" s="6"/>
      <c r="L14" s="6"/>
      <c r="M14" s="6"/>
    </row>
    <row r="15" spans="1:13" ht="15.95" customHeight="1" x14ac:dyDescent="0.2">
      <c r="A15" s="118" t="s">
        <v>149</v>
      </c>
      <c r="B15" s="119" t="s">
        <v>150</v>
      </c>
      <c r="C15" s="118">
        <v>6</v>
      </c>
      <c r="D15" s="118">
        <v>3</v>
      </c>
      <c r="E15" s="119" t="s">
        <v>144</v>
      </c>
      <c r="F15" s="120">
        <v>598</v>
      </c>
      <c r="G15" s="120">
        <v>598</v>
      </c>
      <c r="H15" s="167">
        <v>41641</v>
      </c>
      <c r="I15" s="163" t="s">
        <v>138</v>
      </c>
      <c r="J15" s="7"/>
      <c r="K15" s="6"/>
      <c r="L15" s="6"/>
      <c r="M15" s="6"/>
    </row>
    <row r="16" spans="1:13" ht="15.95" customHeight="1" x14ac:dyDescent="0.2">
      <c r="A16" s="118"/>
      <c r="B16" s="119"/>
      <c r="C16" s="118"/>
      <c r="D16" s="118"/>
      <c r="E16" s="119"/>
      <c r="F16" s="120"/>
      <c r="G16" s="120"/>
      <c r="H16" s="120"/>
      <c r="I16" s="120"/>
      <c r="J16" s="7"/>
      <c r="K16" s="6"/>
      <c r="L16" s="6"/>
      <c r="M16" s="6"/>
    </row>
    <row r="17" spans="1:13" ht="15.95" customHeight="1" x14ac:dyDescent="0.2">
      <c r="A17" s="118"/>
      <c r="B17" s="119"/>
      <c r="C17" s="118"/>
      <c r="D17" s="118"/>
      <c r="E17" s="119"/>
      <c r="F17" s="120"/>
      <c r="G17" s="120"/>
      <c r="H17" s="120"/>
      <c r="I17" s="120"/>
      <c r="J17" s="7"/>
      <c r="K17" s="6"/>
      <c r="L17" s="6"/>
      <c r="M17" s="6"/>
    </row>
    <row r="18" spans="1:13" ht="15.95" customHeight="1" x14ac:dyDescent="0.2">
      <c r="A18" s="118"/>
      <c r="B18" s="119"/>
      <c r="C18" s="118"/>
      <c r="D18" s="118"/>
      <c r="E18" s="119"/>
      <c r="F18" s="120"/>
      <c r="G18" s="120"/>
      <c r="H18" s="120"/>
      <c r="I18" s="120"/>
      <c r="J18" s="7"/>
      <c r="K18" s="6"/>
      <c r="L18" s="6"/>
      <c r="M18" s="6"/>
    </row>
    <row r="19" spans="1:13" ht="15.95" customHeight="1" x14ac:dyDescent="0.2">
      <c r="A19" s="118"/>
      <c r="B19" s="121"/>
      <c r="C19" s="118"/>
      <c r="D19" s="118"/>
      <c r="E19" s="119"/>
      <c r="F19" s="120"/>
      <c r="G19" s="120"/>
      <c r="H19" s="120"/>
      <c r="I19" s="120"/>
      <c r="J19" s="7"/>
      <c r="K19" s="6"/>
      <c r="L19" s="6"/>
      <c r="M19" s="6"/>
    </row>
    <row r="20" spans="1:13" ht="15.95" customHeight="1" x14ac:dyDescent="0.2">
      <c r="A20" s="118"/>
      <c r="B20" s="119"/>
      <c r="C20" s="118"/>
      <c r="D20" s="118"/>
      <c r="E20" s="119"/>
      <c r="F20" s="120"/>
      <c r="G20" s="120"/>
      <c r="H20" s="120"/>
      <c r="I20" s="120"/>
      <c r="J20" s="7"/>
      <c r="K20" s="6"/>
      <c r="L20" s="6"/>
      <c r="M20" s="6"/>
    </row>
    <row r="21" spans="1:13" ht="15.95" customHeight="1" x14ac:dyDescent="0.2">
      <c r="A21" s="118"/>
      <c r="B21" s="119"/>
      <c r="C21" s="118"/>
      <c r="D21" s="118"/>
      <c r="E21" s="119"/>
      <c r="F21" s="120"/>
      <c r="G21" s="120"/>
      <c r="H21" s="120"/>
      <c r="I21" s="120"/>
      <c r="J21" s="7"/>
      <c r="K21" s="6"/>
      <c r="L21" s="6"/>
      <c r="M21" s="6"/>
    </row>
    <row r="22" spans="1:13" ht="15.95" customHeight="1" x14ac:dyDescent="0.2">
      <c r="A22" s="118"/>
      <c r="B22" s="122"/>
      <c r="C22" s="118"/>
      <c r="D22" s="118"/>
      <c r="E22" s="119"/>
      <c r="F22" s="120"/>
      <c r="G22" s="120"/>
      <c r="H22" s="120"/>
      <c r="I22" s="120"/>
      <c r="J22" s="7"/>
    </row>
    <row r="23" spans="1:13" ht="15.95" customHeight="1" x14ac:dyDescent="0.2">
      <c r="A23" s="123"/>
      <c r="B23" s="123"/>
      <c r="C23" s="123"/>
      <c r="D23" s="123"/>
      <c r="E23" s="124" t="s">
        <v>58</v>
      </c>
      <c r="F23" s="125">
        <f>SUM(F10:F22)</f>
        <v>3588</v>
      </c>
      <c r="G23" s="125">
        <f>SUM(G10:G22)</f>
        <v>3588</v>
      </c>
      <c r="H23" s="125"/>
      <c r="I23" s="125"/>
    </row>
    <row r="24" spans="1:13" ht="15.95" customHeight="1" x14ac:dyDescent="0.2">
      <c r="A24" s="126"/>
      <c r="B24" s="126"/>
      <c r="C24" s="126"/>
      <c r="D24" s="126"/>
      <c r="E24" s="105"/>
      <c r="F24" s="127"/>
      <c r="G24" s="127"/>
      <c r="H24" s="127"/>
      <c r="I24" s="128"/>
    </row>
    <row r="25" spans="1:13" ht="15.95" customHeight="1" x14ac:dyDescent="0.2">
      <c r="A25" s="91" t="s">
        <v>59</v>
      </c>
      <c r="B25" s="126"/>
      <c r="C25" s="126"/>
      <c r="D25" s="126"/>
      <c r="E25" s="105"/>
      <c r="F25" s="127"/>
      <c r="G25" s="127"/>
      <c r="H25" s="127"/>
      <c r="I25" s="128"/>
    </row>
    <row r="26" spans="1:13" ht="15.95" customHeight="1" x14ac:dyDescent="0.2">
      <c r="A26" s="91" t="s">
        <v>60</v>
      </c>
      <c r="B26" s="126"/>
      <c r="C26" s="126"/>
      <c r="D26" s="126"/>
      <c r="E26" s="105"/>
      <c r="F26" s="127"/>
      <c r="G26" s="127"/>
      <c r="H26" s="127"/>
      <c r="I26" s="128"/>
    </row>
    <row r="27" spans="1:13" ht="15.95" customHeight="1" x14ac:dyDescent="0.2">
      <c r="A27" s="91" t="s">
        <v>24</v>
      </c>
      <c r="B27" s="91"/>
      <c r="C27" s="91"/>
      <c r="D27" s="91"/>
      <c r="E27" s="91"/>
      <c r="F27" s="91"/>
      <c r="G27" s="91"/>
      <c r="H27" s="91"/>
      <c r="I27" s="1"/>
    </row>
    <row r="28" spans="1:13" ht="31.5" customHeight="1" x14ac:dyDescent="0.2">
      <c r="A28" s="217" t="s">
        <v>164</v>
      </c>
      <c r="B28" s="217"/>
      <c r="C28" s="217"/>
      <c r="D28" s="217"/>
      <c r="E28" s="217"/>
      <c r="F28" s="217"/>
      <c r="G28" s="217"/>
      <c r="H28" s="217"/>
      <c r="I28" s="217"/>
    </row>
    <row r="29" spans="1:13" ht="15.95" customHeight="1" x14ac:dyDescent="0.2">
      <c r="A29" s="91"/>
      <c r="B29" s="91"/>
      <c r="C29" s="91"/>
      <c r="D29" s="91"/>
      <c r="E29" s="91"/>
      <c r="F29" s="91"/>
      <c r="G29" s="91"/>
      <c r="H29" s="91"/>
      <c r="I29" s="1"/>
    </row>
    <row r="30" spans="1:13" ht="15.95" customHeight="1" x14ac:dyDescent="0.2">
      <c r="A30" s="91"/>
      <c r="B30" s="91"/>
      <c r="C30" s="91"/>
      <c r="D30" s="91"/>
      <c r="E30" s="91"/>
      <c r="F30" s="91"/>
      <c r="G30" s="91"/>
      <c r="H30" s="91"/>
      <c r="I30" s="1"/>
    </row>
    <row r="31" spans="1:13" ht="15.95" customHeight="1" x14ac:dyDescent="0.2">
      <c r="A31" s="1"/>
      <c r="B31" s="214" t="s">
        <v>161</v>
      </c>
      <c r="C31" s="214"/>
      <c r="D31" s="214"/>
      <c r="E31" s="91"/>
      <c r="F31" s="129"/>
      <c r="G31" s="130"/>
      <c r="H31" s="130"/>
      <c r="I31" s="1"/>
    </row>
    <row r="32" spans="1:13" ht="15.95" customHeight="1" x14ac:dyDescent="0.2">
      <c r="A32" s="1"/>
      <c r="B32" s="131"/>
      <c r="C32" s="131"/>
      <c r="D32" s="131"/>
      <c r="E32" s="91"/>
      <c r="F32" s="129"/>
      <c r="G32" s="130"/>
      <c r="H32" s="130"/>
      <c r="I32" s="1"/>
    </row>
    <row r="33" spans="1:9" ht="17.25" customHeight="1" x14ac:dyDescent="0.2">
      <c r="A33" s="1"/>
      <c r="B33" s="95" t="s">
        <v>156</v>
      </c>
      <c r="C33" s="132"/>
      <c r="D33" s="132"/>
      <c r="E33" s="133"/>
      <c r="F33" s="134"/>
      <c r="G33" s="134"/>
      <c r="H33" s="134"/>
      <c r="I33" s="1"/>
    </row>
    <row r="34" spans="1:9" ht="20.100000000000001" customHeight="1" x14ac:dyDescent="0.2">
      <c r="A34" s="1"/>
      <c r="B34" s="95" t="s">
        <v>174</v>
      </c>
      <c r="C34" s="91"/>
      <c r="D34" s="91"/>
      <c r="E34" s="96"/>
      <c r="F34" s="96"/>
      <c r="G34" s="96"/>
      <c r="H34" s="96"/>
      <c r="I34" s="1"/>
    </row>
    <row r="35" spans="1:9" ht="20.100000000000001" customHeight="1" x14ac:dyDescent="0.2">
      <c r="A35" s="1"/>
      <c r="B35" s="95" t="s">
        <v>25</v>
      </c>
      <c r="C35" s="91"/>
      <c r="D35" s="91"/>
      <c r="E35" s="96"/>
      <c r="F35" s="96"/>
      <c r="G35" s="96"/>
      <c r="H35" s="96"/>
      <c r="I35" s="1"/>
    </row>
  </sheetData>
  <mergeCells count="5">
    <mergeCell ref="B31:D31"/>
    <mergeCell ref="A1:G1"/>
    <mergeCell ref="A2:G2"/>
    <mergeCell ref="A3:G3"/>
    <mergeCell ref="A28:I2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256" scale="74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1"/>
  <sheetViews>
    <sheetView tabSelected="1" zoomScaleNormal="100" workbookViewId="0">
      <selection sqref="A1:XFD1"/>
    </sheetView>
  </sheetViews>
  <sheetFormatPr baseColWidth="10" defaultColWidth="11.42578125" defaultRowHeight="15" x14ac:dyDescent="0.25"/>
  <cols>
    <col min="1" max="1" width="8.28515625" style="8" customWidth="1"/>
    <col min="2" max="2" width="36.42578125" style="8" customWidth="1"/>
    <col min="3" max="3" width="14.85546875" style="8" customWidth="1"/>
    <col min="4" max="4" width="13.7109375" style="8" customWidth="1"/>
    <col min="5" max="5" width="15.85546875" style="8" customWidth="1"/>
    <col min="6" max="7" width="14" style="8" customWidth="1"/>
    <col min="8" max="8" width="15" style="8" customWidth="1"/>
    <col min="9" max="9" width="19.28515625" style="8" customWidth="1"/>
    <col min="10" max="16384" width="11.42578125" style="8"/>
  </cols>
  <sheetData>
    <row r="1" spans="1:9" ht="18.75" x14ac:dyDescent="0.3">
      <c r="A1" s="240" t="s">
        <v>61</v>
      </c>
      <c r="B1" s="240"/>
      <c r="C1" s="240"/>
      <c r="D1" s="240"/>
      <c r="E1" s="240"/>
      <c r="F1" s="240"/>
      <c r="G1" s="144"/>
      <c r="H1" s="144"/>
    </row>
    <row r="2" spans="1:9" ht="15.75" customHeight="1" x14ac:dyDescent="0.3">
      <c r="A2" s="240" t="s">
        <v>62</v>
      </c>
      <c r="B2" s="240"/>
      <c r="C2" s="240"/>
      <c r="D2" s="240"/>
      <c r="E2" s="240"/>
      <c r="F2" s="240"/>
      <c r="G2" s="144"/>
      <c r="H2" s="144"/>
    </row>
    <row r="3" spans="1:9" ht="18" customHeight="1" thickBot="1" x14ac:dyDescent="0.35">
      <c r="A3" s="241" t="s">
        <v>157</v>
      </c>
      <c r="B3" s="241"/>
      <c r="C3" s="241"/>
      <c r="D3" s="241"/>
      <c r="E3" s="241"/>
      <c r="F3" s="241"/>
      <c r="G3" s="145"/>
      <c r="H3" s="145"/>
    </row>
    <row r="4" spans="1:9" ht="15" customHeight="1" x14ac:dyDescent="0.25">
      <c r="A4" s="242" t="s">
        <v>63</v>
      </c>
      <c r="B4" s="243"/>
      <c r="C4" s="242" t="s">
        <v>64</v>
      </c>
      <c r="D4" s="243"/>
      <c r="E4" s="243"/>
      <c r="F4" s="245" t="s">
        <v>65</v>
      </c>
      <c r="G4" s="245"/>
      <c r="H4" s="246"/>
      <c r="I4" s="237" t="s">
        <v>6</v>
      </c>
    </row>
    <row r="5" spans="1:9" ht="12" customHeight="1" thickBot="1" x14ac:dyDescent="0.3">
      <c r="A5" s="244"/>
      <c r="B5" s="245"/>
      <c r="C5" s="244"/>
      <c r="D5" s="245"/>
      <c r="E5" s="245"/>
      <c r="F5" s="247"/>
      <c r="G5" s="247"/>
      <c r="H5" s="248"/>
      <c r="I5" s="238"/>
    </row>
    <row r="6" spans="1:9" ht="24" customHeight="1" thickBot="1" x14ac:dyDescent="0.3">
      <c r="A6" s="9" t="s">
        <v>66</v>
      </c>
      <c r="B6" s="10" t="s">
        <v>67</v>
      </c>
      <c r="C6" s="11">
        <v>2013</v>
      </c>
      <c r="D6" s="11">
        <v>2014</v>
      </c>
      <c r="E6" s="102">
        <v>2015</v>
      </c>
      <c r="F6" s="12">
        <v>2016</v>
      </c>
      <c r="G6" s="12">
        <v>2017</v>
      </c>
      <c r="H6" s="12">
        <v>2018</v>
      </c>
      <c r="I6" s="239"/>
    </row>
    <row r="7" spans="1:9" ht="15.75" thickBot="1" x14ac:dyDescent="0.3">
      <c r="A7" s="221" t="s">
        <v>68</v>
      </c>
      <c r="B7" s="222"/>
      <c r="C7" s="13">
        <f>+C8+C13+C18+C19+C20+C21</f>
        <v>17497</v>
      </c>
      <c r="D7" s="13">
        <f>+D8+D13+D18+D19+D20+D21</f>
        <v>31877.910000000003</v>
      </c>
      <c r="E7" s="159">
        <f>+E8+E13+E18+E19+E20+E21</f>
        <v>740301.86</v>
      </c>
      <c r="F7" s="13">
        <f t="shared" ref="F7" si="0">+F8+F13+F18+F19+F20+F21</f>
        <v>695034.96</v>
      </c>
      <c r="G7" s="13"/>
      <c r="H7" s="13"/>
      <c r="I7" s="13"/>
    </row>
    <row r="8" spans="1:9" x14ac:dyDescent="0.25">
      <c r="A8" s="14">
        <v>11</v>
      </c>
      <c r="B8" s="168" t="s">
        <v>69</v>
      </c>
      <c r="C8" s="140">
        <f t="shared" ref="C8" si="1">SUM(C9:C12)</f>
        <v>0</v>
      </c>
      <c r="D8" s="140">
        <f t="shared" ref="D8" si="2">SUM(D9:D12)</f>
        <v>0</v>
      </c>
      <c r="E8" s="152">
        <f t="shared" ref="E8" si="3">SUM(E9:E12)</f>
        <v>0</v>
      </c>
      <c r="F8" s="140">
        <f t="shared" ref="F8" si="4">SUM(F9:F12)</f>
        <v>0</v>
      </c>
      <c r="G8" s="140"/>
      <c r="H8" s="140"/>
      <c r="I8" s="15"/>
    </row>
    <row r="9" spans="1:9" ht="23.25" x14ac:dyDescent="0.25">
      <c r="A9" s="16">
        <v>1101</v>
      </c>
      <c r="B9" s="169" t="s">
        <v>8</v>
      </c>
      <c r="C9" s="15"/>
      <c r="D9" s="15"/>
      <c r="E9" s="103"/>
      <c r="F9" s="15"/>
      <c r="G9" s="15"/>
      <c r="H9" s="15"/>
      <c r="I9" s="172"/>
    </row>
    <row r="10" spans="1:9" x14ac:dyDescent="0.25">
      <c r="A10" s="16">
        <v>1102</v>
      </c>
      <c r="B10" s="170" t="s">
        <v>9</v>
      </c>
      <c r="C10" s="15"/>
      <c r="D10" s="15"/>
      <c r="E10" s="103"/>
      <c r="F10" s="15"/>
      <c r="G10" s="15"/>
      <c r="H10" s="15"/>
      <c r="I10" s="172"/>
    </row>
    <row r="11" spans="1:9" x14ac:dyDescent="0.25">
      <c r="A11" s="16">
        <v>1103</v>
      </c>
      <c r="B11" s="170" t="s">
        <v>10</v>
      </c>
      <c r="C11" s="15"/>
      <c r="D11" s="15"/>
      <c r="E11" s="103"/>
      <c r="F11" s="15"/>
      <c r="G11" s="15"/>
      <c r="H11" s="15"/>
      <c r="I11" s="172"/>
    </row>
    <row r="12" spans="1:9" x14ac:dyDescent="0.25">
      <c r="A12" s="16">
        <v>1107</v>
      </c>
      <c r="B12" s="170" t="s">
        <v>11</v>
      </c>
      <c r="C12" s="15"/>
      <c r="D12" s="15"/>
      <c r="E12" s="103"/>
      <c r="F12" s="15"/>
      <c r="G12" s="15"/>
      <c r="H12" s="15"/>
      <c r="I12" s="172"/>
    </row>
    <row r="13" spans="1:9" x14ac:dyDescent="0.25">
      <c r="A13" s="14">
        <v>13</v>
      </c>
      <c r="B13" s="171" t="s">
        <v>70</v>
      </c>
      <c r="C13" s="154">
        <f t="shared" ref="C13" si="5">SUM(C14:C17)</f>
        <v>0</v>
      </c>
      <c r="D13" s="154">
        <f t="shared" ref="D13" si="6">SUM(D14:D17)</f>
        <v>0</v>
      </c>
      <c r="E13" s="149">
        <f t="shared" ref="E13" si="7">SUM(E14:E17)</f>
        <v>5992</v>
      </c>
      <c r="F13" s="154">
        <f t="shared" ref="F13:I13" si="8">SUM(F14:F17)</f>
        <v>3000</v>
      </c>
      <c r="G13" s="154">
        <f t="shared" si="8"/>
        <v>3060</v>
      </c>
      <c r="H13" s="154">
        <f t="shared" si="8"/>
        <v>3121.2</v>
      </c>
      <c r="I13" s="154">
        <f t="shared" si="8"/>
        <v>0</v>
      </c>
    </row>
    <row r="14" spans="1:9" x14ac:dyDescent="0.25">
      <c r="A14" s="16">
        <v>1301</v>
      </c>
      <c r="B14" s="170" t="s">
        <v>12</v>
      </c>
      <c r="C14" s="148"/>
      <c r="D14" s="148"/>
      <c r="E14" s="146">
        <v>5992</v>
      </c>
      <c r="F14" s="148">
        <v>3000</v>
      </c>
      <c r="G14" s="148">
        <f>+F14*2%+F14</f>
        <v>3060</v>
      </c>
      <c r="H14" s="148">
        <f>+G14*2%+G14</f>
        <v>3121.2</v>
      </c>
      <c r="I14" s="172"/>
    </row>
    <row r="15" spans="1:9" x14ac:dyDescent="0.25">
      <c r="A15" s="16">
        <v>1302</v>
      </c>
      <c r="B15" s="170" t="s">
        <v>13</v>
      </c>
      <c r="C15" s="148"/>
      <c r="D15" s="148"/>
      <c r="E15" s="146"/>
      <c r="F15" s="148"/>
      <c r="G15" s="148"/>
      <c r="H15" s="148"/>
      <c r="I15" s="172"/>
    </row>
    <row r="16" spans="1:9" x14ac:dyDescent="0.25">
      <c r="A16" s="16">
        <v>1303</v>
      </c>
      <c r="B16" s="170" t="s">
        <v>14</v>
      </c>
      <c r="C16" s="148"/>
      <c r="D16" s="148"/>
      <c r="E16" s="146"/>
      <c r="F16" s="148"/>
      <c r="G16" s="148"/>
      <c r="H16" s="148"/>
      <c r="I16" s="172"/>
    </row>
    <row r="17" spans="1:9" x14ac:dyDescent="0.25">
      <c r="A17" s="16">
        <v>1304</v>
      </c>
      <c r="B17" s="170" t="s">
        <v>15</v>
      </c>
      <c r="C17" s="148"/>
      <c r="D17" s="148"/>
      <c r="E17" s="146"/>
      <c r="F17" s="148"/>
      <c r="G17" s="148"/>
      <c r="H17" s="148"/>
      <c r="I17" s="172"/>
    </row>
    <row r="18" spans="1:9" x14ac:dyDescent="0.25">
      <c r="A18" s="14">
        <v>14</v>
      </c>
      <c r="B18" s="171" t="s">
        <v>71</v>
      </c>
      <c r="C18" s="148">
        <f>3497</f>
        <v>3497</v>
      </c>
      <c r="D18" s="148">
        <v>6343.33</v>
      </c>
      <c r="E18" s="146">
        <v>219.12</v>
      </c>
      <c r="F18" s="148"/>
      <c r="G18" s="148"/>
      <c r="H18" s="148"/>
      <c r="I18" s="172"/>
    </row>
    <row r="19" spans="1:9" x14ac:dyDescent="0.25">
      <c r="A19" s="14">
        <v>17</v>
      </c>
      <c r="B19" s="171" t="s">
        <v>72</v>
      </c>
      <c r="C19" s="148">
        <v>14000</v>
      </c>
      <c r="D19" s="148">
        <v>25281.25</v>
      </c>
      <c r="E19" s="146">
        <v>1346.27</v>
      </c>
      <c r="F19" s="148"/>
      <c r="G19" s="148"/>
      <c r="H19" s="148"/>
      <c r="I19" s="172"/>
    </row>
    <row r="20" spans="1:9" x14ac:dyDescent="0.25">
      <c r="A20" s="14">
        <v>18</v>
      </c>
      <c r="B20" s="171" t="s">
        <v>73</v>
      </c>
      <c r="C20" s="148"/>
      <c r="D20" s="148"/>
      <c r="E20" s="146">
        <v>729244.47</v>
      </c>
      <c r="F20" s="148">
        <v>689034.96</v>
      </c>
      <c r="G20" s="157">
        <f>+F20*2%+F20</f>
        <v>702815.65919999999</v>
      </c>
      <c r="H20" s="148">
        <f>+G20*2%+G20</f>
        <v>716871.97238399996</v>
      </c>
      <c r="I20" s="172"/>
    </row>
    <row r="21" spans="1:9" x14ac:dyDescent="0.25">
      <c r="A21" s="14">
        <v>19</v>
      </c>
      <c r="B21" s="171" t="s">
        <v>74</v>
      </c>
      <c r="C21" s="154">
        <f t="shared" ref="C21" si="9">SUM(C22:C24)</f>
        <v>0</v>
      </c>
      <c r="D21" s="154">
        <f t="shared" ref="D21" si="10">SUM(D22:D24)</f>
        <v>253.33</v>
      </c>
      <c r="E21" s="149">
        <f t="shared" ref="E21" si="11">SUM(E22:E24)</f>
        <v>3500</v>
      </c>
      <c r="F21" s="154">
        <f t="shared" ref="F21:H21" si="12">SUM(F22:F24)</f>
        <v>3000</v>
      </c>
      <c r="G21" s="154">
        <f t="shared" si="12"/>
        <v>3060</v>
      </c>
      <c r="H21" s="154">
        <f t="shared" si="12"/>
        <v>3121.2</v>
      </c>
      <c r="I21" s="172"/>
    </row>
    <row r="22" spans="1:9" x14ac:dyDescent="0.25">
      <c r="A22" s="16">
        <v>1901</v>
      </c>
      <c r="B22" s="170" t="s">
        <v>17</v>
      </c>
      <c r="C22" s="148"/>
      <c r="D22" s="148"/>
      <c r="E22" s="146"/>
      <c r="F22" s="148"/>
      <c r="G22" s="148"/>
      <c r="H22" s="148"/>
      <c r="I22" s="172"/>
    </row>
    <row r="23" spans="1:9" x14ac:dyDescent="0.25">
      <c r="A23" s="16">
        <v>1902</v>
      </c>
      <c r="B23" s="170" t="s">
        <v>18</v>
      </c>
      <c r="C23" s="148"/>
      <c r="D23" s="148"/>
      <c r="E23" s="146"/>
      <c r="F23" s="148"/>
      <c r="G23" s="148"/>
      <c r="H23" s="148"/>
      <c r="I23" s="172"/>
    </row>
    <row r="24" spans="1:9" ht="15.75" thickBot="1" x14ac:dyDescent="0.3">
      <c r="A24" s="174">
        <v>1904</v>
      </c>
      <c r="B24" s="175" t="s">
        <v>19</v>
      </c>
      <c r="C24" s="176"/>
      <c r="D24" s="176">
        <v>253.33</v>
      </c>
      <c r="E24" s="177">
        <v>3500</v>
      </c>
      <c r="F24" s="176">
        <v>3000</v>
      </c>
      <c r="G24" s="176">
        <f>+F24*2%+F24</f>
        <v>3060</v>
      </c>
      <c r="H24" s="176">
        <f>+G24*2%+G24</f>
        <v>3121.2</v>
      </c>
      <c r="I24" s="178"/>
    </row>
    <row r="25" spans="1:9" ht="15.75" thickBot="1" x14ac:dyDescent="0.3">
      <c r="A25" s="223" t="s">
        <v>75</v>
      </c>
      <c r="B25" s="224"/>
      <c r="C25" s="185">
        <f t="shared" ref="C25" si="13">+C26+C35+C36+C37+C38+C39</f>
        <v>0</v>
      </c>
      <c r="D25" s="185">
        <f t="shared" ref="D25" si="14">+D26+D35+D36+D37+D38+D39</f>
        <v>0</v>
      </c>
      <c r="E25" s="186">
        <f t="shared" ref="E25" si="15">+E26+E35+E36+E37+E38+E39</f>
        <v>427648.63</v>
      </c>
      <c r="F25" s="187">
        <f t="shared" ref="F25:H25" si="16">+F26+F35+F36+F37+F38+F39</f>
        <v>368955.73</v>
      </c>
      <c r="G25" s="187">
        <f t="shared" si="16"/>
        <v>376334.84460000001</v>
      </c>
      <c r="H25" s="187">
        <f t="shared" si="16"/>
        <v>383861.54149199999</v>
      </c>
      <c r="I25" s="185"/>
    </row>
    <row r="26" spans="1:9" x14ac:dyDescent="0.25">
      <c r="A26" s="179">
        <v>51</v>
      </c>
      <c r="B26" s="180" t="s">
        <v>76</v>
      </c>
      <c r="C26" s="181"/>
      <c r="D26" s="181"/>
      <c r="E26" s="182">
        <f>SUM(E27:E34)</f>
        <v>427648.63</v>
      </c>
      <c r="F26" s="183">
        <f>SUM(F27:F34)</f>
        <v>368955.73</v>
      </c>
      <c r="G26" s="183">
        <f t="shared" ref="G26:H26" si="17">SUM(G27:G34)</f>
        <v>376334.84460000001</v>
      </c>
      <c r="H26" s="183">
        <f t="shared" si="17"/>
        <v>383861.54149199999</v>
      </c>
      <c r="I26" s="184"/>
    </row>
    <row r="27" spans="1:9" x14ac:dyDescent="0.25">
      <c r="A27" s="16">
        <v>5101</v>
      </c>
      <c r="B27" s="170" t="s">
        <v>77</v>
      </c>
      <c r="C27" s="15"/>
      <c r="D27" s="15"/>
      <c r="E27" s="103">
        <v>316209</v>
      </c>
      <c r="F27" s="155">
        <v>269328</v>
      </c>
      <c r="G27" s="155">
        <f>+F27*2%+F27</f>
        <v>274714.56</v>
      </c>
      <c r="H27" s="155">
        <f>+G27*2%+G27</f>
        <v>280208.85119999998</v>
      </c>
      <c r="I27" s="172"/>
    </row>
    <row r="28" spans="1:9" x14ac:dyDescent="0.25">
      <c r="A28" s="16">
        <v>5102</v>
      </c>
      <c r="B28" s="170" t="s">
        <v>78</v>
      </c>
      <c r="C28" s="15"/>
      <c r="D28" s="15"/>
      <c r="E28" s="103">
        <v>34754</v>
      </c>
      <c r="F28" s="155">
        <v>27202</v>
      </c>
      <c r="G28" s="155">
        <f>+F28*2%+F28</f>
        <v>27746.04</v>
      </c>
      <c r="H28" s="155">
        <f>+G28*2%+G28</f>
        <v>28300.960800000001</v>
      </c>
      <c r="I28" s="172"/>
    </row>
    <row r="29" spans="1:9" x14ac:dyDescent="0.25">
      <c r="A29" s="16">
        <v>5103</v>
      </c>
      <c r="B29" s="170" t="s">
        <v>79</v>
      </c>
      <c r="C29" s="15"/>
      <c r="D29" s="15"/>
      <c r="E29" s="103"/>
      <c r="F29" s="155"/>
      <c r="G29" s="155"/>
      <c r="H29" s="155"/>
      <c r="I29" s="172"/>
    </row>
    <row r="30" spans="1:9" x14ac:dyDescent="0.25">
      <c r="A30" s="16">
        <v>5104</v>
      </c>
      <c r="B30" s="170" t="s">
        <v>80</v>
      </c>
      <c r="C30" s="15"/>
      <c r="D30" s="15"/>
      <c r="E30" s="103"/>
      <c r="F30" s="155"/>
      <c r="G30" s="155"/>
      <c r="H30" s="155"/>
      <c r="I30" s="172"/>
    </row>
    <row r="31" spans="1:9" x14ac:dyDescent="0.25">
      <c r="A31" s="16">
        <v>5105</v>
      </c>
      <c r="B31" s="170" t="s">
        <v>81</v>
      </c>
      <c r="C31" s="15"/>
      <c r="D31" s="15"/>
      <c r="E31" s="103">
        <v>5000</v>
      </c>
      <c r="F31" s="155">
        <v>7000</v>
      </c>
      <c r="G31" s="155">
        <f t="shared" ref="G31:H31" si="18">+F31*2%+F31</f>
        <v>7140</v>
      </c>
      <c r="H31" s="155">
        <f t="shared" si="18"/>
        <v>7282.8</v>
      </c>
      <c r="I31" s="172"/>
    </row>
    <row r="32" spans="1:9" x14ac:dyDescent="0.25">
      <c r="A32" s="16">
        <v>5106</v>
      </c>
      <c r="B32" s="170" t="s">
        <v>82</v>
      </c>
      <c r="C32" s="15"/>
      <c r="D32" s="15"/>
      <c r="E32" s="103">
        <v>57886.63</v>
      </c>
      <c r="F32" s="155">
        <v>53811.73</v>
      </c>
      <c r="G32" s="155">
        <f t="shared" ref="G32:H32" si="19">+F32*2%+F32</f>
        <v>54887.964600000007</v>
      </c>
      <c r="H32" s="155">
        <f t="shared" si="19"/>
        <v>55985.723892000009</v>
      </c>
      <c r="I32" s="172"/>
    </row>
    <row r="33" spans="1:9" x14ac:dyDescent="0.25">
      <c r="A33" s="16">
        <v>5107</v>
      </c>
      <c r="B33" s="170" t="s">
        <v>83</v>
      </c>
      <c r="C33" s="15"/>
      <c r="D33" s="15"/>
      <c r="E33" s="103">
        <v>13799</v>
      </c>
      <c r="F33" s="155">
        <v>11614</v>
      </c>
      <c r="G33" s="155">
        <f t="shared" ref="G33:H33" si="20">+F33*2%+F33</f>
        <v>11846.28</v>
      </c>
      <c r="H33" s="155">
        <f t="shared" si="20"/>
        <v>12083.205600000001</v>
      </c>
      <c r="I33" s="172"/>
    </row>
    <row r="34" spans="1:9" x14ac:dyDescent="0.25">
      <c r="A34" s="16">
        <v>5199</v>
      </c>
      <c r="B34" s="170" t="s">
        <v>84</v>
      </c>
      <c r="C34" s="15"/>
      <c r="D34" s="15"/>
      <c r="E34" s="103"/>
      <c r="F34" s="15"/>
      <c r="G34" s="15"/>
      <c r="H34" s="15"/>
      <c r="I34" s="172"/>
    </row>
    <row r="35" spans="1:9" x14ac:dyDescent="0.25">
      <c r="A35" s="14">
        <v>53</v>
      </c>
      <c r="B35" s="171" t="s">
        <v>85</v>
      </c>
      <c r="C35" s="15"/>
      <c r="D35" s="15"/>
      <c r="E35" s="103"/>
      <c r="F35" s="15"/>
      <c r="G35" s="15"/>
      <c r="H35" s="15"/>
      <c r="I35" s="172"/>
    </row>
    <row r="36" spans="1:9" x14ac:dyDescent="0.25">
      <c r="A36" s="14">
        <v>56</v>
      </c>
      <c r="B36" s="171" t="s">
        <v>86</v>
      </c>
      <c r="C36" s="15"/>
      <c r="D36" s="15"/>
      <c r="E36" s="103"/>
      <c r="F36" s="15"/>
      <c r="G36" s="15"/>
      <c r="H36" s="15"/>
      <c r="I36" s="172"/>
    </row>
    <row r="37" spans="1:9" x14ac:dyDescent="0.25">
      <c r="A37" s="14">
        <v>57</v>
      </c>
      <c r="B37" s="171" t="s">
        <v>87</v>
      </c>
      <c r="C37" s="15"/>
      <c r="D37" s="15"/>
      <c r="E37" s="103"/>
      <c r="F37" s="15"/>
      <c r="G37" s="15"/>
      <c r="H37" s="15"/>
      <c r="I37" s="172"/>
    </row>
    <row r="38" spans="1:9" x14ac:dyDescent="0.25">
      <c r="A38" s="14">
        <v>58</v>
      </c>
      <c r="B38" s="171" t="s">
        <v>88</v>
      </c>
      <c r="C38" s="15"/>
      <c r="D38" s="15"/>
      <c r="E38" s="103"/>
      <c r="F38" s="15"/>
      <c r="G38" s="15"/>
      <c r="H38" s="15"/>
      <c r="I38" s="172"/>
    </row>
    <row r="39" spans="1:9" ht="15.75" thickBot="1" x14ac:dyDescent="0.3">
      <c r="A39" s="188">
        <v>59</v>
      </c>
      <c r="B39" s="189" t="s">
        <v>89</v>
      </c>
      <c r="C39" s="20"/>
      <c r="D39" s="20"/>
      <c r="E39" s="190"/>
      <c r="F39" s="20"/>
      <c r="G39" s="20"/>
      <c r="H39" s="20"/>
      <c r="I39" s="178"/>
    </row>
    <row r="40" spans="1:9" ht="15.75" thickBot="1" x14ac:dyDescent="0.3">
      <c r="A40" s="225" t="s">
        <v>90</v>
      </c>
      <c r="B40" s="226"/>
      <c r="C40" s="192">
        <f t="shared" ref="C40" si="21">+C7-C25</f>
        <v>17497</v>
      </c>
      <c r="D40" s="192">
        <f t="shared" ref="D40" si="22">+D7-D25</f>
        <v>31877.910000000003</v>
      </c>
      <c r="E40" s="193">
        <f t="shared" ref="E40" si="23">+E7-E25</f>
        <v>312653.23</v>
      </c>
      <c r="F40" s="192">
        <f t="shared" ref="F40:H40" si="24">+F7-F25</f>
        <v>326079.23</v>
      </c>
      <c r="G40" s="192">
        <f t="shared" si="24"/>
        <v>-376334.84460000001</v>
      </c>
      <c r="H40" s="192">
        <f t="shared" si="24"/>
        <v>-383861.54149199999</v>
      </c>
      <c r="I40" s="192"/>
    </row>
    <row r="41" spans="1:9" x14ac:dyDescent="0.25">
      <c r="A41" s="227" t="s">
        <v>91</v>
      </c>
      <c r="B41" s="228"/>
      <c r="C41" s="13">
        <f t="shared" ref="C41" si="25">SUM(C42:C43)</f>
        <v>11308493.330000002</v>
      </c>
      <c r="D41" s="13">
        <f t="shared" ref="D41" si="26">SUM(D42:D43)</f>
        <v>7339138.2400000002</v>
      </c>
      <c r="E41" s="159">
        <f t="shared" ref="E41" si="27">SUM(E42:E43)</f>
        <v>2586861.54</v>
      </c>
      <c r="F41" s="13">
        <f t="shared" ref="F41:H41" si="28">SUM(F42:F43)</f>
        <v>1564923.6400000001</v>
      </c>
      <c r="G41" s="13">
        <f t="shared" si="28"/>
        <v>1596222.1128000002</v>
      </c>
      <c r="H41" s="13">
        <f t="shared" si="28"/>
        <v>1628146.5550560001</v>
      </c>
      <c r="I41" s="191"/>
    </row>
    <row r="42" spans="1:9" x14ac:dyDescent="0.25">
      <c r="A42" s="18">
        <v>24</v>
      </c>
      <c r="B42" s="19" t="s">
        <v>92</v>
      </c>
      <c r="C42" s="15"/>
      <c r="D42" s="15"/>
      <c r="E42" s="103"/>
      <c r="F42" s="15"/>
      <c r="G42" s="15"/>
      <c r="H42" s="15"/>
      <c r="I42" s="172"/>
    </row>
    <row r="43" spans="1:9" ht="15.75" thickBot="1" x14ac:dyDescent="0.3">
      <c r="A43" s="194">
        <v>28</v>
      </c>
      <c r="B43" s="195" t="s">
        <v>93</v>
      </c>
      <c r="C43" s="196">
        <f>4050000+1849518.62+1720056.33+150000+150000+1309452.42+2011465.96+46000+22000</f>
        <v>11308493.330000002</v>
      </c>
      <c r="D43" s="196">
        <f>3392359.99+3946778.25</f>
        <v>7339138.2400000002</v>
      </c>
      <c r="E43" s="197">
        <f>1155116.28+314966.56+541565.86+575212.84</f>
        <v>2586861.54</v>
      </c>
      <c r="F43" s="196">
        <f>934774.56+630149.08</f>
        <v>1564923.6400000001</v>
      </c>
      <c r="G43" s="196">
        <f>+F43*2%+F43</f>
        <v>1596222.1128000002</v>
      </c>
      <c r="H43" s="196">
        <f>+G43*2%+G43</f>
        <v>1628146.5550560001</v>
      </c>
      <c r="I43" s="178"/>
    </row>
    <row r="44" spans="1:9" ht="15.75" thickBot="1" x14ac:dyDescent="0.3">
      <c r="A44" s="223" t="s">
        <v>94</v>
      </c>
      <c r="B44" s="224"/>
      <c r="C44" s="187">
        <f t="shared" ref="C44" si="29">+C45+C46+C47+C48+C57+C58+C65+C66+C67+C68</f>
        <v>11325990.330000002</v>
      </c>
      <c r="D44" s="185">
        <f t="shared" ref="D44" si="30">+D45+D46+D47+D48+D57+D58+D65+D66+D67+D68</f>
        <v>7339138.2399999993</v>
      </c>
      <c r="E44" s="186">
        <f t="shared" ref="E44" si="31">+E45+E46+E47+E48+E57+E58+E65+E66+E67+E68</f>
        <v>2899514.77</v>
      </c>
      <c r="F44" s="185">
        <f t="shared" ref="F44:H44" si="32">+F45+F46+F47+F48+F57+F58+F65+F66+F67+F68</f>
        <v>1891002.87</v>
      </c>
      <c r="G44" s="185">
        <f t="shared" si="32"/>
        <v>514247.50740000006</v>
      </c>
      <c r="H44" s="185">
        <f t="shared" si="32"/>
        <v>539796.72754800005</v>
      </c>
      <c r="I44" s="199"/>
    </row>
    <row r="45" spans="1:9" x14ac:dyDescent="0.25">
      <c r="A45" s="179" t="s">
        <v>95</v>
      </c>
      <c r="B45" s="180" t="s">
        <v>96</v>
      </c>
      <c r="C45" s="181"/>
      <c r="D45" s="181"/>
      <c r="E45" s="198"/>
      <c r="F45" s="181"/>
      <c r="G45" s="181"/>
      <c r="H45" s="181"/>
      <c r="I45" s="184"/>
    </row>
    <row r="46" spans="1:9" x14ac:dyDescent="0.25">
      <c r="A46" s="14" t="s">
        <v>97</v>
      </c>
      <c r="B46" s="171" t="s">
        <v>98</v>
      </c>
      <c r="C46" s="15"/>
      <c r="D46" s="15"/>
      <c r="E46" s="103"/>
      <c r="F46" s="15"/>
      <c r="G46" s="15"/>
      <c r="H46" s="15"/>
      <c r="I46" s="172"/>
    </row>
    <row r="47" spans="1:9" x14ac:dyDescent="0.25">
      <c r="A47" s="14" t="s">
        <v>99</v>
      </c>
      <c r="B47" s="171" t="s">
        <v>100</v>
      </c>
      <c r="C47" s="15"/>
      <c r="D47" s="15"/>
      <c r="E47" s="103"/>
      <c r="F47" s="15"/>
      <c r="G47" s="15"/>
      <c r="H47" s="15"/>
      <c r="I47" s="172"/>
    </row>
    <row r="48" spans="1:9" x14ac:dyDescent="0.25">
      <c r="A48" s="14">
        <v>71</v>
      </c>
      <c r="B48" s="171" t="s">
        <v>101</v>
      </c>
      <c r="C48" s="161">
        <f t="shared" ref="C48" si="33">SUM(C49:C56)</f>
        <v>2303861.4200000004</v>
      </c>
      <c r="D48" s="161">
        <f t="shared" ref="D48" si="34">SUM(D49:D56)</f>
        <v>1832252.1</v>
      </c>
      <c r="E48" s="153">
        <f t="shared" ref="E48" si="35">SUM(E49:E56)</f>
        <v>802779.80000000016</v>
      </c>
      <c r="F48" s="161">
        <f t="shared" ref="F48" si="36">SUM(F49:F56)</f>
        <v>484580.00000000006</v>
      </c>
      <c r="G48" s="156">
        <f t="shared" ref="G48:H48" si="37">+F48*5%+F48</f>
        <v>508809.00000000006</v>
      </c>
      <c r="H48" s="156">
        <f t="shared" si="37"/>
        <v>534249.45000000007</v>
      </c>
      <c r="I48" s="172"/>
    </row>
    <row r="49" spans="1:9" x14ac:dyDescent="0.25">
      <c r="A49" s="16">
        <v>7101</v>
      </c>
      <c r="B49" s="170" t="s">
        <v>77</v>
      </c>
      <c r="C49" s="141">
        <f>240054.23+292620.38+16782.13+5000+162377.49+13536.1+2566.33+3646.04+108110.04+67180.35+109257.02+1999.17+91977.64+64001.06+143577.06+305303.96+4038.6+55810.5+600+4042</f>
        <v>1692480.1</v>
      </c>
      <c r="D49" s="141">
        <f>862973.66+49083.77+80763.63+59738.2+65444.6+64015.36</f>
        <v>1182019.2200000002</v>
      </c>
      <c r="E49" s="158">
        <v>43056</v>
      </c>
      <c r="F49" s="141">
        <v>43056</v>
      </c>
      <c r="G49" s="155">
        <f>+F49*2%+F49</f>
        <v>43917.120000000003</v>
      </c>
      <c r="H49" s="155">
        <f>+G49*2%+G49</f>
        <v>44795.462400000004</v>
      </c>
      <c r="I49" s="172"/>
    </row>
    <row r="50" spans="1:9" x14ac:dyDescent="0.25">
      <c r="A50" s="16">
        <v>7102</v>
      </c>
      <c r="B50" s="170" t="s">
        <v>78</v>
      </c>
      <c r="C50" s="141">
        <f>20388.79+7467.9+24528.52+5915.43+4000+3000+14061.6+6914.07+18944.22+9182.81+19683.22+5038.45+5829.69+1471.44+11077.31+2275.38+4802.19+2834.02+5816.07+7760.83+623.64+132.5+32482.46+12633.07+4303.98+1359.84</f>
        <v>232527.43000000002</v>
      </c>
      <c r="D50" s="141">
        <f>152120.78+7281.15+6160.15</f>
        <v>165562.07999999999</v>
      </c>
      <c r="E50" s="158">
        <v>68203.38</v>
      </c>
      <c r="F50" s="141">
        <v>41937.94</v>
      </c>
      <c r="G50" s="155">
        <f t="shared" ref="G50:H50" si="38">+F50*2%+F50</f>
        <v>42776.698800000006</v>
      </c>
      <c r="H50" s="155">
        <f t="shared" si="38"/>
        <v>43632.232776000004</v>
      </c>
      <c r="I50" s="172"/>
    </row>
    <row r="51" spans="1:9" x14ac:dyDescent="0.25">
      <c r="A51" s="16">
        <v>7103</v>
      </c>
      <c r="B51" s="170" t="s">
        <v>79</v>
      </c>
      <c r="C51" s="141">
        <f>264+2112+625+372+4110</f>
        <v>7483</v>
      </c>
      <c r="D51" s="141">
        <v>7100</v>
      </c>
      <c r="E51" s="158">
        <v>7128</v>
      </c>
      <c r="F51" s="141">
        <v>7128</v>
      </c>
      <c r="G51" s="155">
        <f t="shared" ref="G51:H51" si="39">+F51*2%+F51</f>
        <v>7270.56</v>
      </c>
      <c r="H51" s="155">
        <f t="shared" si="39"/>
        <v>7415.9712</v>
      </c>
      <c r="I51" s="172"/>
    </row>
    <row r="52" spans="1:9" x14ac:dyDescent="0.25">
      <c r="A52" s="16">
        <v>7104</v>
      </c>
      <c r="B52" s="170" t="s">
        <v>80</v>
      </c>
      <c r="C52" s="141">
        <f>152.64+89.17</f>
        <v>241.81</v>
      </c>
      <c r="D52" s="141">
        <v>1062.24</v>
      </c>
      <c r="E52" s="158">
        <v>698.64</v>
      </c>
      <c r="F52" s="141">
        <v>9314.64</v>
      </c>
      <c r="G52" s="155">
        <f t="shared" ref="G52:H52" si="40">+F52*2%+F52</f>
        <v>9500.9327999999987</v>
      </c>
      <c r="H52" s="155">
        <f t="shared" si="40"/>
        <v>9690.9514559999989</v>
      </c>
      <c r="I52" s="172"/>
    </row>
    <row r="53" spans="1:9" x14ac:dyDescent="0.25">
      <c r="A53" s="16">
        <v>7105</v>
      </c>
      <c r="B53" s="170" t="s">
        <v>81</v>
      </c>
      <c r="C53" s="141">
        <f>7662.12+8278+3071.12+560+2000+35510+5017.13+2310+7384.06+7483.6+4642</f>
        <v>83918.03</v>
      </c>
      <c r="D53" s="141">
        <f>135590.1+8380+21180+9279.36</f>
        <v>174429.46000000002</v>
      </c>
      <c r="E53" s="158">
        <v>560544.06000000006</v>
      </c>
      <c r="F53" s="141">
        <v>299000.51</v>
      </c>
      <c r="G53" s="155">
        <f t="shared" ref="G53:H53" si="41">+F53*2%+F53</f>
        <v>304980.52020000003</v>
      </c>
      <c r="H53" s="155">
        <f t="shared" si="41"/>
        <v>311080.13060400001</v>
      </c>
      <c r="I53" s="172"/>
    </row>
    <row r="54" spans="1:9" x14ac:dyDescent="0.25">
      <c r="A54" s="16">
        <v>7106</v>
      </c>
      <c r="B54" s="170" t="s">
        <v>82</v>
      </c>
      <c r="C54" s="141">
        <f>25506.78+12161.52+35291.29+22157.59+17853.56+9201.81+130.74+311.82+443.03+27516.86+7637.49+8150.1+1863.75+15485.74+2483.3+9180.4+353.41+4784.59+871.8+39285.54+7151.72+6275.34+4304</f>
        <v>258402.17999999996</v>
      </c>
      <c r="D54" s="141">
        <f>128722.52+7194.7+12438.24+10674.92+8953.98+9915.62</f>
        <v>177899.98</v>
      </c>
      <c r="E54" s="158">
        <v>80919.05</v>
      </c>
      <c r="F54" s="141">
        <v>60365.07</v>
      </c>
      <c r="G54" s="155">
        <f t="shared" ref="G54:H54" si="42">+F54*2%+F54</f>
        <v>61572.371399999996</v>
      </c>
      <c r="H54" s="155">
        <f t="shared" si="42"/>
        <v>62803.818827999996</v>
      </c>
      <c r="I54" s="172"/>
    </row>
    <row r="55" spans="1:9" x14ac:dyDescent="0.25">
      <c r="A55" s="16">
        <v>7107</v>
      </c>
      <c r="B55" s="170" t="s">
        <v>83</v>
      </c>
      <c r="C55" s="141"/>
      <c r="D55" s="141">
        <v>124179.12</v>
      </c>
      <c r="E55" s="158">
        <v>42230.67</v>
      </c>
      <c r="F55" s="141">
        <v>21777.84</v>
      </c>
      <c r="G55" s="155">
        <f t="shared" ref="G55:H55" si="43">+F55*2%+F55</f>
        <v>22213.396799999999</v>
      </c>
      <c r="H55" s="155">
        <f t="shared" si="43"/>
        <v>22657.664735999999</v>
      </c>
      <c r="I55" s="172"/>
    </row>
    <row r="56" spans="1:9" x14ac:dyDescent="0.25">
      <c r="A56" s="16">
        <v>7199</v>
      </c>
      <c r="B56" s="170" t="s">
        <v>84</v>
      </c>
      <c r="C56" s="98">
        <v>28808.87</v>
      </c>
      <c r="D56" s="98"/>
      <c r="E56" s="103"/>
      <c r="F56" s="148">
        <v>2000</v>
      </c>
      <c r="G56" s="148"/>
      <c r="H56" s="148"/>
      <c r="I56" s="172"/>
    </row>
    <row r="57" spans="1:9" x14ac:dyDescent="0.25">
      <c r="A57" s="14">
        <v>73</v>
      </c>
      <c r="B57" s="171" t="s">
        <v>102</v>
      </c>
      <c r="C57" s="140">
        <f>782296.7+339587.87+1481.31+126765.64+14437.24+1260+4815+20831.46+11569.26+2621.15+22192.14+29433.55+9609.58+32608.04+43422.43+520.9+9924.98+3331.46+28044.8+1819.77+5299.96+18173.55+2031.4+11095.13+8481.49+268.8+5377.03+26220</f>
        <v>1563520.6399999994</v>
      </c>
      <c r="D57" s="140">
        <f>5740.75+38070.93+90753.6+108934.8+50346.51+20060+466564.82+364+500+7920+4700+9958.77+5950.46+3844.3+3168.01+8767+7069.75+5000+1498.59</f>
        <v>839212.29</v>
      </c>
      <c r="E57" s="152">
        <f>2500+45684.28+48429.32+57371.5+73733.6+287.8+1354.51+88081.56+12092.33+100561.67+542666.93+470.4+314496.16</f>
        <v>1287730.06</v>
      </c>
      <c r="F57" s="140">
        <f>9712+12976.17+19000+21328.15+23154.88+469+4468+48842.69+20053.6+67119.25+451880.86</f>
        <v>679004.6</v>
      </c>
      <c r="G57" s="140"/>
      <c r="H57" s="140"/>
      <c r="I57" s="172"/>
    </row>
    <row r="58" spans="1:9" x14ac:dyDescent="0.25">
      <c r="A58" s="14">
        <v>75</v>
      </c>
      <c r="B58" s="171" t="s">
        <v>103</v>
      </c>
      <c r="C58" s="140">
        <f>SUM(C59:C64)</f>
        <v>7215804.9700000007</v>
      </c>
      <c r="D58" s="140">
        <f>SUM(D59:D64)</f>
        <v>4522864.22</v>
      </c>
      <c r="E58" s="152">
        <f t="shared" ref="E58" si="44">SUM(E59:E64)</f>
        <v>743096.9</v>
      </c>
      <c r="F58" s="140">
        <f t="shared" ref="F58" si="45">SUM(F59:F64)</f>
        <v>722086.40000000002</v>
      </c>
      <c r="G58" s="140"/>
      <c r="H58" s="140"/>
      <c r="I58" s="172"/>
    </row>
    <row r="59" spans="1:9" x14ac:dyDescent="0.25">
      <c r="A59" s="16">
        <v>7501</v>
      </c>
      <c r="B59" s="170" t="s">
        <v>104</v>
      </c>
      <c r="C59" s="15">
        <f>726287.84+15000+59577.73+403712.66+6857.42+4306.4+34728.02+6215.41+45128+567.28+815207.61+1380499.69+44373.14+10516.28+1668.54+55829.74+865243.28+758898.16+352062.35+470016.38+270643.49+256385.66+30434.51+62249+2823.97+3338+498175.25+71.11+7048.95+12609.78+15329.32</f>
        <v>7215804.9700000007</v>
      </c>
      <c r="D59" s="15">
        <f>1015749.06+754753.32+620+2136091.05+615650.79</f>
        <v>4522864.22</v>
      </c>
      <c r="E59" s="103">
        <v>733096.9</v>
      </c>
      <c r="F59" s="15">
        <v>722086.40000000002</v>
      </c>
      <c r="G59" s="155">
        <f t="shared" ref="G59:H59" si="46">+F59*2%+F59</f>
        <v>736528.12800000003</v>
      </c>
      <c r="H59" s="155">
        <f t="shared" si="46"/>
        <v>751258.69056000002</v>
      </c>
      <c r="I59" s="172"/>
    </row>
    <row r="60" spans="1:9" x14ac:dyDescent="0.25">
      <c r="A60" s="16">
        <v>7502</v>
      </c>
      <c r="B60" s="170" t="s">
        <v>105</v>
      </c>
      <c r="C60" s="15"/>
      <c r="D60" s="15"/>
      <c r="E60" s="103"/>
      <c r="F60" s="15"/>
      <c r="G60" s="15"/>
      <c r="H60" s="15"/>
      <c r="I60" s="172"/>
    </row>
    <row r="61" spans="1:9" x14ac:dyDescent="0.25">
      <c r="A61" s="16">
        <v>7503</v>
      </c>
      <c r="B61" s="170" t="s">
        <v>106</v>
      </c>
      <c r="C61" s="15"/>
      <c r="D61" s="15"/>
      <c r="E61" s="103"/>
      <c r="F61" s="15"/>
      <c r="G61" s="15"/>
      <c r="H61" s="15"/>
      <c r="I61" s="172"/>
    </row>
    <row r="62" spans="1:9" ht="23.25" x14ac:dyDescent="0.25">
      <c r="A62" s="16">
        <v>7504</v>
      </c>
      <c r="B62" s="169" t="s">
        <v>107</v>
      </c>
      <c r="C62" s="15"/>
      <c r="D62" s="15"/>
      <c r="E62" s="103"/>
      <c r="F62" s="15"/>
      <c r="G62" s="15"/>
      <c r="H62" s="15"/>
      <c r="I62" s="172"/>
    </row>
    <row r="63" spans="1:9" x14ac:dyDescent="0.25">
      <c r="A63" s="16">
        <v>7505</v>
      </c>
      <c r="B63" s="170" t="s">
        <v>108</v>
      </c>
      <c r="C63" s="15"/>
      <c r="D63" s="15"/>
      <c r="E63" s="146">
        <v>10000</v>
      </c>
      <c r="F63" s="15"/>
      <c r="G63" s="15"/>
      <c r="H63" s="15"/>
      <c r="I63" s="172"/>
    </row>
    <row r="64" spans="1:9" x14ac:dyDescent="0.25">
      <c r="A64" s="16">
        <v>7599</v>
      </c>
      <c r="B64" s="170" t="s">
        <v>84</v>
      </c>
      <c r="C64" s="15"/>
      <c r="D64" s="15"/>
      <c r="E64" s="146"/>
      <c r="F64" s="15"/>
      <c r="G64" s="15"/>
      <c r="H64" s="15"/>
      <c r="I64" s="172"/>
    </row>
    <row r="65" spans="1:9" x14ac:dyDescent="0.25">
      <c r="A65" s="14">
        <v>77</v>
      </c>
      <c r="B65" s="14" t="s">
        <v>109</v>
      </c>
      <c r="C65" s="15">
        <f>297.4+27758+45+80+80</f>
        <v>28260.400000000001</v>
      </c>
      <c r="D65" s="15">
        <v>26573.43</v>
      </c>
      <c r="E65" s="146">
        <f>3931.92+24516.09</f>
        <v>28448.010000000002</v>
      </c>
      <c r="F65" s="15">
        <f>3831.71+1500.16</f>
        <v>5331.87</v>
      </c>
      <c r="G65" s="155">
        <f t="shared" ref="G65:H65" si="47">+F65*2%+F65</f>
        <v>5438.5073999999995</v>
      </c>
      <c r="H65" s="155">
        <f t="shared" si="47"/>
        <v>5547.2775479999991</v>
      </c>
      <c r="I65" s="172"/>
    </row>
    <row r="66" spans="1:9" x14ac:dyDescent="0.25">
      <c r="A66" s="14">
        <v>78</v>
      </c>
      <c r="B66" s="171" t="s">
        <v>110</v>
      </c>
      <c r="C66" s="15"/>
      <c r="D66" s="15"/>
      <c r="E66" s="146"/>
      <c r="F66" s="15"/>
      <c r="G66" s="15"/>
      <c r="H66" s="15"/>
      <c r="I66" s="172"/>
    </row>
    <row r="67" spans="1:9" x14ac:dyDescent="0.25">
      <c r="A67" s="14">
        <v>84</v>
      </c>
      <c r="B67" s="171" t="s">
        <v>111</v>
      </c>
      <c r="C67" s="15">
        <f>101963.2+59625.96+25800+14824.25+12329.49</f>
        <v>214542.9</v>
      </c>
      <c r="D67" s="15">
        <v>118236.2</v>
      </c>
      <c r="E67" s="146">
        <v>37460</v>
      </c>
      <c r="F67" s="15"/>
      <c r="G67" s="155">
        <f>+F67*5%+F67</f>
        <v>0</v>
      </c>
      <c r="H67" s="155">
        <f>+G67*5%+G67</f>
        <v>0</v>
      </c>
      <c r="I67" s="172"/>
    </row>
    <row r="68" spans="1:9" ht="15.75" thickBot="1" x14ac:dyDescent="0.3">
      <c r="A68" s="188">
        <v>88</v>
      </c>
      <c r="B68" s="189" t="s">
        <v>112</v>
      </c>
      <c r="C68" s="20"/>
      <c r="D68" s="20"/>
      <c r="E68" s="190"/>
      <c r="F68" s="20"/>
      <c r="G68" s="20"/>
      <c r="H68" s="20"/>
      <c r="I68" s="178"/>
    </row>
    <row r="69" spans="1:9" ht="15.75" thickBot="1" x14ac:dyDescent="0.3">
      <c r="A69" s="225" t="s">
        <v>113</v>
      </c>
      <c r="B69" s="226"/>
      <c r="C69" s="202">
        <f t="shared" ref="C69" si="48">+C41-C44</f>
        <v>-17497</v>
      </c>
      <c r="D69" s="202">
        <f t="shared" ref="D69" si="49">+D41-D44</f>
        <v>0</v>
      </c>
      <c r="E69" s="203">
        <f t="shared" ref="E69" si="50">+E41-E44</f>
        <v>-312653.23</v>
      </c>
      <c r="F69" s="202">
        <f>+F41-F44</f>
        <v>-326079.23</v>
      </c>
      <c r="G69" s="202"/>
      <c r="H69" s="202"/>
      <c r="I69" s="204"/>
    </row>
    <row r="70" spans="1:9" x14ac:dyDescent="0.25">
      <c r="A70" s="229" t="s">
        <v>114</v>
      </c>
      <c r="B70" s="230"/>
      <c r="C70" s="200">
        <f t="shared" ref="C70" si="51">+C40+C69</f>
        <v>0</v>
      </c>
      <c r="D70" s="200">
        <f t="shared" ref="D70" si="52">+D40+D69</f>
        <v>31877.910000000003</v>
      </c>
      <c r="E70" s="201">
        <f t="shared" ref="E70" si="53">+E40+E69</f>
        <v>0</v>
      </c>
      <c r="F70" s="200">
        <f>+F40+F69</f>
        <v>0</v>
      </c>
      <c r="G70" s="200"/>
      <c r="H70" s="200"/>
      <c r="I70" s="200"/>
    </row>
    <row r="71" spans="1:9" x14ac:dyDescent="0.25">
      <c r="A71" s="231" t="s">
        <v>115</v>
      </c>
      <c r="B71" s="232"/>
      <c r="C71" s="17">
        <f>SUM(C72:C75)</f>
        <v>0</v>
      </c>
      <c r="D71" s="17">
        <f>SUM(D72:D75)</f>
        <v>0</v>
      </c>
      <c r="E71" s="150">
        <f t="shared" ref="E71" si="54">SUM(E72:E75)</f>
        <v>0</v>
      </c>
      <c r="F71" s="147">
        <f t="shared" ref="F71" si="55">SUM(F72:F75)</f>
        <v>848484.64</v>
      </c>
      <c r="G71" s="147">
        <f t="shared" ref="G71:H71" si="56">SUM(G72:G75)</f>
        <v>0</v>
      </c>
      <c r="H71" s="147">
        <f t="shared" si="56"/>
        <v>0</v>
      </c>
      <c r="I71" s="173"/>
    </row>
    <row r="72" spans="1:9" x14ac:dyDescent="0.25">
      <c r="A72" s="21">
        <v>27</v>
      </c>
      <c r="B72" s="19" t="s">
        <v>116</v>
      </c>
      <c r="C72" s="15"/>
      <c r="D72" s="15"/>
      <c r="E72" s="103"/>
      <c r="F72" s="15"/>
      <c r="G72" s="15"/>
      <c r="H72" s="15"/>
      <c r="I72" s="172"/>
    </row>
    <row r="73" spans="1:9" x14ac:dyDescent="0.25">
      <c r="A73" s="22">
        <v>36</v>
      </c>
      <c r="B73" s="23" t="s">
        <v>117</v>
      </c>
      <c r="C73" s="15"/>
      <c r="D73" s="15"/>
      <c r="E73" s="103"/>
      <c r="F73" s="15"/>
      <c r="G73" s="15"/>
      <c r="H73" s="15"/>
      <c r="I73" s="172"/>
    </row>
    <row r="74" spans="1:9" x14ac:dyDescent="0.25">
      <c r="A74" s="18">
        <v>37</v>
      </c>
      <c r="B74" s="19" t="s">
        <v>118</v>
      </c>
      <c r="C74" s="15"/>
      <c r="D74" s="15"/>
      <c r="E74" s="103"/>
      <c r="F74" s="148">
        <v>848484.64</v>
      </c>
      <c r="G74" s="148"/>
      <c r="H74" s="148"/>
      <c r="I74" s="172"/>
    </row>
    <row r="75" spans="1:9" x14ac:dyDescent="0.25">
      <c r="A75" s="18">
        <v>38</v>
      </c>
      <c r="B75" s="19" t="s">
        <v>119</v>
      </c>
      <c r="C75" s="15"/>
      <c r="D75" s="15"/>
      <c r="E75" s="103"/>
      <c r="F75" s="15"/>
      <c r="G75" s="15"/>
      <c r="H75" s="15"/>
      <c r="I75" s="172"/>
    </row>
    <row r="76" spans="1:9" x14ac:dyDescent="0.25">
      <c r="A76" s="221" t="s">
        <v>120</v>
      </c>
      <c r="B76" s="233"/>
      <c r="C76" s="17">
        <f>SUM(C77:C80)</f>
        <v>0</v>
      </c>
      <c r="D76" s="17">
        <f>SUM(D77:D80)</f>
        <v>0</v>
      </c>
      <c r="E76" s="150">
        <f t="shared" ref="E76" si="57">SUM(E77:E80)</f>
        <v>0</v>
      </c>
      <c r="F76" s="17">
        <f t="shared" ref="F76" si="58">SUM(F77:F80)</f>
        <v>0</v>
      </c>
      <c r="G76" s="17">
        <f t="shared" ref="G76:H76" si="59">SUM(G77:G80)</f>
        <v>0</v>
      </c>
      <c r="H76" s="17">
        <f t="shared" si="59"/>
        <v>0</v>
      </c>
      <c r="I76" s="173"/>
    </row>
    <row r="77" spans="1:9" x14ac:dyDescent="0.25">
      <c r="A77" s="18">
        <v>87</v>
      </c>
      <c r="B77" s="19" t="s">
        <v>121</v>
      </c>
      <c r="C77" s="15"/>
      <c r="D77" s="15"/>
      <c r="E77" s="103"/>
      <c r="F77" s="15"/>
      <c r="G77" s="15"/>
      <c r="H77" s="15"/>
      <c r="I77" s="172"/>
    </row>
    <row r="78" spans="1:9" x14ac:dyDescent="0.25">
      <c r="A78" s="18">
        <v>96</v>
      </c>
      <c r="B78" s="19" t="s">
        <v>122</v>
      </c>
      <c r="C78" s="15"/>
      <c r="D78" s="15"/>
      <c r="E78" s="103"/>
      <c r="F78" s="15"/>
      <c r="G78" s="15"/>
      <c r="H78" s="15"/>
      <c r="I78" s="172"/>
    </row>
    <row r="79" spans="1:9" x14ac:dyDescent="0.25">
      <c r="A79" s="18">
        <v>97</v>
      </c>
      <c r="B79" s="19" t="s">
        <v>123</v>
      </c>
      <c r="C79" s="15"/>
      <c r="D79" s="15"/>
      <c r="E79" s="103"/>
      <c r="F79" s="15"/>
      <c r="G79" s="15"/>
      <c r="H79" s="15"/>
      <c r="I79" s="172"/>
    </row>
    <row r="80" spans="1:9" ht="15.75" thickBot="1" x14ac:dyDescent="0.3">
      <c r="A80" s="24">
        <v>99</v>
      </c>
      <c r="B80" s="25" t="s">
        <v>124</v>
      </c>
      <c r="C80" s="15"/>
      <c r="D80" s="15"/>
      <c r="E80" s="103"/>
      <c r="F80" s="15"/>
      <c r="G80" s="15"/>
      <c r="H80" s="15"/>
      <c r="I80" s="172"/>
    </row>
    <row r="81" spans="1:9" ht="15.75" thickBot="1" x14ac:dyDescent="0.3">
      <c r="A81" s="234" t="s">
        <v>125</v>
      </c>
      <c r="B81" s="235"/>
      <c r="C81" s="26">
        <f t="shared" ref="C81" si="60">+C71-C76</f>
        <v>0</v>
      </c>
      <c r="D81" s="26">
        <f t="shared" ref="D81" si="61">+D71-D76</f>
        <v>0</v>
      </c>
      <c r="E81" s="160">
        <f t="shared" ref="E81" si="62">+E71-E76</f>
        <v>0</v>
      </c>
      <c r="F81" s="26">
        <f t="shared" ref="F81" si="63">+F71-F76</f>
        <v>848484.64</v>
      </c>
      <c r="G81" s="26"/>
      <c r="H81" s="26"/>
      <c r="I81" s="26"/>
    </row>
    <row r="82" spans="1:9" s="27" customFormat="1" ht="15.75" thickBot="1" x14ac:dyDescent="0.3">
      <c r="A82" s="67" t="s">
        <v>126</v>
      </c>
      <c r="B82" s="68"/>
      <c r="C82" s="68"/>
      <c r="D82" s="68"/>
      <c r="E82" s="68"/>
      <c r="F82" s="68"/>
      <c r="G82" s="151"/>
      <c r="H82" s="151"/>
    </row>
    <row r="83" spans="1:9" x14ac:dyDescent="0.25">
      <c r="A83" s="28" t="s">
        <v>127</v>
      </c>
    </row>
    <row r="84" spans="1:9" x14ac:dyDescent="0.25">
      <c r="A84" s="28" t="s">
        <v>128</v>
      </c>
    </row>
    <row r="85" spans="1:9" x14ac:dyDescent="0.25">
      <c r="A85" s="28" t="s">
        <v>129</v>
      </c>
    </row>
    <row r="86" spans="1:9" x14ac:dyDescent="0.25">
      <c r="A86" s="28" t="s">
        <v>24</v>
      </c>
    </row>
    <row r="87" spans="1:9" ht="12" customHeight="1" x14ac:dyDescent="0.25">
      <c r="F87" s="236"/>
      <c r="G87" s="236"/>
      <c r="H87" s="236"/>
    </row>
    <row r="88" spans="1:9" x14ac:dyDescent="0.25">
      <c r="A88" s="213" t="s">
        <v>160</v>
      </c>
      <c r="B88" s="213"/>
      <c r="C88" s="213"/>
      <c r="F88" s="218" t="s">
        <v>178</v>
      </c>
      <c r="G88" s="218"/>
      <c r="H88" s="218"/>
    </row>
    <row r="89" spans="1:9" x14ac:dyDescent="0.25">
      <c r="A89" s="220" t="s">
        <v>168</v>
      </c>
      <c r="B89" s="220"/>
      <c r="C89" s="220"/>
      <c r="F89" s="219" t="s">
        <v>179</v>
      </c>
      <c r="G89" s="219"/>
      <c r="H89" s="219"/>
    </row>
    <row r="90" spans="1:9" x14ac:dyDescent="0.25">
      <c r="A90" s="29" t="s">
        <v>169</v>
      </c>
    </row>
    <row r="91" spans="1:9" x14ac:dyDescent="0.25">
      <c r="A91" s="29"/>
    </row>
  </sheetData>
  <mergeCells count="22">
    <mergeCell ref="I4:I6"/>
    <mergeCell ref="A1:F1"/>
    <mergeCell ref="A2:F2"/>
    <mergeCell ref="A3:F3"/>
    <mergeCell ref="A4:B5"/>
    <mergeCell ref="C4:E5"/>
    <mergeCell ref="F4:H5"/>
    <mergeCell ref="F88:H88"/>
    <mergeCell ref="F89:H89"/>
    <mergeCell ref="A89:C89"/>
    <mergeCell ref="A7:B7"/>
    <mergeCell ref="A25:B25"/>
    <mergeCell ref="A40:B40"/>
    <mergeCell ref="A41:B41"/>
    <mergeCell ref="A44:B44"/>
    <mergeCell ref="A69:B69"/>
    <mergeCell ref="A70:B70"/>
    <mergeCell ref="A71:B71"/>
    <mergeCell ref="A76:B76"/>
    <mergeCell ref="A81:B81"/>
    <mergeCell ref="A88:C88"/>
    <mergeCell ref="F87:H87"/>
  </mergeCells>
  <printOptions horizontalCentered="1"/>
  <pageMargins left="0" right="0" top="0.74803149606299213" bottom="0.74803149606299213" header="0.31496062992125984" footer="0.31496062992125984"/>
  <pageSetup paperSize="256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FORMULARIO 1</vt:lpstr>
      <vt:lpstr>FORMULARIO 2</vt:lpstr>
      <vt:lpstr>FORMULARIO 3</vt:lpstr>
      <vt:lpstr>FORMULARIO 4</vt:lpstr>
      <vt:lpstr>'FORMULARIO 1'!Área_de_impresión</vt:lpstr>
      <vt:lpstr>'FORMULARIO 2'!Área_de_impresión</vt:lpstr>
      <vt:lpstr>'FORMULARIO 3'!Área_de_impresión</vt:lpstr>
      <vt:lpstr>'FORMULARIO 4'!Área_de_impresión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nadia</cp:lastModifiedBy>
  <cp:revision/>
  <cp:lastPrinted>2016-06-21T21:12:55Z</cp:lastPrinted>
  <dcterms:created xsi:type="dcterms:W3CDTF">2001-11-14T15:50:59Z</dcterms:created>
  <dcterms:modified xsi:type="dcterms:W3CDTF">2016-06-21T22:29:23Z</dcterms:modified>
</cp:coreProperties>
</file>