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2"/>
  </bookViews>
  <sheets>
    <sheet name="GPL" sheetId="1" r:id="rId1"/>
    <sheet name="RIDRENSUR" sheetId="2" r:id="rId2"/>
    <sheet name="VIALSUR" sheetId="3" r:id="rId3"/>
  </sheets>
  <calcPr calcId="145621"/>
</workbook>
</file>

<file path=xl/calcChain.xml><?xml version="1.0" encoding="utf-8"?>
<calcChain xmlns="http://schemas.openxmlformats.org/spreadsheetml/2006/main">
  <c r="E36" i="3" l="1"/>
  <c r="D36" i="3"/>
  <c r="C36" i="3"/>
  <c r="E37" i="2" l="1"/>
  <c r="D37" i="2"/>
  <c r="C37" i="2"/>
  <c r="E35" i="1" l="1"/>
  <c r="D35" i="1"/>
  <c r="C35" i="1"/>
  <c r="E26" i="1"/>
  <c r="D26" i="1"/>
  <c r="C26" i="1"/>
</calcChain>
</file>

<file path=xl/comments1.xml><?xml version="1.0" encoding="utf-8"?>
<comments xmlns="http://schemas.openxmlformats.org/spreadsheetml/2006/main">
  <authors>
    <author>Autor</author>
  </authors>
  <commentList>
    <comment ref="C8" authorId="0">
      <text>
        <r>
          <rPr>
            <sz val="10"/>
            <color indexed="81"/>
            <rFont val="Tahoma"/>
            <family val="2"/>
          </rPr>
          <t xml:space="preserve">Se refiere al detalle de gastos de personal correspondientes al año anterior de la solicitud del contrato colectivo.
</t>
        </r>
      </text>
    </comment>
    <comment ref="D8" author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  <comment ref="E8" author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D8" authorId="0">
      <text>
        <r>
          <rPr>
            <sz val="10"/>
            <color indexed="81"/>
            <rFont val="Tahoma"/>
            <family val="2"/>
          </rPr>
          <t xml:space="preserve">Se refiere al detalle de gastos de personal correspondientes al año anterior de la solicitud del contrato colectivo.
</t>
        </r>
      </text>
    </comment>
    <comment ref="E8" author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</commentList>
</comments>
</file>

<file path=xl/comments3.xml><?xml version="1.0" encoding="utf-8"?>
<comments xmlns="http://schemas.openxmlformats.org/spreadsheetml/2006/main">
  <authors>
    <author>Autor</author>
  </authors>
  <commentList>
    <comment ref="C7" authorId="0">
      <text>
        <r>
          <rPr>
            <sz val="10"/>
            <color indexed="81"/>
            <rFont val="Tahoma"/>
            <family val="2"/>
          </rPr>
          <t xml:space="preserve">Se refiere al detalle de gastos de personal correspondientes al año anterior de la solicitud del contrato colectivo.
</t>
        </r>
      </text>
    </comment>
    <comment ref="E7" author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</commentList>
</comments>
</file>

<file path=xl/sharedStrings.xml><?xml version="1.0" encoding="utf-8"?>
<sst xmlns="http://schemas.openxmlformats.org/spreadsheetml/2006/main" count="130" uniqueCount="64">
  <si>
    <t>MINISTERIO DE FINANZAS</t>
  </si>
  <si>
    <t>FORMULARIO 2: "COSTOS DEL PROYECTO DE CONTRATO COLECTIVO"</t>
  </si>
  <si>
    <t>GOBIERNO AUTÓNOMO DESCENTRALIZADO: Provincial de Loja</t>
  </si>
  <si>
    <t>Nº PROYECTO CONTRATO COLECTIVO:  Proyecto décimo noveno</t>
  </si>
  <si>
    <t xml:space="preserve"> Nº ACTA TRANSACCIONAL ___________________________</t>
  </si>
  <si>
    <t>CLASIFICADOR PRESUPUESTARIO</t>
  </si>
  <si>
    <t>GASTO DEL PERSONAL</t>
  </si>
  <si>
    <t>COSTO REAL DEL CONTRATO COLECTIVO VIGENTE USD 2014</t>
  </si>
  <si>
    <t>COSTO ESTIMADO DEL CONTRATO COLECTIVO PROPUESTO USD 2015</t>
  </si>
  <si>
    <t>COSTO ESTIMADO DEL CONTRATO COLECTIVO PROPUESTO USD 2016</t>
  </si>
  <si>
    <t>OBSERVACIONES</t>
  </si>
  <si>
    <t>GASTO PERSONAL</t>
  </si>
  <si>
    <t>REMUNERACIONES BASICAS</t>
  </si>
  <si>
    <t>SALARIOS UNIFICADOS</t>
  </si>
  <si>
    <t xml:space="preserve">REMUNERACIONES COMPLEMENTARIAS </t>
  </si>
  <si>
    <t>DECIMOTERCER SUELDO</t>
  </si>
  <si>
    <t>DECIMOCUARTO SUELDO</t>
  </si>
  <si>
    <t>REMUNERACIONES COMPENSATORIAS</t>
  </si>
  <si>
    <t>COMPENSACION POR TRANSPORTE</t>
  </si>
  <si>
    <t>COMISARIATO</t>
  </si>
  <si>
    <t>SUBSIDIOS</t>
  </si>
  <si>
    <t>POR CARGAS FAMILIARES</t>
  </si>
  <si>
    <t>POR ANTIGÜEDAD</t>
  </si>
  <si>
    <t>APORTES A LA SEGURIDAD SOCIAL</t>
  </si>
  <si>
    <t>710601</t>
  </si>
  <si>
    <t xml:space="preserve">APORTE PATRONAL </t>
  </si>
  <si>
    <t>710602</t>
  </si>
  <si>
    <t xml:space="preserve">FONDO DE RESERVA </t>
  </si>
  <si>
    <t>710603</t>
  </si>
  <si>
    <t>FONDO DE JUBILACION PATRONAL</t>
  </si>
  <si>
    <t xml:space="preserve">INDEMNIZACIONES </t>
  </si>
  <si>
    <t>COMPENSACION POR DESAHUCIO</t>
  </si>
  <si>
    <t xml:space="preserve">POR JUBILACIÓN </t>
  </si>
  <si>
    <t xml:space="preserve">TOTAL </t>
  </si>
  <si>
    <t>* Se incrementan tres trabajadores por traspaso desde VIALSUR al GPL a partir de enero de 2016</t>
  </si>
  <si>
    <t>* En caso de que en el contrato colectivo se negocie algún beneficio adicional a los expuestos favor incluir el item correspondiente.</t>
  </si>
  <si>
    <t>* La información de los formularios deberá remitirse en medio magnético (Excel) e impreso con las respectivas firmas de responsabilidad.</t>
  </si>
  <si>
    <t>FIRMA DIRECTORA FINANCIEROA DEL GAD</t>
  </si>
  <si>
    <t>Nombre:  Carmen Elena Robles Benavides</t>
  </si>
  <si>
    <t>Lugar y Fecha:  Loja, 2 de marzo de 2016</t>
  </si>
  <si>
    <t xml:space="preserve"> </t>
  </si>
  <si>
    <t>EMPRESA PÚBLICA DE RIEGO Y DRENAJE DEL SUR RIDRENSUR E.P.</t>
  </si>
  <si>
    <t xml:space="preserve">Nº PROYECTO DEL DECIMO NOVENO CONTRATO COLECTIVO </t>
  </si>
  <si>
    <t xml:space="preserve"> Nº ACTA TRANSACCIONAL </t>
  </si>
  <si>
    <t>AÑO 2014</t>
  </si>
  <si>
    <t>COSTO REAL DEL CONTRATO COLECTIVO VIGENTE USD</t>
  </si>
  <si>
    <t>COSTO ESTIMADO DEL CONTRATO COLECTIVO PROPUESTO USD</t>
  </si>
  <si>
    <t>ALIMENTACION</t>
  </si>
  <si>
    <t>SUBSIDIO POR ANTIGÜEDAD</t>
  </si>
  <si>
    <t>REMUNERACIONES TEMPORALES</t>
  </si>
  <si>
    <t>710509</t>
  </si>
  <si>
    <t>HORAS EXTRAORDINARIAS Y SUPLEMENTARIAS</t>
  </si>
  <si>
    <t>INCREMENTO PORCENTUAL %</t>
  </si>
  <si>
    <t>* De ser el caso,  se deberá incluir filas adicionales, para detallar los subgrupos o items correspondientes.</t>
  </si>
  <si>
    <t>FIRMA GERENTE ADMINISTRATIVO FINANCIERO</t>
  </si>
  <si>
    <t>Nombre: Dra. Lilia Espinoza Erreiz</t>
  </si>
  <si>
    <t>Lugar y fecha: Loja,  08 de marzo del 2016</t>
  </si>
  <si>
    <t>Sello Institucional</t>
  </si>
  <si>
    <t>EMPRESA PUBLICA DE VIALIDAD DEL SUR</t>
  </si>
  <si>
    <t>Nº PROYECTO CONTRATO COLECTIVO</t>
  </si>
  <si>
    <t>COSTO REAL DEL CONTRATO COLECTIVO VIGENTE USD 2015</t>
  </si>
  <si>
    <t>FIRMA DIRECTOR (A) FINANCIERO (A)</t>
  </si>
  <si>
    <t>Nombre: Lic. Vicente Mora Jaramillo</t>
  </si>
  <si>
    <t>Lugar y Fecha: 01 de marzo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</si>
</sst>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0"/>
      <color indexed="8"/>
      <name val="Times New Roman"/>
      <family val="1"/>
    </font>
    <font>
      <sz val="10"/>
      <name val="Times New Roman"/>
      <family val="1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1"/>
      <name val="Tahom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1" fillId="0" borderId="0"/>
  </cellStyleXfs>
  <cellXfs count="73">
    <xf numFmtId="0" fontId="0" fillId="0" borderId="0" xfId="0"/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5" fillId="0" borderId="0" xfId="0" applyFont="1"/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/>
    <xf numFmtId="0" fontId="7" fillId="0" borderId="0" xfId="0" applyFont="1" applyFill="1" applyBorder="1" applyAlignment="1">
      <alignment horizontal="left"/>
    </xf>
    <xf numFmtId="0" fontId="8" fillId="0" borderId="0" xfId="0" applyFont="1" applyFill="1" applyBorder="1" applyAlignment="1"/>
    <xf numFmtId="0" fontId="7" fillId="0" borderId="0" xfId="0" applyFont="1" applyFill="1" applyBorder="1" applyAlignment="1"/>
    <xf numFmtId="0" fontId="6" fillId="0" borderId="0" xfId="0" applyFont="1" applyBorder="1" applyAlignment="1"/>
    <xf numFmtId="0" fontId="7" fillId="0" borderId="0" xfId="0" applyFont="1" applyBorder="1" applyAlignment="1"/>
    <xf numFmtId="0" fontId="4" fillId="0" borderId="0" xfId="0" applyFont="1" applyBorder="1" applyAlignment="1"/>
    <xf numFmtId="0" fontId="5" fillId="0" borderId="0" xfId="0" applyFont="1" applyBorder="1"/>
    <xf numFmtId="49" fontId="9" fillId="2" borderId="1" xfId="0" applyNumberFormat="1" applyFont="1" applyFill="1" applyBorder="1" applyAlignment="1">
      <alignment horizontal="center" vertical="center" wrapText="1"/>
    </xf>
    <xf numFmtId="49" fontId="9" fillId="2" borderId="2" xfId="0" applyNumberFormat="1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left"/>
    </xf>
    <xf numFmtId="2" fontId="7" fillId="0" borderId="9" xfId="0" applyNumberFormat="1" applyFont="1" applyFill="1" applyBorder="1" applyAlignment="1">
      <alignment horizontal="center"/>
    </xf>
    <xf numFmtId="2" fontId="7" fillId="0" borderId="10" xfId="0" applyNumberFormat="1" applyFont="1" applyFill="1" applyBorder="1" applyAlignment="1">
      <alignment horizontal="center"/>
    </xf>
    <xf numFmtId="2" fontId="7" fillId="0" borderId="7" xfId="0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left"/>
    </xf>
    <xf numFmtId="4" fontId="8" fillId="0" borderId="11" xfId="1" applyNumberFormat="1" applyFont="1" applyFill="1" applyBorder="1" applyAlignment="1">
      <alignment horizontal="center"/>
    </xf>
    <xf numFmtId="4" fontId="8" fillId="0" borderId="12" xfId="1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4" fontId="8" fillId="0" borderId="12" xfId="0" applyNumberFormat="1" applyFont="1" applyFill="1" applyBorder="1" applyAlignment="1">
      <alignment horizontal="center"/>
    </xf>
    <xf numFmtId="49" fontId="8" fillId="0" borderId="7" xfId="0" applyNumberFormat="1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left"/>
    </xf>
    <xf numFmtId="4" fontId="8" fillId="0" borderId="13" xfId="0" applyNumberFormat="1" applyFont="1" applyBorder="1" applyAlignment="1">
      <alignment horizontal="center"/>
    </xf>
    <xf numFmtId="0" fontId="8" fillId="0" borderId="15" xfId="0" applyFont="1" applyBorder="1"/>
    <xf numFmtId="0" fontId="10" fillId="0" borderId="16" xfId="0" applyFont="1" applyBorder="1" applyAlignment="1">
      <alignment horizontal="center"/>
    </xf>
    <xf numFmtId="4" fontId="10" fillId="0" borderId="17" xfId="1" applyNumberFormat="1" applyFont="1" applyBorder="1" applyAlignment="1">
      <alignment horizontal="center" vertical="center"/>
    </xf>
    <xf numFmtId="4" fontId="10" fillId="0" borderId="15" xfId="1" applyNumberFormat="1" applyFont="1" applyBorder="1" applyAlignment="1">
      <alignment horizontal="center"/>
    </xf>
    <xf numFmtId="0" fontId="12" fillId="0" borderId="4" xfId="0" applyFont="1" applyBorder="1" applyAlignment="1"/>
    <xf numFmtId="0" fontId="0" fillId="0" borderId="5" xfId="0" applyBorder="1" applyAlignment="1"/>
    <xf numFmtId="0" fontId="0" fillId="0" borderId="6" xfId="0" applyBorder="1" applyAlignment="1"/>
    <xf numFmtId="0" fontId="12" fillId="0" borderId="18" xfId="0" applyFont="1" applyBorder="1"/>
    <xf numFmtId="0" fontId="12" fillId="0" borderId="0" xfId="0" applyFont="1" applyBorder="1"/>
    <xf numFmtId="0" fontId="13" fillId="0" borderId="0" xfId="0" applyFont="1" applyBorder="1" applyAlignment="1">
      <alignment horizontal="center"/>
    </xf>
    <xf numFmtId="4" fontId="12" fillId="0" borderId="0" xfId="0" applyNumberFormat="1" applyFont="1" applyBorder="1"/>
    <xf numFmtId="0" fontId="2" fillId="0" borderId="19" xfId="2" applyFont="1" applyBorder="1" applyAlignment="1">
      <alignment horizontal="center"/>
    </xf>
    <xf numFmtId="0" fontId="2" fillId="0" borderId="0" xfId="2" applyFont="1" applyBorder="1" applyAlignment="1">
      <alignment horizontal="center"/>
    </xf>
    <xf numFmtId="0" fontId="2" fillId="0" borderId="0" xfId="2" applyFont="1"/>
    <xf numFmtId="0" fontId="1" fillId="0" borderId="0" xfId="2"/>
    <xf numFmtId="0" fontId="12" fillId="0" borderId="0" xfId="0" applyFont="1"/>
    <xf numFmtId="0" fontId="7" fillId="0" borderId="10" xfId="0" applyFont="1" applyBorder="1" applyAlignment="1">
      <alignment horizontal="left"/>
    </xf>
    <xf numFmtId="4" fontId="8" fillId="0" borderId="20" xfId="0" applyNumberFormat="1" applyFont="1" applyBorder="1" applyAlignment="1">
      <alignment horizontal="center"/>
    </xf>
    <xf numFmtId="4" fontId="10" fillId="0" borderId="17" xfId="1" applyNumberFormat="1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2" fillId="0" borderId="23" xfId="0" applyFont="1" applyBorder="1"/>
    <xf numFmtId="0" fontId="15" fillId="0" borderId="0" xfId="0" applyFont="1" applyBorder="1"/>
    <xf numFmtId="49" fontId="9" fillId="2" borderId="15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2" fontId="7" fillId="0" borderId="24" xfId="0" applyNumberFormat="1" applyFont="1" applyFill="1" applyBorder="1" applyAlignment="1">
      <alignment horizontal="center"/>
    </xf>
    <xf numFmtId="0" fontId="8" fillId="0" borderId="10" xfId="0" applyFont="1" applyBorder="1" applyAlignment="1">
      <alignment horizontal="left"/>
    </xf>
    <xf numFmtId="4" fontId="8" fillId="0" borderId="25" xfId="1" applyNumberFormat="1" applyFont="1" applyFill="1" applyBorder="1" applyAlignment="1">
      <alignment horizontal="center"/>
    </xf>
    <xf numFmtId="0" fontId="12" fillId="0" borderId="13" xfId="0" applyFont="1" applyBorder="1"/>
    <xf numFmtId="4" fontId="8" fillId="4" borderId="12" xfId="1" applyNumberFormat="1" applyFont="1" applyFill="1" applyBorder="1" applyAlignment="1">
      <alignment horizontal="center"/>
    </xf>
    <xf numFmtId="4" fontId="8" fillId="0" borderId="25" xfId="0" applyNumberFormat="1" applyFont="1" applyFill="1" applyBorder="1" applyAlignment="1">
      <alignment horizontal="center"/>
    </xf>
    <xf numFmtId="0" fontId="8" fillId="0" borderId="0" xfId="0" applyFont="1" applyBorder="1" applyAlignment="1">
      <alignment horizontal="left"/>
    </xf>
    <xf numFmtId="4" fontId="8" fillId="0" borderId="18" xfId="0" applyNumberFormat="1" applyFont="1" applyBorder="1" applyAlignment="1">
      <alignment horizontal="center"/>
    </xf>
    <xf numFmtId="4" fontId="8" fillId="0" borderId="0" xfId="0" applyNumberFormat="1" applyFont="1" applyBorder="1" applyAlignment="1">
      <alignment horizontal="center"/>
    </xf>
    <xf numFmtId="4" fontId="10" fillId="0" borderId="5" xfId="1" applyNumberFormat="1" applyFont="1" applyBorder="1" applyAlignment="1">
      <alignment horizontal="center"/>
    </xf>
  </cellXfs>
  <cellStyles count="3">
    <cellStyle name="Millares 2" xfId="1"/>
    <cellStyle name="Normal" xfId="0" builtinId="0"/>
    <cellStyle name="Normal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8"/>
  <sheetViews>
    <sheetView workbookViewId="0">
      <selection sqref="A1:XFD1048576"/>
    </sheetView>
  </sheetViews>
  <sheetFormatPr baseColWidth="10" defaultRowHeight="12.75" x14ac:dyDescent="0.2"/>
  <cols>
    <col min="1" max="1" width="18" style="51" customWidth="1"/>
    <col min="2" max="2" width="31.85546875" style="51" customWidth="1"/>
    <col min="3" max="3" width="19" style="51" customWidth="1"/>
    <col min="4" max="4" width="20.5703125" style="51" customWidth="1"/>
    <col min="5" max="5" width="20.85546875" style="51" customWidth="1"/>
    <col min="6" max="6" width="21.28515625" style="3" customWidth="1"/>
    <col min="7" max="256" width="11.42578125" style="3"/>
    <col min="257" max="257" width="18" style="3" customWidth="1"/>
    <col min="258" max="258" width="31.85546875" style="3" customWidth="1"/>
    <col min="259" max="259" width="19" style="3" customWidth="1"/>
    <col min="260" max="260" width="20.5703125" style="3" customWidth="1"/>
    <col min="261" max="261" width="20.85546875" style="3" customWidth="1"/>
    <col min="262" max="262" width="21.28515625" style="3" customWidth="1"/>
    <col min="263" max="512" width="11.42578125" style="3"/>
    <col min="513" max="513" width="18" style="3" customWidth="1"/>
    <col min="514" max="514" width="31.85546875" style="3" customWidth="1"/>
    <col min="515" max="515" width="19" style="3" customWidth="1"/>
    <col min="516" max="516" width="20.5703125" style="3" customWidth="1"/>
    <col min="517" max="517" width="20.85546875" style="3" customWidth="1"/>
    <col min="518" max="518" width="21.28515625" style="3" customWidth="1"/>
    <col min="519" max="768" width="11.42578125" style="3"/>
    <col min="769" max="769" width="18" style="3" customWidth="1"/>
    <col min="770" max="770" width="31.85546875" style="3" customWidth="1"/>
    <col min="771" max="771" width="19" style="3" customWidth="1"/>
    <col min="772" max="772" width="20.5703125" style="3" customWidth="1"/>
    <col min="773" max="773" width="20.85546875" style="3" customWidth="1"/>
    <col min="774" max="774" width="21.28515625" style="3" customWidth="1"/>
    <col min="775" max="1024" width="11.42578125" style="3"/>
    <col min="1025" max="1025" width="18" style="3" customWidth="1"/>
    <col min="1026" max="1026" width="31.85546875" style="3" customWidth="1"/>
    <col min="1027" max="1027" width="19" style="3" customWidth="1"/>
    <col min="1028" max="1028" width="20.5703125" style="3" customWidth="1"/>
    <col min="1029" max="1029" width="20.85546875" style="3" customWidth="1"/>
    <col min="1030" max="1030" width="21.28515625" style="3" customWidth="1"/>
    <col min="1031" max="1280" width="11.42578125" style="3"/>
    <col min="1281" max="1281" width="18" style="3" customWidth="1"/>
    <col min="1282" max="1282" width="31.85546875" style="3" customWidth="1"/>
    <col min="1283" max="1283" width="19" style="3" customWidth="1"/>
    <col min="1284" max="1284" width="20.5703125" style="3" customWidth="1"/>
    <col min="1285" max="1285" width="20.85546875" style="3" customWidth="1"/>
    <col min="1286" max="1286" width="21.28515625" style="3" customWidth="1"/>
    <col min="1287" max="1536" width="11.42578125" style="3"/>
    <col min="1537" max="1537" width="18" style="3" customWidth="1"/>
    <col min="1538" max="1538" width="31.85546875" style="3" customWidth="1"/>
    <col min="1539" max="1539" width="19" style="3" customWidth="1"/>
    <col min="1540" max="1540" width="20.5703125" style="3" customWidth="1"/>
    <col min="1541" max="1541" width="20.85546875" style="3" customWidth="1"/>
    <col min="1542" max="1542" width="21.28515625" style="3" customWidth="1"/>
    <col min="1543" max="1792" width="11.42578125" style="3"/>
    <col min="1793" max="1793" width="18" style="3" customWidth="1"/>
    <col min="1794" max="1794" width="31.85546875" style="3" customWidth="1"/>
    <col min="1795" max="1795" width="19" style="3" customWidth="1"/>
    <col min="1796" max="1796" width="20.5703125" style="3" customWidth="1"/>
    <col min="1797" max="1797" width="20.85546875" style="3" customWidth="1"/>
    <col min="1798" max="1798" width="21.28515625" style="3" customWidth="1"/>
    <col min="1799" max="2048" width="11.42578125" style="3"/>
    <col min="2049" max="2049" width="18" style="3" customWidth="1"/>
    <col min="2050" max="2050" width="31.85546875" style="3" customWidth="1"/>
    <col min="2051" max="2051" width="19" style="3" customWidth="1"/>
    <col min="2052" max="2052" width="20.5703125" style="3" customWidth="1"/>
    <col min="2053" max="2053" width="20.85546875" style="3" customWidth="1"/>
    <col min="2054" max="2054" width="21.28515625" style="3" customWidth="1"/>
    <col min="2055" max="2304" width="11.42578125" style="3"/>
    <col min="2305" max="2305" width="18" style="3" customWidth="1"/>
    <col min="2306" max="2306" width="31.85546875" style="3" customWidth="1"/>
    <col min="2307" max="2307" width="19" style="3" customWidth="1"/>
    <col min="2308" max="2308" width="20.5703125" style="3" customWidth="1"/>
    <col min="2309" max="2309" width="20.85546875" style="3" customWidth="1"/>
    <col min="2310" max="2310" width="21.28515625" style="3" customWidth="1"/>
    <col min="2311" max="2560" width="11.42578125" style="3"/>
    <col min="2561" max="2561" width="18" style="3" customWidth="1"/>
    <col min="2562" max="2562" width="31.85546875" style="3" customWidth="1"/>
    <col min="2563" max="2563" width="19" style="3" customWidth="1"/>
    <col min="2564" max="2564" width="20.5703125" style="3" customWidth="1"/>
    <col min="2565" max="2565" width="20.85546875" style="3" customWidth="1"/>
    <col min="2566" max="2566" width="21.28515625" style="3" customWidth="1"/>
    <col min="2567" max="2816" width="11.42578125" style="3"/>
    <col min="2817" max="2817" width="18" style="3" customWidth="1"/>
    <col min="2818" max="2818" width="31.85546875" style="3" customWidth="1"/>
    <col min="2819" max="2819" width="19" style="3" customWidth="1"/>
    <col min="2820" max="2820" width="20.5703125" style="3" customWidth="1"/>
    <col min="2821" max="2821" width="20.85546875" style="3" customWidth="1"/>
    <col min="2822" max="2822" width="21.28515625" style="3" customWidth="1"/>
    <col min="2823" max="3072" width="11.42578125" style="3"/>
    <col min="3073" max="3073" width="18" style="3" customWidth="1"/>
    <col min="3074" max="3074" width="31.85546875" style="3" customWidth="1"/>
    <col min="3075" max="3075" width="19" style="3" customWidth="1"/>
    <col min="3076" max="3076" width="20.5703125" style="3" customWidth="1"/>
    <col min="3077" max="3077" width="20.85546875" style="3" customWidth="1"/>
    <col min="3078" max="3078" width="21.28515625" style="3" customWidth="1"/>
    <col min="3079" max="3328" width="11.42578125" style="3"/>
    <col min="3329" max="3329" width="18" style="3" customWidth="1"/>
    <col min="3330" max="3330" width="31.85546875" style="3" customWidth="1"/>
    <col min="3331" max="3331" width="19" style="3" customWidth="1"/>
    <col min="3332" max="3332" width="20.5703125" style="3" customWidth="1"/>
    <col min="3333" max="3333" width="20.85546875" style="3" customWidth="1"/>
    <col min="3334" max="3334" width="21.28515625" style="3" customWidth="1"/>
    <col min="3335" max="3584" width="11.42578125" style="3"/>
    <col min="3585" max="3585" width="18" style="3" customWidth="1"/>
    <col min="3586" max="3586" width="31.85546875" style="3" customWidth="1"/>
    <col min="3587" max="3587" width="19" style="3" customWidth="1"/>
    <col min="3588" max="3588" width="20.5703125" style="3" customWidth="1"/>
    <col min="3589" max="3589" width="20.85546875" style="3" customWidth="1"/>
    <col min="3590" max="3590" width="21.28515625" style="3" customWidth="1"/>
    <col min="3591" max="3840" width="11.42578125" style="3"/>
    <col min="3841" max="3841" width="18" style="3" customWidth="1"/>
    <col min="3842" max="3842" width="31.85546875" style="3" customWidth="1"/>
    <col min="3843" max="3843" width="19" style="3" customWidth="1"/>
    <col min="3844" max="3844" width="20.5703125" style="3" customWidth="1"/>
    <col min="3845" max="3845" width="20.85546875" style="3" customWidth="1"/>
    <col min="3846" max="3846" width="21.28515625" style="3" customWidth="1"/>
    <col min="3847" max="4096" width="11.42578125" style="3"/>
    <col min="4097" max="4097" width="18" style="3" customWidth="1"/>
    <col min="4098" max="4098" width="31.85546875" style="3" customWidth="1"/>
    <col min="4099" max="4099" width="19" style="3" customWidth="1"/>
    <col min="4100" max="4100" width="20.5703125" style="3" customWidth="1"/>
    <col min="4101" max="4101" width="20.85546875" style="3" customWidth="1"/>
    <col min="4102" max="4102" width="21.28515625" style="3" customWidth="1"/>
    <col min="4103" max="4352" width="11.42578125" style="3"/>
    <col min="4353" max="4353" width="18" style="3" customWidth="1"/>
    <col min="4354" max="4354" width="31.85546875" style="3" customWidth="1"/>
    <col min="4355" max="4355" width="19" style="3" customWidth="1"/>
    <col min="4356" max="4356" width="20.5703125" style="3" customWidth="1"/>
    <col min="4357" max="4357" width="20.85546875" style="3" customWidth="1"/>
    <col min="4358" max="4358" width="21.28515625" style="3" customWidth="1"/>
    <col min="4359" max="4608" width="11.42578125" style="3"/>
    <col min="4609" max="4609" width="18" style="3" customWidth="1"/>
    <col min="4610" max="4610" width="31.85546875" style="3" customWidth="1"/>
    <col min="4611" max="4611" width="19" style="3" customWidth="1"/>
    <col min="4612" max="4612" width="20.5703125" style="3" customWidth="1"/>
    <col min="4613" max="4613" width="20.85546875" style="3" customWidth="1"/>
    <col min="4614" max="4614" width="21.28515625" style="3" customWidth="1"/>
    <col min="4615" max="4864" width="11.42578125" style="3"/>
    <col min="4865" max="4865" width="18" style="3" customWidth="1"/>
    <col min="4866" max="4866" width="31.85546875" style="3" customWidth="1"/>
    <col min="4867" max="4867" width="19" style="3" customWidth="1"/>
    <col min="4868" max="4868" width="20.5703125" style="3" customWidth="1"/>
    <col min="4869" max="4869" width="20.85546875" style="3" customWidth="1"/>
    <col min="4870" max="4870" width="21.28515625" style="3" customWidth="1"/>
    <col min="4871" max="5120" width="11.42578125" style="3"/>
    <col min="5121" max="5121" width="18" style="3" customWidth="1"/>
    <col min="5122" max="5122" width="31.85546875" style="3" customWidth="1"/>
    <col min="5123" max="5123" width="19" style="3" customWidth="1"/>
    <col min="5124" max="5124" width="20.5703125" style="3" customWidth="1"/>
    <col min="5125" max="5125" width="20.85546875" style="3" customWidth="1"/>
    <col min="5126" max="5126" width="21.28515625" style="3" customWidth="1"/>
    <col min="5127" max="5376" width="11.42578125" style="3"/>
    <col min="5377" max="5377" width="18" style="3" customWidth="1"/>
    <col min="5378" max="5378" width="31.85546875" style="3" customWidth="1"/>
    <col min="5379" max="5379" width="19" style="3" customWidth="1"/>
    <col min="5380" max="5380" width="20.5703125" style="3" customWidth="1"/>
    <col min="5381" max="5381" width="20.85546875" style="3" customWidth="1"/>
    <col min="5382" max="5382" width="21.28515625" style="3" customWidth="1"/>
    <col min="5383" max="5632" width="11.42578125" style="3"/>
    <col min="5633" max="5633" width="18" style="3" customWidth="1"/>
    <col min="5634" max="5634" width="31.85546875" style="3" customWidth="1"/>
    <col min="5635" max="5635" width="19" style="3" customWidth="1"/>
    <col min="5636" max="5636" width="20.5703125" style="3" customWidth="1"/>
    <col min="5637" max="5637" width="20.85546875" style="3" customWidth="1"/>
    <col min="5638" max="5638" width="21.28515625" style="3" customWidth="1"/>
    <col min="5639" max="5888" width="11.42578125" style="3"/>
    <col min="5889" max="5889" width="18" style="3" customWidth="1"/>
    <col min="5890" max="5890" width="31.85546875" style="3" customWidth="1"/>
    <col min="5891" max="5891" width="19" style="3" customWidth="1"/>
    <col min="5892" max="5892" width="20.5703125" style="3" customWidth="1"/>
    <col min="5893" max="5893" width="20.85546875" style="3" customWidth="1"/>
    <col min="5894" max="5894" width="21.28515625" style="3" customWidth="1"/>
    <col min="5895" max="6144" width="11.42578125" style="3"/>
    <col min="6145" max="6145" width="18" style="3" customWidth="1"/>
    <col min="6146" max="6146" width="31.85546875" style="3" customWidth="1"/>
    <col min="6147" max="6147" width="19" style="3" customWidth="1"/>
    <col min="6148" max="6148" width="20.5703125" style="3" customWidth="1"/>
    <col min="6149" max="6149" width="20.85546875" style="3" customWidth="1"/>
    <col min="6150" max="6150" width="21.28515625" style="3" customWidth="1"/>
    <col min="6151" max="6400" width="11.42578125" style="3"/>
    <col min="6401" max="6401" width="18" style="3" customWidth="1"/>
    <col min="6402" max="6402" width="31.85546875" style="3" customWidth="1"/>
    <col min="6403" max="6403" width="19" style="3" customWidth="1"/>
    <col min="6404" max="6404" width="20.5703125" style="3" customWidth="1"/>
    <col min="6405" max="6405" width="20.85546875" style="3" customWidth="1"/>
    <col min="6406" max="6406" width="21.28515625" style="3" customWidth="1"/>
    <col min="6407" max="6656" width="11.42578125" style="3"/>
    <col min="6657" max="6657" width="18" style="3" customWidth="1"/>
    <col min="6658" max="6658" width="31.85546875" style="3" customWidth="1"/>
    <col min="6659" max="6659" width="19" style="3" customWidth="1"/>
    <col min="6660" max="6660" width="20.5703125" style="3" customWidth="1"/>
    <col min="6661" max="6661" width="20.85546875" style="3" customWidth="1"/>
    <col min="6662" max="6662" width="21.28515625" style="3" customWidth="1"/>
    <col min="6663" max="6912" width="11.42578125" style="3"/>
    <col min="6913" max="6913" width="18" style="3" customWidth="1"/>
    <col min="6914" max="6914" width="31.85546875" style="3" customWidth="1"/>
    <col min="6915" max="6915" width="19" style="3" customWidth="1"/>
    <col min="6916" max="6916" width="20.5703125" style="3" customWidth="1"/>
    <col min="6917" max="6917" width="20.85546875" style="3" customWidth="1"/>
    <col min="6918" max="6918" width="21.28515625" style="3" customWidth="1"/>
    <col min="6919" max="7168" width="11.42578125" style="3"/>
    <col min="7169" max="7169" width="18" style="3" customWidth="1"/>
    <col min="7170" max="7170" width="31.85546875" style="3" customWidth="1"/>
    <col min="7171" max="7171" width="19" style="3" customWidth="1"/>
    <col min="7172" max="7172" width="20.5703125" style="3" customWidth="1"/>
    <col min="7173" max="7173" width="20.85546875" style="3" customWidth="1"/>
    <col min="7174" max="7174" width="21.28515625" style="3" customWidth="1"/>
    <col min="7175" max="7424" width="11.42578125" style="3"/>
    <col min="7425" max="7425" width="18" style="3" customWidth="1"/>
    <col min="7426" max="7426" width="31.85546875" style="3" customWidth="1"/>
    <col min="7427" max="7427" width="19" style="3" customWidth="1"/>
    <col min="7428" max="7428" width="20.5703125" style="3" customWidth="1"/>
    <col min="7429" max="7429" width="20.85546875" style="3" customWidth="1"/>
    <col min="7430" max="7430" width="21.28515625" style="3" customWidth="1"/>
    <col min="7431" max="7680" width="11.42578125" style="3"/>
    <col min="7681" max="7681" width="18" style="3" customWidth="1"/>
    <col min="7682" max="7682" width="31.85546875" style="3" customWidth="1"/>
    <col min="7683" max="7683" width="19" style="3" customWidth="1"/>
    <col min="7684" max="7684" width="20.5703125" style="3" customWidth="1"/>
    <col min="7685" max="7685" width="20.85546875" style="3" customWidth="1"/>
    <col min="7686" max="7686" width="21.28515625" style="3" customWidth="1"/>
    <col min="7687" max="7936" width="11.42578125" style="3"/>
    <col min="7937" max="7937" width="18" style="3" customWidth="1"/>
    <col min="7938" max="7938" width="31.85546875" style="3" customWidth="1"/>
    <col min="7939" max="7939" width="19" style="3" customWidth="1"/>
    <col min="7940" max="7940" width="20.5703125" style="3" customWidth="1"/>
    <col min="7941" max="7941" width="20.85546875" style="3" customWidth="1"/>
    <col min="7942" max="7942" width="21.28515625" style="3" customWidth="1"/>
    <col min="7943" max="8192" width="11.42578125" style="3"/>
    <col min="8193" max="8193" width="18" style="3" customWidth="1"/>
    <col min="8194" max="8194" width="31.85546875" style="3" customWidth="1"/>
    <col min="8195" max="8195" width="19" style="3" customWidth="1"/>
    <col min="8196" max="8196" width="20.5703125" style="3" customWidth="1"/>
    <col min="8197" max="8197" width="20.85546875" style="3" customWidth="1"/>
    <col min="8198" max="8198" width="21.28515625" style="3" customWidth="1"/>
    <col min="8199" max="8448" width="11.42578125" style="3"/>
    <col min="8449" max="8449" width="18" style="3" customWidth="1"/>
    <col min="8450" max="8450" width="31.85546875" style="3" customWidth="1"/>
    <col min="8451" max="8451" width="19" style="3" customWidth="1"/>
    <col min="8452" max="8452" width="20.5703125" style="3" customWidth="1"/>
    <col min="8453" max="8453" width="20.85546875" style="3" customWidth="1"/>
    <col min="8454" max="8454" width="21.28515625" style="3" customWidth="1"/>
    <col min="8455" max="8704" width="11.42578125" style="3"/>
    <col min="8705" max="8705" width="18" style="3" customWidth="1"/>
    <col min="8706" max="8706" width="31.85546875" style="3" customWidth="1"/>
    <col min="8707" max="8707" width="19" style="3" customWidth="1"/>
    <col min="8708" max="8708" width="20.5703125" style="3" customWidth="1"/>
    <col min="8709" max="8709" width="20.85546875" style="3" customWidth="1"/>
    <col min="8710" max="8710" width="21.28515625" style="3" customWidth="1"/>
    <col min="8711" max="8960" width="11.42578125" style="3"/>
    <col min="8961" max="8961" width="18" style="3" customWidth="1"/>
    <col min="8962" max="8962" width="31.85546875" style="3" customWidth="1"/>
    <col min="8963" max="8963" width="19" style="3" customWidth="1"/>
    <col min="8964" max="8964" width="20.5703125" style="3" customWidth="1"/>
    <col min="8965" max="8965" width="20.85546875" style="3" customWidth="1"/>
    <col min="8966" max="8966" width="21.28515625" style="3" customWidth="1"/>
    <col min="8967" max="9216" width="11.42578125" style="3"/>
    <col min="9217" max="9217" width="18" style="3" customWidth="1"/>
    <col min="9218" max="9218" width="31.85546875" style="3" customWidth="1"/>
    <col min="9219" max="9219" width="19" style="3" customWidth="1"/>
    <col min="9220" max="9220" width="20.5703125" style="3" customWidth="1"/>
    <col min="9221" max="9221" width="20.85546875" style="3" customWidth="1"/>
    <col min="9222" max="9222" width="21.28515625" style="3" customWidth="1"/>
    <col min="9223" max="9472" width="11.42578125" style="3"/>
    <col min="9473" max="9473" width="18" style="3" customWidth="1"/>
    <col min="9474" max="9474" width="31.85546875" style="3" customWidth="1"/>
    <col min="9475" max="9475" width="19" style="3" customWidth="1"/>
    <col min="9476" max="9476" width="20.5703125" style="3" customWidth="1"/>
    <col min="9477" max="9477" width="20.85546875" style="3" customWidth="1"/>
    <col min="9478" max="9478" width="21.28515625" style="3" customWidth="1"/>
    <col min="9479" max="9728" width="11.42578125" style="3"/>
    <col min="9729" max="9729" width="18" style="3" customWidth="1"/>
    <col min="9730" max="9730" width="31.85546875" style="3" customWidth="1"/>
    <col min="9731" max="9731" width="19" style="3" customWidth="1"/>
    <col min="9732" max="9732" width="20.5703125" style="3" customWidth="1"/>
    <col min="9733" max="9733" width="20.85546875" style="3" customWidth="1"/>
    <col min="9734" max="9734" width="21.28515625" style="3" customWidth="1"/>
    <col min="9735" max="9984" width="11.42578125" style="3"/>
    <col min="9985" max="9985" width="18" style="3" customWidth="1"/>
    <col min="9986" max="9986" width="31.85546875" style="3" customWidth="1"/>
    <col min="9987" max="9987" width="19" style="3" customWidth="1"/>
    <col min="9988" max="9988" width="20.5703125" style="3" customWidth="1"/>
    <col min="9989" max="9989" width="20.85546875" style="3" customWidth="1"/>
    <col min="9990" max="9990" width="21.28515625" style="3" customWidth="1"/>
    <col min="9991" max="10240" width="11.42578125" style="3"/>
    <col min="10241" max="10241" width="18" style="3" customWidth="1"/>
    <col min="10242" max="10242" width="31.85546875" style="3" customWidth="1"/>
    <col min="10243" max="10243" width="19" style="3" customWidth="1"/>
    <col min="10244" max="10244" width="20.5703125" style="3" customWidth="1"/>
    <col min="10245" max="10245" width="20.85546875" style="3" customWidth="1"/>
    <col min="10246" max="10246" width="21.28515625" style="3" customWidth="1"/>
    <col min="10247" max="10496" width="11.42578125" style="3"/>
    <col min="10497" max="10497" width="18" style="3" customWidth="1"/>
    <col min="10498" max="10498" width="31.85546875" style="3" customWidth="1"/>
    <col min="10499" max="10499" width="19" style="3" customWidth="1"/>
    <col min="10500" max="10500" width="20.5703125" style="3" customWidth="1"/>
    <col min="10501" max="10501" width="20.85546875" style="3" customWidth="1"/>
    <col min="10502" max="10502" width="21.28515625" style="3" customWidth="1"/>
    <col min="10503" max="10752" width="11.42578125" style="3"/>
    <col min="10753" max="10753" width="18" style="3" customWidth="1"/>
    <col min="10754" max="10754" width="31.85546875" style="3" customWidth="1"/>
    <col min="10755" max="10755" width="19" style="3" customWidth="1"/>
    <col min="10756" max="10756" width="20.5703125" style="3" customWidth="1"/>
    <col min="10757" max="10757" width="20.85546875" style="3" customWidth="1"/>
    <col min="10758" max="10758" width="21.28515625" style="3" customWidth="1"/>
    <col min="10759" max="11008" width="11.42578125" style="3"/>
    <col min="11009" max="11009" width="18" style="3" customWidth="1"/>
    <col min="11010" max="11010" width="31.85546875" style="3" customWidth="1"/>
    <col min="11011" max="11011" width="19" style="3" customWidth="1"/>
    <col min="11012" max="11012" width="20.5703125" style="3" customWidth="1"/>
    <col min="11013" max="11013" width="20.85546875" style="3" customWidth="1"/>
    <col min="11014" max="11014" width="21.28515625" style="3" customWidth="1"/>
    <col min="11015" max="11264" width="11.42578125" style="3"/>
    <col min="11265" max="11265" width="18" style="3" customWidth="1"/>
    <col min="11266" max="11266" width="31.85546875" style="3" customWidth="1"/>
    <col min="11267" max="11267" width="19" style="3" customWidth="1"/>
    <col min="11268" max="11268" width="20.5703125" style="3" customWidth="1"/>
    <col min="11269" max="11269" width="20.85546875" style="3" customWidth="1"/>
    <col min="11270" max="11270" width="21.28515625" style="3" customWidth="1"/>
    <col min="11271" max="11520" width="11.42578125" style="3"/>
    <col min="11521" max="11521" width="18" style="3" customWidth="1"/>
    <col min="11522" max="11522" width="31.85546875" style="3" customWidth="1"/>
    <col min="11523" max="11523" width="19" style="3" customWidth="1"/>
    <col min="11524" max="11524" width="20.5703125" style="3" customWidth="1"/>
    <col min="11525" max="11525" width="20.85546875" style="3" customWidth="1"/>
    <col min="11526" max="11526" width="21.28515625" style="3" customWidth="1"/>
    <col min="11527" max="11776" width="11.42578125" style="3"/>
    <col min="11777" max="11777" width="18" style="3" customWidth="1"/>
    <col min="11778" max="11778" width="31.85546875" style="3" customWidth="1"/>
    <col min="11779" max="11779" width="19" style="3" customWidth="1"/>
    <col min="11780" max="11780" width="20.5703125" style="3" customWidth="1"/>
    <col min="11781" max="11781" width="20.85546875" style="3" customWidth="1"/>
    <col min="11782" max="11782" width="21.28515625" style="3" customWidth="1"/>
    <col min="11783" max="12032" width="11.42578125" style="3"/>
    <col min="12033" max="12033" width="18" style="3" customWidth="1"/>
    <col min="12034" max="12034" width="31.85546875" style="3" customWidth="1"/>
    <col min="12035" max="12035" width="19" style="3" customWidth="1"/>
    <col min="12036" max="12036" width="20.5703125" style="3" customWidth="1"/>
    <col min="12037" max="12037" width="20.85546875" style="3" customWidth="1"/>
    <col min="12038" max="12038" width="21.28515625" style="3" customWidth="1"/>
    <col min="12039" max="12288" width="11.42578125" style="3"/>
    <col min="12289" max="12289" width="18" style="3" customWidth="1"/>
    <col min="12290" max="12290" width="31.85546875" style="3" customWidth="1"/>
    <col min="12291" max="12291" width="19" style="3" customWidth="1"/>
    <col min="12292" max="12292" width="20.5703125" style="3" customWidth="1"/>
    <col min="12293" max="12293" width="20.85546875" style="3" customWidth="1"/>
    <col min="12294" max="12294" width="21.28515625" style="3" customWidth="1"/>
    <col min="12295" max="12544" width="11.42578125" style="3"/>
    <col min="12545" max="12545" width="18" style="3" customWidth="1"/>
    <col min="12546" max="12546" width="31.85546875" style="3" customWidth="1"/>
    <col min="12547" max="12547" width="19" style="3" customWidth="1"/>
    <col min="12548" max="12548" width="20.5703125" style="3" customWidth="1"/>
    <col min="12549" max="12549" width="20.85546875" style="3" customWidth="1"/>
    <col min="12550" max="12550" width="21.28515625" style="3" customWidth="1"/>
    <col min="12551" max="12800" width="11.42578125" style="3"/>
    <col min="12801" max="12801" width="18" style="3" customWidth="1"/>
    <col min="12802" max="12802" width="31.85546875" style="3" customWidth="1"/>
    <col min="12803" max="12803" width="19" style="3" customWidth="1"/>
    <col min="12804" max="12804" width="20.5703125" style="3" customWidth="1"/>
    <col min="12805" max="12805" width="20.85546875" style="3" customWidth="1"/>
    <col min="12806" max="12806" width="21.28515625" style="3" customWidth="1"/>
    <col min="12807" max="13056" width="11.42578125" style="3"/>
    <col min="13057" max="13057" width="18" style="3" customWidth="1"/>
    <col min="13058" max="13058" width="31.85546875" style="3" customWidth="1"/>
    <col min="13059" max="13059" width="19" style="3" customWidth="1"/>
    <col min="13060" max="13060" width="20.5703125" style="3" customWidth="1"/>
    <col min="13061" max="13061" width="20.85546875" style="3" customWidth="1"/>
    <col min="13062" max="13062" width="21.28515625" style="3" customWidth="1"/>
    <col min="13063" max="13312" width="11.42578125" style="3"/>
    <col min="13313" max="13313" width="18" style="3" customWidth="1"/>
    <col min="13314" max="13314" width="31.85546875" style="3" customWidth="1"/>
    <col min="13315" max="13315" width="19" style="3" customWidth="1"/>
    <col min="13316" max="13316" width="20.5703125" style="3" customWidth="1"/>
    <col min="13317" max="13317" width="20.85546875" style="3" customWidth="1"/>
    <col min="13318" max="13318" width="21.28515625" style="3" customWidth="1"/>
    <col min="13319" max="13568" width="11.42578125" style="3"/>
    <col min="13569" max="13569" width="18" style="3" customWidth="1"/>
    <col min="13570" max="13570" width="31.85546875" style="3" customWidth="1"/>
    <col min="13571" max="13571" width="19" style="3" customWidth="1"/>
    <col min="13572" max="13572" width="20.5703125" style="3" customWidth="1"/>
    <col min="13573" max="13573" width="20.85546875" style="3" customWidth="1"/>
    <col min="13574" max="13574" width="21.28515625" style="3" customWidth="1"/>
    <col min="13575" max="13824" width="11.42578125" style="3"/>
    <col min="13825" max="13825" width="18" style="3" customWidth="1"/>
    <col min="13826" max="13826" width="31.85546875" style="3" customWidth="1"/>
    <col min="13827" max="13827" width="19" style="3" customWidth="1"/>
    <col min="13828" max="13828" width="20.5703125" style="3" customWidth="1"/>
    <col min="13829" max="13829" width="20.85546875" style="3" customWidth="1"/>
    <col min="13830" max="13830" width="21.28515625" style="3" customWidth="1"/>
    <col min="13831" max="14080" width="11.42578125" style="3"/>
    <col min="14081" max="14081" width="18" style="3" customWidth="1"/>
    <col min="14082" max="14082" width="31.85546875" style="3" customWidth="1"/>
    <col min="14083" max="14083" width="19" style="3" customWidth="1"/>
    <col min="14084" max="14084" width="20.5703125" style="3" customWidth="1"/>
    <col min="14085" max="14085" width="20.85546875" style="3" customWidth="1"/>
    <col min="14086" max="14086" width="21.28515625" style="3" customWidth="1"/>
    <col min="14087" max="14336" width="11.42578125" style="3"/>
    <col min="14337" max="14337" width="18" style="3" customWidth="1"/>
    <col min="14338" max="14338" width="31.85546875" style="3" customWidth="1"/>
    <col min="14339" max="14339" width="19" style="3" customWidth="1"/>
    <col min="14340" max="14340" width="20.5703125" style="3" customWidth="1"/>
    <col min="14341" max="14341" width="20.85546875" style="3" customWidth="1"/>
    <col min="14342" max="14342" width="21.28515625" style="3" customWidth="1"/>
    <col min="14343" max="14592" width="11.42578125" style="3"/>
    <col min="14593" max="14593" width="18" style="3" customWidth="1"/>
    <col min="14594" max="14594" width="31.85546875" style="3" customWidth="1"/>
    <col min="14595" max="14595" width="19" style="3" customWidth="1"/>
    <col min="14596" max="14596" width="20.5703125" style="3" customWidth="1"/>
    <col min="14597" max="14597" width="20.85546875" style="3" customWidth="1"/>
    <col min="14598" max="14598" width="21.28515625" style="3" customWidth="1"/>
    <col min="14599" max="14848" width="11.42578125" style="3"/>
    <col min="14849" max="14849" width="18" style="3" customWidth="1"/>
    <col min="14850" max="14850" width="31.85546875" style="3" customWidth="1"/>
    <col min="14851" max="14851" width="19" style="3" customWidth="1"/>
    <col min="14852" max="14852" width="20.5703125" style="3" customWidth="1"/>
    <col min="14853" max="14853" width="20.85546875" style="3" customWidth="1"/>
    <col min="14854" max="14854" width="21.28515625" style="3" customWidth="1"/>
    <col min="14855" max="15104" width="11.42578125" style="3"/>
    <col min="15105" max="15105" width="18" style="3" customWidth="1"/>
    <col min="15106" max="15106" width="31.85546875" style="3" customWidth="1"/>
    <col min="15107" max="15107" width="19" style="3" customWidth="1"/>
    <col min="15108" max="15108" width="20.5703125" style="3" customWidth="1"/>
    <col min="15109" max="15109" width="20.85546875" style="3" customWidth="1"/>
    <col min="15110" max="15110" width="21.28515625" style="3" customWidth="1"/>
    <col min="15111" max="15360" width="11.42578125" style="3"/>
    <col min="15361" max="15361" width="18" style="3" customWidth="1"/>
    <col min="15362" max="15362" width="31.85546875" style="3" customWidth="1"/>
    <col min="15363" max="15363" width="19" style="3" customWidth="1"/>
    <col min="15364" max="15364" width="20.5703125" style="3" customWidth="1"/>
    <col min="15365" max="15365" width="20.85546875" style="3" customWidth="1"/>
    <col min="15366" max="15366" width="21.28515625" style="3" customWidth="1"/>
    <col min="15367" max="15616" width="11.42578125" style="3"/>
    <col min="15617" max="15617" width="18" style="3" customWidth="1"/>
    <col min="15618" max="15618" width="31.85546875" style="3" customWidth="1"/>
    <col min="15619" max="15619" width="19" style="3" customWidth="1"/>
    <col min="15620" max="15620" width="20.5703125" style="3" customWidth="1"/>
    <col min="15621" max="15621" width="20.85546875" style="3" customWidth="1"/>
    <col min="15622" max="15622" width="21.28515625" style="3" customWidth="1"/>
    <col min="15623" max="15872" width="11.42578125" style="3"/>
    <col min="15873" max="15873" width="18" style="3" customWidth="1"/>
    <col min="15874" max="15874" width="31.85546875" style="3" customWidth="1"/>
    <col min="15875" max="15875" width="19" style="3" customWidth="1"/>
    <col min="15876" max="15876" width="20.5703125" style="3" customWidth="1"/>
    <col min="15877" max="15877" width="20.85546875" style="3" customWidth="1"/>
    <col min="15878" max="15878" width="21.28515625" style="3" customWidth="1"/>
    <col min="15879" max="16128" width="11.42578125" style="3"/>
    <col min="16129" max="16129" width="18" style="3" customWidth="1"/>
    <col min="16130" max="16130" width="31.85546875" style="3" customWidth="1"/>
    <col min="16131" max="16131" width="19" style="3" customWidth="1"/>
    <col min="16132" max="16132" width="20.5703125" style="3" customWidth="1"/>
    <col min="16133" max="16133" width="20.85546875" style="3" customWidth="1"/>
    <col min="16134" max="16134" width="21.28515625" style="3" customWidth="1"/>
    <col min="16135" max="16384" width="11.42578125" style="3"/>
  </cols>
  <sheetData>
    <row r="1" spans="1:9" ht="20.100000000000001" customHeight="1" x14ac:dyDescent="0.3">
      <c r="A1" s="1" t="s">
        <v>0</v>
      </c>
      <c r="B1" s="1"/>
      <c r="C1" s="1"/>
      <c r="D1" s="1"/>
      <c r="E1" s="1"/>
      <c r="F1" s="2"/>
      <c r="G1" s="2"/>
      <c r="H1" s="2"/>
    </row>
    <row r="2" spans="1:9" ht="20.100000000000001" customHeight="1" x14ac:dyDescent="0.25">
      <c r="A2" s="4" t="s">
        <v>1</v>
      </c>
      <c r="B2" s="4"/>
      <c r="C2" s="4"/>
      <c r="D2" s="4"/>
      <c r="E2" s="4"/>
      <c r="F2" s="2"/>
      <c r="G2" s="2"/>
      <c r="H2" s="2"/>
    </row>
    <row r="3" spans="1:9" ht="20.100000000000001" customHeight="1" x14ac:dyDescent="0.25">
      <c r="A3" s="5"/>
      <c r="B3" s="5"/>
      <c r="C3" s="5"/>
      <c r="D3" s="5"/>
      <c r="E3" s="5"/>
      <c r="F3" s="2"/>
      <c r="G3" s="2"/>
      <c r="H3" s="2"/>
    </row>
    <row r="4" spans="1:9" ht="20.100000000000001" customHeight="1" x14ac:dyDescent="0.25">
      <c r="A4" s="6" t="s">
        <v>2</v>
      </c>
      <c r="B4" s="5"/>
      <c r="C4" s="5"/>
      <c r="D4" s="5"/>
      <c r="E4" s="5"/>
      <c r="F4" s="5"/>
      <c r="G4" s="2"/>
      <c r="H4" s="2"/>
    </row>
    <row r="5" spans="1:9" ht="20.100000000000001" customHeight="1" x14ac:dyDescent="0.25">
      <c r="A5" s="6" t="s">
        <v>3</v>
      </c>
      <c r="B5" s="7"/>
      <c r="C5" s="8"/>
      <c r="D5" s="8"/>
      <c r="E5" s="8"/>
      <c r="F5" s="9"/>
      <c r="G5" s="2"/>
      <c r="H5" s="2"/>
    </row>
    <row r="6" spans="1:9" ht="20.100000000000001" customHeight="1" x14ac:dyDescent="0.25">
      <c r="A6" s="10" t="s">
        <v>4</v>
      </c>
      <c r="B6" s="11"/>
      <c r="C6" s="11"/>
      <c r="D6" s="11"/>
      <c r="E6" s="11"/>
      <c r="F6" s="11"/>
      <c r="G6" s="12"/>
      <c r="H6" s="12"/>
      <c r="I6" s="13"/>
    </row>
    <row r="7" spans="1:9" ht="20.100000000000001" customHeight="1" thickBot="1" x14ac:dyDescent="0.3">
      <c r="A7" s="10"/>
      <c r="B7" s="11"/>
      <c r="C7" s="11"/>
      <c r="D7" s="11"/>
      <c r="E7" s="11"/>
      <c r="F7" s="11"/>
      <c r="G7" s="12"/>
      <c r="H7" s="12"/>
      <c r="I7" s="13"/>
    </row>
    <row r="8" spans="1:9" ht="79.5" thickBot="1" x14ac:dyDescent="0.25">
      <c r="A8" s="14" t="s">
        <v>5</v>
      </c>
      <c r="B8" s="15" t="s">
        <v>6</v>
      </c>
      <c r="C8" s="16" t="s">
        <v>7</v>
      </c>
      <c r="D8" s="17" t="s">
        <v>8</v>
      </c>
      <c r="E8" s="17" t="s">
        <v>9</v>
      </c>
      <c r="F8" s="17" t="s">
        <v>10</v>
      </c>
    </row>
    <row r="9" spans="1:9" ht="20.100000000000001" customHeight="1" thickBot="1" x14ac:dyDescent="0.3">
      <c r="A9" s="18" t="s">
        <v>11</v>
      </c>
      <c r="B9" s="19"/>
      <c r="C9" s="19"/>
      <c r="D9" s="19"/>
      <c r="E9" s="19"/>
      <c r="F9" s="20"/>
    </row>
    <row r="10" spans="1:9" ht="20.100000000000001" customHeight="1" x14ac:dyDescent="0.2">
      <c r="A10" s="21">
        <v>7101</v>
      </c>
      <c r="B10" s="22" t="s">
        <v>12</v>
      </c>
      <c r="C10" s="23"/>
      <c r="D10" s="24"/>
      <c r="E10" s="25"/>
      <c r="F10" s="25"/>
    </row>
    <row r="11" spans="1:9" ht="20.100000000000001" customHeight="1" x14ac:dyDescent="0.2">
      <c r="A11" s="26">
        <v>710106</v>
      </c>
      <c r="B11" s="27" t="s">
        <v>13</v>
      </c>
      <c r="C11" s="28">
        <v>1621826.64</v>
      </c>
      <c r="D11" s="28">
        <v>1562904.48</v>
      </c>
      <c r="E11" s="28">
        <v>1587381.24</v>
      </c>
      <c r="F11" s="29"/>
      <c r="G11" s="13"/>
      <c r="H11" s="13"/>
    </row>
    <row r="12" spans="1:9" ht="20.100000000000001" customHeight="1" x14ac:dyDescent="0.2">
      <c r="A12" s="26"/>
      <c r="B12" s="27"/>
      <c r="C12" s="30"/>
      <c r="D12" s="31"/>
      <c r="E12" s="31"/>
      <c r="F12" s="31"/>
    </row>
    <row r="13" spans="1:9" ht="20.100000000000001" customHeight="1" x14ac:dyDescent="0.2">
      <c r="A13" s="21">
        <v>7102</v>
      </c>
      <c r="B13" s="22" t="s">
        <v>14</v>
      </c>
      <c r="C13" s="30"/>
      <c r="D13" s="31"/>
      <c r="E13" s="31"/>
      <c r="F13" s="31"/>
    </row>
    <row r="14" spans="1:9" ht="20.100000000000001" customHeight="1" x14ac:dyDescent="0.2">
      <c r="A14" s="26">
        <v>710203</v>
      </c>
      <c r="B14" s="27" t="s">
        <v>15</v>
      </c>
      <c r="C14" s="28">
        <v>135152.22</v>
      </c>
      <c r="D14" s="28">
        <v>130242.04</v>
      </c>
      <c r="E14" s="28">
        <v>132281.76999999999</v>
      </c>
      <c r="F14" s="29"/>
    </row>
    <row r="15" spans="1:9" ht="20.100000000000001" customHeight="1" x14ac:dyDescent="0.2">
      <c r="A15" s="26">
        <v>710204</v>
      </c>
      <c r="B15" s="27" t="s">
        <v>16</v>
      </c>
      <c r="C15" s="28">
        <v>74800</v>
      </c>
      <c r="D15" s="28">
        <v>77745</v>
      </c>
      <c r="E15" s="28">
        <v>79056</v>
      </c>
      <c r="F15" s="29"/>
    </row>
    <row r="16" spans="1:9" ht="20.100000000000001" customHeight="1" x14ac:dyDescent="0.2">
      <c r="A16" s="26"/>
      <c r="B16" s="27"/>
      <c r="C16" s="28"/>
      <c r="D16" s="29"/>
      <c r="E16" s="29"/>
      <c r="F16" s="29"/>
    </row>
    <row r="17" spans="1:6" ht="20.100000000000001" customHeight="1" x14ac:dyDescent="0.2">
      <c r="A17" s="21">
        <v>7103</v>
      </c>
      <c r="B17" s="22" t="s">
        <v>17</v>
      </c>
      <c r="C17" s="28"/>
      <c r="D17" s="29"/>
      <c r="E17" s="29"/>
      <c r="F17" s="29"/>
    </row>
    <row r="18" spans="1:6" ht="20.100000000000001" customHeight="1" x14ac:dyDescent="0.2">
      <c r="A18" s="26">
        <v>710304</v>
      </c>
      <c r="B18" s="27" t="s">
        <v>18</v>
      </c>
      <c r="C18" s="28">
        <v>29040</v>
      </c>
      <c r="D18" s="28">
        <v>28116</v>
      </c>
      <c r="E18" s="28">
        <v>28512</v>
      </c>
      <c r="F18" s="29"/>
    </row>
    <row r="19" spans="1:6" ht="20.100000000000001" customHeight="1" x14ac:dyDescent="0.2">
      <c r="A19" s="26">
        <v>710307</v>
      </c>
      <c r="B19" s="27" t="s">
        <v>19</v>
      </c>
      <c r="C19" s="28">
        <v>232320</v>
      </c>
      <c r="D19" s="28">
        <v>224928</v>
      </c>
      <c r="E19" s="28">
        <v>228096</v>
      </c>
      <c r="F19" s="29"/>
    </row>
    <row r="20" spans="1:6" ht="20.100000000000001" customHeight="1" x14ac:dyDescent="0.2">
      <c r="A20" s="26"/>
      <c r="B20" s="27"/>
      <c r="C20" s="28"/>
      <c r="D20" s="29"/>
      <c r="E20" s="29"/>
      <c r="F20" s="29"/>
    </row>
    <row r="21" spans="1:6" ht="20.100000000000001" customHeight="1" x14ac:dyDescent="0.2">
      <c r="A21" s="21">
        <v>7104</v>
      </c>
      <c r="B21" s="22" t="s">
        <v>20</v>
      </c>
      <c r="C21" s="28"/>
      <c r="D21" s="29"/>
      <c r="E21" s="29"/>
      <c r="F21" s="29"/>
    </row>
    <row r="22" spans="1:6" ht="20.100000000000001" customHeight="1" x14ac:dyDescent="0.2">
      <c r="A22" s="26">
        <v>710401</v>
      </c>
      <c r="B22" s="27" t="s">
        <v>21</v>
      </c>
      <c r="C22" s="28">
        <v>8931</v>
      </c>
      <c r="D22" s="28">
        <v>8697</v>
      </c>
      <c r="E22" s="28">
        <v>11160</v>
      </c>
      <c r="F22" s="29"/>
    </row>
    <row r="23" spans="1:6" ht="20.100000000000001" customHeight="1" x14ac:dyDescent="0.2">
      <c r="A23" s="26">
        <v>710401</v>
      </c>
      <c r="B23" s="27" t="s">
        <v>22</v>
      </c>
      <c r="C23" s="28">
        <v>12788.22</v>
      </c>
      <c r="D23" s="29">
        <v>16752.830000000002</v>
      </c>
      <c r="E23" s="29">
        <v>23810.720000000001</v>
      </c>
      <c r="F23" s="29"/>
    </row>
    <row r="24" spans="1:6" ht="20.100000000000001" customHeight="1" x14ac:dyDescent="0.2">
      <c r="A24" s="26"/>
      <c r="B24" s="22"/>
      <c r="C24" s="30"/>
      <c r="D24" s="31"/>
      <c r="E24" s="31"/>
      <c r="F24" s="29"/>
    </row>
    <row r="25" spans="1:6" ht="20.100000000000001" customHeight="1" x14ac:dyDescent="0.2">
      <c r="A25" s="21">
        <v>7106</v>
      </c>
      <c r="B25" s="22" t="s">
        <v>23</v>
      </c>
      <c r="C25" s="30"/>
      <c r="D25" s="31"/>
      <c r="E25" s="31"/>
      <c r="F25" s="31"/>
    </row>
    <row r="26" spans="1:6" ht="20.100000000000001" customHeight="1" x14ac:dyDescent="0.2">
      <c r="A26" s="32" t="s">
        <v>24</v>
      </c>
      <c r="B26" s="27" t="s">
        <v>25</v>
      </c>
      <c r="C26" s="28">
        <f>180833.66+16218.27</f>
        <v>197051.93</v>
      </c>
      <c r="D26" s="29">
        <f>174263.85+15629.04</f>
        <v>189892.89</v>
      </c>
      <c r="E26" s="29">
        <f>16447.1+176993.01</f>
        <v>193440.11000000002</v>
      </c>
      <c r="F26" s="29"/>
    </row>
    <row r="27" spans="1:6" ht="20.100000000000001" customHeight="1" x14ac:dyDescent="0.2">
      <c r="A27" s="32" t="s">
        <v>26</v>
      </c>
      <c r="B27" s="27" t="s">
        <v>27</v>
      </c>
      <c r="C27" s="28">
        <v>135098.16</v>
      </c>
      <c r="D27" s="29">
        <v>130189.94</v>
      </c>
      <c r="E27" s="29">
        <v>132228.35999999999</v>
      </c>
      <c r="F27" s="29"/>
    </row>
    <row r="28" spans="1:6" ht="20.100000000000001" customHeight="1" x14ac:dyDescent="0.2">
      <c r="A28" s="32" t="s">
        <v>28</v>
      </c>
      <c r="B28" s="27" t="s">
        <v>29</v>
      </c>
      <c r="C28" s="28">
        <v>285262.90000000002</v>
      </c>
      <c r="D28" s="29">
        <v>286465.59000000003</v>
      </c>
      <c r="E28" s="29">
        <v>318459.73</v>
      </c>
      <c r="F28" s="29"/>
    </row>
    <row r="29" spans="1:6" ht="20.100000000000001" customHeight="1" x14ac:dyDescent="0.2">
      <c r="A29" s="26"/>
      <c r="B29" s="27"/>
      <c r="C29" s="28"/>
      <c r="D29" s="29"/>
      <c r="E29" s="29"/>
      <c r="F29" s="31"/>
    </row>
    <row r="30" spans="1:6" ht="20.100000000000001" customHeight="1" x14ac:dyDescent="0.2">
      <c r="A30" s="21">
        <v>7107</v>
      </c>
      <c r="B30" s="22" t="s">
        <v>30</v>
      </c>
      <c r="C30" s="28"/>
      <c r="D30" s="29"/>
      <c r="E30" s="29"/>
      <c r="F30" s="31"/>
    </row>
    <row r="31" spans="1:6" ht="20.100000000000001" customHeight="1" x14ac:dyDescent="0.2">
      <c r="A31" s="26">
        <v>710704</v>
      </c>
      <c r="B31" s="27" t="s">
        <v>31</v>
      </c>
      <c r="C31" s="30"/>
      <c r="D31" s="31"/>
      <c r="E31" s="31"/>
      <c r="F31" s="31"/>
    </row>
    <row r="32" spans="1:6" ht="20.100000000000001" customHeight="1" x14ac:dyDescent="0.2">
      <c r="A32" s="26">
        <v>710705</v>
      </c>
      <c r="B32" s="27" t="s">
        <v>32</v>
      </c>
      <c r="C32" s="30">
        <v>477983.33</v>
      </c>
      <c r="D32" s="31">
        <v>606903.5</v>
      </c>
      <c r="E32" s="31">
        <v>570766</v>
      </c>
      <c r="F32" s="31"/>
    </row>
    <row r="33" spans="1:6" ht="20.100000000000001" customHeight="1" x14ac:dyDescent="0.2">
      <c r="A33" s="26"/>
      <c r="B33" s="27"/>
      <c r="C33" s="30"/>
      <c r="D33" s="31"/>
      <c r="E33" s="31"/>
      <c r="F33" s="31"/>
    </row>
    <row r="34" spans="1:6" ht="20.100000000000001" customHeight="1" thickBot="1" x14ac:dyDescent="0.25">
      <c r="A34" s="33"/>
      <c r="B34" s="34"/>
      <c r="C34" s="30"/>
      <c r="D34" s="31"/>
      <c r="E34" s="31"/>
      <c r="F34" s="35"/>
    </row>
    <row r="35" spans="1:6" ht="20.100000000000001" customHeight="1" thickBot="1" x14ac:dyDescent="0.3">
      <c r="A35" s="36"/>
      <c r="B35" s="37" t="s">
        <v>33</v>
      </c>
      <c r="C35" s="38">
        <f>SUM(C10:C34)</f>
        <v>3210254.4000000004</v>
      </c>
      <c r="D35" s="38">
        <f>SUM(D10:D34)</f>
        <v>3262837.27</v>
      </c>
      <c r="E35" s="38">
        <f>SUM(E10:E34)</f>
        <v>3305191.9299999997</v>
      </c>
      <c r="F35" s="39"/>
    </row>
    <row r="36" spans="1:6" ht="20.100000000000001" customHeight="1" thickBot="1" x14ac:dyDescent="0.3">
      <c r="A36" s="40"/>
      <c r="B36" s="41"/>
      <c r="C36" s="41"/>
      <c r="D36" s="42"/>
      <c r="E36" s="43"/>
      <c r="F36" s="43"/>
    </row>
    <row r="37" spans="1:6" ht="20.100000000000001" customHeight="1" x14ac:dyDescent="0.2">
      <c r="A37" s="44"/>
      <c r="B37" s="45"/>
      <c r="C37" s="44"/>
      <c r="D37" s="44"/>
      <c r="E37" s="44"/>
    </row>
    <row r="38" spans="1:6" ht="20.100000000000001" customHeight="1" x14ac:dyDescent="0.2">
      <c r="A38" s="44" t="s">
        <v>34</v>
      </c>
      <c r="B38" s="45"/>
      <c r="C38" s="44"/>
      <c r="D38" s="44"/>
      <c r="E38" s="44"/>
      <c r="F38" s="13"/>
    </row>
    <row r="39" spans="1:6" ht="20.100000000000001" customHeight="1" x14ac:dyDescent="0.2">
      <c r="A39" s="44" t="s">
        <v>35</v>
      </c>
      <c r="B39" s="44"/>
      <c r="C39" s="44"/>
      <c r="D39" s="44"/>
      <c r="E39" s="46"/>
      <c r="F39" s="13"/>
    </row>
    <row r="40" spans="1:6" ht="20.100000000000001" customHeight="1" x14ac:dyDescent="0.2">
      <c r="A40" s="44" t="s">
        <v>36</v>
      </c>
      <c r="B40" s="44"/>
      <c r="C40" s="44"/>
      <c r="D40" s="44"/>
      <c r="E40" s="46"/>
      <c r="F40" s="13"/>
    </row>
    <row r="41" spans="1:6" ht="20.100000000000001" customHeight="1" x14ac:dyDescent="0.2">
      <c r="A41" s="44"/>
      <c r="B41" s="44"/>
      <c r="C41" s="44"/>
      <c r="D41" s="44"/>
      <c r="E41" s="46"/>
      <c r="F41" s="13"/>
    </row>
    <row r="42" spans="1:6" ht="20.100000000000001" customHeight="1" x14ac:dyDescent="0.2">
      <c r="A42" s="44"/>
      <c r="B42" s="44"/>
      <c r="C42" s="44"/>
      <c r="D42" s="44"/>
      <c r="E42" s="46"/>
      <c r="F42" s="13"/>
    </row>
    <row r="43" spans="1:6" ht="20.100000000000001" customHeight="1" x14ac:dyDescent="0.2">
      <c r="A43" s="3"/>
      <c r="B43" s="44"/>
      <c r="C43" s="44"/>
      <c r="D43" s="44"/>
      <c r="E43" s="44"/>
      <c r="F43" s="13"/>
    </row>
    <row r="44" spans="1:6" ht="20.100000000000001" customHeight="1" x14ac:dyDescent="0.25">
      <c r="A44" s="3"/>
      <c r="B44" s="47" t="s">
        <v>37</v>
      </c>
      <c r="C44" s="47"/>
      <c r="D44" s="48"/>
      <c r="E44" s="48"/>
      <c r="F44" s="13"/>
    </row>
    <row r="45" spans="1:6" ht="20.100000000000001" customHeight="1" x14ac:dyDescent="0.25">
      <c r="A45" s="3"/>
      <c r="B45" s="48"/>
      <c r="C45" s="48"/>
      <c r="D45" s="48"/>
      <c r="E45" s="48"/>
      <c r="F45" s="13"/>
    </row>
    <row r="46" spans="1:6" ht="15" x14ac:dyDescent="0.25">
      <c r="A46" s="3"/>
      <c r="B46" s="49" t="s">
        <v>38</v>
      </c>
      <c r="C46" s="50"/>
      <c r="D46" s="50"/>
      <c r="E46" s="50"/>
      <c r="F46" s="13"/>
    </row>
    <row r="47" spans="1:6" ht="20.100000000000001" customHeight="1" x14ac:dyDescent="0.25">
      <c r="A47" s="3"/>
      <c r="B47" s="49" t="s">
        <v>39</v>
      </c>
      <c r="C47" s="44"/>
      <c r="D47" s="44"/>
      <c r="E47" s="44"/>
    </row>
    <row r="48" spans="1:6" ht="20.100000000000001" customHeight="1" x14ac:dyDescent="0.25">
      <c r="A48" s="3"/>
      <c r="B48" s="49" t="s">
        <v>40</v>
      </c>
      <c r="C48" s="44"/>
      <c r="D48" s="44"/>
      <c r="E48" s="44"/>
    </row>
  </sheetData>
  <mergeCells count="5">
    <mergeCell ref="A1:E1"/>
    <mergeCell ref="A2:E2"/>
    <mergeCell ref="A9:F9"/>
    <mergeCell ref="A36:D36"/>
    <mergeCell ref="B44:C4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8"/>
  <sheetViews>
    <sheetView workbookViewId="0">
      <selection sqref="A1:XFD1048576"/>
    </sheetView>
  </sheetViews>
  <sheetFormatPr baseColWidth="10" defaultColWidth="11.42578125" defaultRowHeight="12.75" x14ac:dyDescent="0.2"/>
  <cols>
    <col min="1" max="1" width="12.28515625" style="51" customWidth="1"/>
    <col min="2" max="3" width="34.42578125" style="51" customWidth="1"/>
    <col min="4" max="4" width="19.28515625" style="51" customWidth="1"/>
    <col min="5" max="5" width="18" style="51" customWidth="1"/>
    <col min="6" max="6" width="23.5703125" style="3" customWidth="1"/>
    <col min="7" max="16384" width="11.42578125" style="3"/>
  </cols>
  <sheetData>
    <row r="1" spans="1:9" ht="20.100000000000001" customHeight="1" x14ac:dyDescent="0.3">
      <c r="A1" s="1" t="s">
        <v>0</v>
      </c>
      <c r="B1" s="1"/>
      <c r="C1" s="1"/>
      <c r="D1" s="1"/>
      <c r="E1" s="1"/>
      <c r="F1" s="2"/>
      <c r="G1" s="2"/>
      <c r="H1" s="2"/>
    </row>
    <row r="2" spans="1:9" ht="20.100000000000001" customHeight="1" x14ac:dyDescent="0.25">
      <c r="A2" s="4" t="s">
        <v>1</v>
      </c>
      <c r="B2" s="4"/>
      <c r="C2" s="4"/>
      <c r="D2" s="4"/>
      <c r="E2" s="4"/>
      <c r="F2" s="2"/>
      <c r="G2" s="2"/>
      <c r="H2" s="2"/>
    </row>
    <row r="3" spans="1:9" ht="20.100000000000001" customHeight="1" x14ac:dyDescent="0.25">
      <c r="A3" s="5"/>
      <c r="B3" s="5"/>
      <c r="C3" s="5"/>
      <c r="D3" s="5"/>
      <c r="E3" s="5"/>
      <c r="F3" s="2"/>
      <c r="G3" s="2"/>
      <c r="H3" s="2"/>
    </row>
    <row r="4" spans="1:9" ht="20.100000000000001" customHeight="1" x14ac:dyDescent="0.25">
      <c r="A4" s="6" t="s">
        <v>41</v>
      </c>
      <c r="B4" s="5"/>
      <c r="C4" s="5"/>
      <c r="D4" s="5"/>
      <c r="E4" s="5"/>
      <c r="F4" s="5"/>
      <c r="G4" s="2"/>
      <c r="H4" s="2"/>
    </row>
    <row r="5" spans="1:9" ht="20.100000000000001" customHeight="1" x14ac:dyDescent="0.25">
      <c r="A5" s="6" t="s">
        <v>42</v>
      </c>
      <c r="B5" s="7"/>
      <c r="C5" s="7"/>
      <c r="D5" s="8"/>
      <c r="E5" s="8"/>
      <c r="F5" s="9"/>
      <c r="G5" s="2"/>
      <c r="H5" s="2"/>
    </row>
    <row r="6" spans="1:9" ht="20.100000000000001" customHeight="1" x14ac:dyDescent="0.25">
      <c r="A6" s="10" t="s">
        <v>43</v>
      </c>
      <c r="B6" s="11"/>
      <c r="C6" s="11"/>
      <c r="D6" s="11"/>
      <c r="E6" s="11"/>
      <c r="F6" s="11"/>
      <c r="G6" s="12"/>
      <c r="H6" s="12"/>
      <c r="I6" s="13"/>
    </row>
    <row r="7" spans="1:9" ht="20.100000000000001" customHeight="1" thickBot="1" x14ac:dyDescent="0.3">
      <c r="A7" s="10"/>
      <c r="B7" s="11"/>
      <c r="C7" s="11"/>
      <c r="D7" s="11"/>
      <c r="E7" s="11"/>
      <c r="F7" s="11"/>
      <c r="G7" s="12"/>
      <c r="H7" s="12"/>
      <c r="I7" s="13"/>
    </row>
    <row r="8" spans="1:9" ht="45" customHeight="1" x14ac:dyDescent="0.2">
      <c r="A8" s="14" t="s">
        <v>5</v>
      </c>
      <c r="B8" s="15" t="s">
        <v>6</v>
      </c>
      <c r="C8" s="15" t="s">
        <v>44</v>
      </c>
      <c r="D8" s="16" t="s">
        <v>45</v>
      </c>
      <c r="E8" s="17" t="s">
        <v>46</v>
      </c>
      <c r="F8" s="17" t="s">
        <v>10</v>
      </c>
    </row>
    <row r="9" spans="1:9" ht="20.100000000000001" customHeight="1" x14ac:dyDescent="0.2">
      <c r="A9" s="21">
        <v>7101</v>
      </c>
      <c r="B9" s="22" t="s">
        <v>12</v>
      </c>
      <c r="C9" s="52"/>
      <c r="D9" s="23"/>
      <c r="E9" s="25"/>
      <c r="F9" s="25"/>
    </row>
    <row r="10" spans="1:9" ht="20.100000000000001" customHeight="1" x14ac:dyDescent="0.2">
      <c r="A10" s="26">
        <v>710106</v>
      </c>
      <c r="B10" s="27" t="s">
        <v>13</v>
      </c>
      <c r="C10" s="28">
        <v>43056</v>
      </c>
      <c r="D10" s="28">
        <v>43056</v>
      </c>
      <c r="E10" s="28">
        <v>43056</v>
      </c>
      <c r="F10" s="29"/>
      <c r="G10" s="13"/>
      <c r="H10" s="13"/>
    </row>
    <row r="11" spans="1:9" ht="20.100000000000001" customHeight="1" x14ac:dyDescent="0.2">
      <c r="A11" s="26"/>
      <c r="B11" s="27"/>
      <c r="C11" s="30"/>
      <c r="D11" s="30"/>
      <c r="E11" s="30"/>
      <c r="F11" s="31"/>
    </row>
    <row r="12" spans="1:9" ht="20.100000000000001" customHeight="1" x14ac:dyDescent="0.2">
      <c r="A12" s="21">
        <v>7102</v>
      </c>
      <c r="B12" s="22" t="s">
        <v>14</v>
      </c>
      <c r="C12" s="30"/>
      <c r="D12" s="30"/>
      <c r="E12" s="30"/>
      <c r="F12" s="31"/>
    </row>
    <row r="13" spans="1:9" ht="20.100000000000001" customHeight="1" x14ac:dyDescent="0.2">
      <c r="A13" s="26">
        <v>710203</v>
      </c>
      <c r="B13" s="27" t="s">
        <v>15</v>
      </c>
      <c r="C13" s="28">
        <v>3588</v>
      </c>
      <c r="D13" s="28">
        <v>3588</v>
      </c>
      <c r="E13" s="28">
        <v>3588</v>
      </c>
      <c r="F13" s="29"/>
    </row>
    <row r="14" spans="1:9" ht="20.100000000000001" customHeight="1" x14ac:dyDescent="0.2">
      <c r="A14" s="26">
        <v>710204</v>
      </c>
      <c r="B14" s="27" t="s">
        <v>16</v>
      </c>
      <c r="C14" s="28">
        <v>2040</v>
      </c>
      <c r="D14" s="28">
        <v>2124</v>
      </c>
      <c r="E14" s="28">
        <v>2196</v>
      </c>
      <c r="F14" s="29"/>
    </row>
    <row r="15" spans="1:9" ht="20.100000000000001" customHeight="1" x14ac:dyDescent="0.2">
      <c r="A15" s="26"/>
      <c r="B15" s="27"/>
      <c r="C15" s="28"/>
      <c r="D15" s="28"/>
      <c r="E15" s="28"/>
      <c r="F15" s="29"/>
    </row>
    <row r="16" spans="1:9" ht="20.100000000000001" customHeight="1" x14ac:dyDescent="0.2">
      <c r="A16" s="21">
        <v>7103</v>
      </c>
      <c r="B16" s="22" t="s">
        <v>17</v>
      </c>
      <c r="C16" s="28"/>
      <c r="D16" s="28"/>
      <c r="E16" s="28"/>
      <c r="F16" s="29"/>
    </row>
    <row r="17" spans="1:6" ht="20.100000000000001" customHeight="1" x14ac:dyDescent="0.2">
      <c r="A17" s="26">
        <v>710304</v>
      </c>
      <c r="B17" s="27" t="s">
        <v>18</v>
      </c>
      <c r="C17" s="28">
        <v>792</v>
      </c>
      <c r="D17" s="28">
        <v>792</v>
      </c>
      <c r="E17" s="28">
        <v>792</v>
      </c>
      <c r="F17" s="29"/>
    </row>
    <row r="18" spans="1:6" ht="20.100000000000001" customHeight="1" x14ac:dyDescent="0.2">
      <c r="A18" s="26">
        <v>710306</v>
      </c>
      <c r="B18" s="27" t="s">
        <v>47</v>
      </c>
      <c r="C18" s="28">
        <v>6336</v>
      </c>
      <c r="D18" s="28">
        <v>6336</v>
      </c>
      <c r="E18" s="28">
        <v>6336</v>
      </c>
      <c r="F18" s="29"/>
    </row>
    <row r="19" spans="1:6" ht="20.100000000000001" customHeight="1" x14ac:dyDescent="0.2">
      <c r="A19" s="26">
        <v>710307</v>
      </c>
      <c r="B19" s="27" t="s">
        <v>19</v>
      </c>
      <c r="C19" s="28">
        <v>0</v>
      </c>
      <c r="D19" s="28">
        <v>0</v>
      </c>
      <c r="E19" s="28">
        <v>0</v>
      </c>
      <c r="F19" s="29"/>
    </row>
    <row r="20" spans="1:6" ht="20.100000000000001" customHeight="1" x14ac:dyDescent="0.2">
      <c r="A20" s="26"/>
      <c r="B20" s="27"/>
      <c r="C20" s="28"/>
      <c r="D20" s="28"/>
      <c r="E20" s="28"/>
      <c r="F20" s="29"/>
    </row>
    <row r="21" spans="1:6" ht="20.100000000000001" customHeight="1" x14ac:dyDescent="0.2">
      <c r="A21" s="21">
        <v>7104</v>
      </c>
      <c r="B21" s="22" t="s">
        <v>20</v>
      </c>
      <c r="C21" s="28"/>
      <c r="D21" s="28"/>
      <c r="E21" s="28"/>
      <c r="F21" s="29"/>
    </row>
    <row r="22" spans="1:6" ht="20.100000000000001" customHeight="1" x14ac:dyDescent="0.2">
      <c r="A22" s="26">
        <v>710401</v>
      </c>
      <c r="B22" s="27" t="s">
        <v>21</v>
      </c>
      <c r="C22" s="28">
        <v>324.39999999999998</v>
      </c>
      <c r="D22" s="28">
        <v>339.84</v>
      </c>
      <c r="E22" s="28">
        <v>351.36</v>
      </c>
      <c r="F22" s="29"/>
    </row>
    <row r="23" spans="1:6" ht="20.100000000000001" customHeight="1" x14ac:dyDescent="0.2">
      <c r="A23" s="26">
        <v>710408</v>
      </c>
      <c r="B23" s="22" t="s">
        <v>48</v>
      </c>
      <c r="C23" s="28">
        <v>322.92</v>
      </c>
      <c r="D23" s="28">
        <v>430.56</v>
      </c>
      <c r="E23" s="28">
        <v>538.20000000000005</v>
      </c>
      <c r="F23" s="29"/>
    </row>
    <row r="24" spans="1:6" ht="20.100000000000001" customHeight="1" x14ac:dyDescent="0.2">
      <c r="A24" s="21">
        <v>7105</v>
      </c>
      <c r="B24" s="22" t="s">
        <v>49</v>
      </c>
      <c r="C24" s="30"/>
      <c r="D24" s="30"/>
      <c r="E24" s="30"/>
      <c r="F24" s="31"/>
    </row>
    <row r="25" spans="1:6" ht="20.100000000000001" customHeight="1" x14ac:dyDescent="0.2">
      <c r="A25" s="32" t="s">
        <v>50</v>
      </c>
      <c r="B25" s="27" t="s">
        <v>51</v>
      </c>
      <c r="C25" s="30">
        <v>0</v>
      </c>
      <c r="D25" s="30">
        <v>0</v>
      </c>
      <c r="E25" s="30">
        <v>0</v>
      </c>
      <c r="F25" s="31"/>
    </row>
    <row r="26" spans="1:6" ht="20.100000000000001" customHeight="1" x14ac:dyDescent="0.2">
      <c r="A26" s="26"/>
      <c r="B26" s="27"/>
      <c r="C26" s="30"/>
      <c r="D26" s="30"/>
      <c r="E26" s="30"/>
      <c r="F26" s="31"/>
    </row>
    <row r="27" spans="1:6" ht="20.100000000000001" customHeight="1" x14ac:dyDescent="0.2">
      <c r="A27" s="21">
        <v>7106</v>
      </c>
      <c r="B27" s="22" t="s">
        <v>23</v>
      </c>
      <c r="C27" s="30"/>
      <c r="D27" s="30"/>
      <c r="E27" s="30"/>
      <c r="F27" s="31"/>
    </row>
    <row r="28" spans="1:6" ht="20.100000000000001" customHeight="1" x14ac:dyDescent="0.2">
      <c r="A28" s="32" t="s">
        <v>24</v>
      </c>
      <c r="B28" s="27" t="s">
        <v>25</v>
      </c>
      <c r="C28" s="28">
        <v>5231.3</v>
      </c>
      <c r="D28" s="28">
        <v>5231.3</v>
      </c>
      <c r="E28" s="28">
        <v>5231.3</v>
      </c>
      <c r="F28" s="29"/>
    </row>
    <row r="29" spans="1:6" ht="20.100000000000001" customHeight="1" x14ac:dyDescent="0.2">
      <c r="A29" s="32" t="s">
        <v>26</v>
      </c>
      <c r="B29" s="27" t="s">
        <v>27</v>
      </c>
      <c r="C29" s="28">
        <v>3586.56</v>
      </c>
      <c r="D29" s="28">
        <v>3620.55</v>
      </c>
      <c r="E29" s="28">
        <v>3586.56</v>
      </c>
      <c r="F29" s="29"/>
    </row>
    <row r="30" spans="1:6" ht="20.100000000000001" customHeight="1" x14ac:dyDescent="0.2">
      <c r="A30" s="32" t="s">
        <v>28</v>
      </c>
      <c r="B30" s="27" t="s">
        <v>29</v>
      </c>
      <c r="C30" s="28">
        <v>0</v>
      </c>
      <c r="D30" s="28">
        <v>0</v>
      </c>
      <c r="E30" s="28">
        <v>0</v>
      </c>
      <c r="F30" s="29"/>
    </row>
    <row r="31" spans="1:6" ht="20.100000000000001" customHeight="1" x14ac:dyDescent="0.2">
      <c r="A31" s="26"/>
      <c r="B31" s="27"/>
      <c r="C31" s="30"/>
      <c r="D31" s="30"/>
      <c r="E31" s="30"/>
      <c r="F31" s="31"/>
    </row>
    <row r="32" spans="1:6" ht="20.100000000000001" customHeight="1" x14ac:dyDescent="0.2">
      <c r="A32" s="21">
        <v>7107</v>
      </c>
      <c r="B32" s="22" t="s">
        <v>30</v>
      </c>
      <c r="C32" s="30"/>
      <c r="D32" s="30"/>
      <c r="E32" s="30"/>
      <c r="F32" s="31"/>
    </row>
    <row r="33" spans="1:6" ht="20.100000000000001" customHeight="1" x14ac:dyDescent="0.2">
      <c r="A33" s="26">
        <v>710704</v>
      </c>
      <c r="B33" s="27" t="s">
        <v>31</v>
      </c>
      <c r="C33" s="30">
        <v>0</v>
      </c>
      <c r="D33" s="30">
        <v>0</v>
      </c>
      <c r="E33" s="30">
        <v>0</v>
      </c>
      <c r="F33" s="31"/>
    </row>
    <row r="34" spans="1:6" ht="20.100000000000001" customHeight="1" x14ac:dyDescent="0.2">
      <c r="A34" s="26">
        <v>710705</v>
      </c>
      <c r="B34" s="27" t="s">
        <v>32</v>
      </c>
      <c r="C34" s="30">
        <v>27171.67</v>
      </c>
      <c r="D34" s="30">
        <v>28290.5</v>
      </c>
      <c r="E34" s="30">
        <v>31811.5</v>
      </c>
      <c r="F34" s="31"/>
    </row>
    <row r="35" spans="1:6" ht="20.100000000000001" customHeight="1" x14ac:dyDescent="0.2">
      <c r="A35" s="26"/>
      <c r="B35" s="27"/>
      <c r="C35" s="30"/>
      <c r="D35" s="30"/>
      <c r="E35" s="30"/>
      <c r="F35" s="31"/>
    </row>
    <row r="36" spans="1:6" ht="20.100000000000001" customHeight="1" thickBot="1" x14ac:dyDescent="0.25">
      <c r="A36" s="33"/>
      <c r="B36" s="34"/>
      <c r="C36" s="53"/>
      <c r="D36" s="53"/>
      <c r="E36" s="53"/>
      <c r="F36" s="35"/>
    </row>
    <row r="37" spans="1:6" ht="20.100000000000001" customHeight="1" thickBot="1" x14ac:dyDescent="0.3">
      <c r="A37" s="36"/>
      <c r="B37" s="37" t="s">
        <v>33</v>
      </c>
      <c r="C37" s="54">
        <f>SUM(C9:C36)</f>
        <v>92448.85</v>
      </c>
      <c r="D37" s="54">
        <f>SUM(D9:D36)</f>
        <v>93808.75</v>
      </c>
      <c r="E37" s="54">
        <f>SUM(E9:E36)</f>
        <v>97486.92</v>
      </c>
      <c r="F37" s="39"/>
    </row>
    <row r="38" spans="1:6" ht="20.100000000000001" customHeight="1" thickBot="1" x14ac:dyDescent="0.25">
      <c r="A38" s="43"/>
      <c r="B38" s="55" t="s">
        <v>52</v>
      </c>
      <c r="C38" s="56"/>
      <c r="D38" s="57"/>
      <c r="E38" s="43"/>
      <c r="F38" s="43"/>
    </row>
    <row r="39" spans="1:6" ht="20.100000000000001" customHeight="1" x14ac:dyDescent="0.2">
      <c r="A39" s="44"/>
      <c r="B39" s="45"/>
      <c r="C39" s="45"/>
      <c r="D39" s="44"/>
      <c r="E39" s="44"/>
    </row>
    <row r="40" spans="1:6" ht="20.100000000000001" customHeight="1" x14ac:dyDescent="0.2">
      <c r="A40" s="58" t="s">
        <v>53</v>
      </c>
      <c r="B40" s="45"/>
      <c r="C40" s="45"/>
      <c r="D40" s="44"/>
      <c r="E40" s="44"/>
      <c r="F40" s="13"/>
    </row>
    <row r="41" spans="1:6" ht="20.100000000000001" customHeight="1" x14ac:dyDescent="0.2">
      <c r="A41" s="58" t="s">
        <v>35</v>
      </c>
      <c r="B41" s="44"/>
      <c r="C41" s="44"/>
      <c r="D41" s="44"/>
      <c r="E41" s="46"/>
      <c r="F41" s="13"/>
    </row>
    <row r="42" spans="1:6" ht="20.100000000000001" customHeight="1" x14ac:dyDescent="0.2">
      <c r="A42" s="58" t="s">
        <v>36</v>
      </c>
      <c r="B42" s="44"/>
      <c r="C42" s="44"/>
      <c r="D42" s="44"/>
      <c r="E42" s="46"/>
      <c r="F42" s="13"/>
    </row>
    <row r="43" spans="1:6" ht="20.100000000000001" customHeight="1" x14ac:dyDescent="0.2">
      <c r="A43" s="44"/>
      <c r="B43" s="44"/>
      <c r="C43" s="44"/>
      <c r="D43" s="44"/>
      <c r="E43" s="46"/>
      <c r="F43" s="13"/>
    </row>
    <row r="44" spans="1:6" ht="20.100000000000001" customHeight="1" x14ac:dyDescent="0.2">
      <c r="A44" s="3"/>
      <c r="B44" s="44"/>
      <c r="C44" s="44"/>
      <c r="D44" s="44"/>
      <c r="E44" s="44"/>
      <c r="F44" s="13"/>
    </row>
    <row r="45" spans="1:6" ht="20.100000000000001" customHeight="1" x14ac:dyDescent="0.25">
      <c r="A45" s="3"/>
      <c r="B45" s="47" t="s">
        <v>54</v>
      </c>
      <c r="C45" s="47"/>
      <c r="D45" s="47"/>
      <c r="E45" s="48"/>
      <c r="F45" s="13"/>
    </row>
    <row r="46" spans="1:6" ht="20.100000000000001" customHeight="1" x14ac:dyDescent="0.25">
      <c r="A46" s="3"/>
      <c r="B46" s="49" t="s">
        <v>55</v>
      </c>
      <c r="C46" s="49"/>
      <c r="D46" s="48"/>
      <c r="E46" s="48"/>
      <c r="F46" s="13"/>
    </row>
    <row r="47" spans="1:6" ht="15" x14ac:dyDescent="0.25">
      <c r="A47" s="3"/>
      <c r="B47" s="49" t="s">
        <v>56</v>
      </c>
      <c r="C47" s="49"/>
      <c r="D47" s="50"/>
      <c r="E47" s="50"/>
      <c r="F47" s="13"/>
    </row>
    <row r="48" spans="1:6" ht="20.100000000000001" customHeight="1" x14ac:dyDescent="0.25">
      <c r="A48" s="3"/>
      <c r="B48" s="49" t="s">
        <v>57</v>
      </c>
      <c r="C48" s="49"/>
      <c r="D48" s="44"/>
      <c r="E48" s="44"/>
    </row>
  </sheetData>
  <mergeCells count="3">
    <mergeCell ref="A1:E1"/>
    <mergeCell ref="A2:E2"/>
    <mergeCell ref="B45:D45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8"/>
  <sheetViews>
    <sheetView tabSelected="1" topLeftCell="A34" workbookViewId="0">
      <selection activeCell="B49" sqref="B49"/>
    </sheetView>
  </sheetViews>
  <sheetFormatPr baseColWidth="10" defaultRowHeight="12.75" x14ac:dyDescent="0.2"/>
  <cols>
    <col min="1" max="1" width="18.28515625" style="51" customWidth="1"/>
    <col min="2" max="2" width="41" style="51" customWidth="1"/>
    <col min="3" max="3" width="18.7109375" style="51" customWidth="1"/>
    <col min="4" max="4" width="20.5703125" style="51" customWidth="1"/>
    <col min="5" max="5" width="21.42578125" style="51" customWidth="1"/>
    <col min="6" max="6" width="17.85546875" style="3" bestFit="1" customWidth="1"/>
    <col min="7" max="16384" width="11.42578125" style="3"/>
  </cols>
  <sheetData>
    <row r="1" spans="1:9" ht="20.100000000000001" customHeight="1" x14ac:dyDescent="0.25">
      <c r="A1" s="4" t="s">
        <v>1</v>
      </c>
      <c r="B1" s="4"/>
      <c r="C1" s="4"/>
      <c r="D1" s="4"/>
      <c r="E1" s="4"/>
      <c r="F1" s="2"/>
      <c r="G1" s="2"/>
      <c r="H1" s="2"/>
    </row>
    <row r="2" spans="1:9" ht="20.100000000000001" customHeight="1" x14ac:dyDescent="0.25">
      <c r="A2" s="5"/>
      <c r="B2" s="5"/>
      <c r="C2" s="5"/>
      <c r="D2" s="5"/>
      <c r="E2" s="5"/>
      <c r="F2" s="2"/>
      <c r="G2" s="2"/>
      <c r="H2" s="2"/>
    </row>
    <row r="3" spans="1:9" ht="20.100000000000001" customHeight="1" x14ac:dyDescent="0.25">
      <c r="A3" s="6" t="s">
        <v>58</v>
      </c>
      <c r="B3" s="5"/>
      <c r="C3" s="5"/>
      <c r="D3" s="5"/>
      <c r="E3" s="5"/>
      <c r="F3" s="5"/>
      <c r="G3" s="2"/>
      <c r="H3" s="2"/>
    </row>
    <row r="4" spans="1:9" ht="20.100000000000001" customHeight="1" x14ac:dyDescent="0.25">
      <c r="A4" s="6" t="s">
        <v>59</v>
      </c>
      <c r="B4" s="7"/>
      <c r="C4" s="8"/>
      <c r="D4" s="8"/>
      <c r="E4" s="8"/>
      <c r="F4" s="9"/>
      <c r="G4" s="2"/>
      <c r="H4" s="2"/>
    </row>
    <row r="5" spans="1:9" ht="20.100000000000001" customHeight="1" x14ac:dyDescent="0.25">
      <c r="A5" s="10" t="s">
        <v>4</v>
      </c>
      <c r="B5" s="11"/>
      <c r="C5" s="11"/>
      <c r="D5" s="11"/>
      <c r="E5" s="11"/>
      <c r="F5" s="11"/>
      <c r="G5" s="12"/>
      <c r="H5" s="12"/>
      <c r="I5" s="13"/>
    </row>
    <row r="6" spans="1:9" ht="20.100000000000001" customHeight="1" thickBot="1" x14ac:dyDescent="0.3">
      <c r="A6" s="10"/>
      <c r="B6" s="11"/>
      <c r="C6" s="11"/>
      <c r="D6" s="11"/>
      <c r="E6" s="11"/>
      <c r="F6" s="11"/>
      <c r="G6" s="12"/>
      <c r="H6" s="12"/>
      <c r="I6" s="13"/>
    </row>
    <row r="7" spans="1:9" ht="81.75" customHeight="1" thickBot="1" x14ac:dyDescent="0.25">
      <c r="A7" s="59" t="s">
        <v>5</v>
      </c>
      <c r="B7" s="59" t="s">
        <v>6</v>
      </c>
      <c r="C7" s="60" t="s">
        <v>7</v>
      </c>
      <c r="D7" s="61" t="s">
        <v>60</v>
      </c>
      <c r="E7" s="62" t="s">
        <v>9</v>
      </c>
      <c r="F7" s="17" t="s">
        <v>10</v>
      </c>
    </row>
    <row r="8" spans="1:9" ht="20.100000000000001" customHeight="1" thickBot="1" x14ac:dyDescent="0.3">
      <c r="A8" s="18" t="s">
        <v>11</v>
      </c>
      <c r="B8" s="19"/>
      <c r="C8" s="19"/>
      <c r="D8" s="19"/>
      <c r="E8" s="19"/>
      <c r="F8" s="20"/>
    </row>
    <row r="9" spans="1:9" ht="20.100000000000001" customHeight="1" x14ac:dyDescent="0.2">
      <c r="A9" s="21">
        <v>7101</v>
      </c>
      <c r="B9" s="52" t="s">
        <v>12</v>
      </c>
      <c r="C9" s="63"/>
      <c r="D9" s="24"/>
      <c r="E9" s="63"/>
      <c r="F9" s="25"/>
    </row>
    <row r="10" spans="1:9" ht="20.100000000000001" customHeight="1" x14ac:dyDescent="0.2">
      <c r="A10" s="26">
        <v>710106</v>
      </c>
      <c r="B10" s="64" t="s">
        <v>13</v>
      </c>
      <c r="C10" s="29">
        <v>1982340</v>
      </c>
      <c r="D10" s="65">
        <v>1991511.72</v>
      </c>
      <c r="E10" s="29">
        <v>1941159.5999999936</v>
      </c>
      <c r="F10" s="29"/>
      <c r="G10" s="13"/>
      <c r="H10" s="13"/>
    </row>
    <row r="11" spans="1:9" ht="20.100000000000001" customHeight="1" x14ac:dyDescent="0.2">
      <c r="A11" s="26"/>
      <c r="B11" s="64"/>
      <c r="C11" s="29"/>
      <c r="D11" s="65"/>
      <c r="E11" s="29"/>
      <c r="F11" s="31"/>
    </row>
    <row r="12" spans="1:9" ht="20.100000000000001" customHeight="1" x14ac:dyDescent="0.2">
      <c r="A12" s="21">
        <v>7102</v>
      </c>
      <c r="B12" s="52" t="s">
        <v>14</v>
      </c>
      <c r="C12" s="29"/>
      <c r="D12" s="65"/>
      <c r="E12" s="29"/>
      <c r="F12" s="31"/>
    </row>
    <row r="13" spans="1:9" ht="20.100000000000001" customHeight="1" x14ac:dyDescent="0.2">
      <c r="A13" s="26">
        <v>710203</v>
      </c>
      <c r="B13" s="64" t="s">
        <v>15</v>
      </c>
      <c r="C13" s="29">
        <v>165195</v>
      </c>
      <c r="D13" s="65">
        <v>165959.31</v>
      </c>
      <c r="E13" s="29">
        <v>161763.3000000001</v>
      </c>
      <c r="F13" s="29"/>
    </row>
    <row r="14" spans="1:9" ht="20.100000000000001" customHeight="1" x14ac:dyDescent="0.2">
      <c r="A14" s="26">
        <v>710204</v>
      </c>
      <c r="B14" s="64" t="s">
        <v>16</v>
      </c>
      <c r="C14" s="29">
        <v>86020</v>
      </c>
      <c r="D14" s="65">
        <v>89562</v>
      </c>
      <c r="E14" s="29">
        <v>90036</v>
      </c>
      <c r="F14" s="29"/>
    </row>
    <row r="15" spans="1:9" ht="20.100000000000001" customHeight="1" x14ac:dyDescent="0.2">
      <c r="A15" s="26"/>
      <c r="B15" s="64"/>
      <c r="C15" s="29"/>
      <c r="D15" s="65"/>
      <c r="E15" s="29"/>
      <c r="F15" s="29"/>
    </row>
    <row r="16" spans="1:9" ht="20.100000000000001" customHeight="1" x14ac:dyDescent="0.2">
      <c r="A16" s="21">
        <v>7103</v>
      </c>
      <c r="B16" s="52" t="s">
        <v>17</v>
      </c>
      <c r="C16" s="29"/>
      <c r="D16" s="65"/>
      <c r="E16" s="29"/>
      <c r="F16" s="29"/>
    </row>
    <row r="17" spans="1:6" ht="20.100000000000001" customHeight="1" x14ac:dyDescent="0.2">
      <c r="A17" s="26">
        <v>710304</v>
      </c>
      <c r="B17" s="64" t="s">
        <v>18</v>
      </c>
      <c r="C17" s="29">
        <v>33396</v>
      </c>
      <c r="D17" s="65">
        <v>33187</v>
      </c>
      <c r="E17" s="29">
        <v>32472</v>
      </c>
      <c r="F17" s="29"/>
    </row>
    <row r="18" spans="1:6" ht="20.100000000000001" customHeight="1" x14ac:dyDescent="0.2">
      <c r="A18" s="26">
        <v>710306</v>
      </c>
      <c r="B18" s="64" t="s">
        <v>47</v>
      </c>
      <c r="C18" s="29">
        <v>267168</v>
      </c>
      <c r="D18" s="65">
        <v>265496</v>
      </c>
      <c r="E18" s="29">
        <v>259776</v>
      </c>
      <c r="F18" s="29"/>
    </row>
    <row r="19" spans="1:6" ht="20.100000000000001" customHeight="1" x14ac:dyDescent="0.2">
      <c r="A19" s="26"/>
      <c r="B19" s="64"/>
      <c r="C19" s="29"/>
      <c r="D19" s="65"/>
      <c r="E19" s="66"/>
      <c r="F19" s="29"/>
    </row>
    <row r="20" spans="1:6" ht="20.100000000000001" customHeight="1" x14ac:dyDescent="0.2">
      <c r="A20" s="21">
        <v>7104</v>
      </c>
      <c r="B20" s="52" t="s">
        <v>20</v>
      </c>
      <c r="C20" s="29"/>
      <c r="D20" s="65"/>
      <c r="E20" s="29"/>
      <c r="F20" s="29"/>
    </row>
    <row r="21" spans="1:6" ht="20.100000000000001" customHeight="1" x14ac:dyDescent="0.2">
      <c r="A21" s="26">
        <v>710401</v>
      </c>
      <c r="B21" s="64" t="s">
        <v>21</v>
      </c>
      <c r="C21" s="29">
        <v>8690.4</v>
      </c>
      <c r="D21" s="65">
        <v>13211</v>
      </c>
      <c r="E21" s="29">
        <v>13395.600000000017</v>
      </c>
      <c r="F21" s="29"/>
    </row>
    <row r="22" spans="1:6" ht="20.100000000000001" customHeight="1" x14ac:dyDescent="0.2">
      <c r="A22" s="26">
        <v>710408</v>
      </c>
      <c r="B22" s="64" t="s">
        <v>48</v>
      </c>
      <c r="C22" s="29">
        <v>19818.72</v>
      </c>
      <c r="D22" s="65">
        <v>23006.52</v>
      </c>
      <c r="E22" s="29">
        <v>27226.199999999975</v>
      </c>
      <c r="F22" s="29"/>
    </row>
    <row r="23" spans="1:6" ht="20.100000000000001" customHeight="1" x14ac:dyDescent="0.2">
      <c r="A23" s="21">
        <v>7105</v>
      </c>
      <c r="B23" s="52" t="s">
        <v>49</v>
      </c>
      <c r="C23" s="29"/>
      <c r="D23" s="65"/>
      <c r="E23" s="29"/>
      <c r="F23" s="31"/>
    </row>
    <row r="24" spans="1:6" ht="20.100000000000001" customHeight="1" x14ac:dyDescent="0.2">
      <c r="A24" s="32" t="s">
        <v>50</v>
      </c>
      <c r="B24" s="64" t="s">
        <v>51</v>
      </c>
      <c r="C24" s="29">
        <v>0</v>
      </c>
      <c r="D24" s="65">
        <v>0</v>
      </c>
      <c r="E24" s="29">
        <v>0</v>
      </c>
      <c r="F24" s="31"/>
    </row>
    <row r="25" spans="1:6" ht="20.100000000000001" customHeight="1" x14ac:dyDescent="0.2">
      <c r="A25" s="26"/>
      <c r="B25" s="64"/>
      <c r="C25" s="29"/>
      <c r="D25" s="65"/>
      <c r="E25" s="29"/>
      <c r="F25" s="31"/>
    </row>
    <row r="26" spans="1:6" ht="20.100000000000001" customHeight="1" x14ac:dyDescent="0.2">
      <c r="A26" s="21">
        <v>7106</v>
      </c>
      <c r="B26" s="52" t="s">
        <v>23</v>
      </c>
      <c r="C26" s="29"/>
      <c r="D26" s="65"/>
      <c r="E26" s="29"/>
      <c r="F26" s="31"/>
    </row>
    <row r="27" spans="1:6" ht="20.100000000000001" customHeight="1" x14ac:dyDescent="0.2">
      <c r="A27" s="32" t="s">
        <v>24</v>
      </c>
      <c r="B27" s="64" t="s">
        <v>25</v>
      </c>
      <c r="C27" s="29">
        <v>240854.31</v>
      </c>
      <c r="D27" s="65">
        <v>240149.82</v>
      </c>
      <c r="E27" s="29">
        <v>235850.89139999976</v>
      </c>
      <c r="F27" s="29"/>
    </row>
    <row r="28" spans="1:6" ht="20.100000000000001" customHeight="1" x14ac:dyDescent="0.2">
      <c r="A28" s="32" t="s">
        <v>26</v>
      </c>
      <c r="B28" s="64" t="s">
        <v>27</v>
      </c>
      <c r="C28" s="29">
        <v>165128.92000000001</v>
      </c>
      <c r="D28" s="65">
        <v>164645.42000000001</v>
      </c>
      <c r="E28" s="29">
        <v>161698.59468000018</v>
      </c>
      <c r="F28" s="29"/>
    </row>
    <row r="29" spans="1:6" ht="20.100000000000001" customHeight="1" x14ac:dyDescent="0.2">
      <c r="A29" s="32" t="s">
        <v>28</v>
      </c>
      <c r="B29" s="64" t="s">
        <v>29</v>
      </c>
      <c r="C29" s="29">
        <v>39230.65</v>
      </c>
      <c r="D29" s="65">
        <v>46911.25</v>
      </c>
      <c r="E29" s="67">
        <v>44318.96</v>
      </c>
      <c r="F29" s="29"/>
    </row>
    <row r="30" spans="1:6" ht="20.100000000000001" customHeight="1" x14ac:dyDescent="0.2">
      <c r="A30" s="26"/>
      <c r="B30" s="64"/>
      <c r="C30" s="29"/>
      <c r="D30" s="65"/>
      <c r="E30" s="67"/>
      <c r="F30" s="31"/>
    </row>
    <row r="31" spans="1:6" ht="20.100000000000001" customHeight="1" x14ac:dyDescent="0.2">
      <c r="A31" s="21">
        <v>7107</v>
      </c>
      <c r="B31" s="52" t="s">
        <v>30</v>
      </c>
      <c r="C31" s="29"/>
      <c r="D31" s="65"/>
      <c r="E31" s="67"/>
      <c r="F31" s="31"/>
    </row>
    <row r="32" spans="1:6" ht="20.100000000000001" customHeight="1" x14ac:dyDescent="0.2">
      <c r="A32" s="26">
        <v>710704</v>
      </c>
      <c r="B32" s="64" t="s">
        <v>31</v>
      </c>
      <c r="C32" s="29">
        <v>0</v>
      </c>
      <c r="D32" s="65">
        <v>0</v>
      </c>
      <c r="E32" s="67">
        <v>0</v>
      </c>
      <c r="F32" s="31"/>
    </row>
    <row r="33" spans="1:6" ht="20.100000000000001" customHeight="1" x14ac:dyDescent="0.2">
      <c r="A33" s="26">
        <v>710705</v>
      </c>
      <c r="B33" s="64" t="s">
        <v>32</v>
      </c>
      <c r="C33" s="29">
        <v>716036.22</v>
      </c>
      <c r="D33" s="65">
        <v>851819.38</v>
      </c>
      <c r="E33" s="67">
        <v>736502.9</v>
      </c>
      <c r="F33" s="31"/>
    </row>
    <row r="34" spans="1:6" ht="20.100000000000001" customHeight="1" x14ac:dyDescent="0.2">
      <c r="A34" s="26"/>
      <c r="B34" s="64"/>
      <c r="C34" s="31"/>
      <c r="D34" s="68"/>
      <c r="E34" s="31"/>
      <c r="F34" s="31"/>
    </row>
    <row r="35" spans="1:6" ht="20.100000000000001" customHeight="1" thickBot="1" x14ac:dyDescent="0.25">
      <c r="A35" s="33"/>
      <c r="B35" s="69"/>
      <c r="C35" s="70"/>
      <c r="D35" s="71" t="s">
        <v>40</v>
      </c>
      <c r="E35" s="70"/>
      <c r="F35" s="35"/>
    </row>
    <row r="36" spans="1:6" ht="20.100000000000001" customHeight="1" thickBot="1" x14ac:dyDescent="0.3">
      <c r="A36" s="36"/>
      <c r="B36" s="37" t="s">
        <v>33</v>
      </c>
      <c r="C36" s="54">
        <f>SUM(C9:C35)</f>
        <v>3723878.2199999997</v>
      </c>
      <c r="D36" s="39">
        <f>SUM(D10:D35)</f>
        <v>3885459.4199999995</v>
      </c>
      <c r="E36" s="72">
        <f>SUM(E9:E35)</f>
        <v>3704200.0460799937</v>
      </c>
      <c r="F36" s="39"/>
    </row>
    <row r="37" spans="1:6" ht="20.100000000000001" customHeight="1" x14ac:dyDescent="0.2">
      <c r="A37" s="58" t="s">
        <v>53</v>
      </c>
      <c r="B37" s="45"/>
      <c r="C37" s="44"/>
      <c r="D37" s="44"/>
      <c r="E37" s="44"/>
      <c r="F37" s="13"/>
    </row>
    <row r="38" spans="1:6" ht="20.100000000000001" customHeight="1" x14ac:dyDescent="0.2">
      <c r="A38" s="58" t="s">
        <v>35</v>
      </c>
      <c r="B38" s="44"/>
      <c r="C38" s="44"/>
      <c r="D38" s="44"/>
      <c r="E38" s="46"/>
      <c r="F38" s="13"/>
    </row>
    <row r="39" spans="1:6" ht="20.100000000000001" customHeight="1" x14ac:dyDescent="0.2">
      <c r="A39" s="58" t="s">
        <v>36</v>
      </c>
      <c r="B39" s="44"/>
      <c r="C39" s="44"/>
      <c r="D39" s="44"/>
      <c r="E39" s="46"/>
      <c r="F39" s="13"/>
    </row>
    <row r="40" spans="1:6" ht="20.100000000000001" customHeight="1" x14ac:dyDescent="0.2">
      <c r="A40" s="58"/>
      <c r="B40" s="44"/>
      <c r="C40" s="44"/>
      <c r="D40" s="44"/>
      <c r="E40" s="46"/>
      <c r="F40" s="13"/>
    </row>
    <row r="41" spans="1:6" ht="20.100000000000001" customHeight="1" x14ac:dyDescent="0.2">
      <c r="A41" s="58"/>
      <c r="B41" s="44"/>
      <c r="C41" s="44"/>
      <c r="D41" s="44"/>
      <c r="E41" s="46"/>
      <c r="F41" s="13"/>
    </row>
    <row r="42" spans="1:6" ht="20.100000000000001" customHeight="1" x14ac:dyDescent="0.2">
      <c r="A42" s="44"/>
      <c r="B42" s="44"/>
      <c r="C42" s="44"/>
      <c r="D42" s="44"/>
      <c r="E42" s="46"/>
      <c r="F42" s="13"/>
    </row>
    <row r="43" spans="1:6" ht="20.100000000000001" customHeight="1" x14ac:dyDescent="0.2">
      <c r="A43" s="3"/>
      <c r="B43" s="44"/>
      <c r="C43" s="44"/>
      <c r="D43" s="44"/>
      <c r="E43" s="44"/>
      <c r="F43" s="13"/>
    </row>
    <row r="44" spans="1:6" ht="20.100000000000001" customHeight="1" x14ac:dyDescent="0.25">
      <c r="A44" s="3"/>
      <c r="B44" s="47" t="s">
        <v>61</v>
      </c>
      <c r="C44" s="47"/>
      <c r="D44" s="48"/>
      <c r="E44" s="48"/>
      <c r="F44" s="13"/>
    </row>
    <row r="45" spans="1:6" ht="20.100000000000001" customHeight="1" x14ac:dyDescent="0.25">
      <c r="A45" s="3"/>
      <c r="B45" s="48"/>
      <c r="C45" s="48"/>
      <c r="D45" s="48"/>
      <c r="E45" s="48"/>
      <c r="F45" s="13"/>
    </row>
    <row r="46" spans="1:6" ht="15" x14ac:dyDescent="0.25">
      <c r="A46" s="3"/>
      <c r="B46" s="49" t="s">
        <v>62</v>
      </c>
      <c r="C46" s="50"/>
      <c r="D46" s="50"/>
      <c r="E46" s="50"/>
      <c r="F46" s="13"/>
    </row>
    <row r="47" spans="1:6" ht="20.100000000000001" customHeight="1" x14ac:dyDescent="0.25">
      <c r="A47" s="3"/>
      <c r="B47" s="49" t="s">
        <v>63</v>
      </c>
      <c r="C47" s="44"/>
      <c r="D47" s="44"/>
      <c r="E47" s="44"/>
    </row>
    <row r="48" spans="1:6" ht="20.100000000000001" customHeight="1" x14ac:dyDescent="0.25">
      <c r="A48" s="3"/>
      <c r="B48" s="49" t="s">
        <v>40</v>
      </c>
      <c r="C48" s="44"/>
      <c r="D48" s="44"/>
      <c r="E48" s="44"/>
    </row>
  </sheetData>
  <mergeCells count="3">
    <mergeCell ref="A1:E1"/>
    <mergeCell ref="A8:F8"/>
    <mergeCell ref="B44:C4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GPL</vt:lpstr>
      <vt:lpstr>RIDRENSUR</vt:lpstr>
      <vt:lpstr>VIALSUR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2016-03-09T16:11:28Z</dcterms:modified>
</cp:coreProperties>
</file>