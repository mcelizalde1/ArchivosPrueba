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20" yWindow="-120" windowWidth="20730" windowHeight="11160" tabRatio="490" firstSheet="1" activeTab="1"/>
  </bookViews>
  <sheets>
    <sheet name="FORMULARIO 1" sheetId="21" r:id="rId1"/>
    <sheet name="FORMULARIO 2" sheetId="20" r:id="rId2"/>
    <sheet name="FORMULARIO 3" sheetId="28" r:id="rId3"/>
    <sheet name="FORMULARIO 4." sheetId="25" r:id="rId4"/>
  </sheets>
  <definedNames>
    <definedName name="_xlnm._FilterDatabase" localSheetId="2" hidden="1">'FORMULARIO 3'!$A$9:$M$269</definedName>
    <definedName name="_xlnm.Print_Area" localSheetId="0">'FORMULARIO 1'!$A$1:$I$44</definedName>
    <definedName name="_xlnm.Print_Area" localSheetId="1">'FORMULARIO 2'!$A$1:$I$48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2" i="25" l="1"/>
  <c r="I41" i="25" l="1"/>
  <c r="I8" i="25"/>
  <c r="K40" i="25"/>
  <c r="I42" i="25"/>
  <c r="I77" i="25"/>
  <c r="H77" i="25" l="1"/>
  <c r="G77" i="25"/>
  <c r="H76" i="25"/>
  <c r="H75" i="25"/>
  <c r="H49" i="25" l="1"/>
  <c r="C44" i="25" l="1"/>
  <c r="E76" i="25"/>
  <c r="F77" i="25" l="1"/>
  <c r="F76" i="25"/>
  <c r="H14" i="25" l="1"/>
  <c r="D59" i="25" l="1"/>
  <c r="E59" i="25"/>
  <c r="F59" i="25"/>
  <c r="C59" i="25"/>
  <c r="D49" i="25"/>
  <c r="D45" i="25" s="1"/>
  <c r="E49" i="25"/>
  <c r="E45" i="25" s="1"/>
  <c r="F49" i="25"/>
  <c r="F45" i="25" s="1"/>
  <c r="G49" i="25"/>
  <c r="H45" i="25"/>
  <c r="C49" i="25"/>
  <c r="C45" i="25" l="1"/>
  <c r="G45" i="25"/>
  <c r="K263" i="28"/>
  <c r="K264" i="28" s="1"/>
  <c r="J263" i="28"/>
  <c r="J264" i="28" s="1"/>
  <c r="I263" i="28"/>
  <c r="I264" i="28" s="1"/>
  <c r="H263" i="28"/>
  <c r="H264" i="28" s="1"/>
  <c r="G263" i="28"/>
  <c r="G264" i="28" s="1"/>
  <c r="F263" i="28"/>
  <c r="F264" i="28" s="1"/>
  <c r="C13" i="28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34" i="28" s="1"/>
  <c r="C35" i="28" s="1"/>
  <c r="C36" i="28" s="1"/>
  <c r="C37" i="28" s="1"/>
  <c r="C38" i="28" s="1"/>
  <c r="C39" i="28" s="1"/>
  <c r="C40" i="28" s="1"/>
  <c r="C41" i="28" s="1"/>
  <c r="C42" i="28" s="1"/>
  <c r="C43" i="28" s="1"/>
  <c r="C44" i="28" s="1"/>
  <c r="C45" i="28" s="1"/>
  <c r="C46" i="28" s="1"/>
  <c r="C47" i="28" s="1"/>
  <c r="C48" i="28" s="1"/>
  <c r="C49" i="28" s="1"/>
  <c r="C50" i="28" s="1"/>
  <c r="C51" i="28" s="1"/>
  <c r="C52" i="28" s="1"/>
  <c r="C53" i="28" s="1"/>
  <c r="C54" i="28" s="1"/>
  <c r="C55" i="28" s="1"/>
  <c r="C56" i="28" s="1"/>
  <c r="C57" i="28" s="1"/>
  <c r="C58" i="28" s="1"/>
  <c r="C59" i="28" s="1"/>
  <c r="C60" i="28" s="1"/>
  <c r="C61" i="28" s="1"/>
  <c r="C62" i="28" s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C75" i="28" s="1"/>
  <c r="C76" i="28" s="1"/>
  <c r="C77" i="28" s="1"/>
  <c r="C78" i="28" s="1"/>
  <c r="C79" i="28" s="1"/>
  <c r="C80" i="28" s="1"/>
  <c r="C81" i="28" s="1"/>
  <c r="C82" i="28" s="1"/>
  <c r="C83" i="28" s="1"/>
  <c r="C84" i="28" s="1"/>
  <c r="C85" i="28" s="1"/>
  <c r="C86" i="28" s="1"/>
  <c r="C87" i="28" s="1"/>
  <c r="C88" i="28" s="1"/>
  <c r="C89" i="28" s="1"/>
  <c r="C90" i="28" s="1"/>
  <c r="C91" i="28" s="1"/>
  <c r="C92" i="28" s="1"/>
  <c r="C93" i="28" s="1"/>
  <c r="C94" i="28" s="1"/>
  <c r="C95" i="28" s="1"/>
  <c r="C96" i="28" s="1"/>
  <c r="C97" i="28" s="1"/>
  <c r="C98" i="28" s="1"/>
  <c r="C99" i="28" s="1"/>
  <c r="C100" i="28" s="1"/>
  <c r="C101" i="28" s="1"/>
  <c r="C102" i="28" s="1"/>
  <c r="C103" i="28" s="1"/>
  <c r="C104" i="28" s="1"/>
  <c r="C105" i="28" s="1"/>
  <c r="C106" i="28" s="1"/>
  <c r="C107" i="28" s="1"/>
  <c r="C108" i="28" s="1"/>
  <c r="C109" i="28" s="1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23" i="28" s="1"/>
  <c r="C124" i="28" s="1"/>
  <c r="C125" i="28" s="1"/>
  <c r="C126" i="28" s="1"/>
  <c r="C127" i="28" s="1"/>
  <c r="C128" i="28" s="1"/>
  <c r="C129" i="28" s="1"/>
  <c r="C130" i="28" s="1"/>
  <c r="C131" i="28" s="1"/>
  <c r="C132" i="28" s="1"/>
  <c r="C133" i="28" s="1"/>
  <c r="C134" i="28" s="1"/>
  <c r="C135" i="28" s="1"/>
  <c r="C136" i="28" s="1"/>
  <c r="C137" i="28" s="1"/>
  <c r="C138" i="28" s="1"/>
  <c r="C139" i="28" s="1"/>
  <c r="C140" i="28" s="1"/>
  <c r="C141" i="28" s="1"/>
  <c r="C142" i="28" s="1"/>
  <c r="C143" i="28" s="1"/>
  <c r="C144" i="28" s="1"/>
  <c r="C145" i="28" s="1"/>
  <c r="C146" i="28" s="1"/>
  <c r="C147" i="28" s="1"/>
  <c r="C148" i="28" s="1"/>
  <c r="C149" i="28" s="1"/>
  <c r="C150" i="28" s="1"/>
  <c r="C151" i="28" s="1"/>
  <c r="C152" i="28" s="1"/>
  <c r="C153" i="28" s="1"/>
  <c r="C154" i="28" s="1"/>
  <c r="C155" i="28" s="1"/>
  <c r="C156" i="28" s="1"/>
  <c r="C157" i="28" s="1"/>
  <c r="C158" i="28" s="1"/>
  <c r="C159" i="28" s="1"/>
  <c r="C160" i="28" s="1"/>
  <c r="C161" i="28" s="1"/>
  <c r="C162" i="28" s="1"/>
  <c r="C163" i="28" s="1"/>
  <c r="C164" i="28" s="1"/>
  <c r="C165" i="28" s="1"/>
  <c r="C166" i="28" s="1"/>
  <c r="C167" i="28" s="1"/>
  <c r="C168" i="28" s="1"/>
  <c r="C169" i="28" s="1"/>
  <c r="C170" i="28" s="1"/>
  <c r="C171" i="28" s="1"/>
  <c r="C172" i="28" s="1"/>
  <c r="C173" i="28" s="1"/>
  <c r="C174" i="28" s="1"/>
  <c r="C175" i="28" s="1"/>
  <c r="C176" i="28" s="1"/>
  <c r="C177" i="28" s="1"/>
  <c r="C178" i="28" s="1"/>
  <c r="C179" i="28" s="1"/>
  <c r="C180" i="28" s="1"/>
  <c r="C181" i="28" s="1"/>
  <c r="C182" i="28" s="1"/>
  <c r="C183" i="28" s="1"/>
  <c r="C184" i="28" s="1"/>
  <c r="C185" i="28" s="1"/>
  <c r="C186" i="28" s="1"/>
  <c r="C187" i="28" s="1"/>
  <c r="C188" i="28" s="1"/>
  <c r="C189" i="28" s="1"/>
  <c r="C190" i="28" s="1"/>
  <c r="C191" i="28" s="1"/>
  <c r="C192" i="28" s="1"/>
  <c r="C193" i="28" s="1"/>
  <c r="C194" i="28" s="1"/>
  <c r="C195" i="28" s="1"/>
  <c r="C196" i="28" s="1"/>
  <c r="C197" i="28" s="1"/>
  <c r="C198" i="28" s="1"/>
  <c r="C199" i="28" s="1"/>
  <c r="C200" i="28" s="1"/>
  <c r="C201" i="28" s="1"/>
  <c r="C202" i="28" s="1"/>
  <c r="C203" i="28" s="1"/>
  <c r="C204" i="28" s="1"/>
  <c r="C205" i="28" s="1"/>
  <c r="C206" i="28" s="1"/>
  <c r="C207" i="28" s="1"/>
  <c r="C208" i="28" s="1"/>
  <c r="C209" i="28" s="1"/>
  <c r="C210" i="28" s="1"/>
  <c r="C211" i="28" s="1"/>
  <c r="C212" i="28" s="1"/>
  <c r="C213" i="28" s="1"/>
  <c r="C214" i="28" s="1"/>
  <c r="C215" i="28" s="1"/>
  <c r="C216" i="28" s="1"/>
  <c r="C217" i="28" s="1"/>
  <c r="C218" i="28" s="1"/>
  <c r="C219" i="28" s="1"/>
  <c r="C220" i="28" s="1"/>
  <c r="C221" i="28" s="1"/>
  <c r="C222" i="28" s="1"/>
  <c r="C223" i="28" s="1"/>
  <c r="C224" i="28" s="1"/>
  <c r="C225" i="28" s="1"/>
  <c r="C226" i="28" s="1"/>
  <c r="C227" i="28" s="1"/>
  <c r="C228" i="28" s="1"/>
  <c r="C229" i="28" s="1"/>
  <c r="C230" i="28" s="1"/>
  <c r="C231" i="28" s="1"/>
  <c r="C232" i="28" s="1"/>
  <c r="C233" i="28" s="1"/>
  <c r="C234" i="28" s="1"/>
  <c r="C235" i="28" s="1"/>
  <c r="C236" i="28" s="1"/>
  <c r="C237" i="28" s="1"/>
  <c r="C238" i="28" s="1"/>
  <c r="C239" i="28" s="1"/>
  <c r="C240" i="28" s="1"/>
  <c r="C241" i="28" s="1"/>
  <c r="C242" i="28" s="1"/>
  <c r="C243" i="28" s="1"/>
  <c r="C244" i="28" s="1"/>
  <c r="C245" i="28" s="1"/>
  <c r="C246" i="28" s="1"/>
  <c r="C247" i="28" s="1"/>
  <c r="C248" i="28" s="1"/>
  <c r="C249" i="28" s="1"/>
  <c r="C250" i="28" s="1"/>
  <c r="C251" i="28" s="1"/>
  <c r="C252" i="28" s="1"/>
  <c r="C253" i="28" s="1"/>
  <c r="C254" i="28" s="1"/>
  <c r="C255" i="28" s="1"/>
  <c r="C256" i="28" s="1"/>
  <c r="C257" i="28" s="1"/>
  <c r="C258" i="28" s="1"/>
  <c r="C259" i="28" s="1"/>
  <c r="C260" i="28" s="1"/>
  <c r="C261" i="28" s="1"/>
  <c r="C262" i="28" s="1"/>
  <c r="H72" i="25" l="1"/>
  <c r="H82" i="25" s="1"/>
  <c r="G72" i="25"/>
  <c r="F72" i="25"/>
  <c r="E72" i="25"/>
  <c r="D72" i="25"/>
  <c r="H42" i="25"/>
  <c r="G42" i="25"/>
  <c r="F42" i="25"/>
  <c r="E42" i="25"/>
  <c r="D42" i="25"/>
  <c r="G26" i="25"/>
  <c r="F26" i="25"/>
  <c r="E26" i="25"/>
  <c r="D26" i="25"/>
  <c r="F22" i="25"/>
  <c r="E22" i="25"/>
  <c r="D22" i="25"/>
  <c r="C22" i="25"/>
  <c r="G14" i="25"/>
  <c r="F14" i="25"/>
  <c r="E14" i="25"/>
  <c r="D14" i="25"/>
  <c r="C14" i="25"/>
  <c r="E8" i="25" l="1"/>
  <c r="F8" i="25"/>
  <c r="G8" i="25"/>
  <c r="D8" i="25"/>
  <c r="H8" i="25"/>
  <c r="C72" i="25" l="1"/>
  <c r="H70" i="25"/>
  <c r="G70" i="25"/>
  <c r="F70" i="25"/>
  <c r="E70" i="25"/>
  <c r="D70" i="25"/>
  <c r="C42" i="25"/>
  <c r="C70" i="25" s="1"/>
  <c r="H36" i="20" l="1"/>
  <c r="H28" i="21" l="1"/>
  <c r="H29" i="21" s="1"/>
  <c r="G36" i="20"/>
  <c r="F36" i="20"/>
  <c r="G28" i="21" l="1"/>
  <c r="G29" i="21" s="1"/>
  <c r="F28" i="21"/>
  <c r="F29" i="21" s="1"/>
  <c r="C26" i="25"/>
  <c r="C8" i="25"/>
  <c r="G82" i="25"/>
  <c r="F82" i="25"/>
  <c r="E82" i="25"/>
  <c r="D82" i="25"/>
  <c r="C82" i="25"/>
  <c r="G41" i="25"/>
  <c r="G71" i="25" s="1"/>
  <c r="E41" i="25" l="1"/>
  <c r="E71" i="25" s="1"/>
  <c r="C41" i="25"/>
  <c r="C71" i="25" s="1"/>
  <c r="D41" i="25"/>
  <c r="D71" i="25" s="1"/>
  <c r="F41" i="25"/>
  <c r="F71" i="25" s="1"/>
  <c r="H41" i="25"/>
  <c r="H71" i="25" s="1"/>
  <c r="D36" i="20" l="1"/>
  <c r="D28" i="21" s="1"/>
  <c r="D29" i="21" s="1"/>
  <c r="E36" i="20" l="1"/>
  <c r="E28" i="21" s="1"/>
  <c r="E29" i="21" s="1"/>
  <c r="C36" i="20"/>
  <c r="C28" i="21" l="1"/>
  <c r="C29" i="21" s="1"/>
  <c r="E37" i="20"/>
  <c r="D37" i="20"/>
  <c r="H37" i="20"/>
  <c r="G37" i="20"/>
  <c r="F37" i="20"/>
  <c r="H30" i="21" l="1"/>
  <c r="G30" i="21"/>
  <c r="F30" i="21"/>
  <c r="D30" i="21"/>
  <c r="E30" i="2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6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H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K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<sst xmlns="http://schemas.openxmlformats.org/spreadsheetml/2006/main" count="1014" uniqueCount="519">
  <si>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</si>
  <si>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</si>
  <si>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</si>
  <si>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</si>
  <si>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</si>
  <si>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</si>
  <si>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</si>
  <si>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</si>
  <si>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</si>
  <si>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</si>
  <si>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</si>
  <si>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</si>
  <si>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</si>
  <si>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</si>
  <si>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</si>
  <si>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</si>
  <si>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</si>
  <si>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</si>
  <si>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</si>
  <si>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</si>
  <si>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</si>
  <si>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</si>
  <si>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</si>
  <si>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</si>
  <si>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</si>
  <si>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</si>
  <si>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</si>
  <si>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</si>
  <si>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</si>
  <si>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</si>
  <si>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</si>
  <si>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</si>
  <si>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</si>
  <si>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</si>
  <si>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</si>
  <si>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</si>
  <si>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</si>
  <si>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</si>
  <si>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</si>
  <si>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</si>
  <si>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</si>
  <si>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</si>
  <si>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</si>
  <si>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</si>
  <si>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</si>
  <si>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</si>
  <si>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</si>
  <si>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</si>
  <si>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</si>
  <si>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</si>
  <si>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</si>
  <si>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</si>
  <si>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</si>
  <si>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</si>
  <si>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</si>
  <si>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</si>
  <si>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</si>
  <si>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</si>
  <si>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</si>
  <si>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</si>
  <si>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</si>
  <si>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</si>
  <si>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</si>
  <si>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</si>
  <si>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</si>
  <si>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</si>
  <si>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</si>
  <si>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</si>
  <si>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</si>
  <si>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</si>
  <si>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</si>
  <si>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</si>
  <si>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</si>
  <si>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</si>
  <si>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</si>
  <si>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</si>
  <si>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</si>
  <si>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</si>
  <si>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</si>
  <si>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</si>
  <si>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</si>
  <si>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</si>
  <si>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</si>
  <si>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</si>
  <si>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</si>
  <si>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</si>
  <si>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</si>
  <si>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</si>
  <si>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</si>
  <si>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</si>
  <si>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</si>
  <si>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</si>
  <si>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</si>
  <si>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</si>
  <si>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</si>
  <si>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</si>
  <si>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</si>
  <si>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</si>
  <si>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</si>
  <si>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</si>
  <si>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</si>
  <si>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</si>
  <si>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</si>
  <si>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</si>
  <si>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</si>
  <si>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</si>
  <si>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</si>
  <si>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</si>
  <si>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</si>
  <si>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</si>
  <si>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</si>
  <si>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</si>
  <si>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</si>
  <si>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</si>
  <si>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</si>
  <si>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</si>
  <si>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</si>
  <si>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</si>
  <si>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</si>
  <si>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</si>
  <si>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</si>
  <si>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</si>
  <si>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</si>
  <si>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</si>
  <si>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</si>
  <si>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</si>
  <si>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</si>
  <si>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</si>
  <si>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</si>
  <si>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</si>
  <si>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</si>
  <si>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</si>
  <si>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</si>
  <si>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</si>
  <si>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</si>
  <si>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</si>
  <si>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</si>
  <si>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</si>
  <si>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</si>
  <si>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</si>
  <si>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AGUIRRE GUZMAN JORGE ROLANDO</t>
  </si>
  <si>
    <t>AGUIRRE PAZ RAMIRO GABRIEL</t>
  </si>
  <si>
    <t>AGURTO ERIQUE VICTOR VICENTE</t>
  </si>
  <si>
    <t>0101325512</t>
  </si>
  <si>
    <t>ALARCON HUGO ANIBAL</t>
  </si>
  <si>
    <t>ALBERCA ARMIJOS  CESARIO AGUSTIN</t>
  </si>
  <si>
    <t>CADENERO</t>
  </si>
  <si>
    <t>1101740460</t>
  </si>
  <si>
    <t>ALVARADO ALVARADO MANUEL IGNACIO</t>
  </si>
  <si>
    <t>ALVARADO JARAMILLO JUAN CARLOS</t>
  </si>
  <si>
    <t>ALVARADO LEON ELEUTERIO</t>
  </si>
  <si>
    <t>OPERADOR DE EXCAVADORA</t>
  </si>
  <si>
    <t>ALVAREZ CHAVEZ JUAN PABLO</t>
  </si>
  <si>
    <t>APOLO PINZA ELSA</t>
  </si>
  <si>
    <t>COCINERO-PROVEEDORA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</si>
  <si>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</si>
  <si>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</si>
  <si>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</si>
  <si>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</si>
  <si>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</si>
  <si>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</si>
  <si>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</si>
  <si>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</si>
  <si>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</si>
  <si>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</si>
  <si>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</si>
  <si>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</si>
  <si>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</si>
  <si>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</si>
  <si>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</si>
  <si>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</si>
  <si>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</si>
  <si>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</si>
  <si>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</si>
  <si>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</si>
  <si>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</si>
  <si>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</si>
  <si>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</si>
  <si>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</si>
  <si>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</si>
  <si>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</si>
  <si>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</si>
  <si>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</si>
  <si>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</si>
  <si>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OPERADOR DE CARGADORA</t>
  </si>
  <si>
    <t>CARPIO QUISHPE JOSE MAXIMILIANO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</si>
  <si>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</si>
  <si>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</si>
  <si>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</si>
  <si>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</si>
  <si>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</si>
  <si>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</si>
  <si>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</si>
  <si>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</si>
  <si>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</si>
  <si>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</si>
  <si>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</si>
  <si>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</si>
  <si>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</si>
  <si>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</si>
  <si>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</si>
  <si>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</si>
  <si>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</si>
  <si>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</si>
  <si>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</si>
  <si>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</si>
  <si>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</si>
  <si>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</si>
  <si>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</si>
  <si>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</si>
  <si>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</si>
  <si>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</si>
  <si>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</si>
  <si>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</si>
  <si>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</si>
  <si>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</si>
  <si>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</si>
  <si>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</si>
  <si>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</si>
  <si>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</si>
  <si>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</si>
  <si>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</si>
  <si>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</si>
  <si>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</si>
  <si>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</si>
  <si>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</si>
  <si>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</si>
  <si>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</si>
  <si>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</si>
  <si>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</si>
  <si>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</si>
  <si>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</si>
  <si>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</si>
  <si>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</si>
  <si>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</si>
  <si>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</si>
  <si>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</si>
  <si>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</si>
  <si>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</si>
  <si>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GUAMAN ALVARADO ANGEL MODESTO</t>
  </si>
  <si>
    <t>OPERADOR DE RODILLO</t>
  </si>
  <si>
    <t>GUAMAN CABRERA SEGUNDO EMILIANO</t>
  </si>
  <si>
    <t>GUAMAN CHAMBA MANUEL ANTONIO</t>
  </si>
  <si>
    <t>GUAMAN REYES HERMÁN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</si>
  <si>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</si>
  <si>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</si>
  <si>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</si>
  <si>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</si>
  <si>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</si>
  <si>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</si>
  <si>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</si>
  <si>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</si>
  <si>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</si>
  <si>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</si>
  <si>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</si>
  <si>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</si>
  <si>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</si>
  <si>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</si>
  <si>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</si>
  <si>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</si>
  <si>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</si>
  <si>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</si>
  <si>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</si>
  <si>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</si>
  <si>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</si>
  <si>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</si>
  <si>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</si>
  <si>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</si>
  <si>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</si>
  <si>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</si>
  <si>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</si>
  <si>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</si>
  <si>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</si>
  <si>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</si>
  <si>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</si>
  <si>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</si>
  <si>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</si>
  <si>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</si>
  <si>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</si>
  <si>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</si>
  <si>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</si>
  <si>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</si>
  <si>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</si>
  <si>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</si>
  <si>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</si>
  <si>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</si>
  <si>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</si>
  <si>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</si>
  <si>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</si>
  <si>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</si>
  <si>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</si>
  <si>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</si>
  <si>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</si>
  <si>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</si>
  <si>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</si>
  <si>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</si>
  <si>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</si>
  <si>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</si>
  <si>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</si>
  <si>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</si>
  <si>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</si>
  <si>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</si>
  <si>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</si>
  <si>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MONTOYA PUCHAICELA MANUEL DE JESUS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</si>
  <si>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</si>
  <si>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</si>
  <si>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</si>
  <si>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</si>
  <si>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</si>
  <si>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</si>
  <si>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</si>
  <si>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</si>
  <si>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</si>
  <si>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</si>
  <si>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</si>
  <si>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</si>
  <si>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</si>
  <si>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</si>
  <si>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</si>
  <si>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</si>
  <si>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</si>
  <si>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</si>
  <si>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</si>
  <si>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</si>
  <si>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</si>
  <si>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</si>
  <si>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</si>
  <si>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</si>
  <si>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</si>
  <si>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</si>
  <si>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</si>
  <si>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</si>
  <si>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</si>
  <si>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</si>
  <si>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</si>
  <si>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</si>
  <si>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</si>
  <si>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</si>
  <si>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</si>
  <si>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</si>
  <si>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</si>
  <si>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</si>
  <si>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</si>
  <si>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</si>
  <si>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</si>
  <si>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</si>
  <si>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</si>
  <si>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</si>
  <si>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</si>
  <si>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</si>
  <si>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</si>
  <si>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</si>
  <si>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</si>
  <si>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</si>
  <si>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</si>
  <si>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</si>
  <si>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</si>
  <si>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</si>
  <si>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</si>
  <si>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</si>
  <si>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</si>
  <si>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</si>
  <si>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</si>
  <si>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</si>
  <si>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</si>
  <si>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</si>
  <si>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</si>
  <si>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</si>
  <si>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</si>
  <si>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</si>
  <si>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</si>
  <si>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</si>
  <si>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</si>
  <si>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</si>
  <si>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</si>
  <si>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</si>
  <si>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</si>
  <si>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</si>
  <si>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</si>
  <si>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</si>
  <si>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</si>
  <si>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</si>
  <si>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</si>
  <si>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</si>
  <si>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</si>
  <si>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</si>
  <si>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</si>
  <si>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</si>
  <si>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</si>
  <si>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</si>
  <si>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</si>
  <si>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</si>
  <si>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</si>
  <si>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</si>
  <si>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</si>
  <si>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</si>
  <si>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</si>
  <si>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</si>
  <si>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</si>
  <si>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</si>
  <si>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</si>
  <si>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</si>
  <si>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</si>
  <si>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</si>
  <si>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</si>
  <si>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</si>
  <si>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</si>
  <si>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</si>
  <si>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</si>
  <si>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</si>
  <si>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</si>
  <si>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</si>
  <si>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</si>
  <si>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</si>
  <si>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</si>
  <si>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</si>
  <si>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TORRES CAMPOVERDE JORGE VICENTE</t>
  </si>
  <si>
    <t>TORRES GUARNIZO VICTOR MANUEL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</si>
  <si>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</si>
  <si>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</si>
  <si>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</si>
  <si>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</si>
  <si>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</si>
  <si>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</si>
  <si>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</si>
  <si>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</si>
  <si>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</si>
  <si>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</si>
  <si>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</si>
  <si>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</si>
  <si>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 xml:space="preserve"> </t>
  </si>
  <si>
    <t>COSTO REAL DEL CONTRATO COLECTIVO VIGENTE USD 2014</t>
  </si>
  <si>
    <t>FINANCIAMIENTO REAL DEL CONTRATO COLECTIVO VIGENTE USD 2014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</si>
  <si>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</si>
  <si>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</si>
  <si>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</si>
  <si>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</si>
  <si>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</si>
  <si>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EMPRESA PÚBLICA DE VIALIDAD DEL SUR</t>
  </si>
  <si>
    <t>VESTUARIO, LENCERIA Y PRENDAS DE PROTECCION</t>
  </si>
  <si>
    <t>FECHA DE INGRESO A VIALSUR E.P.</t>
  </si>
  <si>
    <t>ABRIGO ORTEGA ANGEL BOLIVAR</t>
  </si>
  <si>
    <t>AYUDANTE DE ALBAÑIL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</si>
  <si>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</si>
  <si>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</si>
  <si>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</si>
  <si>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Nombre: Lic. Viviana Macas Toledo</t>
  </si>
  <si>
    <t>FIRMA DIRECTOR (A) TALENTO HUMANO (A) DEL GAD</t>
  </si>
  <si>
    <t>Nº PROYECTO CONTRATO COLECTIVO PROYECTO DECIMO NOVENO</t>
  </si>
  <si>
    <t>Nº PROYECTO CONTRATO COLECTIVO DECIMO NOVENO</t>
  </si>
  <si>
    <t>Nº PROYECTO CONTRATO COLECTIVO: DECIMO NOVENO</t>
  </si>
  <si>
    <t>Nombre: Ing. Roberto Astudillo Medina</t>
  </si>
  <si>
    <t>Nombre:  Ing. Roberto Astudillo</t>
  </si>
  <si>
    <t>AÑO  (2018)</t>
  </si>
  <si>
    <t>AÑO 1 (2019)</t>
  </si>
  <si>
    <t>AÑO 2 (2020)</t>
  </si>
  <si>
    <t>PROGRAMA MANTENIMIENTO Y MEJORAMIENTO VIAL</t>
  </si>
  <si>
    <t>NO HAY COMO CALCULAR LIMITE DE ENDEUDAMIENTO POR CUENTO LA EMPRESA NO CUENTA CON DEUDA PUBLICA.</t>
  </si>
  <si>
    <t>COSTO ESTIMADO DEL CONTRATO COLECTIVO PROPUESTO USD 2019</t>
  </si>
  <si>
    <t>ARBOLEDA ORDOÑEZ MODESTO LOSTICO</t>
  </si>
  <si>
    <t>ARMIJOS VICENTE ARIELITO</t>
  </si>
  <si>
    <t>BARAJA JOSÉ HOMERO</t>
  </si>
  <si>
    <t>BURI ANGAMARCA SERGIO AGUSTIN</t>
  </si>
  <si>
    <t xml:space="preserve">CANO ABAD MANUEL AGUSTIN </t>
  </si>
  <si>
    <t>SANCHEZ PAUTE CRISTIAN MANUEL</t>
  </si>
  <si>
    <t>CARRERA RODRIGUEZ JOSE MANUEL</t>
  </si>
  <si>
    <t>CORDOVA ROMAN ERALDIO AUGUSTO</t>
  </si>
  <si>
    <t>ESTRELLA SILVA GERMANIA JANETH</t>
  </si>
  <si>
    <t>GUALAN GUALAN JULIA FERNANDA</t>
  </si>
  <si>
    <t>GUAMAN CARLOS WASHINGTON</t>
  </si>
  <si>
    <t>GUARNIZO DELGADO HUGO ANIBAL</t>
  </si>
  <si>
    <t>MARIN JUAN PAUL</t>
  </si>
  <si>
    <t>MORA PALADINEZ WALTER GONZALO</t>
  </si>
  <si>
    <t>PEÑA PEÑA VICTOR MANUEL</t>
  </si>
  <si>
    <t>RAMIREZ ENCALADA CELINA MARIA</t>
  </si>
  <si>
    <t>ROJAS ANDRADE MANUEL ANTONIO</t>
  </si>
  <si>
    <t>TORO RODRIGUEZ JAIME EDUARDO</t>
  </si>
  <si>
    <t>VALAREZO VASQUEZ GALO EDUARDO</t>
  </si>
  <si>
    <t>VINCES  CARLOS ALFREDO</t>
  </si>
  <si>
    <t>VIVANCO  BERYDDY NOVARINO</t>
  </si>
  <si>
    <t>O700001035</t>
  </si>
  <si>
    <t>VIVANCO TACURI VICTORIANO JACOB</t>
  </si>
  <si>
    <t>TOTAL</t>
  </si>
  <si>
    <t>SEGUROS</t>
  </si>
  <si>
    <t xml:space="preserve">AYUDANTE DE MECÁNICA DE EQUIPO Y/O MAQUINARIA </t>
  </si>
  <si>
    <t>AYUDANTE DE EQUIPO Y/O MAQUINARIA PESADA</t>
  </si>
  <si>
    <t>CHOFER DE VEHÍCULO PESADO</t>
  </si>
  <si>
    <t>MAQUINISTA AUXILIAR</t>
  </si>
  <si>
    <t>OPERADOR DE DISTRIBUIDOR DE AGREGADOS</t>
  </si>
  <si>
    <t>OPERADOR DE MAQUINARIA O EQUIPO PESADO</t>
  </si>
  <si>
    <t>SUPERVISOR MANTENIMIENTO MÉCANICO</t>
  </si>
  <si>
    <t>SUPERVISOR MANTENIMIENTO, EQUIPO PESADO Y AUTOMOTRIZ</t>
  </si>
  <si>
    <t>TÉCNICO MANTENIMIENTO AUTOMOTRIZ</t>
  </si>
  <si>
    <t>AÑO 3 (2021)</t>
  </si>
  <si>
    <t>Ing. Jean Villavicencio Garcia</t>
  </si>
  <si>
    <t>SIN NOTA</t>
  </si>
  <si>
    <r>
      <t xml:space="preserve">NOTA: </t>
    </r>
    <r>
      <rPr>
        <sz val="8"/>
        <rFont val="Calibri"/>
        <family val="2"/>
        <scheme val="minor"/>
      </rPr>
      <t>El número de trabajadores varia de acuerdo a la columna de las observaciones ya que hay retiro voluntarios por jubilación, visto bueno, fallecimiento, retiros por enfermedad, renuncias voluntarias y traspasos al Gobierno Provincial de Loja.</t>
    </r>
  </si>
  <si>
    <t>TRASPASO AL GPL EL 01 ENERO 2015</t>
  </si>
  <si>
    <t>FALLECIMIENTO MARZO DEL 2016.</t>
  </si>
  <si>
    <t>VISTO BUENO 2016.</t>
  </si>
  <si>
    <t>FALLECIMIENTO SEPTIEMBRE DEL 2018</t>
  </si>
  <si>
    <t>JUBILACION POR ENFERMEDAD 2014.</t>
  </si>
  <si>
    <t>RENUNCIA VOLUNTARIA 2016.</t>
  </si>
  <si>
    <t>RENUNCIA VOLUNTARIA 2015.</t>
  </si>
  <si>
    <t>RETIRO VOLUNTARIO PARA ACOGERSE A LA JUBILACION 2018.</t>
  </si>
  <si>
    <t>INCREMENTO PORCENTUAL</t>
  </si>
  <si>
    <t>FINANCIAMIENTO REAL DEL CONTRATO COLECTIVO PROPUESTO USD 2015</t>
  </si>
  <si>
    <t>FINANCIAMIENTO REAL DEL CONTRATO COLECTIVO PROPUESTO USD 2016</t>
  </si>
  <si>
    <t>FINANCIAMIENTO REAL DEL CONTRATO COLECTIVO PROPUESTO USD 2017</t>
  </si>
  <si>
    <t>FINANCIAMIENTO REAL DEL CONTRATO COLECTIVO PROPUESTO USD 2018</t>
  </si>
  <si>
    <t>FINANCIAMIENTO REAL DEL CONTRATO COLECTIVO PROPUESTO USD 2019</t>
  </si>
  <si>
    <t>COSTO REAL DEL CONTRATO COLECTIVO PROPUESTO USD 2015</t>
  </si>
  <si>
    <t>COSTO REAL DEL CONTRATO COLECTIVO PROPUESTO USD 2016</t>
  </si>
  <si>
    <t>COSTO REAL DEL CONTRATO COLECTIVO PROPUESTO USD 2017</t>
  </si>
  <si>
    <t>COSTO REAL DEL CONTRATO COLECTIVO PROPUESTO USD 2018</t>
  </si>
  <si>
    <t>NOTA: LA VARIACIÓN EN LOS INGRESOS EN LOS AÑOS 2017, 2018 Y 2019 ES POR AUTOGESTIÓN DE LA EMPRESA LA CUAL MANTUVO UN CONTRATO PARA REALIZAR UNA VÍA.</t>
  </si>
  <si>
    <t>Lugar y Fecha: Loja, 26 Noviemrbe 2019</t>
  </si>
  <si>
    <t>Lugar y Fecha: 26 Noviembre 2019</t>
  </si>
  <si>
    <t>Lugar y Fecha: 26 Noviemrbe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</si>
</sst>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">
    <xf numFmtId="0" fontId="0" fillId="0" borderId="0"/>
    <xf numFmtId="166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9" fillId="0" borderId="0"/>
    <xf numFmtId="164" fontId="4" fillId="0" borderId="0" applyFont="0" applyFill="0" applyBorder="0" applyAlignment="0" applyProtection="0"/>
    <xf numFmtId="0" fontId="3" fillId="0" borderId="0"/>
    <xf numFmtId="0" fontId="1" fillId="0" borderId="0"/>
  </cellStyleXfs>
  <cellXfs count="272">
    <xf numFmtId="0" fontId="0" fillId="0" borderId="0" xfId="0"/>
    <xf numFmtId="0" fontId="5" fillId="0" borderId="0" xfId="0" applyFont="1"/>
    <xf numFmtId="0" fontId="8" fillId="0" borderId="0" xfId="0" applyFont="1"/>
    <xf numFmtId="0" fontId="8" fillId="0" borderId="0" xfId="0" applyFont="1" applyBorder="1"/>
    <xf numFmtId="0" fontId="6" fillId="0" borderId="0" xfId="0" applyFont="1" applyFill="1" applyBorder="1" applyAlignment="1"/>
    <xf numFmtId="0" fontId="6" fillId="0" borderId="0" xfId="0" applyFont="1" applyBorder="1" applyAlignment="1"/>
    <xf numFmtId="0" fontId="14" fillId="0" borderId="0" xfId="6"/>
    <xf numFmtId="0" fontId="18" fillId="2" borderId="1" xfId="6" applyFont="1" applyFill="1" applyBorder="1" applyAlignment="1">
      <alignment horizontal="center" vertical="center" wrapText="1"/>
    </xf>
    <xf numFmtId="0" fontId="19" fillId="2" borderId="2" xfId="6" applyFont="1" applyFill="1" applyBorder="1" applyAlignment="1">
      <alignment horizontal="center" vertical="center"/>
    </xf>
    <xf numFmtId="0" fontId="19" fillId="2" borderId="3" xfId="6" applyFont="1" applyFill="1" applyBorder="1" applyAlignment="1">
      <alignment horizontal="center" vertical="center"/>
    </xf>
    <xf numFmtId="0" fontId="19" fillId="2" borderId="4" xfId="6" applyFont="1" applyFill="1" applyBorder="1" applyAlignment="1">
      <alignment horizontal="center" vertical="center"/>
    </xf>
    <xf numFmtId="0" fontId="19" fillId="2" borderId="5" xfId="6" applyFont="1" applyFill="1" applyBorder="1" applyAlignment="1">
      <alignment horizontal="center" vertical="center"/>
    </xf>
    <xf numFmtId="0" fontId="15" fillId="2" borderId="6" xfId="6" applyFont="1" applyFill="1" applyBorder="1" applyAlignment="1">
      <alignment horizontal="center" vertical="center" wrapText="1"/>
    </xf>
    <xf numFmtId="0" fontId="15" fillId="2" borderId="3" xfId="6" applyFont="1" applyFill="1" applyBorder="1" applyAlignment="1">
      <alignment horizontal="center" vertical="center" wrapText="1"/>
    </xf>
    <xf numFmtId="0" fontId="20" fillId="3" borderId="7" xfId="6" applyFont="1" applyFill="1" applyBorder="1"/>
    <xf numFmtId="0" fontId="21" fillId="0" borderId="8" xfId="6" applyFont="1" applyBorder="1" applyAlignment="1">
      <alignment horizontal="left"/>
    </xf>
    <xf numFmtId="0" fontId="21" fillId="0" borderId="9" xfId="6" applyFont="1" applyBorder="1"/>
    <xf numFmtId="0" fontId="20" fillId="0" borderId="10" xfId="6" applyFont="1" applyBorder="1"/>
    <xf numFmtId="0" fontId="20" fillId="0" borderId="8" xfId="6" applyFont="1" applyBorder="1" applyAlignment="1">
      <alignment horizontal="center"/>
    </xf>
    <xf numFmtId="0" fontId="20" fillId="0" borderId="10" xfId="6" applyFont="1" applyBorder="1" applyAlignment="1">
      <alignment horizontal="left" indent="2"/>
    </xf>
    <xf numFmtId="0" fontId="20" fillId="0" borderId="11" xfId="6" applyFont="1" applyBorder="1"/>
    <xf numFmtId="0" fontId="20" fillId="0" borderId="12" xfId="6" applyFont="1" applyBorder="1"/>
    <xf numFmtId="0" fontId="14" fillId="0" borderId="13" xfId="6" applyBorder="1"/>
    <xf numFmtId="0" fontId="14" fillId="0" borderId="12" xfId="6" applyBorder="1"/>
    <xf numFmtId="0" fontId="21" fillId="0" borderId="10" xfId="6" applyFont="1" applyBorder="1"/>
    <xf numFmtId="0" fontId="20" fillId="0" borderId="15" xfId="6" applyFont="1" applyBorder="1" applyAlignment="1">
      <alignment horizontal="left" indent="2"/>
    </xf>
    <xf numFmtId="0" fontId="21" fillId="0" borderId="15" xfId="6" applyFont="1" applyBorder="1"/>
    <xf numFmtId="0" fontId="22" fillId="4" borderId="10" xfId="6" applyFont="1" applyFill="1" applyBorder="1"/>
    <xf numFmtId="0" fontId="14" fillId="3" borderId="12" xfId="6" applyFill="1" applyBorder="1"/>
    <xf numFmtId="0" fontId="21" fillId="0" borderId="13" xfId="6" applyFont="1" applyBorder="1" applyAlignment="1">
      <alignment horizontal="left"/>
    </xf>
    <xf numFmtId="0" fontId="21" fillId="0" borderId="16" xfId="6" applyFont="1" applyBorder="1"/>
    <xf numFmtId="0" fontId="21" fillId="0" borderId="10" xfId="6" applyFont="1" applyBorder="1" applyAlignment="1">
      <alignment horizontal="left"/>
    </xf>
    <xf numFmtId="0" fontId="23" fillId="2" borderId="10" xfId="6" applyFont="1" applyFill="1" applyBorder="1"/>
    <xf numFmtId="0" fontId="21" fillId="0" borderId="14" xfId="6" applyFont="1" applyBorder="1" applyAlignment="1">
      <alignment horizontal="left"/>
    </xf>
    <xf numFmtId="0" fontId="21" fillId="0" borderId="18" xfId="6" applyFont="1" applyBorder="1" applyAlignment="1">
      <alignment horizontal="left"/>
    </xf>
    <xf numFmtId="0" fontId="21" fillId="0" borderId="19" xfId="6" applyFont="1" applyBorder="1"/>
    <xf numFmtId="0" fontId="21" fillId="0" borderId="20" xfId="6" applyFont="1" applyBorder="1" applyAlignment="1">
      <alignment horizontal="left"/>
    </xf>
    <xf numFmtId="0" fontId="21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4" fillId="0" borderId="0" xfId="6" applyFill="1"/>
    <xf numFmtId="0" fontId="20" fillId="0" borderId="0" xfId="6" applyFont="1" applyFill="1" applyBorder="1"/>
    <xf numFmtId="0" fontId="16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7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0" fontId="16" fillId="0" borderId="30" xfId="6" applyFont="1" applyBorder="1" applyAlignment="1">
      <alignment horizontal="center"/>
    </xf>
    <xf numFmtId="4" fontId="28" fillId="0" borderId="31" xfId="0" applyNumberFormat="1" applyFont="1" applyFill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4" fillId="0" borderId="32" xfId="0" applyNumberFormat="1" applyFont="1" applyFill="1" applyBorder="1" applyAlignment="1">
      <alignment horizontal="center"/>
    </xf>
    <xf numFmtId="4" fontId="30" fillId="0" borderId="32" xfId="2" applyNumberFormat="1" applyFont="1" applyBorder="1" applyAlignment="1">
      <alignment horizontal="center"/>
    </xf>
    <xf numFmtId="0" fontId="25" fillId="0" borderId="32" xfId="0" applyFont="1" applyBorder="1"/>
    <xf numFmtId="4" fontId="25" fillId="0" borderId="32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8" fillId="0" borderId="34" xfId="0" applyFont="1" applyBorder="1" applyAlignment="1">
      <alignment horizontal="left"/>
    </xf>
    <xf numFmtId="0" fontId="24" fillId="0" borderId="34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20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25" fillId="0" borderId="17" xfId="0" applyFont="1" applyBorder="1"/>
    <xf numFmtId="0" fontId="16" fillId="0" borderId="0" xfId="6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2" fontId="24" fillId="0" borderId="7" xfId="0" applyNumberFormat="1" applyFont="1" applyFill="1" applyBorder="1" applyAlignment="1">
      <alignment horizontal="center"/>
    </xf>
    <xf numFmtId="0" fontId="15" fillId="2" borderId="25" xfId="6" applyFont="1" applyFill="1" applyBorder="1" applyAlignment="1"/>
    <xf numFmtId="0" fontId="15" fillId="2" borderId="26" xfId="6" applyFont="1" applyFill="1" applyBorder="1" applyAlignment="1"/>
    <xf numFmtId="0" fontId="20" fillId="0" borderId="13" xfId="6" applyFont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2" fontId="25" fillId="5" borderId="44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7" xfId="0" applyNumberFormat="1" applyFont="1" applyFill="1" applyBorder="1" applyAlignment="1">
      <alignment horizontal="center"/>
    </xf>
    <xf numFmtId="4" fontId="28" fillId="0" borderId="10" xfId="3" applyNumberFormat="1" applyFont="1" applyFill="1" applyBorder="1" applyAlignment="1">
      <alignment horizontal="center"/>
    </xf>
    <xf numFmtId="4" fontId="28" fillId="5" borderId="10" xfId="3" applyNumberFormat="1" applyFont="1" applyFill="1" applyBorder="1" applyAlignment="1">
      <alignment horizontal="center"/>
    </xf>
    <xf numFmtId="4" fontId="24" fillId="0" borderId="48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49" xfId="0" applyFont="1" applyBorder="1"/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7" xfId="0" applyFont="1" applyBorder="1" applyAlignment="1">
      <alignment horizontal="left"/>
    </xf>
    <xf numFmtId="0" fontId="28" fillId="0" borderId="27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4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0" fontId="25" fillId="0" borderId="40" xfId="0" applyFont="1" applyBorder="1"/>
    <xf numFmtId="49" fontId="19" fillId="2" borderId="3" xfId="0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2" borderId="29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50" xfId="0" applyFont="1" applyFill="1" applyBorder="1" applyAlignment="1">
      <alignment horizontal="center" vertical="center" wrapText="1"/>
    </xf>
    <xf numFmtId="1" fontId="32" fillId="5" borderId="14" xfId="8" applyNumberFormat="1" applyFont="1" applyFill="1" applyBorder="1" applyAlignment="1">
      <alignment horizontal="right" vertical="center" wrapText="1"/>
    </xf>
    <xf numFmtId="1" fontId="25" fillId="5" borderId="14" xfId="8" applyNumberFormat="1" applyFont="1" applyFill="1" applyBorder="1" applyAlignment="1">
      <alignment horizontal="right" vertical="center" wrapText="1"/>
    </xf>
    <xf numFmtId="0" fontId="32" fillId="5" borderId="14" xfId="11" applyFont="1" applyFill="1" applyBorder="1" applyAlignment="1">
      <alignment horizontal="right" vertical="center"/>
    </xf>
    <xf numFmtId="0" fontId="32" fillId="5" borderId="14" xfId="8" applyFont="1" applyFill="1" applyBorder="1" applyAlignment="1">
      <alignment horizontal="right" vertical="center"/>
    </xf>
    <xf numFmtId="1" fontId="32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2" fillId="5" borderId="14" xfId="11" applyNumberFormat="1" applyFont="1" applyFill="1" applyBorder="1" applyAlignment="1">
      <alignment horizontal="right" vertical="center"/>
    </xf>
    <xf numFmtId="0" fontId="32" fillId="5" borderId="14" xfId="8" applyFont="1" applyFill="1" applyBorder="1" applyAlignment="1">
      <alignment horizontal="right" vertical="center" wrapText="1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25" fillId="0" borderId="0" xfId="0" applyFont="1" applyAlignment="1">
      <alignment wrapText="1"/>
    </xf>
    <xf numFmtId="0" fontId="32" fillId="5" borderId="14" xfId="8" applyNumberFormat="1" applyFont="1" applyFill="1" applyBorder="1" applyAlignment="1">
      <alignment horizontal="right" vertical="center" wrapText="1"/>
    </xf>
    <xf numFmtId="0" fontId="29" fillId="5" borderId="0" xfId="0" applyFont="1" applyFill="1" applyBorder="1" applyAlignment="1">
      <alignment horizont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0" fontId="22" fillId="0" borderId="34" xfId="6" applyFont="1" applyBorder="1" applyAlignment="1">
      <alignment horizontal="left" indent="2"/>
    </xf>
    <xf numFmtId="0" fontId="30" fillId="0" borderId="33" xfId="0" applyFont="1" applyBorder="1" applyAlignment="1">
      <alignment horizontal="left"/>
    </xf>
    <xf numFmtId="0" fontId="28" fillId="5" borderId="28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27" xfId="0" applyFont="1" applyBorder="1" applyAlignment="1">
      <alignment horizontal="left" vertical="center"/>
    </xf>
    <xf numFmtId="4" fontId="28" fillId="0" borderId="10" xfId="3" applyNumberFormat="1" applyFont="1" applyFill="1" applyBorder="1" applyAlignment="1">
      <alignment horizontal="center" vertical="center"/>
    </xf>
    <xf numFmtId="4" fontId="28" fillId="0" borderId="34" xfId="3" applyNumberFormat="1" applyFont="1" applyFill="1" applyBorder="1" applyAlignment="1">
      <alignment horizontal="center" vertical="center"/>
    </xf>
    <xf numFmtId="0" fontId="14" fillId="0" borderId="10" xfId="6" applyBorder="1"/>
    <xf numFmtId="0" fontId="20" fillId="0" borderId="8" xfId="6" applyFont="1" applyBorder="1"/>
    <xf numFmtId="0" fontId="31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" fontId="25" fillId="0" borderId="35" xfId="0" applyNumberFormat="1" applyFont="1" applyBorder="1"/>
    <xf numFmtId="0" fontId="2" fillId="0" borderId="34" xfId="6" applyFont="1" applyBorder="1" applyAlignment="1">
      <alignment horizontal="center" vertical="center"/>
    </xf>
    <xf numFmtId="4" fontId="28" fillId="3" borderId="10" xfId="3" applyNumberFormat="1" applyFont="1" applyFill="1" applyBorder="1" applyAlignment="1">
      <alignment horizontal="center" vertical="center"/>
    </xf>
    <xf numFmtId="0" fontId="20" fillId="0" borderId="10" xfId="6" applyFont="1" applyBorder="1" applyAlignment="1">
      <alignment horizontal="left" wrapText="1" indent="2"/>
    </xf>
    <xf numFmtId="4" fontId="18" fillId="2" borderId="10" xfId="3" applyNumberFormat="1" applyFont="1" applyFill="1" applyBorder="1" applyAlignment="1">
      <alignment horizontal="center" vertical="center"/>
    </xf>
    <xf numFmtId="4" fontId="37" fillId="0" borderId="8" xfId="2" applyNumberFormat="1" applyFont="1" applyBorder="1" applyAlignment="1">
      <alignment horizontal="center" vertical="center"/>
    </xf>
    <xf numFmtId="4" fontId="37" fillId="0" borderId="10" xfId="2" applyNumberFormat="1" applyFont="1" applyBorder="1" applyAlignment="1">
      <alignment horizontal="center" vertical="center"/>
    </xf>
    <xf numFmtId="4" fontId="38" fillId="0" borderId="10" xfId="2" applyNumberFormat="1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39" fillId="4" borderId="12" xfId="6" applyFont="1" applyFill="1" applyBorder="1"/>
    <xf numFmtId="4" fontId="24" fillId="0" borderId="10" xfId="3" applyNumberFormat="1" applyFont="1" applyFill="1" applyBorder="1" applyAlignment="1">
      <alignment horizontal="center" vertical="center"/>
    </xf>
    <xf numFmtId="4" fontId="24" fillId="3" borderId="10" xfId="3" applyNumberFormat="1" applyFont="1" applyFill="1" applyBorder="1" applyAlignment="1">
      <alignment horizontal="center" vertical="center"/>
    </xf>
    <xf numFmtId="4" fontId="24" fillId="4" borderId="10" xfId="3" applyNumberFormat="1" applyFont="1" applyFill="1" applyBorder="1" applyAlignment="1">
      <alignment horizontal="center" vertical="center"/>
    </xf>
    <xf numFmtId="165" fontId="25" fillId="0" borderId="0" xfId="3" applyFont="1" applyBorder="1"/>
    <xf numFmtId="0" fontId="16" fillId="0" borderId="30" xfId="14" applyFont="1" applyBorder="1" applyAlignment="1"/>
    <xf numFmtId="0" fontId="16" fillId="0" borderId="0" xfId="14" applyFont="1" applyAlignment="1">
      <alignment wrapText="1"/>
    </xf>
    <xf numFmtId="4" fontId="28" fillId="0" borderId="8" xfId="3" applyNumberFormat="1" applyFont="1" applyFill="1" applyBorder="1" applyAlignment="1">
      <alignment horizontal="center" vertical="center"/>
    </xf>
    <xf numFmtId="0" fontId="8" fillId="5" borderId="0" xfId="0" applyFont="1" applyFill="1"/>
    <xf numFmtId="2" fontId="25" fillId="5" borderId="14" xfId="8" applyNumberFormat="1" applyFont="1" applyFill="1" applyBorder="1" applyAlignment="1">
      <alignment horizontal="center" vertical="center"/>
    </xf>
    <xf numFmtId="2" fontId="25" fillId="5" borderId="14" xfId="9" applyNumberFormat="1" applyFont="1" applyFill="1" applyBorder="1" applyAlignment="1">
      <alignment horizontal="center" vertical="center"/>
    </xf>
    <xf numFmtId="4" fontId="19" fillId="2" borderId="3" xfId="0" applyNumberFormat="1" applyFont="1" applyFill="1" applyBorder="1" applyAlignment="1">
      <alignment horizontal="center" vertical="center" wrapText="1"/>
    </xf>
    <xf numFmtId="4" fontId="15" fillId="2" borderId="3" xfId="0" applyNumberFormat="1" applyFont="1" applyFill="1" applyBorder="1" applyAlignment="1">
      <alignment horizontal="center" vertical="center" wrapText="1"/>
    </xf>
    <xf numFmtId="49" fontId="18" fillId="2" borderId="3" xfId="0" applyNumberFormat="1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4" fontId="28" fillId="5" borderId="10" xfId="3" applyNumberFormat="1" applyFont="1" applyFill="1" applyBorder="1" applyAlignment="1">
      <alignment horizontal="center" vertical="center"/>
    </xf>
    <xf numFmtId="4" fontId="28" fillId="5" borderId="10" xfId="0" applyNumberFormat="1" applyFont="1" applyFill="1" applyBorder="1" applyAlignment="1">
      <alignment horizontal="center"/>
    </xf>
    <xf numFmtId="4" fontId="28" fillId="5" borderId="41" xfId="0" applyNumberFormat="1" applyFont="1" applyFill="1" applyBorder="1" applyAlignment="1">
      <alignment horizontal="center"/>
    </xf>
    <xf numFmtId="0" fontId="40" fillId="3" borderId="10" xfId="6" applyFont="1" applyFill="1" applyBorder="1"/>
    <xf numFmtId="0" fontId="16" fillId="3" borderId="12" xfId="6" applyFont="1" applyFill="1" applyBorder="1"/>
    <xf numFmtId="0" fontId="20" fillId="0" borderId="34" xfId="6" applyFont="1" applyBorder="1"/>
    <xf numFmtId="0" fontId="16" fillId="0" borderId="0" xfId="6" applyFont="1" applyAlignment="1">
      <alignment horizontal="center"/>
    </xf>
    <xf numFmtId="0" fontId="15" fillId="2" borderId="24" xfId="6" applyFont="1" applyFill="1" applyBorder="1" applyAlignment="1">
      <alignment horizontal="center" vertical="center" wrapText="1"/>
    </xf>
    <xf numFmtId="0" fontId="15" fillId="2" borderId="47" xfId="6" applyFont="1" applyFill="1" applyBorder="1" applyAlignment="1">
      <alignment horizontal="center" vertical="center" wrapText="1"/>
    </xf>
    <xf numFmtId="2" fontId="14" fillId="0" borderId="10" xfId="6" applyNumberFormat="1" applyBorder="1"/>
    <xf numFmtId="0" fontId="20" fillId="0" borderId="32" xfId="6" applyFont="1" applyBorder="1"/>
    <xf numFmtId="4" fontId="24" fillId="0" borderId="32" xfId="3" applyNumberFormat="1" applyFont="1" applyFill="1" applyBorder="1" applyAlignment="1">
      <alignment horizontal="center" vertical="center"/>
    </xf>
    <xf numFmtId="4" fontId="28" fillId="0" borderId="32" xfId="3" applyNumberFormat="1" applyFont="1" applyFill="1" applyBorder="1" applyAlignment="1">
      <alignment horizontal="center" vertical="center"/>
    </xf>
    <xf numFmtId="4" fontId="24" fillId="3" borderId="32" xfId="3" applyNumberFormat="1" applyFont="1" applyFill="1" applyBorder="1" applyAlignment="1">
      <alignment horizontal="center" vertical="center"/>
    </xf>
    <xf numFmtId="4" fontId="24" fillId="4" borderId="32" xfId="3" applyNumberFormat="1" applyFont="1" applyFill="1" applyBorder="1" applyAlignment="1">
      <alignment horizontal="center" vertical="center"/>
    </xf>
    <xf numFmtId="0" fontId="14" fillId="0" borderId="32" xfId="6" applyBorder="1"/>
    <xf numFmtId="4" fontId="14" fillId="0" borderId="0" xfId="6" applyNumberFormat="1"/>
    <xf numFmtId="0" fontId="29" fillId="5" borderId="14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5" borderId="14" xfId="0" applyNumberFormat="1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4" fontId="19" fillId="2" borderId="3" xfId="0" applyNumberFormat="1" applyFont="1" applyFill="1" applyBorder="1" applyAlignment="1">
      <alignment horizontal="center" vertical="center"/>
    </xf>
    <xf numFmtId="4" fontId="19" fillId="2" borderId="0" xfId="0" applyNumberFormat="1" applyFont="1" applyFill="1" applyBorder="1" applyAlignment="1">
      <alignment horizontal="center" vertical="center" wrapText="1"/>
    </xf>
    <xf numFmtId="4" fontId="28" fillId="5" borderId="28" xfId="0" applyNumberFormat="1" applyFont="1" applyFill="1" applyBorder="1" applyAlignment="1">
      <alignment horizontal="center" vertical="center" wrapText="1"/>
    </xf>
    <xf numFmtId="4" fontId="28" fillId="5" borderId="14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49" fontId="15" fillId="2" borderId="0" xfId="0" applyNumberFormat="1" applyFont="1" applyFill="1" applyBorder="1" applyAlignment="1">
      <alignment horizontal="center" vertical="center" wrapText="1"/>
    </xf>
    <xf numFmtId="4" fontId="15" fillId="2" borderId="0" xfId="0" applyNumberFormat="1" applyFont="1" applyFill="1" applyBorder="1" applyAlignment="1">
      <alignment horizontal="center" vertical="center" wrapText="1"/>
    </xf>
    <xf numFmtId="4" fontId="8" fillId="0" borderId="0" xfId="0" applyNumberFormat="1" applyFont="1"/>
    <xf numFmtId="0" fontId="16" fillId="0" borderId="42" xfId="6" applyFont="1" applyFill="1" applyBorder="1" applyAlignment="1">
      <alignment horizontal="left"/>
    </xf>
    <xf numFmtId="0" fontId="14" fillId="0" borderId="42" xfId="6" applyFill="1" applyBorder="1"/>
    <xf numFmtId="0" fontId="20" fillId="5" borderId="10" xfId="6" applyFont="1" applyFill="1" applyBorder="1"/>
    <xf numFmtId="0" fontId="20" fillId="5" borderId="34" xfId="6" applyFont="1" applyFill="1" applyBorder="1"/>
    <xf numFmtId="0" fontId="31" fillId="0" borderId="0" xfId="0" applyFont="1" applyFill="1" applyBorder="1" applyAlignment="1">
      <alignment horizontal="center"/>
    </xf>
    <xf numFmtId="49" fontId="18" fillId="2" borderId="6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2" xfId="0" applyFont="1" applyFill="1" applyBorder="1" applyAlignment="1">
      <alignment horizontal="center"/>
    </xf>
    <xf numFmtId="0" fontId="30" fillId="3" borderId="37" xfId="0" applyFont="1" applyFill="1" applyBorder="1" applyAlignment="1">
      <alignment horizontal="center"/>
    </xf>
    <xf numFmtId="0" fontId="16" fillId="0" borderId="30" xfId="6" applyFont="1" applyBorder="1" applyAlignment="1">
      <alignment horizontal="center"/>
    </xf>
    <xf numFmtId="4" fontId="33" fillId="0" borderId="17" xfId="2" applyNumberFormat="1" applyFont="1" applyFill="1" applyBorder="1" applyAlignment="1">
      <alignment horizontal="center" vertical="center" wrapText="1"/>
    </xf>
    <xf numFmtId="4" fontId="33" fillId="0" borderId="40" xfId="2" applyNumberFormat="1" applyFont="1" applyFill="1" applyBorder="1" applyAlignment="1">
      <alignment horizontal="center" vertical="center" wrapText="1"/>
    </xf>
    <xf numFmtId="4" fontId="33" fillId="0" borderId="41" xfId="2" applyNumberFormat="1" applyFont="1" applyFill="1" applyBorder="1" applyAlignment="1">
      <alignment horizontal="center" vertical="center" wrapText="1"/>
    </xf>
    <xf numFmtId="0" fontId="16" fillId="0" borderId="0" xfId="14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35" fillId="6" borderId="0" xfId="0" applyFont="1" applyFill="1" applyBorder="1" applyAlignment="1">
      <alignment horizontal="left" wrapText="1"/>
    </xf>
    <xf numFmtId="0" fontId="16" fillId="0" borderId="42" xfId="6" applyFont="1" applyFill="1" applyBorder="1" applyAlignment="1">
      <alignment horizontal="left"/>
    </xf>
    <xf numFmtId="0" fontId="16" fillId="0" borderId="37" xfId="6" applyFont="1" applyFill="1" applyBorder="1" applyAlignment="1">
      <alignment horizontal="left"/>
    </xf>
    <xf numFmtId="0" fontId="17" fillId="0" borderId="0" xfId="6" applyFont="1" applyAlignment="1">
      <alignment horizontal="center"/>
    </xf>
    <xf numFmtId="0" fontId="16" fillId="0" borderId="6" xfId="6" applyFont="1" applyFill="1" applyBorder="1" applyAlignment="1">
      <alignment horizontal="left"/>
    </xf>
    <xf numFmtId="0" fontId="21" fillId="4" borderId="13" xfId="6" applyFont="1" applyFill="1" applyBorder="1" applyAlignment="1">
      <alignment horizontal="center"/>
    </xf>
    <xf numFmtId="0" fontId="21" fillId="4" borderId="19" xfId="6" applyFont="1" applyFill="1" applyBorder="1" applyAlignment="1">
      <alignment horizontal="center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21" fillId="3" borderId="43" xfId="6" applyFont="1" applyFill="1" applyBorder="1" applyAlignment="1">
      <alignment horizontal="left"/>
    </xf>
    <xf numFmtId="0" fontId="21" fillId="3" borderId="44" xfId="6" applyFont="1" applyFill="1" applyBorder="1" applyAlignment="1">
      <alignment horizontal="left"/>
    </xf>
    <xf numFmtId="0" fontId="21" fillId="3" borderId="13" xfId="6" applyFont="1" applyFill="1" applyBorder="1" applyAlignment="1">
      <alignment horizontal="left"/>
    </xf>
    <xf numFmtId="0" fontId="21" fillId="3" borderId="16" xfId="6" applyFont="1" applyFill="1" applyBorder="1" applyAlignment="1">
      <alignment horizontal="left"/>
    </xf>
    <xf numFmtId="0" fontId="23" fillId="2" borderId="45" xfId="6" applyFont="1" applyFill="1" applyBorder="1" applyAlignment="1">
      <alignment horizontal="center"/>
    </xf>
    <xf numFmtId="0" fontId="23" fillId="2" borderId="39" xfId="6" applyFont="1" applyFill="1" applyBorder="1" applyAlignment="1">
      <alignment horizontal="center"/>
    </xf>
    <xf numFmtId="0" fontId="16" fillId="0" borderId="25" xfId="6" applyFont="1" applyFill="1" applyBorder="1" applyAlignment="1">
      <alignment horizontal="left"/>
    </xf>
    <xf numFmtId="0" fontId="16" fillId="0" borderId="26" xfId="6" applyFont="1" applyFill="1" applyBorder="1" applyAlignment="1">
      <alignment horizontal="left"/>
    </xf>
    <xf numFmtId="0" fontId="15" fillId="2" borderId="36" xfId="6" applyFont="1" applyFill="1" applyBorder="1" applyAlignment="1">
      <alignment horizontal="center" vertical="center" wrapText="1"/>
    </xf>
    <xf numFmtId="0" fontId="15" fillId="2" borderId="40" xfId="6" applyFont="1" applyFill="1" applyBorder="1" applyAlignment="1">
      <alignment horizontal="center" vertical="center" wrapText="1"/>
    </xf>
    <xf numFmtId="0" fontId="15" fillId="2" borderId="41" xfId="6" applyFont="1" applyFill="1" applyBorder="1" applyAlignment="1">
      <alignment horizontal="center" vertical="center" wrapText="1"/>
    </xf>
    <xf numFmtId="0" fontId="21" fillId="3" borderId="38" xfId="6" applyFont="1" applyFill="1" applyBorder="1" applyAlignment="1">
      <alignment horizontal="left"/>
    </xf>
    <xf numFmtId="0" fontId="16" fillId="0" borderId="0" xfId="6" applyFont="1" applyAlignment="1">
      <alignment horizontal="center"/>
    </xf>
    <xf numFmtId="0" fontId="15" fillId="2" borderId="22" xfId="6" applyFont="1" applyFill="1" applyBorder="1" applyAlignment="1">
      <alignment horizontal="center" vertical="center" wrapText="1"/>
    </xf>
    <xf numFmtId="0" fontId="15" fillId="2" borderId="23" xfId="6" applyFont="1" applyFill="1" applyBorder="1" applyAlignment="1">
      <alignment horizontal="center" vertical="center" wrapText="1"/>
    </xf>
    <xf numFmtId="0" fontId="15" fillId="2" borderId="46" xfId="6" applyFont="1" applyFill="1" applyBorder="1" applyAlignment="1">
      <alignment horizontal="center" vertical="center" wrapText="1"/>
    </xf>
    <xf numFmtId="0" fontId="15" fillId="2" borderId="0" xfId="6" applyFont="1" applyFill="1" applyBorder="1" applyAlignment="1">
      <alignment horizontal="center" vertical="center" wrapText="1"/>
    </xf>
    <xf numFmtId="0" fontId="15" fillId="2" borderId="24" xfId="6" applyFont="1" applyFill="1" applyBorder="1" applyAlignment="1">
      <alignment horizontal="center" vertical="center" wrapText="1"/>
    </xf>
    <xf numFmtId="0" fontId="15" fillId="2" borderId="47" xfId="6" applyFont="1" applyFill="1" applyBorder="1" applyAlignment="1">
      <alignment horizontal="center" vertical="center" wrapText="1"/>
    </xf>
    <xf numFmtId="49" fontId="19" fillId="2" borderId="6" xfId="0" applyNumberFormat="1" applyFont="1" applyFill="1" applyBorder="1" applyAlignment="1">
      <alignment horizontal="center" vertical="center" wrapText="1"/>
    </xf>
    <xf numFmtId="49" fontId="19" fillId="2" borderId="42" xfId="0" applyNumberFormat="1" applyFont="1" applyFill="1" applyBorder="1" applyAlignment="1">
      <alignment horizontal="center" vertical="center" wrapText="1"/>
    </xf>
    <xf numFmtId="49" fontId="19" fillId="2" borderId="37" xfId="0" applyNumberFormat="1" applyFont="1" applyFill="1" applyBorder="1" applyAlignment="1">
      <alignment horizontal="center" vertical="center" wrapText="1"/>
    </xf>
    <xf numFmtId="0" fontId="30" fillId="3" borderId="6" xfId="0" applyFont="1" applyFill="1" applyBorder="1" applyAlignment="1"/>
    <xf numFmtId="0" fontId="30" fillId="3" borderId="42" xfId="0" applyFont="1" applyFill="1" applyBorder="1" applyAlignment="1"/>
    <xf numFmtId="0" fontId="30" fillId="3" borderId="37" xfId="0" applyFont="1" applyFill="1" applyBorder="1" applyAlignment="1"/>
  </cellXfs>
  <cellStyles count="15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2 2" xfId="14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27"/>
  <sheetViews>
    <sheetView topLeftCell="A26" zoomScale="70" zoomScaleNormal="70" zoomScalePageLayoutView="70" workbookViewId="0">
      <selection activeCell="B38" sqref="B38"/>
    </sheetView>
  </sheetViews>
  <sheetFormatPr baseColWidth="10" defaultRowHeight="20.100000000000001" customHeight="1" x14ac:dyDescent="0.2"/>
  <cols>
    <col min="1" max="1" width="13.140625" style="50" customWidth="1"/>
    <col min="2" max="2" width="41.140625" style="50" customWidth="1"/>
    <col min="3" max="4" width="22.5703125" style="50" customWidth="1"/>
    <col min="5" max="8" width="23.85546875" style="50" customWidth="1"/>
    <col min="9" max="9" width="27.42578125" style="2" customWidth="1"/>
    <col min="10" max="16384" width="11.42578125" style="2"/>
  </cols>
  <sheetData>
    <row r="1" spans="1:9" ht="20.100000000000001" customHeight="1" x14ac:dyDescent="0.3">
      <c r="A1" s="223" t="s">
        <v>20</v>
      </c>
      <c r="B1" s="223"/>
      <c r="C1" s="223"/>
      <c r="D1" s="223"/>
      <c r="E1" s="223"/>
      <c r="F1" s="158"/>
      <c r="G1" s="158"/>
      <c r="H1" s="158"/>
    </row>
    <row r="2" spans="1:9" ht="27.75" customHeight="1" x14ac:dyDescent="0.25">
      <c r="A2" s="51" t="s">
        <v>112</v>
      </c>
      <c r="B2" s="51"/>
      <c r="C2" s="51"/>
      <c r="D2" s="51"/>
      <c r="E2" s="51"/>
      <c r="F2" s="51"/>
      <c r="G2" s="51"/>
      <c r="H2" s="51"/>
    </row>
    <row r="3" spans="1:9" ht="27" customHeight="1" x14ac:dyDescent="0.25">
      <c r="A3" s="226" t="s">
        <v>31</v>
      </c>
      <c r="B3" s="226"/>
      <c r="C3" s="226"/>
      <c r="D3" s="226"/>
      <c r="E3" s="226"/>
      <c r="F3" s="159"/>
      <c r="G3" s="159"/>
      <c r="H3" s="159"/>
    </row>
    <row r="4" spans="1:9" ht="20.100000000000001" customHeight="1" x14ac:dyDescent="0.25">
      <c r="A4" s="52"/>
      <c r="B4" s="52"/>
      <c r="C4" s="52"/>
      <c r="D4" s="95"/>
      <c r="E4" s="52"/>
      <c r="F4" s="159"/>
      <c r="G4" s="159"/>
      <c r="H4" s="159"/>
    </row>
    <row r="5" spans="1:9" ht="20.100000000000001" customHeight="1" x14ac:dyDescent="0.25">
      <c r="A5" s="51" t="s">
        <v>429</v>
      </c>
      <c r="B5" s="52"/>
      <c r="C5" s="2"/>
      <c r="D5" s="2"/>
      <c r="E5" s="51"/>
      <c r="F5" s="51"/>
      <c r="G5" s="51"/>
      <c r="H5" s="51"/>
    </row>
    <row r="6" spans="1:9" ht="20.100000000000001" customHeight="1" x14ac:dyDescent="0.25">
      <c r="A6" s="51" t="s">
        <v>448</v>
      </c>
      <c r="B6" s="52"/>
      <c r="C6" s="2"/>
      <c r="D6" s="2"/>
      <c r="E6" s="51"/>
      <c r="F6" s="51"/>
      <c r="G6" s="51"/>
      <c r="H6" s="51"/>
    </row>
    <row r="7" spans="1:9" ht="20.100000000000001" customHeight="1" x14ac:dyDescent="0.25">
      <c r="A7" s="53" t="s">
        <v>116</v>
      </c>
      <c r="B7" s="53"/>
      <c r="C7" s="2"/>
      <c r="D7" s="2"/>
      <c r="E7" s="53"/>
      <c r="F7" s="53"/>
      <c r="G7" s="53"/>
      <c r="H7" s="53"/>
    </row>
    <row r="8" spans="1:9" ht="20.100000000000001" customHeight="1" thickBot="1" x14ac:dyDescent="0.3">
      <c r="A8" s="53"/>
      <c r="B8" s="53"/>
      <c r="C8" s="2"/>
      <c r="D8" s="2"/>
      <c r="E8" s="53"/>
      <c r="F8" s="53"/>
      <c r="G8" s="53"/>
      <c r="H8" s="53"/>
    </row>
    <row r="9" spans="1:9" ht="90.75" customHeight="1" thickBot="1" x14ac:dyDescent="0.25">
      <c r="A9" s="224" t="s">
        <v>1</v>
      </c>
      <c r="B9" s="225"/>
      <c r="C9" s="184" t="s">
        <v>432</v>
      </c>
      <c r="D9" s="184" t="s">
        <v>506</v>
      </c>
      <c r="E9" s="184" t="s">
        <v>507</v>
      </c>
      <c r="F9" s="184" t="s">
        <v>508</v>
      </c>
      <c r="G9" s="184" t="s">
        <v>509</v>
      </c>
      <c r="H9" s="184" t="s">
        <v>510</v>
      </c>
      <c r="I9" s="184" t="s">
        <v>126</v>
      </c>
    </row>
    <row r="10" spans="1:9" ht="20.100000000000001" customHeight="1" thickBot="1" x14ac:dyDescent="0.3">
      <c r="A10" s="227" t="s">
        <v>123</v>
      </c>
      <c r="B10" s="228"/>
      <c r="C10" s="228"/>
      <c r="D10" s="228"/>
      <c r="E10" s="228"/>
      <c r="F10" s="228"/>
      <c r="G10" s="228"/>
      <c r="H10" s="228"/>
      <c r="I10" s="229"/>
    </row>
    <row r="11" spans="1:9" ht="20.100000000000001" hidden="1" customHeight="1" x14ac:dyDescent="0.25">
      <c r="A11" s="72">
        <v>11</v>
      </c>
      <c r="B11" s="149" t="s">
        <v>2</v>
      </c>
      <c r="C11" s="104"/>
      <c r="D11" s="64"/>
      <c r="E11" s="111"/>
      <c r="F11" s="58"/>
      <c r="G11" s="58"/>
      <c r="H11" s="58"/>
      <c r="I11" s="58"/>
    </row>
    <row r="12" spans="1:9" ht="20.100000000000001" hidden="1" customHeight="1" x14ac:dyDescent="0.2">
      <c r="A12" s="73">
        <v>1101</v>
      </c>
      <c r="B12" s="148" t="s">
        <v>43</v>
      </c>
      <c r="C12" s="105"/>
      <c r="D12" s="65"/>
      <c r="E12" s="65"/>
      <c r="F12" s="59"/>
      <c r="G12" s="59"/>
      <c r="H12" s="59"/>
      <c r="I12" s="59"/>
    </row>
    <row r="13" spans="1:9" ht="20.100000000000001" hidden="1" customHeight="1" x14ac:dyDescent="0.2">
      <c r="A13" s="73">
        <v>1102</v>
      </c>
      <c r="B13" s="148" t="s">
        <v>44</v>
      </c>
      <c r="C13" s="105"/>
      <c r="D13" s="65"/>
      <c r="E13" s="65"/>
      <c r="F13" s="59"/>
      <c r="G13" s="59"/>
      <c r="H13" s="59"/>
      <c r="I13" s="59"/>
    </row>
    <row r="14" spans="1:9" ht="20.100000000000001" hidden="1" customHeight="1" x14ac:dyDescent="0.2">
      <c r="A14" s="73">
        <v>1103</v>
      </c>
      <c r="B14" s="148" t="s">
        <v>45</v>
      </c>
      <c r="C14" s="105"/>
      <c r="D14" s="65"/>
      <c r="E14" s="65"/>
      <c r="F14" s="59"/>
      <c r="G14" s="59"/>
      <c r="H14" s="59"/>
      <c r="I14" s="59"/>
    </row>
    <row r="15" spans="1:9" ht="20.100000000000001" hidden="1" customHeight="1" x14ac:dyDescent="0.2">
      <c r="A15" s="73">
        <v>1107</v>
      </c>
      <c r="B15" s="148" t="s">
        <v>46</v>
      </c>
      <c r="C15" s="105"/>
      <c r="D15" s="65"/>
      <c r="E15" s="65"/>
      <c r="F15" s="59"/>
      <c r="G15" s="59"/>
      <c r="H15" s="59"/>
      <c r="I15" s="59"/>
    </row>
    <row r="16" spans="1:9" ht="20.100000000000001" hidden="1" customHeight="1" x14ac:dyDescent="0.2">
      <c r="A16" s="74"/>
      <c r="B16" s="70"/>
      <c r="C16" s="106"/>
      <c r="D16" s="66"/>
      <c r="E16" s="66"/>
      <c r="F16" s="60"/>
      <c r="G16" s="60"/>
      <c r="H16" s="60"/>
      <c r="I16" s="60"/>
    </row>
    <row r="17" spans="1:9" ht="20.100000000000001" hidden="1" customHeight="1" x14ac:dyDescent="0.2">
      <c r="A17" s="75">
        <v>13</v>
      </c>
      <c r="B17" s="71" t="s">
        <v>3</v>
      </c>
      <c r="C17" s="105"/>
      <c r="D17" s="65"/>
      <c r="E17" s="65"/>
      <c r="F17" s="59"/>
      <c r="G17" s="59"/>
      <c r="H17" s="59"/>
      <c r="I17" s="59"/>
    </row>
    <row r="18" spans="1:9" ht="20.100000000000001" hidden="1" customHeight="1" x14ac:dyDescent="0.2">
      <c r="A18" s="73">
        <v>1301</v>
      </c>
      <c r="B18" s="148" t="s">
        <v>48</v>
      </c>
      <c r="C18" s="105"/>
      <c r="D18" s="65"/>
      <c r="E18" s="65"/>
      <c r="F18" s="59"/>
      <c r="G18" s="59"/>
      <c r="H18" s="59"/>
      <c r="I18" s="59"/>
    </row>
    <row r="19" spans="1:9" ht="20.100000000000001" hidden="1" customHeight="1" x14ac:dyDescent="0.2">
      <c r="A19" s="73">
        <v>1302</v>
      </c>
      <c r="B19" s="148" t="s">
        <v>49</v>
      </c>
      <c r="C19" s="105"/>
      <c r="D19" s="65"/>
      <c r="E19" s="65"/>
      <c r="F19" s="59"/>
      <c r="G19" s="59"/>
      <c r="H19" s="59"/>
      <c r="I19" s="59"/>
    </row>
    <row r="20" spans="1:9" ht="20.100000000000001" hidden="1" customHeight="1" x14ac:dyDescent="0.2">
      <c r="A20" s="73">
        <v>1303</v>
      </c>
      <c r="B20" s="148" t="s">
        <v>50</v>
      </c>
      <c r="C20" s="106"/>
      <c r="D20" s="66"/>
      <c r="E20" s="66"/>
      <c r="F20" s="60"/>
      <c r="G20" s="60"/>
      <c r="H20" s="60"/>
      <c r="I20" s="60"/>
    </row>
    <row r="21" spans="1:9" ht="20.100000000000001" hidden="1" customHeight="1" x14ac:dyDescent="0.2">
      <c r="A21" s="73">
        <v>1304</v>
      </c>
      <c r="B21" s="148" t="s">
        <v>51</v>
      </c>
      <c r="C21" s="106"/>
      <c r="D21" s="66"/>
      <c r="E21" s="66"/>
      <c r="F21" s="60"/>
      <c r="G21" s="60"/>
      <c r="H21" s="60"/>
      <c r="I21" s="60"/>
    </row>
    <row r="22" spans="1:9" ht="20.100000000000001" hidden="1" customHeight="1" x14ac:dyDescent="0.2">
      <c r="A22" s="74"/>
      <c r="B22" s="70"/>
      <c r="C22" s="106"/>
      <c r="D22" s="66"/>
      <c r="E22" s="65"/>
      <c r="F22" s="59"/>
      <c r="G22" s="59"/>
      <c r="H22" s="59"/>
      <c r="I22" s="59"/>
    </row>
    <row r="23" spans="1:9" ht="20.100000000000001" hidden="1" customHeight="1" x14ac:dyDescent="0.25">
      <c r="A23" s="75">
        <v>14</v>
      </c>
      <c r="B23" s="71" t="s">
        <v>4</v>
      </c>
      <c r="C23" s="107"/>
      <c r="D23" s="67"/>
      <c r="E23" s="67"/>
      <c r="F23" s="61"/>
      <c r="G23" s="61"/>
      <c r="H23" s="61"/>
      <c r="I23" s="61"/>
    </row>
    <row r="24" spans="1:9" ht="20.100000000000001" hidden="1" customHeight="1" x14ac:dyDescent="0.2">
      <c r="A24" s="76"/>
      <c r="B24" s="70"/>
      <c r="C24" s="108"/>
      <c r="D24" s="68"/>
      <c r="E24" s="68"/>
      <c r="F24" s="62"/>
      <c r="G24" s="62"/>
      <c r="H24" s="62"/>
      <c r="I24" s="62"/>
    </row>
    <row r="25" spans="1:9" ht="20.100000000000001" hidden="1" customHeight="1" x14ac:dyDescent="0.2">
      <c r="A25" s="75">
        <v>17</v>
      </c>
      <c r="B25" s="71" t="s">
        <v>5</v>
      </c>
      <c r="C25" s="108"/>
      <c r="D25" s="68"/>
      <c r="E25" s="68"/>
      <c r="F25" s="62"/>
      <c r="G25" s="62"/>
      <c r="H25" s="62"/>
      <c r="I25" s="62"/>
    </row>
    <row r="26" spans="1:9" ht="20.100000000000001" customHeight="1" x14ac:dyDescent="0.2">
      <c r="A26" s="74"/>
      <c r="B26" s="70"/>
      <c r="C26" s="109"/>
      <c r="D26" s="69"/>
      <c r="E26" s="69"/>
      <c r="F26" s="63"/>
      <c r="G26" s="63"/>
      <c r="H26" s="63"/>
      <c r="I26" s="63"/>
    </row>
    <row r="27" spans="1:9" ht="15" customHeight="1" x14ac:dyDescent="0.2">
      <c r="A27" s="75">
        <v>28</v>
      </c>
      <c r="B27" s="71" t="s">
        <v>30</v>
      </c>
      <c r="C27" s="110"/>
      <c r="D27" s="77"/>
      <c r="E27" s="112"/>
      <c r="F27" s="160"/>
      <c r="G27" s="160"/>
      <c r="H27" s="160"/>
      <c r="I27" s="63"/>
    </row>
    <row r="28" spans="1:9" ht="24.75" thickBot="1" x14ac:dyDescent="0.25">
      <c r="A28" s="74"/>
      <c r="B28" s="161" t="s">
        <v>129</v>
      </c>
      <c r="C28" s="165">
        <f>'FORMULARIO 2'!C36</f>
        <v>3899938.2500000019</v>
      </c>
      <c r="D28" s="166">
        <f>'FORMULARIO 2'!D36</f>
        <v>4053864.5100000012</v>
      </c>
      <c r="E28" s="166">
        <f>'FORMULARIO 2'!E36</f>
        <v>3751997.641400001</v>
      </c>
      <c r="F28" s="166">
        <f>'FORMULARIO 2'!F36</f>
        <v>3014753.1229284443</v>
      </c>
      <c r="G28" s="166">
        <f>'FORMULARIO 2'!G36</f>
        <v>3056346.0424054172</v>
      </c>
      <c r="H28" s="166">
        <f>'FORMULARIO 2'!H36</f>
        <v>3131602.4260619055</v>
      </c>
      <c r="I28" s="167" t="s">
        <v>456</v>
      </c>
    </row>
    <row r="29" spans="1:9" ht="20.100000000000001" customHeight="1" thickBot="1" x14ac:dyDescent="0.25">
      <c r="A29" s="147"/>
      <c r="B29" s="147" t="s">
        <v>6</v>
      </c>
      <c r="C29" s="183">
        <f>C28</f>
        <v>3899938.2500000019</v>
      </c>
      <c r="D29" s="183">
        <f>D28</f>
        <v>4053864.5100000012</v>
      </c>
      <c r="E29" s="183">
        <f>E28</f>
        <v>3751997.641400001</v>
      </c>
      <c r="F29" s="183">
        <f t="shared" ref="F29:H29" si="0">F28</f>
        <v>3014753.1229284443</v>
      </c>
      <c r="G29" s="183">
        <f t="shared" si="0"/>
        <v>3056346.0424054172</v>
      </c>
      <c r="H29" s="183">
        <f t="shared" si="0"/>
        <v>3131602.4260619055</v>
      </c>
      <c r="I29" s="147"/>
    </row>
    <row r="30" spans="1:9" ht="20.100000000000001" customHeight="1" x14ac:dyDescent="0.2">
      <c r="A30" s="216"/>
      <c r="B30" s="216" t="s">
        <v>505</v>
      </c>
      <c r="C30" s="217"/>
      <c r="D30" s="212">
        <f>(D29/C29-1)*100</f>
        <v>3.9468896719069724</v>
      </c>
      <c r="E30" s="212">
        <f>(E29/C29-1)*100</f>
        <v>-3.7934090007707422</v>
      </c>
      <c r="F30" s="212">
        <f>(F29/C29-1)*100</f>
        <v>-22.697413916016671</v>
      </c>
      <c r="G30" s="212">
        <f>(G29/C29-1)*100</f>
        <v>-21.63091191494081</v>
      </c>
      <c r="H30" s="212">
        <f>(H29/C29-1)*100</f>
        <v>-19.701230498664845</v>
      </c>
      <c r="I30" s="216"/>
    </row>
    <row r="31" spans="1:9" ht="20.100000000000001" customHeight="1" x14ac:dyDescent="0.2">
      <c r="A31" s="46"/>
      <c r="B31" s="47"/>
      <c r="C31" s="46"/>
      <c r="D31" s="46"/>
      <c r="E31" s="46"/>
      <c r="F31" s="46"/>
      <c r="G31" s="46"/>
      <c r="H31" s="46"/>
    </row>
    <row r="32" spans="1:9" ht="20.100000000000001" customHeight="1" x14ac:dyDescent="0.2">
      <c r="A32" s="56" t="s">
        <v>119</v>
      </c>
      <c r="B32" s="47"/>
      <c r="C32" s="46"/>
      <c r="D32" s="46"/>
      <c r="E32" s="46"/>
      <c r="F32" s="46"/>
      <c r="G32" s="46"/>
      <c r="H32" s="46"/>
    </row>
    <row r="33" spans="1:8" ht="20.100000000000001" customHeight="1" x14ac:dyDescent="0.2">
      <c r="A33" s="56" t="s">
        <v>117</v>
      </c>
      <c r="B33" s="47"/>
      <c r="C33" s="46"/>
      <c r="D33" s="46"/>
      <c r="E33" s="46"/>
      <c r="F33" s="46"/>
      <c r="G33" s="46"/>
      <c r="H33" s="46"/>
    </row>
    <row r="34" spans="1:8" ht="20.100000000000001" customHeight="1" x14ac:dyDescent="0.2">
      <c r="A34" s="56" t="s">
        <v>120</v>
      </c>
      <c r="B34" s="46"/>
      <c r="C34" s="46"/>
      <c r="D34" s="46"/>
      <c r="E34" s="46"/>
      <c r="F34" s="46"/>
      <c r="G34" s="46"/>
      <c r="H34" s="46"/>
    </row>
    <row r="35" spans="1:8" ht="20.100000000000001" customHeight="1" x14ac:dyDescent="0.2">
      <c r="A35" s="46"/>
      <c r="B35" s="47"/>
      <c r="C35" s="46"/>
      <c r="D35" s="46"/>
      <c r="E35" s="46"/>
      <c r="F35" s="46"/>
      <c r="G35" s="46"/>
      <c r="H35" s="46"/>
    </row>
    <row r="36" spans="1:8" ht="20.100000000000001" customHeight="1" x14ac:dyDescent="0.2">
      <c r="A36" s="46"/>
      <c r="B36" s="47"/>
      <c r="C36" s="46"/>
      <c r="D36" s="46"/>
      <c r="E36" s="46"/>
      <c r="F36" s="46"/>
      <c r="G36" s="46"/>
      <c r="H36" s="46"/>
    </row>
    <row r="37" spans="1:8" ht="20.100000000000001" customHeight="1" x14ac:dyDescent="0.2">
      <c r="A37" s="46"/>
      <c r="B37" s="46"/>
      <c r="C37" s="46"/>
      <c r="D37" s="46"/>
      <c r="E37" s="46"/>
      <c r="F37" s="46"/>
      <c r="G37" s="46"/>
      <c r="H37" s="46"/>
    </row>
    <row r="38" spans="1:8" ht="20.100000000000001" customHeight="1" x14ac:dyDescent="0.2">
      <c r="A38" s="46"/>
      <c r="B38" s="49"/>
      <c r="C38" s="46"/>
      <c r="D38" s="46"/>
      <c r="E38" s="46"/>
      <c r="F38" s="46"/>
      <c r="G38" s="46"/>
      <c r="H38" s="46"/>
    </row>
    <row r="39" spans="1:8" ht="20.100000000000001" customHeight="1" x14ac:dyDescent="0.25">
      <c r="A39" s="2"/>
      <c r="B39" s="57" t="s">
        <v>436</v>
      </c>
      <c r="C39" s="57"/>
      <c r="D39" s="78"/>
      <c r="E39" s="46"/>
      <c r="F39" s="46"/>
      <c r="G39" s="46"/>
      <c r="H39" s="46"/>
    </row>
    <row r="40" spans="1:8" ht="20.100000000000001" customHeight="1" x14ac:dyDescent="0.25">
      <c r="A40" s="2"/>
      <c r="B40" s="78"/>
      <c r="C40" s="78"/>
      <c r="D40" s="78"/>
      <c r="E40" s="46"/>
      <c r="F40" s="46"/>
      <c r="G40" s="46"/>
      <c r="H40" s="46"/>
    </row>
    <row r="41" spans="1:8" ht="20.100000000000001" customHeight="1" x14ac:dyDescent="0.25">
      <c r="A41" s="2"/>
      <c r="B41" s="43" t="s">
        <v>451</v>
      </c>
      <c r="C41" s="46"/>
      <c r="D41" s="46"/>
      <c r="E41" s="46"/>
      <c r="F41" s="46"/>
      <c r="G41" s="46"/>
      <c r="H41" s="46"/>
    </row>
    <row r="42" spans="1:8" ht="20.100000000000001" customHeight="1" x14ac:dyDescent="0.2">
      <c r="A42" s="2"/>
      <c r="B42" s="46"/>
      <c r="C42" s="46"/>
      <c r="D42" s="46"/>
      <c r="E42" s="46"/>
      <c r="F42" s="46"/>
      <c r="G42" s="46"/>
      <c r="H42" s="46"/>
    </row>
    <row r="43" spans="1:8" ht="20.100000000000001" customHeight="1" x14ac:dyDescent="0.25">
      <c r="A43" s="2"/>
      <c r="B43" s="43" t="s">
        <v>517</v>
      </c>
      <c r="C43" s="46"/>
      <c r="D43" s="46"/>
      <c r="E43" s="46"/>
      <c r="F43" s="46"/>
      <c r="G43" s="46"/>
      <c r="H43" s="46"/>
    </row>
    <row r="44" spans="1:8" ht="20.100000000000001" customHeight="1" x14ac:dyDescent="0.25">
      <c r="A44" s="2"/>
      <c r="B44" s="43" t="s">
        <v>118</v>
      </c>
      <c r="C44" s="46"/>
      <c r="D44" s="46"/>
      <c r="E44" s="46"/>
      <c r="F44" s="46"/>
      <c r="G44" s="46"/>
      <c r="H44" s="46"/>
    </row>
    <row r="45" spans="1:8" ht="20.100000000000001" customHeight="1" x14ac:dyDescent="0.2">
      <c r="A45" s="46"/>
      <c r="B45" s="46"/>
    </row>
    <row r="46" spans="1:8" ht="20.100000000000001" customHeight="1" x14ac:dyDescent="0.2">
      <c r="A46" s="46"/>
      <c r="B46" s="46"/>
    </row>
    <row r="47" spans="1:8" ht="20.100000000000001" customHeight="1" x14ac:dyDescent="0.2">
      <c r="A47" s="46"/>
      <c r="B47" s="46"/>
    </row>
    <row r="48" spans="1:8" ht="20.100000000000001" customHeight="1" x14ac:dyDescent="0.2">
      <c r="A48" s="46"/>
      <c r="B48" s="46"/>
    </row>
    <row r="49" spans="1:2" ht="20.100000000000001" customHeight="1" x14ac:dyDescent="0.2">
      <c r="A49" s="46"/>
      <c r="B49" s="46"/>
    </row>
    <row r="50" spans="1:2" ht="45.75" customHeight="1" x14ac:dyDescent="0.2">
      <c r="A50" s="46"/>
      <c r="B50" s="46"/>
    </row>
    <row r="51" spans="1:2" ht="20.100000000000001" customHeight="1" x14ac:dyDescent="0.2">
      <c r="A51" s="46"/>
      <c r="B51" s="46"/>
    </row>
    <row r="52" spans="1:2" ht="20.100000000000001" customHeight="1" x14ac:dyDescent="0.2">
      <c r="A52" s="46"/>
      <c r="B52" s="46"/>
    </row>
    <row r="53" spans="1:2" ht="20.100000000000001" customHeight="1" x14ac:dyDescent="0.2">
      <c r="A53" s="46"/>
      <c r="B53" s="46"/>
    </row>
    <row r="54" spans="1:2" ht="20.100000000000001" customHeight="1" x14ac:dyDescent="0.2">
      <c r="A54" s="46"/>
      <c r="B54" s="46"/>
    </row>
    <row r="55" spans="1:2" ht="20.100000000000001" customHeight="1" x14ac:dyDescent="0.2">
      <c r="A55" s="46"/>
      <c r="B55" s="46"/>
    </row>
    <row r="56" spans="1:2" ht="20.100000000000001" customHeight="1" x14ac:dyDescent="0.2">
      <c r="A56" s="46"/>
      <c r="B56" s="46"/>
    </row>
    <row r="127" ht="27.75" customHeight="1" x14ac:dyDescent="0.2"/>
  </sheetData>
  <mergeCells count="4">
    <mergeCell ref="A1:E1"/>
    <mergeCell ref="A9:B9"/>
    <mergeCell ref="A3:E3"/>
    <mergeCell ref="A10:I10"/>
  </mergeCells>
  <phoneticPr fontId="0" type="noConversion"/>
  <printOptions horizontalCentered="1" verticalCentered="1"/>
  <pageMargins left="0.7" right="0.7" top="0.73" bottom="0.75" header="0.3" footer="0.3"/>
  <pageSetup paperSize="9" scale="59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topLeftCell="A4" zoomScale="80" zoomScaleNormal="80" zoomScalePageLayoutView="60" workbookViewId="0">
      <selection activeCell="H37" sqref="A6:H37"/>
    </sheetView>
  </sheetViews>
  <sheetFormatPr baseColWidth="10" defaultRowHeight="20.100000000000001" customHeight="1" x14ac:dyDescent="0.2"/>
  <cols>
    <col min="1" max="1" width="18.28515625" style="50" customWidth="1"/>
    <col min="2" max="2" width="47.42578125" style="50" customWidth="1"/>
    <col min="3" max="3" width="18.7109375" style="50" customWidth="1"/>
    <col min="4" max="4" width="20.5703125" style="50" customWidth="1"/>
    <col min="5" max="8" width="20.140625" style="50" customWidth="1"/>
    <col min="9" max="9" width="19.140625" style="2" customWidth="1"/>
    <col min="10" max="16384" width="11.42578125" style="2"/>
  </cols>
  <sheetData>
    <row r="1" spans="1:12" ht="20.100000000000001" customHeight="1" x14ac:dyDescent="0.25">
      <c r="A1" s="226" t="s">
        <v>114</v>
      </c>
      <c r="B1" s="226"/>
      <c r="C1" s="226"/>
      <c r="D1" s="226"/>
      <c r="E1" s="226"/>
      <c r="F1" s="159"/>
      <c r="G1" s="159"/>
      <c r="H1" s="159"/>
      <c r="I1" s="4"/>
      <c r="J1" s="4"/>
      <c r="K1" s="4"/>
    </row>
    <row r="2" spans="1:12" ht="20.100000000000001" customHeight="1" x14ac:dyDescent="0.25">
      <c r="A2" s="51" t="s">
        <v>429</v>
      </c>
      <c r="B2" s="52"/>
      <c r="C2" s="52"/>
      <c r="D2" s="95"/>
      <c r="E2" s="52"/>
      <c r="F2" s="159"/>
      <c r="G2" s="159"/>
      <c r="H2" s="159"/>
      <c r="I2" s="52"/>
      <c r="J2" s="4"/>
      <c r="K2" s="4"/>
    </row>
    <row r="3" spans="1:12" ht="20.100000000000001" customHeight="1" x14ac:dyDescent="0.25">
      <c r="A3" s="51" t="s">
        <v>449</v>
      </c>
      <c r="B3" s="54"/>
      <c r="C3" s="55"/>
      <c r="D3" s="55"/>
      <c r="E3" s="55"/>
      <c r="F3" s="55"/>
      <c r="G3" s="55"/>
      <c r="H3" s="55"/>
      <c r="I3" s="44"/>
      <c r="J3" s="4"/>
      <c r="K3" s="4"/>
    </row>
    <row r="4" spans="1:12" ht="20.100000000000001" customHeight="1" x14ac:dyDescent="0.25">
      <c r="A4" s="53" t="s">
        <v>116</v>
      </c>
      <c r="B4" s="45"/>
      <c r="C4" s="45"/>
      <c r="D4" s="45"/>
      <c r="E4" s="45"/>
      <c r="F4" s="45"/>
      <c r="G4" s="45"/>
      <c r="H4" s="45"/>
      <c r="I4" s="45"/>
      <c r="J4" s="5"/>
      <c r="K4" s="5"/>
      <c r="L4" s="3"/>
    </row>
    <row r="5" spans="1:12" ht="20.100000000000001" customHeight="1" thickBot="1" x14ac:dyDescent="0.3">
      <c r="A5" s="53"/>
      <c r="B5" s="45"/>
      <c r="C5" s="45"/>
      <c r="D5" s="45"/>
      <c r="E5" s="45"/>
      <c r="F5" s="45"/>
      <c r="G5" s="45"/>
      <c r="H5" s="45"/>
      <c r="I5" s="45"/>
      <c r="J5" s="5"/>
      <c r="K5" s="5"/>
      <c r="L5" s="3"/>
    </row>
    <row r="6" spans="1:12" ht="81.75" customHeight="1" thickBot="1" x14ac:dyDescent="0.25">
      <c r="A6" s="184" t="s">
        <v>19</v>
      </c>
      <c r="B6" s="184" t="s">
        <v>15</v>
      </c>
      <c r="C6" s="185" t="s">
        <v>431</v>
      </c>
      <c r="D6" s="186" t="s">
        <v>511</v>
      </c>
      <c r="E6" s="186" t="s">
        <v>512</v>
      </c>
      <c r="F6" s="186" t="s">
        <v>513</v>
      </c>
      <c r="G6" s="186" t="s">
        <v>514</v>
      </c>
      <c r="H6" s="187" t="s">
        <v>458</v>
      </c>
      <c r="I6" s="188" t="s">
        <v>126</v>
      </c>
    </row>
    <row r="7" spans="1:12" ht="20.100000000000001" customHeight="1" thickBot="1" x14ac:dyDescent="0.3">
      <c r="A7" s="269" t="s">
        <v>122</v>
      </c>
      <c r="B7" s="270"/>
      <c r="C7" s="270"/>
      <c r="D7" s="270"/>
      <c r="E7" s="270"/>
      <c r="F7" s="270"/>
      <c r="G7" s="270"/>
      <c r="H7" s="270"/>
      <c r="I7" s="271"/>
    </row>
    <row r="8" spans="1:12" ht="20.100000000000001" customHeight="1" x14ac:dyDescent="0.2">
      <c r="A8" s="80">
        <v>7101</v>
      </c>
      <c r="B8" s="113" t="s">
        <v>7</v>
      </c>
      <c r="C8" s="118"/>
      <c r="D8" s="101"/>
      <c r="E8" s="118"/>
      <c r="F8" s="101"/>
      <c r="G8" s="118"/>
      <c r="H8" s="101"/>
      <c r="I8" s="83"/>
    </row>
    <row r="9" spans="1:12" ht="17.25" customHeight="1" x14ac:dyDescent="0.2">
      <c r="A9" s="152">
        <v>710106</v>
      </c>
      <c r="B9" s="153" t="s">
        <v>25</v>
      </c>
      <c r="C9" s="154">
        <v>1988598.0000000014</v>
      </c>
      <c r="D9" s="155">
        <v>1953895.4400000013</v>
      </c>
      <c r="E9" s="154">
        <v>1948134.2400000012</v>
      </c>
      <c r="F9" s="155">
        <v>1906754.8800000013</v>
      </c>
      <c r="G9" s="189">
        <v>1899780.2400000012</v>
      </c>
      <c r="H9" s="154">
        <v>1801683.9600000009</v>
      </c>
      <c r="I9" s="231" t="s">
        <v>456</v>
      </c>
      <c r="J9" s="3"/>
      <c r="K9" s="3"/>
    </row>
    <row r="10" spans="1:12" ht="15" customHeight="1" x14ac:dyDescent="0.2">
      <c r="A10" s="79"/>
      <c r="B10" s="114"/>
      <c r="C10" s="102"/>
      <c r="D10" s="116"/>
      <c r="E10" s="102"/>
      <c r="F10" s="116"/>
      <c r="G10" s="103"/>
      <c r="H10" s="116"/>
      <c r="I10" s="232"/>
    </row>
    <row r="11" spans="1:12" ht="20.100000000000001" customHeight="1" x14ac:dyDescent="0.2">
      <c r="A11" s="80">
        <v>7102</v>
      </c>
      <c r="B11" s="113" t="s">
        <v>8</v>
      </c>
      <c r="C11" s="102"/>
      <c r="D11" s="116"/>
      <c r="E11" s="102"/>
      <c r="F11" s="116"/>
      <c r="G11" s="103"/>
      <c r="H11" s="116"/>
      <c r="I11" s="232"/>
    </row>
    <row r="12" spans="1:12" ht="20.100000000000001" customHeight="1" x14ac:dyDescent="0.2">
      <c r="A12" s="79">
        <v>710203</v>
      </c>
      <c r="B12" s="114" t="s">
        <v>26</v>
      </c>
      <c r="C12" s="102">
        <v>165716.50000000012</v>
      </c>
      <c r="D12" s="102">
        <v>162824.62000000011</v>
      </c>
      <c r="E12" s="102">
        <v>162344.52000000011</v>
      </c>
      <c r="F12" s="102">
        <v>158896.24000000011</v>
      </c>
      <c r="G12" s="102">
        <v>158315.02000000011</v>
      </c>
      <c r="H12" s="102">
        <v>150140.33000000007</v>
      </c>
      <c r="I12" s="232"/>
      <c r="K12" s="218"/>
    </row>
    <row r="13" spans="1:12" ht="20.100000000000001" customHeight="1" x14ac:dyDescent="0.2">
      <c r="A13" s="79">
        <v>710204</v>
      </c>
      <c r="B13" s="114" t="s">
        <v>27</v>
      </c>
      <c r="C13" s="102">
        <v>86020</v>
      </c>
      <c r="D13" s="116">
        <v>89562</v>
      </c>
      <c r="E13" s="102">
        <v>90036</v>
      </c>
      <c r="F13" s="116">
        <v>93375</v>
      </c>
      <c r="G13" s="103">
        <v>95480</v>
      </c>
      <c r="H13" s="116">
        <v>97712</v>
      </c>
      <c r="I13" s="232"/>
    </row>
    <row r="14" spans="1:12" ht="20.100000000000001" customHeight="1" x14ac:dyDescent="0.2">
      <c r="A14" s="79"/>
      <c r="B14" s="114"/>
      <c r="C14" s="102"/>
      <c r="D14" s="116"/>
      <c r="E14" s="102"/>
      <c r="F14" s="116"/>
      <c r="G14" s="103"/>
      <c r="H14" s="116"/>
      <c r="I14" s="232"/>
    </row>
    <row r="15" spans="1:12" ht="20.100000000000001" customHeight="1" x14ac:dyDescent="0.2">
      <c r="A15" s="80">
        <v>7103</v>
      </c>
      <c r="B15" s="113" t="s">
        <v>28</v>
      </c>
      <c r="C15" s="102"/>
      <c r="D15" s="116"/>
      <c r="E15" s="102"/>
      <c r="F15" s="116"/>
      <c r="G15" s="103"/>
      <c r="H15" s="116"/>
      <c r="I15" s="232"/>
    </row>
    <row r="16" spans="1:12" ht="20.100000000000001" customHeight="1" x14ac:dyDescent="0.2">
      <c r="A16" s="79">
        <v>710304</v>
      </c>
      <c r="B16" s="114" t="s">
        <v>29</v>
      </c>
      <c r="C16" s="102">
        <v>33396</v>
      </c>
      <c r="D16" s="116">
        <v>33187</v>
      </c>
      <c r="E16" s="102">
        <v>32472</v>
      </c>
      <c r="F16" s="116">
        <v>32868</v>
      </c>
      <c r="G16" s="103">
        <v>32736</v>
      </c>
      <c r="H16" s="116">
        <v>32736</v>
      </c>
      <c r="I16" s="232"/>
    </row>
    <row r="17" spans="1:9" ht="20.100000000000001" customHeight="1" x14ac:dyDescent="0.2">
      <c r="A17" s="79">
        <v>710306</v>
      </c>
      <c r="B17" s="114" t="s">
        <v>135</v>
      </c>
      <c r="C17" s="102">
        <v>267168</v>
      </c>
      <c r="D17" s="116">
        <v>265496</v>
      </c>
      <c r="E17" s="102">
        <v>259776</v>
      </c>
      <c r="F17" s="116">
        <v>262944</v>
      </c>
      <c r="G17" s="103">
        <v>261888</v>
      </c>
      <c r="H17" s="116">
        <v>261888</v>
      </c>
      <c r="I17" s="232"/>
    </row>
    <row r="18" spans="1:9" ht="20.100000000000001" customHeight="1" x14ac:dyDescent="0.2">
      <c r="A18" s="79"/>
      <c r="B18" s="114"/>
      <c r="C18" s="102"/>
      <c r="D18" s="116"/>
      <c r="E18" s="120"/>
      <c r="F18" s="116"/>
      <c r="G18" s="103"/>
      <c r="H18" s="116"/>
      <c r="I18" s="232"/>
    </row>
    <row r="19" spans="1:9" ht="20.100000000000001" customHeight="1" x14ac:dyDescent="0.2">
      <c r="A19" s="80">
        <v>7104</v>
      </c>
      <c r="B19" s="113" t="s">
        <v>17</v>
      </c>
      <c r="C19" s="102"/>
      <c r="D19" s="116"/>
      <c r="E19" s="102"/>
      <c r="F19" s="116"/>
      <c r="G19" s="103"/>
      <c r="H19" s="116"/>
      <c r="I19" s="232"/>
    </row>
    <row r="20" spans="1:9" ht="20.100000000000001" customHeight="1" x14ac:dyDescent="0.2">
      <c r="A20" s="79">
        <v>710401</v>
      </c>
      <c r="B20" s="114" t="s">
        <v>124</v>
      </c>
      <c r="C20" s="102">
        <v>8690.4</v>
      </c>
      <c r="D20" s="116">
        <v>13211</v>
      </c>
      <c r="E20" s="102">
        <v>13395.600000000017</v>
      </c>
      <c r="F20" s="116">
        <v>13606.919999999995</v>
      </c>
      <c r="G20" s="103">
        <v>13305.600000000008</v>
      </c>
      <c r="H20" s="116">
        <v>11873.400000000007</v>
      </c>
      <c r="I20" s="232"/>
    </row>
    <row r="21" spans="1:9" ht="20.100000000000001" customHeight="1" x14ac:dyDescent="0.2">
      <c r="A21" s="79">
        <v>710408</v>
      </c>
      <c r="B21" s="114" t="s">
        <v>130</v>
      </c>
      <c r="C21" s="102">
        <v>19818.72</v>
      </c>
      <c r="D21" s="116">
        <v>23006.52</v>
      </c>
      <c r="E21" s="102">
        <v>27226.199999999975</v>
      </c>
      <c r="F21" s="116">
        <v>32561.529299999936</v>
      </c>
      <c r="G21" s="103">
        <v>38146.485600000029</v>
      </c>
      <c r="H21" s="116">
        <v>40515.892500000125</v>
      </c>
      <c r="I21" s="232"/>
    </row>
    <row r="22" spans="1:9" ht="20.100000000000001" hidden="1" customHeight="1" x14ac:dyDescent="0.2">
      <c r="A22" s="80">
        <v>7105</v>
      </c>
      <c r="B22" s="113" t="s">
        <v>9</v>
      </c>
      <c r="C22" s="102"/>
      <c r="D22" s="116"/>
      <c r="E22" s="102"/>
      <c r="F22" s="116"/>
      <c r="G22" s="103"/>
      <c r="H22" s="116"/>
      <c r="I22" s="232"/>
    </row>
    <row r="23" spans="1:9" ht="20.100000000000001" hidden="1" customHeight="1" x14ac:dyDescent="0.2">
      <c r="A23" s="81" t="s">
        <v>131</v>
      </c>
      <c r="B23" s="114" t="s">
        <v>10</v>
      </c>
      <c r="C23" s="102">
        <v>0</v>
      </c>
      <c r="D23" s="116">
        <v>0</v>
      </c>
      <c r="E23" s="102">
        <v>0</v>
      </c>
      <c r="F23" s="116"/>
      <c r="G23" s="103"/>
      <c r="H23" s="116"/>
      <c r="I23" s="232"/>
    </row>
    <row r="24" spans="1:9" ht="20.100000000000001" hidden="1" customHeight="1" x14ac:dyDescent="0.2">
      <c r="A24" s="79"/>
      <c r="B24" s="114"/>
      <c r="C24" s="102"/>
      <c r="D24" s="116"/>
      <c r="E24" s="102"/>
      <c r="F24" s="116"/>
      <c r="G24" s="103"/>
      <c r="H24" s="116"/>
      <c r="I24" s="232"/>
    </row>
    <row r="25" spans="1:9" ht="20.100000000000001" customHeight="1" x14ac:dyDescent="0.2">
      <c r="A25" s="80">
        <v>7106</v>
      </c>
      <c r="B25" s="113" t="s">
        <v>11</v>
      </c>
      <c r="C25" s="102"/>
      <c r="D25" s="116"/>
      <c r="E25" s="102"/>
      <c r="F25" s="116"/>
      <c r="G25" s="103"/>
      <c r="H25" s="116"/>
      <c r="I25" s="232"/>
    </row>
    <row r="26" spans="1:9" ht="20.100000000000001" customHeight="1" x14ac:dyDescent="0.2">
      <c r="A26" s="81" t="s">
        <v>132</v>
      </c>
      <c r="B26" s="114" t="s">
        <v>12</v>
      </c>
      <c r="C26" s="102">
        <v>240854.31</v>
      </c>
      <c r="D26" s="116">
        <v>240149.82</v>
      </c>
      <c r="E26" s="102">
        <v>235850.89139999976</v>
      </c>
      <c r="F26" s="116">
        <v>239226.20513999971</v>
      </c>
      <c r="G26" s="103">
        <v>238378.78637999974</v>
      </c>
      <c r="H26" s="116">
        <v>238575.61637999973</v>
      </c>
      <c r="I26" s="232"/>
    </row>
    <row r="27" spans="1:9" ht="20.100000000000001" customHeight="1" x14ac:dyDescent="0.2">
      <c r="A27" s="81" t="s">
        <v>133</v>
      </c>
      <c r="B27" s="114" t="s">
        <v>13</v>
      </c>
      <c r="C27" s="102">
        <v>165716.50000000012</v>
      </c>
      <c r="D27" s="102">
        <v>162824.62000000011</v>
      </c>
      <c r="E27" s="102">
        <v>162344.52000000011</v>
      </c>
      <c r="F27" s="102">
        <v>158896.24000000011</v>
      </c>
      <c r="G27" s="102">
        <v>158315.02000000011</v>
      </c>
      <c r="H27" s="102">
        <v>150140.33000000007</v>
      </c>
      <c r="I27" s="232"/>
    </row>
    <row r="28" spans="1:9" ht="20.100000000000001" customHeight="1" x14ac:dyDescent="0.2">
      <c r="A28" s="81" t="s">
        <v>134</v>
      </c>
      <c r="B28" s="114" t="s">
        <v>16</v>
      </c>
      <c r="C28" s="102">
        <v>39230.65</v>
      </c>
      <c r="D28" s="116">
        <v>46911.25</v>
      </c>
      <c r="E28" s="103">
        <v>44318.96</v>
      </c>
      <c r="F28" s="116">
        <v>11828.941821776032</v>
      </c>
      <c r="G28" s="103">
        <v>11010.820425415903</v>
      </c>
      <c r="H28" s="116">
        <v>62506.006070793919</v>
      </c>
      <c r="I28" s="232"/>
    </row>
    <row r="29" spans="1:9" ht="20.100000000000001" customHeight="1" x14ac:dyDescent="0.2">
      <c r="A29" s="79"/>
      <c r="B29" s="114"/>
      <c r="C29" s="102"/>
      <c r="D29" s="116"/>
      <c r="E29" s="103"/>
      <c r="F29" s="116"/>
      <c r="G29" s="103"/>
      <c r="H29" s="103"/>
      <c r="I29" s="232"/>
    </row>
    <row r="30" spans="1:9" ht="20.100000000000001" customHeight="1" x14ac:dyDescent="0.2">
      <c r="A30" s="80">
        <v>7107</v>
      </c>
      <c r="B30" s="113" t="s">
        <v>14</v>
      </c>
      <c r="C30" s="102"/>
      <c r="D30" s="116"/>
      <c r="E30" s="103"/>
      <c r="F30" s="116"/>
      <c r="G30" s="103"/>
      <c r="H30" s="116"/>
      <c r="I30" s="232"/>
    </row>
    <row r="31" spans="1:9" ht="20.100000000000001" customHeight="1" x14ac:dyDescent="0.2">
      <c r="A31" s="79">
        <v>710704</v>
      </c>
      <c r="B31" s="114" t="s">
        <v>32</v>
      </c>
      <c r="C31" s="102">
        <v>0</v>
      </c>
      <c r="D31" s="116">
        <v>0</v>
      </c>
      <c r="E31" s="103">
        <v>0</v>
      </c>
      <c r="F31" s="116"/>
      <c r="G31" s="103"/>
      <c r="H31" s="116"/>
      <c r="I31" s="232"/>
    </row>
    <row r="32" spans="1:9" ht="20.100000000000001" customHeight="1" x14ac:dyDescent="0.2">
      <c r="A32" s="79">
        <v>710705</v>
      </c>
      <c r="B32" s="114" t="s">
        <v>125</v>
      </c>
      <c r="C32" s="102">
        <v>716036.22</v>
      </c>
      <c r="D32" s="116">
        <v>851819.38</v>
      </c>
      <c r="E32" s="103">
        <v>736502.9</v>
      </c>
      <c r="F32" s="116">
        <v>95139.466666666674</v>
      </c>
      <c r="G32" s="103">
        <v>141430.67000000001</v>
      </c>
      <c r="H32" s="116">
        <v>258344.61111111109</v>
      </c>
      <c r="I32" s="232"/>
    </row>
    <row r="33" spans="1:9" ht="20.100000000000001" customHeight="1" x14ac:dyDescent="0.2">
      <c r="A33" s="79">
        <v>730802</v>
      </c>
      <c r="B33" s="114" t="s">
        <v>439</v>
      </c>
      <c r="C33" s="65">
        <v>168692.95</v>
      </c>
      <c r="D33" s="65">
        <v>201861.48</v>
      </c>
      <c r="E33" s="65">
        <v>30940.11</v>
      </c>
      <c r="F33" s="105">
        <v>0</v>
      </c>
      <c r="G33" s="190">
        <v>0</v>
      </c>
      <c r="H33" s="59">
        <v>20776.48</v>
      </c>
      <c r="I33" s="232"/>
    </row>
    <row r="34" spans="1:9" ht="20.100000000000001" customHeight="1" x14ac:dyDescent="0.2">
      <c r="A34" s="79">
        <v>770201</v>
      </c>
      <c r="B34" s="114" t="s">
        <v>483</v>
      </c>
      <c r="C34" s="65">
        <v>0</v>
      </c>
      <c r="D34" s="65">
        <v>9115.3799999999992</v>
      </c>
      <c r="E34" s="105">
        <v>8655.7000000000007</v>
      </c>
      <c r="F34" s="105">
        <v>8655.7000000000007</v>
      </c>
      <c r="G34" s="105">
        <v>7559.4</v>
      </c>
      <c r="H34" s="190">
        <v>4709.8</v>
      </c>
      <c r="I34" s="232"/>
    </row>
    <row r="35" spans="1:9" ht="20.100000000000001" customHeight="1" thickBot="1" x14ac:dyDescent="0.25">
      <c r="A35" s="82"/>
      <c r="B35" s="115"/>
      <c r="C35" s="119"/>
      <c r="D35" s="117" t="s">
        <v>430</v>
      </c>
      <c r="E35" s="119"/>
      <c r="F35" s="117"/>
      <c r="G35" s="191"/>
      <c r="H35" s="117"/>
      <c r="I35" s="233"/>
    </row>
    <row r="36" spans="1:9" ht="20.100000000000001" customHeight="1" thickBot="1" x14ac:dyDescent="0.25">
      <c r="A36" s="121"/>
      <c r="B36" s="121" t="s">
        <v>6</v>
      </c>
      <c r="C36" s="182">
        <f>SUM(C8:C35)</f>
        <v>3899938.2500000019</v>
      </c>
      <c r="D36" s="182">
        <f>SUM(D9:D35)</f>
        <v>4053864.5100000012</v>
      </c>
      <c r="E36" s="182">
        <f>SUM(E8:E35)</f>
        <v>3751997.641400001</v>
      </c>
      <c r="F36" s="182">
        <f t="shared" ref="F36:H36" si="0">SUM(F9:F35)</f>
        <v>3014753.1229284443</v>
      </c>
      <c r="G36" s="182">
        <f t="shared" si="0"/>
        <v>3056346.0424054172</v>
      </c>
      <c r="H36" s="182">
        <f t="shared" si="0"/>
        <v>3131602.4260619055</v>
      </c>
      <c r="I36" s="121"/>
    </row>
    <row r="37" spans="1:9" ht="20.100000000000001" customHeight="1" thickBot="1" x14ac:dyDescent="0.25">
      <c r="A37" s="266"/>
      <c r="B37" s="267"/>
      <c r="C37" s="182"/>
      <c r="D37" s="182">
        <f>(D36/C36-1)*100</f>
        <v>3.9468896719069724</v>
      </c>
      <c r="E37" s="182">
        <f>(E36/C36-1)*100</f>
        <v>-3.7934090007707422</v>
      </c>
      <c r="F37" s="182">
        <f>(F36/C36-1)*100</f>
        <v>-22.697413916016671</v>
      </c>
      <c r="G37" s="182">
        <f>(G36/C36-1)*100</f>
        <v>-21.63091191494081</v>
      </c>
      <c r="H37" s="182">
        <f>(H36/C36-1)*100</f>
        <v>-19.701230498664845</v>
      </c>
      <c r="I37" s="268"/>
    </row>
    <row r="38" spans="1:9" ht="20.100000000000001" customHeight="1" x14ac:dyDescent="0.2">
      <c r="A38" s="56" t="s">
        <v>119</v>
      </c>
      <c r="B38" s="47"/>
      <c r="C38" s="46"/>
      <c r="D38" s="46"/>
      <c r="E38" s="46"/>
      <c r="F38" s="46"/>
      <c r="G38" s="46"/>
      <c r="H38" s="46"/>
      <c r="I38" s="3"/>
    </row>
    <row r="39" spans="1:9" ht="20.100000000000001" customHeight="1" x14ac:dyDescent="0.2">
      <c r="A39" s="56" t="s">
        <v>117</v>
      </c>
      <c r="B39" s="46"/>
      <c r="C39" s="46"/>
      <c r="D39" s="46"/>
      <c r="E39" s="48"/>
      <c r="F39" s="48"/>
      <c r="G39" s="48"/>
      <c r="H39" s="48"/>
      <c r="I39" s="3"/>
    </row>
    <row r="40" spans="1:9" ht="20.100000000000001" customHeight="1" x14ac:dyDescent="0.2">
      <c r="A40" s="56" t="s">
        <v>120</v>
      </c>
      <c r="B40" s="46"/>
      <c r="C40" s="46"/>
      <c r="D40" s="46"/>
      <c r="E40" s="48"/>
      <c r="F40" s="48"/>
      <c r="G40" s="48"/>
      <c r="H40" s="48"/>
      <c r="I40" s="3"/>
    </row>
    <row r="41" spans="1:9" ht="20.100000000000001" customHeight="1" x14ac:dyDescent="0.2">
      <c r="A41" s="56"/>
      <c r="B41" s="46"/>
      <c r="C41" s="46"/>
      <c r="D41" s="46"/>
      <c r="E41" s="48"/>
      <c r="F41" s="48"/>
      <c r="G41" s="48"/>
      <c r="H41" s="48"/>
      <c r="I41" s="3"/>
    </row>
    <row r="42" spans="1:9" ht="20.100000000000001" customHeight="1" x14ac:dyDescent="0.2">
      <c r="A42" s="46"/>
      <c r="B42" s="46"/>
      <c r="C42" s="46"/>
      <c r="D42" s="46"/>
      <c r="E42" s="48"/>
      <c r="F42" s="48"/>
      <c r="G42" s="48"/>
      <c r="H42" s="48"/>
      <c r="I42" s="3"/>
    </row>
    <row r="43" spans="1:9" ht="20.100000000000001" customHeight="1" x14ac:dyDescent="0.2">
      <c r="A43" s="2"/>
      <c r="B43" s="46"/>
      <c r="C43" s="46"/>
      <c r="D43" s="46"/>
      <c r="E43" s="46"/>
      <c r="F43" s="46"/>
      <c r="G43" s="46"/>
      <c r="H43" s="46"/>
      <c r="I43" s="3"/>
    </row>
    <row r="44" spans="1:9" ht="20.100000000000001" customHeight="1" x14ac:dyDescent="0.25">
      <c r="A44" s="2"/>
      <c r="B44" s="230" t="s">
        <v>435</v>
      </c>
      <c r="C44" s="230"/>
      <c r="D44" s="78"/>
      <c r="E44" s="78"/>
      <c r="F44" s="78"/>
      <c r="G44" s="78"/>
      <c r="H44" s="78"/>
      <c r="I44" s="3"/>
    </row>
    <row r="45" spans="1:9" ht="20.100000000000001" customHeight="1" x14ac:dyDescent="0.25">
      <c r="A45" s="2"/>
      <c r="B45" s="78"/>
      <c r="C45" s="78"/>
      <c r="D45" s="78"/>
      <c r="E45" s="78"/>
      <c r="F45" s="78"/>
      <c r="G45" s="78"/>
      <c r="H45" s="78"/>
      <c r="I45" s="3"/>
    </row>
    <row r="46" spans="1:9" ht="15" x14ac:dyDescent="0.25">
      <c r="A46" s="2"/>
      <c r="B46" s="43" t="s">
        <v>451</v>
      </c>
      <c r="C46" s="6"/>
      <c r="D46" s="6"/>
      <c r="E46" s="6"/>
      <c r="F46" s="6"/>
      <c r="G46" s="6"/>
      <c r="H46" s="6"/>
      <c r="I46" s="3"/>
    </row>
    <row r="47" spans="1:9" ht="20.100000000000001" customHeight="1" x14ac:dyDescent="0.25">
      <c r="A47" s="2"/>
      <c r="B47" s="43" t="s">
        <v>517</v>
      </c>
      <c r="C47" s="46"/>
      <c r="D47" s="46"/>
      <c r="E47" s="46"/>
      <c r="F47" s="46"/>
      <c r="G47" s="46"/>
      <c r="H47" s="46"/>
    </row>
    <row r="48" spans="1:9" ht="20.100000000000001" customHeight="1" x14ac:dyDescent="0.25">
      <c r="A48" s="2"/>
      <c r="B48" s="43" t="s">
        <v>118</v>
      </c>
      <c r="C48" s="46"/>
      <c r="D48" s="46"/>
      <c r="E48" s="46"/>
      <c r="F48" s="46"/>
      <c r="G48" s="46"/>
      <c r="H48" s="46"/>
    </row>
  </sheetData>
  <mergeCells count="3">
    <mergeCell ref="A1:E1"/>
    <mergeCell ref="B44:C44"/>
    <mergeCell ref="I9:I35"/>
  </mergeCells>
  <phoneticPr fontId="0" type="noConversion"/>
  <pageMargins left="0.7" right="0.7" top="0.43" bottom="0.4" header="0.3" footer="0.3"/>
  <pageSetup scale="58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83"/>
  <sheetViews>
    <sheetView view="pageLayout" topLeftCell="F4" zoomScale="85" zoomScaleNormal="100" zoomScalePageLayoutView="85" workbookViewId="0">
      <selection activeCell="K5" sqref="K5"/>
    </sheetView>
  </sheetViews>
  <sheetFormatPr baseColWidth="10" defaultRowHeight="12.75" x14ac:dyDescent="0.2"/>
  <cols>
    <col min="1" max="1" width="11.42578125" style="50" customWidth="1"/>
    <col min="2" max="2" width="27.28515625" style="144" customWidth="1"/>
    <col min="3" max="3" width="8" style="50" customWidth="1"/>
    <col min="4" max="4" width="9.28515625" style="50" customWidth="1"/>
    <col min="5" max="5" width="24.140625" style="50" customWidth="1"/>
    <col min="6" max="6" width="15.140625" style="50" customWidth="1"/>
    <col min="7" max="11" width="17.140625" style="50" customWidth="1"/>
    <col min="12" max="12" width="20.28515625" style="208" customWidth="1"/>
    <col min="13" max="13" width="13.140625" style="208" customWidth="1"/>
    <col min="14" max="259" width="11.42578125" style="2"/>
    <col min="260" max="260" width="13.85546875" style="2" customWidth="1"/>
    <col min="261" max="261" width="37.28515625" style="2" bestFit="1" customWidth="1"/>
    <col min="262" max="262" width="12.5703125" style="2" customWidth="1"/>
    <col min="263" max="263" width="9.28515625" style="2" customWidth="1"/>
    <col min="264" max="264" width="36" style="2" bestFit="1" customWidth="1"/>
    <col min="265" max="266" width="15.7109375" style="2" customWidth="1"/>
    <col min="267" max="267" width="25" style="2" customWidth="1"/>
    <col min="268" max="515" width="11.42578125" style="2"/>
    <col min="516" max="516" width="13.85546875" style="2" customWidth="1"/>
    <col min="517" max="517" width="37.28515625" style="2" bestFit="1" customWidth="1"/>
    <col min="518" max="518" width="12.5703125" style="2" customWidth="1"/>
    <col min="519" max="519" width="9.28515625" style="2" customWidth="1"/>
    <col min="520" max="520" width="36" style="2" bestFit="1" customWidth="1"/>
    <col min="521" max="522" width="15.7109375" style="2" customWidth="1"/>
    <col min="523" max="523" width="25" style="2" customWidth="1"/>
    <col min="524" max="771" width="11.42578125" style="2"/>
    <col min="772" max="772" width="13.85546875" style="2" customWidth="1"/>
    <col min="773" max="773" width="37.28515625" style="2" bestFit="1" customWidth="1"/>
    <col min="774" max="774" width="12.5703125" style="2" customWidth="1"/>
    <col min="775" max="775" width="9.28515625" style="2" customWidth="1"/>
    <col min="776" max="776" width="36" style="2" bestFit="1" customWidth="1"/>
    <col min="777" max="778" width="15.7109375" style="2" customWidth="1"/>
    <col min="779" max="779" width="25" style="2" customWidth="1"/>
    <col min="780" max="1027" width="11.42578125" style="2"/>
    <col min="1028" max="1028" width="13.85546875" style="2" customWidth="1"/>
    <col min="1029" max="1029" width="37.28515625" style="2" bestFit="1" customWidth="1"/>
    <col min="1030" max="1030" width="12.5703125" style="2" customWidth="1"/>
    <col min="1031" max="1031" width="9.28515625" style="2" customWidth="1"/>
    <col min="1032" max="1032" width="36" style="2" bestFit="1" customWidth="1"/>
    <col min="1033" max="1034" width="15.7109375" style="2" customWidth="1"/>
    <col min="1035" max="1035" width="25" style="2" customWidth="1"/>
    <col min="1036" max="1283" width="11.42578125" style="2"/>
    <col min="1284" max="1284" width="13.85546875" style="2" customWidth="1"/>
    <col min="1285" max="1285" width="37.28515625" style="2" bestFit="1" customWidth="1"/>
    <col min="1286" max="1286" width="12.5703125" style="2" customWidth="1"/>
    <col min="1287" max="1287" width="9.28515625" style="2" customWidth="1"/>
    <col min="1288" max="1288" width="36" style="2" bestFit="1" customWidth="1"/>
    <col min="1289" max="1290" width="15.7109375" style="2" customWidth="1"/>
    <col min="1291" max="1291" width="25" style="2" customWidth="1"/>
    <col min="1292" max="1539" width="11.42578125" style="2"/>
    <col min="1540" max="1540" width="13.85546875" style="2" customWidth="1"/>
    <col min="1541" max="1541" width="37.28515625" style="2" bestFit="1" customWidth="1"/>
    <col min="1542" max="1542" width="12.5703125" style="2" customWidth="1"/>
    <col min="1543" max="1543" width="9.28515625" style="2" customWidth="1"/>
    <col min="1544" max="1544" width="36" style="2" bestFit="1" customWidth="1"/>
    <col min="1545" max="1546" width="15.7109375" style="2" customWidth="1"/>
    <col min="1547" max="1547" width="25" style="2" customWidth="1"/>
    <col min="1548" max="1795" width="11.42578125" style="2"/>
    <col min="1796" max="1796" width="13.85546875" style="2" customWidth="1"/>
    <col min="1797" max="1797" width="37.28515625" style="2" bestFit="1" customWidth="1"/>
    <col min="1798" max="1798" width="12.5703125" style="2" customWidth="1"/>
    <col min="1799" max="1799" width="9.28515625" style="2" customWidth="1"/>
    <col min="1800" max="1800" width="36" style="2" bestFit="1" customWidth="1"/>
    <col min="1801" max="1802" width="15.7109375" style="2" customWidth="1"/>
    <col min="1803" max="1803" width="25" style="2" customWidth="1"/>
    <col min="1804" max="2051" width="11.42578125" style="2"/>
    <col min="2052" max="2052" width="13.85546875" style="2" customWidth="1"/>
    <col min="2053" max="2053" width="37.28515625" style="2" bestFit="1" customWidth="1"/>
    <col min="2054" max="2054" width="12.5703125" style="2" customWidth="1"/>
    <col min="2055" max="2055" width="9.28515625" style="2" customWidth="1"/>
    <col min="2056" max="2056" width="36" style="2" bestFit="1" customWidth="1"/>
    <col min="2057" max="2058" width="15.7109375" style="2" customWidth="1"/>
    <col min="2059" max="2059" width="25" style="2" customWidth="1"/>
    <col min="2060" max="2307" width="11.42578125" style="2"/>
    <col min="2308" max="2308" width="13.85546875" style="2" customWidth="1"/>
    <col min="2309" max="2309" width="37.28515625" style="2" bestFit="1" customWidth="1"/>
    <col min="2310" max="2310" width="12.5703125" style="2" customWidth="1"/>
    <col min="2311" max="2311" width="9.28515625" style="2" customWidth="1"/>
    <col min="2312" max="2312" width="36" style="2" bestFit="1" customWidth="1"/>
    <col min="2313" max="2314" width="15.7109375" style="2" customWidth="1"/>
    <col min="2315" max="2315" width="25" style="2" customWidth="1"/>
    <col min="2316" max="2563" width="11.42578125" style="2"/>
    <col min="2564" max="2564" width="13.85546875" style="2" customWidth="1"/>
    <col min="2565" max="2565" width="37.28515625" style="2" bestFit="1" customWidth="1"/>
    <col min="2566" max="2566" width="12.5703125" style="2" customWidth="1"/>
    <col min="2567" max="2567" width="9.28515625" style="2" customWidth="1"/>
    <col min="2568" max="2568" width="36" style="2" bestFit="1" customWidth="1"/>
    <col min="2569" max="2570" width="15.7109375" style="2" customWidth="1"/>
    <col min="2571" max="2571" width="25" style="2" customWidth="1"/>
    <col min="2572" max="2819" width="11.42578125" style="2"/>
    <col min="2820" max="2820" width="13.85546875" style="2" customWidth="1"/>
    <col min="2821" max="2821" width="37.28515625" style="2" bestFit="1" customWidth="1"/>
    <col min="2822" max="2822" width="12.5703125" style="2" customWidth="1"/>
    <col min="2823" max="2823" width="9.28515625" style="2" customWidth="1"/>
    <col min="2824" max="2824" width="36" style="2" bestFit="1" customWidth="1"/>
    <col min="2825" max="2826" width="15.7109375" style="2" customWidth="1"/>
    <col min="2827" max="2827" width="25" style="2" customWidth="1"/>
    <col min="2828" max="3075" width="11.42578125" style="2"/>
    <col min="3076" max="3076" width="13.85546875" style="2" customWidth="1"/>
    <col min="3077" max="3077" width="37.28515625" style="2" bestFit="1" customWidth="1"/>
    <col min="3078" max="3078" width="12.5703125" style="2" customWidth="1"/>
    <col min="3079" max="3079" width="9.28515625" style="2" customWidth="1"/>
    <col min="3080" max="3080" width="36" style="2" bestFit="1" customWidth="1"/>
    <col min="3081" max="3082" width="15.7109375" style="2" customWidth="1"/>
    <col min="3083" max="3083" width="25" style="2" customWidth="1"/>
    <col min="3084" max="3331" width="11.42578125" style="2"/>
    <col min="3332" max="3332" width="13.85546875" style="2" customWidth="1"/>
    <col min="3333" max="3333" width="37.28515625" style="2" bestFit="1" customWidth="1"/>
    <col min="3334" max="3334" width="12.5703125" style="2" customWidth="1"/>
    <col min="3335" max="3335" width="9.28515625" style="2" customWidth="1"/>
    <col min="3336" max="3336" width="36" style="2" bestFit="1" customWidth="1"/>
    <col min="3337" max="3338" width="15.7109375" style="2" customWidth="1"/>
    <col min="3339" max="3339" width="25" style="2" customWidth="1"/>
    <col min="3340" max="3587" width="11.42578125" style="2"/>
    <col min="3588" max="3588" width="13.85546875" style="2" customWidth="1"/>
    <col min="3589" max="3589" width="37.28515625" style="2" bestFit="1" customWidth="1"/>
    <col min="3590" max="3590" width="12.5703125" style="2" customWidth="1"/>
    <col min="3591" max="3591" width="9.28515625" style="2" customWidth="1"/>
    <col min="3592" max="3592" width="36" style="2" bestFit="1" customWidth="1"/>
    <col min="3593" max="3594" width="15.7109375" style="2" customWidth="1"/>
    <col min="3595" max="3595" width="25" style="2" customWidth="1"/>
    <col min="3596" max="3843" width="11.42578125" style="2"/>
    <col min="3844" max="3844" width="13.85546875" style="2" customWidth="1"/>
    <col min="3845" max="3845" width="37.28515625" style="2" bestFit="1" customWidth="1"/>
    <col min="3846" max="3846" width="12.5703125" style="2" customWidth="1"/>
    <col min="3847" max="3847" width="9.28515625" style="2" customWidth="1"/>
    <col min="3848" max="3848" width="36" style="2" bestFit="1" customWidth="1"/>
    <col min="3849" max="3850" width="15.7109375" style="2" customWidth="1"/>
    <col min="3851" max="3851" width="25" style="2" customWidth="1"/>
    <col min="3852" max="4099" width="11.42578125" style="2"/>
    <col min="4100" max="4100" width="13.85546875" style="2" customWidth="1"/>
    <col min="4101" max="4101" width="37.28515625" style="2" bestFit="1" customWidth="1"/>
    <col min="4102" max="4102" width="12.5703125" style="2" customWidth="1"/>
    <col min="4103" max="4103" width="9.28515625" style="2" customWidth="1"/>
    <col min="4104" max="4104" width="36" style="2" bestFit="1" customWidth="1"/>
    <col min="4105" max="4106" width="15.7109375" style="2" customWidth="1"/>
    <col min="4107" max="4107" width="25" style="2" customWidth="1"/>
    <col min="4108" max="4355" width="11.42578125" style="2"/>
    <col min="4356" max="4356" width="13.85546875" style="2" customWidth="1"/>
    <col min="4357" max="4357" width="37.28515625" style="2" bestFit="1" customWidth="1"/>
    <col min="4358" max="4358" width="12.5703125" style="2" customWidth="1"/>
    <col min="4359" max="4359" width="9.28515625" style="2" customWidth="1"/>
    <col min="4360" max="4360" width="36" style="2" bestFit="1" customWidth="1"/>
    <col min="4361" max="4362" width="15.7109375" style="2" customWidth="1"/>
    <col min="4363" max="4363" width="25" style="2" customWidth="1"/>
    <col min="4364" max="4611" width="11.42578125" style="2"/>
    <col min="4612" max="4612" width="13.85546875" style="2" customWidth="1"/>
    <col min="4613" max="4613" width="37.28515625" style="2" bestFit="1" customWidth="1"/>
    <col min="4614" max="4614" width="12.5703125" style="2" customWidth="1"/>
    <col min="4615" max="4615" width="9.28515625" style="2" customWidth="1"/>
    <col min="4616" max="4616" width="36" style="2" bestFit="1" customWidth="1"/>
    <col min="4617" max="4618" width="15.7109375" style="2" customWidth="1"/>
    <col min="4619" max="4619" width="25" style="2" customWidth="1"/>
    <col min="4620" max="4867" width="11.42578125" style="2"/>
    <col min="4868" max="4868" width="13.85546875" style="2" customWidth="1"/>
    <col min="4869" max="4869" width="37.28515625" style="2" bestFit="1" customWidth="1"/>
    <col min="4870" max="4870" width="12.5703125" style="2" customWidth="1"/>
    <col min="4871" max="4871" width="9.28515625" style="2" customWidth="1"/>
    <col min="4872" max="4872" width="36" style="2" bestFit="1" customWidth="1"/>
    <col min="4873" max="4874" width="15.7109375" style="2" customWidth="1"/>
    <col min="4875" max="4875" width="25" style="2" customWidth="1"/>
    <col min="4876" max="5123" width="11.42578125" style="2"/>
    <col min="5124" max="5124" width="13.85546875" style="2" customWidth="1"/>
    <col min="5125" max="5125" width="37.28515625" style="2" bestFit="1" customWidth="1"/>
    <col min="5126" max="5126" width="12.5703125" style="2" customWidth="1"/>
    <col min="5127" max="5127" width="9.28515625" style="2" customWidth="1"/>
    <col min="5128" max="5128" width="36" style="2" bestFit="1" customWidth="1"/>
    <col min="5129" max="5130" width="15.7109375" style="2" customWidth="1"/>
    <col min="5131" max="5131" width="25" style="2" customWidth="1"/>
    <col min="5132" max="5379" width="11.42578125" style="2"/>
    <col min="5380" max="5380" width="13.85546875" style="2" customWidth="1"/>
    <col min="5381" max="5381" width="37.28515625" style="2" bestFit="1" customWidth="1"/>
    <col min="5382" max="5382" width="12.5703125" style="2" customWidth="1"/>
    <col min="5383" max="5383" width="9.28515625" style="2" customWidth="1"/>
    <col min="5384" max="5384" width="36" style="2" bestFit="1" customWidth="1"/>
    <col min="5385" max="5386" width="15.7109375" style="2" customWidth="1"/>
    <col min="5387" max="5387" width="25" style="2" customWidth="1"/>
    <col min="5388" max="5635" width="11.42578125" style="2"/>
    <col min="5636" max="5636" width="13.85546875" style="2" customWidth="1"/>
    <col min="5637" max="5637" width="37.28515625" style="2" bestFit="1" customWidth="1"/>
    <col min="5638" max="5638" width="12.5703125" style="2" customWidth="1"/>
    <col min="5639" max="5639" width="9.28515625" style="2" customWidth="1"/>
    <col min="5640" max="5640" width="36" style="2" bestFit="1" customWidth="1"/>
    <col min="5641" max="5642" width="15.7109375" style="2" customWidth="1"/>
    <col min="5643" max="5643" width="25" style="2" customWidth="1"/>
    <col min="5644" max="5891" width="11.42578125" style="2"/>
    <col min="5892" max="5892" width="13.85546875" style="2" customWidth="1"/>
    <col min="5893" max="5893" width="37.28515625" style="2" bestFit="1" customWidth="1"/>
    <col min="5894" max="5894" width="12.5703125" style="2" customWidth="1"/>
    <col min="5895" max="5895" width="9.28515625" style="2" customWidth="1"/>
    <col min="5896" max="5896" width="36" style="2" bestFit="1" customWidth="1"/>
    <col min="5897" max="5898" width="15.7109375" style="2" customWidth="1"/>
    <col min="5899" max="5899" width="25" style="2" customWidth="1"/>
    <col min="5900" max="6147" width="11.42578125" style="2"/>
    <col min="6148" max="6148" width="13.85546875" style="2" customWidth="1"/>
    <col min="6149" max="6149" width="37.28515625" style="2" bestFit="1" customWidth="1"/>
    <col min="6150" max="6150" width="12.5703125" style="2" customWidth="1"/>
    <col min="6151" max="6151" width="9.28515625" style="2" customWidth="1"/>
    <col min="6152" max="6152" width="36" style="2" bestFit="1" customWidth="1"/>
    <col min="6153" max="6154" width="15.7109375" style="2" customWidth="1"/>
    <col min="6155" max="6155" width="25" style="2" customWidth="1"/>
    <col min="6156" max="6403" width="11.42578125" style="2"/>
    <col min="6404" max="6404" width="13.85546875" style="2" customWidth="1"/>
    <col min="6405" max="6405" width="37.28515625" style="2" bestFit="1" customWidth="1"/>
    <col min="6406" max="6406" width="12.5703125" style="2" customWidth="1"/>
    <col min="6407" max="6407" width="9.28515625" style="2" customWidth="1"/>
    <col min="6408" max="6408" width="36" style="2" bestFit="1" customWidth="1"/>
    <col min="6409" max="6410" width="15.7109375" style="2" customWidth="1"/>
    <col min="6411" max="6411" width="25" style="2" customWidth="1"/>
    <col min="6412" max="6659" width="11.42578125" style="2"/>
    <col min="6660" max="6660" width="13.85546875" style="2" customWidth="1"/>
    <col min="6661" max="6661" width="37.28515625" style="2" bestFit="1" customWidth="1"/>
    <col min="6662" max="6662" width="12.5703125" style="2" customWidth="1"/>
    <col min="6663" max="6663" width="9.28515625" style="2" customWidth="1"/>
    <col min="6664" max="6664" width="36" style="2" bestFit="1" customWidth="1"/>
    <col min="6665" max="6666" width="15.7109375" style="2" customWidth="1"/>
    <col min="6667" max="6667" width="25" style="2" customWidth="1"/>
    <col min="6668" max="6915" width="11.42578125" style="2"/>
    <col min="6916" max="6916" width="13.85546875" style="2" customWidth="1"/>
    <col min="6917" max="6917" width="37.28515625" style="2" bestFit="1" customWidth="1"/>
    <col min="6918" max="6918" width="12.5703125" style="2" customWidth="1"/>
    <col min="6919" max="6919" width="9.28515625" style="2" customWidth="1"/>
    <col min="6920" max="6920" width="36" style="2" bestFit="1" customWidth="1"/>
    <col min="6921" max="6922" width="15.7109375" style="2" customWidth="1"/>
    <col min="6923" max="6923" width="25" style="2" customWidth="1"/>
    <col min="6924" max="7171" width="11.42578125" style="2"/>
    <col min="7172" max="7172" width="13.85546875" style="2" customWidth="1"/>
    <col min="7173" max="7173" width="37.28515625" style="2" bestFit="1" customWidth="1"/>
    <col min="7174" max="7174" width="12.5703125" style="2" customWidth="1"/>
    <col min="7175" max="7175" width="9.28515625" style="2" customWidth="1"/>
    <col min="7176" max="7176" width="36" style="2" bestFit="1" customWidth="1"/>
    <col min="7177" max="7178" width="15.7109375" style="2" customWidth="1"/>
    <col min="7179" max="7179" width="25" style="2" customWidth="1"/>
    <col min="7180" max="7427" width="11.42578125" style="2"/>
    <col min="7428" max="7428" width="13.85546875" style="2" customWidth="1"/>
    <col min="7429" max="7429" width="37.28515625" style="2" bestFit="1" customWidth="1"/>
    <col min="7430" max="7430" width="12.5703125" style="2" customWidth="1"/>
    <col min="7431" max="7431" width="9.28515625" style="2" customWidth="1"/>
    <col min="7432" max="7432" width="36" style="2" bestFit="1" customWidth="1"/>
    <col min="7433" max="7434" width="15.7109375" style="2" customWidth="1"/>
    <col min="7435" max="7435" width="25" style="2" customWidth="1"/>
    <col min="7436" max="7683" width="11.42578125" style="2"/>
    <col min="7684" max="7684" width="13.85546875" style="2" customWidth="1"/>
    <col min="7685" max="7685" width="37.28515625" style="2" bestFit="1" customWidth="1"/>
    <col min="7686" max="7686" width="12.5703125" style="2" customWidth="1"/>
    <col min="7687" max="7687" width="9.28515625" style="2" customWidth="1"/>
    <col min="7688" max="7688" width="36" style="2" bestFit="1" customWidth="1"/>
    <col min="7689" max="7690" width="15.7109375" style="2" customWidth="1"/>
    <col min="7691" max="7691" width="25" style="2" customWidth="1"/>
    <col min="7692" max="7939" width="11.42578125" style="2"/>
    <col min="7940" max="7940" width="13.85546875" style="2" customWidth="1"/>
    <col min="7941" max="7941" width="37.28515625" style="2" bestFit="1" customWidth="1"/>
    <col min="7942" max="7942" width="12.5703125" style="2" customWidth="1"/>
    <col min="7943" max="7943" width="9.28515625" style="2" customWidth="1"/>
    <col min="7944" max="7944" width="36" style="2" bestFit="1" customWidth="1"/>
    <col min="7945" max="7946" width="15.7109375" style="2" customWidth="1"/>
    <col min="7947" max="7947" width="25" style="2" customWidth="1"/>
    <col min="7948" max="8195" width="11.42578125" style="2"/>
    <col min="8196" max="8196" width="13.85546875" style="2" customWidth="1"/>
    <col min="8197" max="8197" width="37.28515625" style="2" bestFit="1" customWidth="1"/>
    <col min="8198" max="8198" width="12.5703125" style="2" customWidth="1"/>
    <col min="8199" max="8199" width="9.28515625" style="2" customWidth="1"/>
    <col min="8200" max="8200" width="36" style="2" bestFit="1" customWidth="1"/>
    <col min="8201" max="8202" width="15.7109375" style="2" customWidth="1"/>
    <col min="8203" max="8203" width="25" style="2" customWidth="1"/>
    <col min="8204" max="8451" width="11.42578125" style="2"/>
    <col min="8452" max="8452" width="13.85546875" style="2" customWidth="1"/>
    <col min="8453" max="8453" width="37.28515625" style="2" bestFit="1" customWidth="1"/>
    <col min="8454" max="8454" width="12.5703125" style="2" customWidth="1"/>
    <col min="8455" max="8455" width="9.28515625" style="2" customWidth="1"/>
    <col min="8456" max="8456" width="36" style="2" bestFit="1" customWidth="1"/>
    <col min="8457" max="8458" width="15.7109375" style="2" customWidth="1"/>
    <col min="8459" max="8459" width="25" style="2" customWidth="1"/>
    <col min="8460" max="8707" width="11.42578125" style="2"/>
    <col min="8708" max="8708" width="13.85546875" style="2" customWidth="1"/>
    <col min="8709" max="8709" width="37.28515625" style="2" bestFit="1" customWidth="1"/>
    <col min="8710" max="8710" width="12.5703125" style="2" customWidth="1"/>
    <col min="8711" max="8711" width="9.28515625" style="2" customWidth="1"/>
    <col min="8712" max="8712" width="36" style="2" bestFit="1" customWidth="1"/>
    <col min="8713" max="8714" width="15.7109375" style="2" customWidth="1"/>
    <col min="8715" max="8715" width="25" style="2" customWidth="1"/>
    <col min="8716" max="8963" width="11.42578125" style="2"/>
    <col min="8964" max="8964" width="13.85546875" style="2" customWidth="1"/>
    <col min="8965" max="8965" width="37.28515625" style="2" bestFit="1" customWidth="1"/>
    <col min="8966" max="8966" width="12.5703125" style="2" customWidth="1"/>
    <col min="8967" max="8967" width="9.28515625" style="2" customWidth="1"/>
    <col min="8968" max="8968" width="36" style="2" bestFit="1" customWidth="1"/>
    <col min="8969" max="8970" width="15.7109375" style="2" customWidth="1"/>
    <col min="8971" max="8971" width="25" style="2" customWidth="1"/>
    <col min="8972" max="9219" width="11.42578125" style="2"/>
    <col min="9220" max="9220" width="13.85546875" style="2" customWidth="1"/>
    <col min="9221" max="9221" width="37.28515625" style="2" bestFit="1" customWidth="1"/>
    <col min="9222" max="9222" width="12.5703125" style="2" customWidth="1"/>
    <col min="9223" max="9223" width="9.28515625" style="2" customWidth="1"/>
    <col min="9224" max="9224" width="36" style="2" bestFit="1" customWidth="1"/>
    <col min="9225" max="9226" width="15.7109375" style="2" customWidth="1"/>
    <col min="9227" max="9227" width="25" style="2" customWidth="1"/>
    <col min="9228" max="9475" width="11.42578125" style="2"/>
    <col min="9476" max="9476" width="13.85546875" style="2" customWidth="1"/>
    <col min="9477" max="9477" width="37.28515625" style="2" bestFit="1" customWidth="1"/>
    <col min="9478" max="9478" width="12.5703125" style="2" customWidth="1"/>
    <col min="9479" max="9479" width="9.28515625" style="2" customWidth="1"/>
    <col min="9480" max="9480" width="36" style="2" bestFit="1" customWidth="1"/>
    <col min="9481" max="9482" width="15.7109375" style="2" customWidth="1"/>
    <col min="9483" max="9483" width="25" style="2" customWidth="1"/>
    <col min="9484" max="9731" width="11.42578125" style="2"/>
    <col min="9732" max="9732" width="13.85546875" style="2" customWidth="1"/>
    <col min="9733" max="9733" width="37.28515625" style="2" bestFit="1" customWidth="1"/>
    <col min="9734" max="9734" width="12.5703125" style="2" customWidth="1"/>
    <col min="9735" max="9735" width="9.28515625" style="2" customWidth="1"/>
    <col min="9736" max="9736" width="36" style="2" bestFit="1" customWidth="1"/>
    <col min="9737" max="9738" width="15.7109375" style="2" customWidth="1"/>
    <col min="9739" max="9739" width="25" style="2" customWidth="1"/>
    <col min="9740" max="9987" width="11.42578125" style="2"/>
    <col min="9988" max="9988" width="13.85546875" style="2" customWidth="1"/>
    <col min="9989" max="9989" width="37.28515625" style="2" bestFit="1" customWidth="1"/>
    <col min="9990" max="9990" width="12.5703125" style="2" customWidth="1"/>
    <col min="9991" max="9991" width="9.28515625" style="2" customWidth="1"/>
    <col min="9992" max="9992" width="36" style="2" bestFit="1" customWidth="1"/>
    <col min="9993" max="9994" width="15.7109375" style="2" customWidth="1"/>
    <col min="9995" max="9995" width="25" style="2" customWidth="1"/>
    <col min="9996" max="10243" width="11.42578125" style="2"/>
    <col min="10244" max="10244" width="13.85546875" style="2" customWidth="1"/>
    <col min="10245" max="10245" width="37.28515625" style="2" bestFit="1" customWidth="1"/>
    <col min="10246" max="10246" width="12.5703125" style="2" customWidth="1"/>
    <col min="10247" max="10247" width="9.28515625" style="2" customWidth="1"/>
    <col min="10248" max="10248" width="36" style="2" bestFit="1" customWidth="1"/>
    <col min="10249" max="10250" width="15.7109375" style="2" customWidth="1"/>
    <col min="10251" max="10251" width="25" style="2" customWidth="1"/>
    <col min="10252" max="10499" width="11.42578125" style="2"/>
    <col min="10500" max="10500" width="13.85546875" style="2" customWidth="1"/>
    <col min="10501" max="10501" width="37.28515625" style="2" bestFit="1" customWidth="1"/>
    <col min="10502" max="10502" width="12.5703125" style="2" customWidth="1"/>
    <col min="10503" max="10503" width="9.28515625" style="2" customWidth="1"/>
    <col min="10504" max="10504" width="36" style="2" bestFit="1" customWidth="1"/>
    <col min="10505" max="10506" width="15.7109375" style="2" customWidth="1"/>
    <col min="10507" max="10507" width="25" style="2" customWidth="1"/>
    <col min="10508" max="10755" width="11.42578125" style="2"/>
    <col min="10756" max="10756" width="13.85546875" style="2" customWidth="1"/>
    <col min="10757" max="10757" width="37.28515625" style="2" bestFit="1" customWidth="1"/>
    <col min="10758" max="10758" width="12.5703125" style="2" customWidth="1"/>
    <col min="10759" max="10759" width="9.28515625" style="2" customWidth="1"/>
    <col min="10760" max="10760" width="36" style="2" bestFit="1" customWidth="1"/>
    <col min="10761" max="10762" width="15.7109375" style="2" customWidth="1"/>
    <col min="10763" max="10763" width="25" style="2" customWidth="1"/>
    <col min="10764" max="11011" width="11.42578125" style="2"/>
    <col min="11012" max="11012" width="13.85546875" style="2" customWidth="1"/>
    <col min="11013" max="11013" width="37.28515625" style="2" bestFit="1" customWidth="1"/>
    <col min="11014" max="11014" width="12.5703125" style="2" customWidth="1"/>
    <col min="11015" max="11015" width="9.28515625" style="2" customWidth="1"/>
    <col min="11016" max="11016" width="36" style="2" bestFit="1" customWidth="1"/>
    <col min="11017" max="11018" width="15.7109375" style="2" customWidth="1"/>
    <col min="11019" max="11019" width="25" style="2" customWidth="1"/>
    <col min="11020" max="11267" width="11.42578125" style="2"/>
    <col min="11268" max="11268" width="13.85546875" style="2" customWidth="1"/>
    <col min="11269" max="11269" width="37.28515625" style="2" bestFit="1" customWidth="1"/>
    <col min="11270" max="11270" width="12.5703125" style="2" customWidth="1"/>
    <col min="11271" max="11271" width="9.28515625" style="2" customWidth="1"/>
    <col min="11272" max="11272" width="36" style="2" bestFit="1" customWidth="1"/>
    <col min="11273" max="11274" width="15.7109375" style="2" customWidth="1"/>
    <col min="11275" max="11275" width="25" style="2" customWidth="1"/>
    <col min="11276" max="11523" width="11.42578125" style="2"/>
    <col min="11524" max="11524" width="13.85546875" style="2" customWidth="1"/>
    <col min="11525" max="11525" width="37.28515625" style="2" bestFit="1" customWidth="1"/>
    <col min="11526" max="11526" width="12.5703125" style="2" customWidth="1"/>
    <col min="11527" max="11527" width="9.28515625" style="2" customWidth="1"/>
    <col min="11528" max="11528" width="36" style="2" bestFit="1" customWidth="1"/>
    <col min="11529" max="11530" width="15.7109375" style="2" customWidth="1"/>
    <col min="11531" max="11531" width="25" style="2" customWidth="1"/>
    <col min="11532" max="11779" width="11.42578125" style="2"/>
    <col min="11780" max="11780" width="13.85546875" style="2" customWidth="1"/>
    <col min="11781" max="11781" width="37.28515625" style="2" bestFit="1" customWidth="1"/>
    <col min="11782" max="11782" width="12.5703125" style="2" customWidth="1"/>
    <col min="11783" max="11783" width="9.28515625" style="2" customWidth="1"/>
    <col min="11784" max="11784" width="36" style="2" bestFit="1" customWidth="1"/>
    <col min="11785" max="11786" width="15.7109375" style="2" customWidth="1"/>
    <col min="11787" max="11787" width="25" style="2" customWidth="1"/>
    <col min="11788" max="12035" width="11.42578125" style="2"/>
    <col min="12036" max="12036" width="13.85546875" style="2" customWidth="1"/>
    <col min="12037" max="12037" width="37.28515625" style="2" bestFit="1" customWidth="1"/>
    <col min="12038" max="12038" width="12.5703125" style="2" customWidth="1"/>
    <col min="12039" max="12039" width="9.28515625" style="2" customWidth="1"/>
    <col min="12040" max="12040" width="36" style="2" bestFit="1" customWidth="1"/>
    <col min="12041" max="12042" width="15.7109375" style="2" customWidth="1"/>
    <col min="12043" max="12043" width="25" style="2" customWidth="1"/>
    <col min="12044" max="12291" width="11.42578125" style="2"/>
    <col min="12292" max="12292" width="13.85546875" style="2" customWidth="1"/>
    <col min="12293" max="12293" width="37.28515625" style="2" bestFit="1" customWidth="1"/>
    <col min="12294" max="12294" width="12.5703125" style="2" customWidth="1"/>
    <col min="12295" max="12295" width="9.28515625" style="2" customWidth="1"/>
    <col min="12296" max="12296" width="36" style="2" bestFit="1" customWidth="1"/>
    <col min="12297" max="12298" width="15.7109375" style="2" customWidth="1"/>
    <col min="12299" max="12299" width="25" style="2" customWidth="1"/>
    <col min="12300" max="12547" width="11.42578125" style="2"/>
    <col min="12548" max="12548" width="13.85546875" style="2" customWidth="1"/>
    <col min="12549" max="12549" width="37.28515625" style="2" bestFit="1" customWidth="1"/>
    <col min="12550" max="12550" width="12.5703125" style="2" customWidth="1"/>
    <col min="12551" max="12551" width="9.28515625" style="2" customWidth="1"/>
    <col min="12552" max="12552" width="36" style="2" bestFit="1" customWidth="1"/>
    <col min="12553" max="12554" width="15.7109375" style="2" customWidth="1"/>
    <col min="12555" max="12555" width="25" style="2" customWidth="1"/>
    <col min="12556" max="12803" width="11.42578125" style="2"/>
    <col min="12804" max="12804" width="13.85546875" style="2" customWidth="1"/>
    <col min="12805" max="12805" width="37.28515625" style="2" bestFit="1" customWidth="1"/>
    <col min="12806" max="12806" width="12.5703125" style="2" customWidth="1"/>
    <col min="12807" max="12807" width="9.28515625" style="2" customWidth="1"/>
    <col min="12808" max="12808" width="36" style="2" bestFit="1" customWidth="1"/>
    <col min="12809" max="12810" width="15.7109375" style="2" customWidth="1"/>
    <col min="12811" max="12811" width="25" style="2" customWidth="1"/>
    <col min="12812" max="13059" width="11.42578125" style="2"/>
    <col min="13060" max="13060" width="13.85546875" style="2" customWidth="1"/>
    <col min="13061" max="13061" width="37.28515625" style="2" bestFit="1" customWidth="1"/>
    <col min="13062" max="13062" width="12.5703125" style="2" customWidth="1"/>
    <col min="13063" max="13063" width="9.28515625" style="2" customWidth="1"/>
    <col min="13064" max="13064" width="36" style="2" bestFit="1" customWidth="1"/>
    <col min="13065" max="13066" width="15.7109375" style="2" customWidth="1"/>
    <col min="13067" max="13067" width="25" style="2" customWidth="1"/>
    <col min="13068" max="13315" width="11.42578125" style="2"/>
    <col min="13316" max="13316" width="13.85546875" style="2" customWidth="1"/>
    <col min="13317" max="13317" width="37.28515625" style="2" bestFit="1" customWidth="1"/>
    <col min="13318" max="13318" width="12.5703125" style="2" customWidth="1"/>
    <col min="13319" max="13319" width="9.28515625" style="2" customWidth="1"/>
    <col min="13320" max="13320" width="36" style="2" bestFit="1" customWidth="1"/>
    <col min="13321" max="13322" width="15.7109375" style="2" customWidth="1"/>
    <col min="13323" max="13323" width="25" style="2" customWidth="1"/>
    <col min="13324" max="13571" width="11.42578125" style="2"/>
    <col min="13572" max="13572" width="13.85546875" style="2" customWidth="1"/>
    <col min="13573" max="13573" width="37.28515625" style="2" bestFit="1" customWidth="1"/>
    <col min="13574" max="13574" width="12.5703125" style="2" customWidth="1"/>
    <col min="13575" max="13575" width="9.28515625" style="2" customWidth="1"/>
    <col min="13576" max="13576" width="36" style="2" bestFit="1" customWidth="1"/>
    <col min="13577" max="13578" width="15.7109375" style="2" customWidth="1"/>
    <col min="13579" max="13579" width="25" style="2" customWidth="1"/>
    <col min="13580" max="13827" width="11.42578125" style="2"/>
    <col min="13828" max="13828" width="13.85546875" style="2" customWidth="1"/>
    <col min="13829" max="13829" width="37.28515625" style="2" bestFit="1" customWidth="1"/>
    <col min="13830" max="13830" width="12.5703125" style="2" customWidth="1"/>
    <col min="13831" max="13831" width="9.28515625" style="2" customWidth="1"/>
    <col min="13832" max="13832" width="36" style="2" bestFit="1" customWidth="1"/>
    <col min="13833" max="13834" width="15.7109375" style="2" customWidth="1"/>
    <col min="13835" max="13835" width="25" style="2" customWidth="1"/>
    <col min="13836" max="14083" width="11.42578125" style="2"/>
    <col min="14084" max="14084" width="13.85546875" style="2" customWidth="1"/>
    <col min="14085" max="14085" width="37.28515625" style="2" bestFit="1" customWidth="1"/>
    <col min="14086" max="14086" width="12.5703125" style="2" customWidth="1"/>
    <col min="14087" max="14087" width="9.28515625" style="2" customWidth="1"/>
    <col min="14088" max="14088" width="36" style="2" bestFit="1" customWidth="1"/>
    <col min="14089" max="14090" width="15.7109375" style="2" customWidth="1"/>
    <col min="14091" max="14091" width="25" style="2" customWidth="1"/>
    <col min="14092" max="14339" width="11.42578125" style="2"/>
    <col min="14340" max="14340" width="13.85546875" style="2" customWidth="1"/>
    <col min="14341" max="14341" width="37.28515625" style="2" bestFit="1" customWidth="1"/>
    <col min="14342" max="14342" width="12.5703125" style="2" customWidth="1"/>
    <col min="14343" max="14343" width="9.28515625" style="2" customWidth="1"/>
    <col min="14344" max="14344" width="36" style="2" bestFit="1" customWidth="1"/>
    <col min="14345" max="14346" width="15.7109375" style="2" customWidth="1"/>
    <col min="14347" max="14347" width="25" style="2" customWidth="1"/>
    <col min="14348" max="14595" width="11.42578125" style="2"/>
    <col min="14596" max="14596" width="13.85546875" style="2" customWidth="1"/>
    <col min="14597" max="14597" width="37.28515625" style="2" bestFit="1" customWidth="1"/>
    <col min="14598" max="14598" width="12.5703125" style="2" customWidth="1"/>
    <col min="14599" max="14599" width="9.28515625" style="2" customWidth="1"/>
    <col min="14600" max="14600" width="36" style="2" bestFit="1" customWidth="1"/>
    <col min="14601" max="14602" width="15.7109375" style="2" customWidth="1"/>
    <col min="14603" max="14603" width="25" style="2" customWidth="1"/>
    <col min="14604" max="14851" width="11.42578125" style="2"/>
    <col min="14852" max="14852" width="13.85546875" style="2" customWidth="1"/>
    <col min="14853" max="14853" width="37.28515625" style="2" bestFit="1" customWidth="1"/>
    <col min="14854" max="14854" width="12.5703125" style="2" customWidth="1"/>
    <col min="14855" max="14855" width="9.28515625" style="2" customWidth="1"/>
    <col min="14856" max="14856" width="36" style="2" bestFit="1" customWidth="1"/>
    <col min="14857" max="14858" width="15.7109375" style="2" customWidth="1"/>
    <col min="14859" max="14859" width="25" style="2" customWidth="1"/>
    <col min="14860" max="15107" width="11.42578125" style="2"/>
    <col min="15108" max="15108" width="13.85546875" style="2" customWidth="1"/>
    <col min="15109" max="15109" width="37.28515625" style="2" bestFit="1" customWidth="1"/>
    <col min="15110" max="15110" width="12.5703125" style="2" customWidth="1"/>
    <col min="15111" max="15111" width="9.28515625" style="2" customWidth="1"/>
    <col min="15112" max="15112" width="36" style="2" bestFit="1" customWidth="1"/>
    <col min="15113" max="15114" width="15.7109375" style="2" customWidth="1"/>
    <col min="15115" max="15115" width="25" style="2" customWidth="1"/>
    <col min="15116" max="15363" width="11.42578125" style="2"/>
    <col min="15364" max="15364" width="13.85546875" style="2" customWidth="1"/>
    <col min="15365" max="15365" width="37.28515625" style="2" bestFit="1" customWidth="1"/>
    <col min="15366" max="15366" width="12.5703125" style="2" customWidth="1"/>
    <col min="15367" max="15367" width="9.28515625" style="2" customWidth="1"/>
    <col min="15368" max="15368" width="36" style="2" bestFit="1" customWidth="1"/>
    <col min="15369" max="15370" width="15.7109375" style="2" customWidth="1"/>
    <col min="15371" max="15371" width="25" style="2" customWidth="1"/>
    <col min="15372" max="15619" width="11.42578125" style="2"/>
    <col min="15620" max="15620" width="13.85546875" style="2" customWidth="1"/>
    <col min="15621" max="15621" width="37.28515625" style="2" bestFit="1" customWidth="1"/>
    <col min="15622" max="15622" width="12.5703125" style="2" customWidth="1"/>
    <col min="15623" max="15623" width="9.28515625" style="2" customWidth="1"/>
    <col min="15624" max="15624" width="36" style="2" bestFit="1" customWidth="1"/>
    <col min="15625" max="15626" width="15.7109375" style="2" customWidth="1"/>
    <col min="15627" max="15627" width="25" style="2" customWidth="1"/>
    <col min="15628" max="15875" width="11.42578125" style="2"/>
    <col min="15876" max="15876" width="13.85546875" style="2" customWidth="1"/>
    <col min="15877" max="15877" width="37.28515625" style="2" bestFit="1" customWidth="1"/>
    <col min="15878" max="15878" width="12.5703125" style="2" customWidth="1"/>
    <col min="15879" max="15879" width="9.28515625" style="2" customWidth="1"/>
    <col min="15880" max="15880" width="36" style="2" bestFit="1" customWidth="1"/>
    <col min="15881" max="15882" width="15.7109375" style="2" customWidth="1"/>
    <col min="15883" max="15883" width="25" style="2" customWidth="1"/>
    <col min="15884" max="16131" width="11.42578125" style="2"/>
    <col min="16132" max="16132" width="13.85546875" style="2" customWidth="1"/>
    <col min="16133" max="16133" width="37.28515625" style="2" bestFit="1" customWidth="1"/>
    <col min="16134" max="16134" width="12.5703125" style="2" customWidth="1"/>
    <col min="16135" max="16135" width="9.28515625" style="2" customWidth="1"/>
    <col min="16136" max="16136" width="36" style="2" bestFit="1" customWidth="1"/>
    <col min="16137" max="16138" width="15.7109375" style="2" customWidth="1"/>
    <col min="16139" max="16139" width="25" style="2" customWidth="1"/>
    <col min="16140" max="16384" width="11.42578125" style="2"/>
  </cols>
  <sheetData>
    <row r="1" spans="1:13" ht="19.5" customHeight="1" x14ac:dyDescent="0.2">
      <c r="A1" s="235" t="s">
        <v>20</v>
      </c>
      <c r="B1" s="235"/>
      <c r="C1" s="235"/>
      <c r="D1" s="235"/>
      <c r="E1" s="235"/>
      <c r="F1" s="235"/>
      <c r="G1" s="235"/>
      <c r="H1" s="235"/>
      <c r="I1" s="169"/>
      <c r="J1" s="169"/>
      <c r="K1" s="169"/>
    </row>
    <row r="2" spans="1:13" ht="23.25" customHeight="1" x14ac:dyDescent="0.2">
      <c r="A2" s="236" t="s">
        <v>115</v>
      </c>
      <c r="B2" s="236"/>
      <c r="C2" s="236"/>
      <c r="D2" s="236"/>
      <c r="E2" s="236"/>
      <c r="F2" s="236"/>
      <c r="G2" s="236"/>
      <c r="H2" s="236"/>
      <c r="I2" s="170"/>
      <c r="J2" s="170"/>
      <c r="K2" s="170"/>
    </row>
    <row r="3" spans="1:13" ht="15.95" customHeight="1" x14ac:dyDescent="0.25">
      <c r="A3" s="226" t="s">
        <v>21</v>
      </c>
      <c r="B3" s="226"/>
      <c r="C3" s="226"/>
      <c r="D3" s="226"/>
      <c r="E3" s="226"/>
      <c r="F3" s="226"/>
      <c r="G3" s="226"/>
      <c r="H3" s="226"/>
      <c r="I3" s="168"/>
      <c r="J3" s="168"/>
      <c r="K3" s="168"/>
    </row>
    <row r="4" spans="1:13" ht="15.95" customHeight="1" x14ac:dyDescent="0.25">
      <c r="A4" s="168"/>
      <c r="B4" s="139"/>
      <c r="C4" s="168"/>
      <c r="D4" s="168"/>
      <c r="E4" s="168"/>
      <c r="F4" s="168"/>
      <c r="G4" s="168"/>
      <c r="H4" s="168"/>
      <c r="I4" s="168"/>
      <c r="J4" s="168"/>
      <c r="K4" s="168"/>
    </row>
    <row r="5" spans="1:13" ht="15.95" customHeight="1" x14ac:dyDescent="0.25">
      <c r="A5" s="51" t="s">
        <v>438</v>
      </c>
      <c r="B5" s="139"/>
      <c r="C5" s="168"/>
      <c r="D5" s="168"/>
      <c r="E5" s="168"/>
      <c r="F5" s="168"/>
      <c r="G5" s="168"/>
      <c r="H5" s="168"/>
      <c r="I5" s="168"/>
      <c r="J5" s="168"/>
      <c r="K5" s="168"/>
    </row>
    <row r="6" spans="1:13" ht="15.95" customHeight="1" x14ac:dyDescent="0.25">
      <c r="A6" s="51" t="s">
        <v>450</v>
      </c>
      <c r="B6" s="140"/>
      <c r="C6" s="55"/>
      <c r="D6" s="55"/>
      <c r="E6" s="44"/>
      <c r="F6" s="44"/>
      <c r="G6" s="44"/>
      <c r="H6" s="44"/>
      <c r="I6" s="44"/>
      <c r="J6" s="44"/>
      <c r="K6" s="44"/>
    </row>
    <row r="7" spans="1:13" ht="15.95" customHeight="1" x14ac:dyDescent="0.25">
      <c r="A7" s="53" t="s">
        <v>116</v>
      </c>
      <c r="B7" s="141"/>
      <c r="C7" s="45"/>
      <c r="D7" s="45"/>
      <c r="E7" s="45"/>
      <c r="F7" s="45"/>
      <c r="G7" s="45"/>
      <c r="H7" s="45"/>
      <c r="I7" s="45"/>
      <c r="J7" s="45"/>
      <c r="K7" s="45"/>
    </row>
    <row r="8" spans="1:13" ht="15.95" customHeight="1" thickBot="1" x14ac:dyDescent="0.3">
      <c r="A8" s="53"/>
      <c r="B8" s="141"/>
      <c r="C8" s="45"/>
      <c r="D8" s="45"/>
      <c r="E8" s="45"/>
      <c r="F8" s="122">
        <v>2014</v>
      </c>
      <c r="G8" s="122">
        <v>2015</v>
      </c>
      <c r="H8" s="122">
        <v>2016</v>
      </c>
      <c r="I8" s="122">
        <v>2017</v>
      </c>
      <c r="J8" s="122">
        <v>2018</v>
      </c>
      <c r="K8" s="122">
        <v>2019</v>
      </c>
    </row>
    <row r="9" spans="1:13" s="1" customFormat="1" ht="75" customHeight="1" thickBot="1" x14ac:dyDescent="0.25">
      <c r="A9" s="126" t="s">
        <v>22</v>
      </c>
      <c r="B9" s="125" t="s">
        <v>0</v>
      </c>
      <c r="C9" s="125" t="s">
        <v>23</v>
      </c>
      <c r="D9" s="125" t="s">
        <v>24</v>
      </c>
      <c r="E9" s="125" t="s">
        <v>33</v>
      </c>
      <c r="F9" s="125" t="s">
        <v>433</v>
      </c>
      <c r="G9" s="125" t="s">
        <v>34</v>
      </c>
      <c r="H9" s="127" t="s">
        <v>34</v>
      </c>
      <c r="I9" s="127" t="s">
        <v>34</v>
      </c>
      <c r="J9" s="127" t="s">
        <v>34</v>
      </c>
      <c r="K9" s="127" t="s">
        <v>34</v>
      </c>
      <c r="L9" s="210" t="s">
        <v>126</v>
      </c>
      <c r="M9" s="128" t="s">
        <v>440</v>
      </c>
    </row>
    <row r="10" spans="1:13" ht="24" customHeight="1" x14ac:dyDescent="0.2">
      <c r="A10" s="129">
        <v>1101414793</v>
      </c>
      <c r="B10" s="96" t="s">
        <v>136</v>
      </c>
      <c r="C10" s="150">
        <v>1</v>
      </c>
      <c r="D10" s="87">
        <v>1</v>
      </c>
      <c r="E10" s="206" t="s">
        <v>137</v>
      </c>
      <c r="F10" s="88">
        <v>565.22</v>
      </c>
      <c r="G10" s="88">
        <v>565.22</v>
      </c>
      <c r="H10" s="88">
        <v>565.22</v>
      </c>
      <c r="I10" s="88">
        <v>565.22</v>
      </c>
      <c r="J10" s="88">
        <v>565.22</v>
      </c>
      <c r="K10" s="88">
        <v>565.22</v>
      </c>
      <c r="L10" s="213" t="s">
        <v>434</v>
      </c>
      <c r="M10" s="209">
        <v>40909</v>
      </c>
    </row>
    <row r="11" spans="1:13" ht="24" customHeight="1" x14ac:dyDescent="0.2">
      <c r="A11" s="130">
        <v>1101891743</v>
      </c>
      <c r="B11" s="96" t="s">
        <v>441</v>
      </c>
      <c r="C11" s="151">
        <v>2</v>
      </c>
      <c r="D11" s="89">
        <v>5</v>
      </c>
      <c r="E11" s="206" t="s">
        <v>138</v>
      </c>
      <c r="F11" s="90">
        <v>889.33</v>
      </c>
      <c r="G11" s="90">
        <v>889.33</v>
      </c>
      <c r="H11" s="90">
        <v>889.33</v>
      </c>
      <c r="I11" s="90">
        <v>889.33</v>
      </c>
      <c r="J11" s="90">
        <v>889.33</v>
      </c>
      <c r="K11" s="90">
        <v>889.33</v>
      </c>
      <c r="L11" s="213" t="s">
        <v>434</v>
      </c>
      <c r="M11" s="209">
        <v>40909</v>
      </c>
    </row>
    <row r="12" spans="1:13" s="179" customFormat="1" ht="24" customHeight="1" x14ac:dyDescent="0.2">
      <c r="A12" s="129">
        <v>1102409362</v>
      </c>
      <c r="B12" s="96" t="s">
        <v>139</v>
      </c>
      <c r="C12" s="151">
        <v>3</v>
      </c>
      <c r="D12" s="89">
        <v>1</v>
      </c>
      <c r="E12" s="206" t="s">
        <v>485</v>
      </c>
      <c r="F12" s="91">
        <v>565.22</v>
      </c>
      <c r="G12" s="91">
        <v>565.22</v>
      </c>
      <c r="H12" s="91">
        <v>565.22</v>
      </c>
      <c r="I12" s="91">
        <v>565.22</v>
      </c>
      <c r="J12" s="91">
        <v>565.22</v>
      </c>
      <c r="K12" s="91">
        <v>565.22</v>
      </c>
      <c r="L12" s="213" t="s">
        <v>434</v>
      </c>
      <c r="M12" s="209">
        <v>40909</v>
      </c>
    </row>
    <row r="13" spans="1:13" s="179" customFormat="1" ht="24" customHeight="1" x14ac:dyDescent="0.2">
      <c r="A13" s="131">
        <v>1102462072</v>
      </c>
      <c r="B13" s="96" t="s">
        <v>140</v>
      </c>
      <c r="C13" s="151">
        <f>+C12+1</f>
        <v>4</v>
      </c>
      <c r="D13" s="89">
        <v>5</v>
      </c>
      <c r="E13" s="206" t="s">
        <v>489</v>
      </c>
      <c r="F13" s="90">
        <v>733</v>
      </c>
      <c r="G13" s="90">
        <v>733</v>
      </c>
      <c r="H13" s="90">
        <v>733</v>
      </c>
      <c r="I13" s="90">
        <v>733</v>
      </c>
      <c r="J13" s="90">
        <v>733</v>
      </c>
      <c r="K13" s="90">
        <v>733</v>
      </c>
      <c r="L13" s="213" t="s">
        <v>434</v>
      </c>
      <c r="M13" s="209">
        <v>41640</v>
      </c>
    </row>
    <row r="14" spans="1:13" s="179" customFormat="1" ht="24" customHeight="1" x14ac:dyDescent="0.2">
      <c r="A14" s="132">
        <v>1104225295</v>
      </c>
      <c r="B14" s="96" t="s">
        <v>141</v>
      </c>
      <c r="C14" s="151">
        <f t="shared" ref="C14:C77" si="0">+C13+1</f>
        <v>5</v>
      </c>
      <c r="D14" s="89">
        <v>1</v>
      </c>
      <c r="E14" s="206" t="s">
        <v>485</v>
      </c>
      <c r="F14" s="91">
        <v>565.22</v>
      </c>
      <c r="G14" s="91">
        <v>565.22</v>
      </c>
      <c r="H14" s="91">
        <v>565.22</v>
      </c>
      <c r="I14" s="91">
        <v>565.22</v>
      </c>
      <c r="J14" s="91">
        <v>565.22</v>
      </c>
      <c r="K14" s="91">
        <v>565.22</v>
      </c>
      <c r="L14" s="213" t="s">
        <v>434</v>
      </c>
      <c r="M14" s="209">
        <v>40909</v>
      </c>
    </row>
    <row r="15" spans="1:13" s="179" customFormat="1" ht="24" customHeight="1" x14ac:dyDescent="0.2">
      <c r="A15" s="133">
        <v>1101977617</v>
      </c>
      <c r="B15" s="96" t="s">
        <v>142</v>
      </c>
      <c r="C15" s="151">
        <f t="shared" si="0"/>
        <v>6</v>
      </c>
      <c r="D15" s="89">
        <v>4</v>
      </c>
      <c r="E15" s="206" t="s">
        <v>486</v>
      </c>
      <c r="F15" s="91">
        <v>615.22</v>
      </c>
      <c r="G15" s="91">
        <v>615.22</v>
      </c>
      <c r="H15" s="91">
        <v>615.22</v>
      </c>
      <c r="I15" s="91">
        <v>615.22</v>
      </c>
      <c r="J15" s="91">
        <v>615.22</v>
      </c>
      <c r="K15" s="91">
        <v>615.22</v>
      </c>
      <c r="L15" s="213" t="s">
        <v>434</v>
      </c>
      <c r="M15" s="209">
        <v>40909</v>
      </c>
    </row>
    <row r="16" spans="1:13" s="179" customFormat="1" ht="24" customHeight="1" x14ac:dyDescent="0.2">
      <c r="A16" s="133" t="s">
        <v>143</v>
      </c>
      <c r="B16" s="96" t="s">
        <v>144</v>
      </c>
      <c r="C16" s="151">
        <f t="shared" si="0"/>
        <v>7</v>
      </c>
      <c r="D16" s="89">
        <v>9</v>
      </c>
      <c r="E16" s="206" t="s">
        <v>491</v>
      </c>
      <c r="F16" s="90">
        <v>1067.8599999999999</v>
      </c>
      <c r="G16" s="90">
        <v>1067.8599999999999</v>
      </c>
      <c r="H16" s="90">
        <v>1067.8599999999999</v>
      </c>
      <c r="I16" s="90">
        <v>1067.8599999999999</v>
      </c>
      <c r="J16" s="90">
        <v>1067.8599999999999</v>
      </c>
      <c r="K16" s="90">
        <v>1067.8599999999999</v>
      </c>
      <c r="L16" s="213" t="s">
        <v>434</v>
      </c>
      <c r="M16" s="209">
        <v>40909</v>
      </c>
    </row>
    <row r="17" spans="1:13" s="179" customFormat="1" ht="24" customHeight="1" x14ac:dyDescent="0.2">
      <c r="A17" s="133">
        <v>1101705117</v>
      </c>
      <c r="B17" s="96" t="s">
        <v>145</v>
      </c>
      <c r="C17" s="151">
        <f t="shared" si="0"/>
        <v>8</v>
      </c>
      <c r="D17" s="89">
        <v>1</v>
      </c>
      <c r="E17" s="206" t="s">
        <v>146</v>
      </c>
      <c r="F17" s="91">
        <v>565.22</v>
      </c>
      <c r="G17" s="91">
        <v>565.22</v>
      </c>
      <c r="H17" s="91">
        <v>565.22</v>
      </c>
      <c r="I17" s="91">
        <v>565.22</v>
      </c>
      <c r="J17" s="91">
        <v>565.22</v>
      </c>
      <c r="K17" s="91">
        <v>565.22</v>
      </c>
      <c r="L17" s="213" t="s">
        <v>434</v>
      </c>
      <c r="M17" s="209">
        <v>40909</v>
      </c>
    </row>
    <row r="18" spans="1:13" s="179" customFormat="1" ht="24" customHeight="1" x14ac:dyDescent="0.2">
      <c r="A18" s="133" t="s">
        <v>147</v>
      </c>
      <c r="B18" s="96" t="s">
        <v>148</v>
      </c>
      <c r="C18" s="151">
        <f t="shared" si="0"/>
        <v>9</v>
      </c>
      <c r="D18" s="89">
        <v>5</v>
      </c>
      <c r="E18" s="206" t="s">
        <v>488</v>
      </c>
      <c r="F18" s="91">
        <v>733.22</v>
      </c>
      <c r="G18" s="91">
        <v>733.22</v>
      </c>
      <c r="H18" s="91">
        <v>733.22</v>
      </c>
      <c r="I18" s="91">
        <v>733.22</v>
      </c>
      <c r="J18" s="91">
        <v>733.22</v>
      </c>
      <c r="K18" s="91">
        <v>733.22</v>
      </c>
      <c r="L18" s="213" t="s">
        <v>434</v>
      </c>
      <c r="M18" s="209">
        <v>40909</v>
      </c>
    </row>
    <row r="19" spans="1:13" s="179" customFormat="1" ht="24" customHeight="1" x14ac:dyDescent="0.2">
      <c r="A19" s="133">
        <v>1102957576</v>
      </c>
      <c r="B19" s="96" t="s">
        <v>149</v>
      </c>
      <c r="C19" s="151">
        <f t="shared" si="0"/>
        <v>10</v>
      </c>
      <c r="D19" s="89">
        <v>1</v>
      </c>
      <c r="E19" s="206" t="s">
        <v>137</v>
      </c>
      <c r="F19" s="91">
        <v>565.22</v>
      </c>
      <c r="G19" s="91">
        <v>565.22</v>
      </c>
      <c r="H19" s="91">
        <v>565.22</v>
      </c>
      <c r="I19" s="91">
        <v>565.22</v>
      </c>
      <c r="J19" s="91">
        <v>565.22</v>
      </c>
      <c r="K19" s="91">
        <v>565.22</v>
      </c>
      <c r="L19" s="213" t="s">
        <v>434</v>
      </c>
      <c r="M19" s="209">
        <v>40909</v>
      </c>
    </row>
    <row r="20" spans="1:13" s="179" customFormat="1" ht="24" customHeight="1" x14ac:dyDescent="0.2">
      <c r="A20" s="133">
        <v>1100202439</v>
      </c>
      <c r="B20" s="96" t="s">
        <v>150</v>
      </c>
      <c r="C20" s="151">
        <f t="shared" si="0"/>
        <v>11</v>
      </c>
      <c r="D20" s="89">
        <v>5</v>
      </c>
      <c r="E20" s="206" t="s">
        <v>151</v>
      </c>
      <c r="F20" s="91">
        <v>733.22</v>
      </c>
      <c r="G20" s="91">
        <v>733.22</v>
      </c>
      <c r="H20" s="91">
        <v>733.22</v>
      </c>
      <c r="I20" s="91">
        <v>733.22</v>
      </c>
      <c r="J20" s="91">
        <v>733.22</v>
      </c>
      <c r="K20" s="91">
        <v>733.22</v>
      </c>
      <c r="L20" s="213" t="s">
        <v>434</v>
      </c>
      <c r="M20" s="209">
        <v>40909</v>
      </c>
    </row>
    <row r="21" spans="1:13" s="179" customFormat="1" ht="24" customHeight="1" x14ac:dyDescent="0.2">
      <c r="A21" s="133">
        <v>1104163082</v>
      </c>
      <c r="B21" s="96" t="s">
        <v>152</v>
      </c>
      <c r="C21" s="151">
        <f t="shared" si="0"/>
        <v>12</v>
      </c>
      <c r="D21" s="89">
        <v>1</v>
      </c>
      <c r="E21" s="206" t="s">
        <v>484</v>
      </c>
      <c r="F21" s="91">
        <v>565.22</v>
      </c>
      <c r="G21" s="91">
        <v>565.22</v>
      </c>
      <c r="H21" s="91">
        <v>565.22</v>
      </c>
      <c r="I21" s="91">
        <v>565.22</v>
      </c>
      <c r="J21" s="91">
        <v>565.22</v>
      </c>
      <c r="K21" s="91">
        <v>565.22</v>
      </c>
      <c r="L21" s="213" t="s">
        <v>434</v>
      </c>
      <c r="M21" s="209">
        <v>40909</v>
      </c>
    </row>
    <row r="22" spans="1:13" s="179" customFormat="1" ht="24" customHeight="1" x14ac:dyDescent="0.2">
      <c r="A22" s="133">
        <v>1102165659</v>
      </c>
      <c r="B22" s="96" t="s">
        <v>153</v>
      </c>
      <c r="C22" s="151">
        <f t="shared" si="0"/>
        <v>13</v>
      </c>
      <c r="D22" s="89">
        <v>2</v>
      </c>
      <c r="E22" s="206" t="s">
        <v>154</v>
      </c>
      <c r="F22" s="91">
        <v>581.22</v>
      </c>
      <c r="G22" s="91">
        <v>581.22</v>
      </c>
      <c r="H22" s="91">
        <v>581.22</v>
      </c>
      <c r="I22" s="91">
        <v>581.22</v>
      </c>
      <c r="J22" s="91">
        <v>581.22</v>
      </c>
      <c r="K22" s="91">
        <v>581.22</v>
      </c>
      <c r="L22" s="213" t="s">
        <v>434</v>
      </c>
      <c r="M22" s="209">
        <v>40909</v>
      </c>
    </row>
    <row r="23" spans="1:13" s="179" customFormat="1" ht="51.75" customHeight="1" x14ac:dyDescent="0.2">
      <c r="A23" s="133">
        <v>1703633683</v>
      </c>
      <c r="B23" s="96" t="s">
        <v>459</v>
      </c>
      <c r="C23" s="151">
        <f t="shared" si="0"/>
        <v>14</v>
      </c>
      <c r="D23" s="89">
        <v>1</v>
      </c>
      <c r="E23" s="206" t="s">
        <v>155</v>
      </c>
      <c r="F23" s="94">
        <v>565.22</v>
      </c>
      <c r="G23" s="94">
        <v>565.22</v>
      </c>
      <c r="H23" s="94">
        <v>565.22</v>
      </c>
      <c r="I23" s="94">
        <v>565.22</v>
      </c>
      <c r="J23" s="94">
        <v>565.22</v>
      </c>
      <c r="K23" s="91">
        <v>0</v>
      </c>
      <c r="L23" s="213" t="s">
        <v>504</v>
      </c>
      <c r="M23" s="209">
        <v>40909</v>
      </c>
    </row>
    <row r="24" spans="1:13" s="179" customFormat="1" ht="24" customHeight="1" x14ac:dyDescent="0.2">
      <c r="A24" s="133">
        <v>1102863857</v>
      </c>
      <c r="B24" s="96" t="s">
        <v>156</v>
      </c>
      <c r="C24" s="151">
        <f t="shared" si="0"/>
        <v>15</v>
      </c>
      <c r="D24" s="89">
        <v>4</v>
      </c>
      <c r="E24" s="206" t="s">
        <v>486</v>
      </c>
      <c r="F24" s="91">
        <v>615.22</v>
      </c>
      <c r="G24" s="91">
        <v>615.22</v>
      </c>
      <c r="H24" s="91">
        <v>615.22</v>
      </c>
      <c r="I24" s="91">
        <v>615.22</v>
      </c>
      <c r="J24" s="91">
        <v>615.22</v>
      </c>
      <c r="K24" s="91">
        <v>615.22</v>
      </c>
      <c r="L24" s="213" t="s">
        <v>434</v>
      </c>
      <c r="M24" s="209">
        <v>40909</v>
      </c>
    </row>
    <row r="25" spans="1:13" s="179" customFormat="1" ht="24" customHeight="1" x14ac:dyDescent="0.2">
      <c r="A25" s="134">
        <v>1102175229</v>
      </c>
      <c r="B25" s="96" t="s">
        <v>157</v>
      </c>
      <c r="C25" s="151">
        <f t="shared" si="0"/>
        <v>16</v>
      </c>
      <c r="D25" s="89">
        <v>1</v>
      </c>
      <c r="E25" s="206" t="s">
        <v>158</v>
      </c>
      <c r="F25" s="92">
        <v>565</v>
      </c>
      <c r="G25" s="92">
        <v>565</v>
      </c>
      <c r="H25" s="92">
        <v>565</v>
      </c>
      <c r="I25" s="92">
        <v>565</v>
      </c>
      <c r="J25" s="92">
        <v>565</v>
      </c>
      <c r="K25" s="92">
        <v>565</v>
      </c>
      <c r="L25" s="213" t="s">
        <v>434</v>
      </c>
      <c r="M25" s="209">
        <v>41640</v>
      </c>
    </row>
    <row r="26" spans="1:13" s="179" customFormat="1" ht="24" customHeight="1" x14ac:dyDescent="0.2">
      <c r="A26" s="133">
        <v>1103403760</v>
      </c>
      <c r="B26" s="96" t="s">
        <v>159</v>
      </c>
      <c r="C26" s="151">
        <f t="shared" si="0"/>
        <v>17</v>
      </c>
      <c r="D26" s="89">
        <v>4</v>
      </c>
      <c r="E26" s="206" t="s">
        <v>486</v>
      </c>
      <c r="F26" s="91">
        <v>615.22</v>
      </c>
      <c r="G26" s="91">
        <v>615.22</v>
      </c>
      <c r="H26" s="91">
        <v>615.22</v>
      </c>
      <c r="I26" s="91">
        <v>615.22</v>
      </c>
      <c r="J26" s="91">
        <v>615.22</v>
      </c>
      <c r="K26" s="91">
        <v>615.22</v>
      </c>
      <c r="L26" s="213" t="s">
        <v>434</v>
      </c>
      <c r="M26" s="209">
        <v>40909</v>
      </c>
    </row>
    <row r="27" spans="1:13" s="179" customFormat="1" ht="27" customHeight="1" x14ac:dyDescent="0.2">
      <c r="A27" s="133">
        <v>1102980826</v>
      </c>
      <c r="B27" s="96" t="s">
        <v>460</v>
      </c>
      <c r="C27" s="151">
        <f t="shared" si="0"/>
        <v>18</v>
      </c>
      <c r="D27" s="89">
        <v>1</v>
      </c>
      <c r="E27" s="206" t="s">
        <v>485</v>
      </c>
      <c r="F27" s="91">
        <v>615.22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213" t="s">
        <v>497</v>
      </c>
      <c r="M27" s="209">
        <v>40909</v>
      </c>
    </row>
    <row r="28" spans="1:13" s="179" customFormat="1" ht="24" customHeight="1" x14ac:dyDescent="0.2">
      <c r="A28" s="133">
        <v>1104398951</v>
      </c>
      <c r="B28" s="96" t="s">
        <v>160</v>
      </c>
      <c r="C28" s="151">
        <f t="shared" si="0"/>
        <v>19</v>
      </c>
      <c r="D28" s="89">
        <v>5</v>
      </c>
      <c r="E28" s="206" t="s">
        <v>151</v>
      </c>
      <c r="F28" s="91">
        <v>733.22</v>
      </c>
      <c r="G28" s="91">
        <v>733.22</v>
      </c>
      <c r="H28" s="91">
        <v>733.22</v>
      </c>
      <c r="I28" s="91">
        <v>733.22</v>
      </c>
      <c r="J28" s="91">
        <v>733.22</v>
      </c>
      <c r="K28" s="91">
        <v>733.22</v>
      </c>
      <c r="L28" s="213" t="s">
        <v>434</v>
      </c>
      <c r="M28" s="209">
        <v>40909</v>
      </c>
    </row>
    <row r="29" spans="1:13" s="179" customFormat="1" ht="24" customHeight="1" x14ac:dyDescent="0.2">
      <c r="A29" s="133" t="s">
        <v>161</v>
      </c>
      <c r="B29" s="96" t="s">
        <v>162</v>
      </c>
      <c r="C29" s="151">
        <f t="shared" si="0"/>
        <v>20</v>
      </c>
      <c r="D29" s="89">
        <v>4</v>
      </c>
      <c r="E29" s="206" t="s">
        <v>486</v>
      </c>
      <c r="F29" s="91">
        <v>615.22</v>
      </c>
      <c r="G29" s="91">
        <v>615.22</v>
      </c>
      <c r="H29" s="91">
        <v>615.22</v>
      </c>
      <c r="I29" s="91">
        <v>615.22</v>
      </c>
      <c r="J29" s="91">
        <v>615.22</v>
      </c>
      <c r="K29" s="91">
        <v>615.22</v>
      </c>
      <c r="L29" s="213" t="s">
        <v>434</v>
      </c>
      <c r="M29" s="209">
        <v>40909</v>
      </c>
    </row>
    <row r="30" spans="1:13" s="179" customFormat="1" ht="24" customHeight="1" x14ac:dyDescent="0.2">
      <c r="A30" s="133">
        <v>1804035937</v>
      </c>
      <c r="B30" s="96" t="s">
        <v>163</v>
      </c>
      <c r="C30" s="151">
        <f t="shared" si="0"/>
        <v>21</v>
      </c>
      <c r="D30" s="89">
        <v>2</v>
      </c>
      <c r="E30" s="206" t="s">
        <v>164</v>
      </c>
      <c r="F30" s="91">
        <v>581.22</v>
      </c>
      <c r="G30" s="91">
        <v>581.22</v>
      </c>
      <c r="H30" s="91">
        <v>581.22</v>
      </c>
      <c r="I30" s="91">
        <v>581.22</v>
      </c>
      <c r="J30" s="91">
        <v>581.22</v>
      </c>
      <c r="K30" s="91">
        <v>581.22</v>
      </c>
      <c r="L30" s="213" t="s">
        <v>434</v>
      </c>
      <c r="M30" s="209">
        <v>40909</v>
      </c>
    </row>
    <row r="31" spans="1:13" s="179" customFormat="1" ht="24" customHeight="1" x14ac:dyDescent="0.2">
      <c r="A31" s="133">
        <v>1103015093</v>
      </c>
      <c r="B31" s="96" t="s">
        <v>165</v>
      </c>
      <c r="C31" s="151">
        <f t="shared" si="0"/>
        <v>22</v>
      </c>
      <c r="D31" s="89">
        <v>8</v>
      </c>
      <c r="E31" s="206" t="s">
        <v>492</v>
      </c>
      <c r="F31" s="91">
        <v>816.22</v>
      </c>
      <c r="G31" s="91">
        <v>816.22</v>
      </c>
      <c r="H31" s="91">
        <v>816.22</v>
      </c>
      <c r="I31" s="91">
        <v>816.22</v>
      </c>
      <c r="J31" s="91">
        <v>816.22</v>
      </c>
      <c r="K31" s="91">
        <v>816.22</v>
      </c>
      <c r="L31" s="213" t="s">
        <v>434</v>
      </c>
      <c r="M31" s="209">
        <v>40909</v>
      </c>
    </row>
    <row r="32" spans="1:13" s="179" customFormat="1" ht="27" customHeight="1" x14ac:dyDescent="0.2">
      <c r="A32" s="133">
        <v>1703099513</v>
      </c>
      <c r="B32" s="96" t="s">
        <v>461</v>
      </c>
      <c r="C32" s="151">
        <f t="shared" si="0"/>
        <v>23</v>
      </c>
      <c r="D32" s="89">
        <v>5</v>
      </c>
      <c r="E32" s="206" t="s">
        <v>151</v>
      </c>
      <c r="F32" s="94">
        <v>733.22</v>
      </c>
      <c r="G32" s="94">
        <v>733.22</v>
      </c>
      <c r="H32" s="94">
        <v>733.22</v>
      </c>
      <c r="I32" s="94">
        <v>733.22</v>
      </c>
      <c r="J32" s="94">
        <v>733.22</v>
      </c>
      <c r="K32" s="91">
        <v>0</v>
      </c>
      <c r="L32" s="213" t="s">
        <v>504</v>
      </c>
      <c r="M32" s="209">
        <v>40909</v>
      </c>
    </row>
    <row r="33" spans="1:13" s="179" customFormat="1" ht="24" customHeight="1" x14ac:dyDescent="0.2">
      <c r="A33" s="129">
        <v>1100587060</v>
      </c>
      <c r="B33" s="96" t="s">
        <v>166</v>
      </c>
      <c r="C33" s="151">
        <f t="shared" si="0"/>
        <v>24</v>
      </c>
      <c r="D33" s="89">
        <v>4</v>
      </c>
      <c r="E33" s="206" t="s">
        <v>486</v>
      </c>
      <c r="F33" s="91">
        <v>615.22</v>
      </c>
      <c r="G33" s="91">
        <v>615.22</v>
      </c>
      <c r="H33" s="91">
        <v>615.22</v>
      </c>
      <c r="I33" s="91">
        <v>615.22</v>
      </c>
      <c r="J33" s="91">
        <v>615.22</v>
      </c>
      <c r="K33" s="91">
        <v>615.22</v>
      </c>
      <c r="L33" s="213" t="s">
        <v>434</v>
      </c>
      <c r="M33" s="209">
        <v>40909</v>
      </c>
    </row>
    <row r="34" spans="1:13" s="179" customFormat="1" ht="24" customHeight="1" x14ac:dyDescent="0.2">
      <c r="A34" s="131">
        <v>1105035883</v>
      </c>
      <c r="B34" s="96" t="s">
        <v>167</v>
      </c>
      <c r="C34" s="151">
        <f t="shared" si="0"/>
        <v>25</v>
      </c>
      <c r="D34" s="89">
        <v>1</v>
      </c>
      <c r="E34" s="206" t="s">
        <v>485</v>
      </c>
      <c r="F34" s="92">
        <v>565</v>
      </c>
      <c r="G34" s="92">
        <v>565</v>
      </c>
      <c r="H34" s="92">
        <v>565</v>
      </c>
      <c r="I34" s="92">
        <v>565</v>
      </c>
      <c r="J34" s="92">
        <v>565</v>
      </c>
      <c r="K34" s="92">
        <v>565</v>
      </c>
      <c r="L34" s="214" t="s">
        <v>434</v>
      </c>
      <c r="M34" s="209">
        <v>41640</v>
      </c>
    </row>
    <row r="35" spans="1:13" s="179" customFormat="1" ht="26.25" customHeight="1" x14ac:dyDescent="0.2">
      <c r="A35" s="129">
        <v>1900383090</v>
      </c>
      <c r="B35" s="96" t="s">
        <v>168</v>
      </c>
      <c r="C35" s="151">
        <f t="shared" si="0"/>
        <v>26</v>
      </c>
      <c r="D35" s="89">
        <v>5</v>
      </c>
      <c r="E35" s="206" t="s">
        <v>138</v>
      </c>
      <c r="F35" s="91">
        <v>733.22</v>
      </c>
      <c r="G35" s="91">
        <v>733.22</v>
      </c>
      <c r="H35" s="91">
        <v>733.22</v>
      </c>
      <c r="I35" s="91">
        <v>733.22</v>
      </c>
      <c r="J35" s="91">
        <v>733.22</v>
      </c>
      <c r="K35" s="91">
        <v>733.22</v>
      </c>
      <c r="L35" s="214" t="s">
        <v>434</v>
      </c>
      <c r="M35" s="209">
        <v>40909</v>
      </c>
    </row>
    <row r="36" spans="1:13" s="179" customFormat="1" ht="26.25" customHeight="1" x14ac:dyDescent="0.2">
      <c r="A36" s="133">
        <v>1103650055</v>
      </c>
      <c r="B36" s="96" t="s">
        <v>169</v>
      </c>
      <c r="C36" s="151">
        <f t="shared" si="0"/>
        <v>27</v>
      </c>
      <c r="D36" s="89">
        <v>6</v>
      </c>
      <c r="E36" s="206" t="s">
        <v>170</v>
      </c>
      <c r="F36" s="91">
        <v>615.22</v>
      </c>
      <c r="G36" s="91">
        <v>615.22</v>
      </c>
      <c r="H36" s="91">
        <v>709</v>
      </c>
      <c r="I36" s="91">
        <v>709</v>
      </c>
      <c r="J36" s="91">
        <v>709</v>
      </c>
      <c r="K36" s="91">
        <v>709</v>
      </c>
      <c r="L36" s="213" t="s">
        <v>495</v>
      </c>
      <c r="M36" s="209">
        <v>40909</v>
      </c>
    </row>
    <row r="37" spans="1:13" s="179" customFormat="1" ht="26.25" customHeight="1" x14ac:dyDescent="0.2">
      <c r="A37" s="133">
        <v>1103812838</v>
      </c>
      <c r="B37" s="96" t="s">
        <v>171</v>
      </c>
      <c r="C37" s="151">
        <f t="shared" si="0"/>
        <v>28</v>
      </c>
      <c r="D37" s="89">
        <v>4</v>
      </c>
      <c r="E37" s="206" t="s">
        <v>486</v>
      </c>
      <c r="F37" s="91">
        <v>615.22</v>
      </c>
      <c r="G37" s="91">
        <v>615.22</v>
      </c>
      <c r="H37" s="91">
        <v>615.22</v>
      </c>
      <c r="I37" s="91">
        <v>615.22</v>
      </c>
      <c r="J37" s="91">
        <v>615.22</v>
      </c>
      <c r="K37" s="91">
        <v>615.22</v>
      </c>
      <c r="L37" s="213" t="s">
        <v>434</v>
      </c>
      <c r="M37" s="209">
        <v>40909</v>
      </c>
    </row>
    <row r="38" spans="1:13" s="179" customFormat="1" ht="26.25" customHeight="1" x14ac:dyDescent="0.2">
      <c r="A38" s="129">
        <v>1103632095</v>
      </c>
      <c r="B38" s="96" t="s">
        <v>172</v>
      </c>
      <c r="C38" s="151">
        <f t="shared" si="0"/>
        <v>29</v>
      </c>
      <c r="D38" s="89">
        <v>1</v>
      </c>
      <c r="E38" s="206" t="s">
        <v>137</v>
      </c>
      <c r="F38" s="91">
        <v>565.22</v>
      </c>
      <c r="G38" s="91">
        <v>565.22</v>
      </c>
      <c r="H38" s="91">
        <v>565.22</v>
      </c>
      <c r="I38" s="91">
        <v>565.22</v>
      </c>
      <c r="J38" s="91">
        <v>565.22</v>
      </c>
      <c r="K38" s="91">
        <v>565.22</v>
      </c>
      <c r="L38" s="213" t="s">
        <v>434</v>
      </c>
      <c r="M38" s="209">
        <v>40909</v>
      </c>
    </row>
    <row r="39" spans="1:13" s="179" customFormat="1" ht="26.25" customHeight="1" x14ac:dyDescent="0.2">
      <c r="A39" s="131">
        <v>1104565468</v>
      </c>
      <c r="B39" s="96" t="s">
        <v>173</v>
      </c>
      <c r="C39" s="151">
        <f t="shared" si="0"/>
        <v>30</v>
      </c>
      <c r="D39" s="89">
        <v>1</v>
      </c>
      <c r="E39" s="206" t="s">
        <v>158</v>
      </c>
      <c r="F39" s="92">
        <v>565</v>
      </c>
      <c r="G39" s="92">
        <v>565</v>
      </c>
      <c r="H39" s="92">
        <v>565</v>
      </c>
      <c r="I39" s="92">
        <v>565</v>
      </c>
      <c r="J39" s="92">
        <v>565</v>
      </c>
      <c r="K39" s="92">
        <v>565</v>
      </c>
      <c r="L39" s="213" t="s">
        <v>434</v>
      </c>
      <c r="M39" s="209">
        <v>41640</v>
      </c>
    </row>
    <row r="40" spans="1:13" s="179" customFormat="1" ht="26.25" customHeight="1" x14ac:dyDescent="0.2">
      <c r="A40" s="133">
        <v>1102803457</v>
      </c>
      <c r="B40" s="96" t="s">
        <v>174</v>
      </c>
      <c r="C40" s="151">
        <f t="shared" si="0"/>
        <v>31</v>
      </c>
      <c r="D40" s="89">
        <v>1</v>
      </c>
      <c r="E40" s="206" t="s">
        <v>175</v>
      </c>
      <c r="F40" s="91">
        <v>565.22</v>
      </c>
      <c r="G40" s="91">
        <v>565.22</v>
      </c>
      <c r="H40" s="91">
        <v>565.22</v>
      </c>
      <c r="I40" s="91">
        <v>565.22</v>
      </c>
      <c r="J40" s="91">
        <v>565.22</v>
      </c>
      <c r="K40" s="91">
        <v>565.22</v>
      </c>
      <c r="L40" s="213" t="s">
        <v>434</v>
      </c>
      <c r="M40" s="209">
        <v>40909</v>
      </c>
    </row>
    <row r="41" spans="1:13" s="179" customFormat="1" ht="26.25" customHeight="1" x14ac:dyDescent="0.2">
      <c r="A41" s="131">
        <v>1104063274</v>
      </c>
      <c r="B41" s="96" t="s">
        <v>176</v>
      </c>
      <c r="C41" s="151">
        <f t="shared" si="0"/>
        <v>32</v>
      </c>
      <c r="D41" s="89">
        <v>1</v>
      </c>
      <c r="E41" s="206" t="s">
        <v>158</v>
      </c>
      <c r="F41" s="92">
        <v>565</v>
      </c>
      <c r="G41" s="92">
        <v>565</v>
      </c>
      <c r="H41" s="92">
        <v>565</v>
      </c>
      <c r="I41" s="92">
        <v>565</v>
      </c>
      <c r="J41" s="92">
        <v>565</v>
      </c>
      <c r="K41" s="92">
        <v>565</v>
      </c>
      <c r="L41" s="213" t="s">
        <v>434</v>
      </c>
      <c r="M41" s="209">
        <v>41640</v>
      </c>
    </row>
    <row r="42" spans="1:13" s="179" customFormat="1" ht="26.25" customHeight="1" x14ac:dyDescent="0.2">
      <c r="A42" s="132">
        <v>1100112141</v>
      </c>
      <c r="B42" s="96" t="s">
        <v>177</v>
      </c>
      <c r="C42" s="151">
        <f t="shared" si="0"/>
        <v>33</v>
      </c>
      <c r="D42" s="89">
        <v>4</v>
      </c>
      <c r="E42" s="206" t="s">
        <v>486</v>
      </c>
      <c r="F42" s="91">
        <v>615.22</v>
      </c>
      <c r="G42" s="91">
        <v>615.22</v>
      </c>
      <c r="H42" s="91">
        <v>615.22</v>
      </c>
      <c r="I42" s="91">
        <v>615.22</v>
      </c>
      <c r="J42" s="91">
        <v>615.22</v>
      </c>
      <c r="K42" s="91">
        <v>615.22</v>
      </c>
      <c r="L42" s="213" t="s">
        <v>434</v>
      </c>
      <c r="M42" s="209">
        <v>40909</v>
      </c>
    </row>
    <row r="43" spans="1:13" s="179" customFormat="1" ht="24.75" customHeight="1" x14ac:dyDescent="0.2">
      <c r="A43" s="132">
        <v>1101426359</v>
      </c>
      <c r="B43" s="96" t="s">
        <v>462</v>
      </c>
      <c r="C43" s="151">
        <f t="shared" si="0"/>
        <v>34</v>
      </c>
      <c r="D43" s="89">
        <v>1</v>
      </c>
      <c r="E43" s="206" t="s">
        <v>158</v>
      </c>
      <c r="F43" s="92">
        <v>565</v>
      </c>
      <c r="G43" s="91">
        <v>0</v>
      </c>
      <c r="H43" s="91">
        <v>0</v>
      </c>
      <c r="I43" s="91">
        <v>0</v>
      </c>
      <c r="J43" s="91">
        <v>0</v>
      </c>
      <c r="K43" s="91">
        <v>0</v>
      </c>
      <c r="L43" s="213" t="s">
        <v>501</v>
      </c>
      <c r="M43" s="209">
        <v>40909</v>
      </c>
    </row>
    <row r="44" spans="1:13" s="179" customFormat="1" ht="24" customHeight="1" x14ac:dyDescent="0.2">
      <c r="A44" s="133">
        <v>1103023204</v>
      </c>
      <c r="B44" s="96" t="s">
        <v>178</v>
      </c>
      <c r="C44" s="151">
        <f t="shared" si="0"/>
        <v>35</v>
      </c>
      <c r="D44" s="89">
        <v>4</v>
      </c>
      <c r="E44" s="206" t="s">
        <v>487</v>
      </c>
      <c r="F44" s="91">
        <v>615.22</v>
      </c>
      <c r="G44" s="91">
        <v>615.22</v>
      </c>
      <c r="H44" s="91">
        <v>615.22</v>
      </c>
      <c r="I44" s="91">
        <v>615.22</v>
      </c>
      <c r="J44" s="91">
        <v>615.22</v>
      </c>
      <c r="K44" s="91">
        <v>615.22</v>
      </c>
      <c r="L44" s="213" t="s">
        <v>434</v>
      </c>
      <c r="M44" s="209">
        <v>40909</v>
      </c>
    </row>
    <row r="45" spans="1:13" s="179" customFormat="1" ht="24" customHeight="1" x14ac:dyDescent="0.2">
      <c r="A45" s="133">
        <v>1101484457</v>
      </c>
      <c r="B45" s="96" t="s">
        <v>179</v>
      </c>
      <c r="C45" s="151">
        <f t="shared" si="0"/>
        <v>36</v>
      </c>
      <c r="D45" s="89">
        <v>1</v>
      </c>
      <c r="E45" s="206" t="s">
        <v>146</v>
      </c>
      <c r="F45" s="91">
        <v>565.22</v>
      </c>
      <c r="G45" s="91">
        <v>565.22</v>
      </c>
      <c r="H45" s="91">
        <v>565.22</v>
      </c>
      <c r="I45" s="91">
        <v>565.22</v>
      </c>
      <c r="J45" s="91">
        <v>565.22</v>
      </c>
      <c r="K45" s="91">
        <v>565.22</v>
      </c>
      <c r="L45" s="213" t="s">
        <v>434</v>
      </c>
      <c r="M45" s="209">
        <v>40909</v>
      </c>
    </row>
    <row r="46" spans="1:13" s="179" customFormat="1" ht="24" customHeight="1" x14ac:dyDescent="0.2">
      <c r="A46" s="129">
        <v>1102410907</v>
      </c>
      <c r="B46" s="96" t="s">
        <v>180</v>
      </c>
      <c r="C46" s="151">
        <f t="shared" si="0"/>
        <v>37</v>
      </c>
      <c r="D46" s="89">
        <v>2</v>
      </c>
      <c r="E46" s="206" t="s">
        <v>154</v>
      </c>
      <c r="F46" s="91">
        <v>581.22</v>
      </c>
      <c r="G46" s="91">
        <v>581.22</v>
      </c>
      <c r="H46" s="91">
        <v>581.22</v>
      </c>
      <c r="I46" s="91">
        <v>581.22</v>
      </c>
      <c r="J46" s="91">
        <v>581.22</v>
      </c>
      <c r="K46" s="91">
        <v>581.22</v>
      </c>
      <c r="L46" s="213" t="s">
        <v>434</v>
      </c>
      <c r="M46" s="209">
        <v>40909</v>
      </c>
    </row>
    <row r="47" spans="1:13" s="179" customFormat="1" ht="24" customHeight="1" x14ac:dyDescent="0.2">
      <c r="A47" s="129">
        <v>1100867181</v>
      </c>
      <c r="B47" s="96" t="s">
        <v>463</v>
      </c>
      <c r="C47" s="151">
        <f t="shared" si="0"/>
        <v>38</v>
      </c>
      <c r="D47" s="89">
        <v>1</v>
      </c>
      <c r="E47" s="206" t="s">
        <v>137</v>
      </c>
      <c r="F47" s="94">
        <v>565.22</v>
      </c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213" t="s">
        <v>497</v>
      </c>
      <c r="M47" s="209">
        <v>40909</v>
      </c>
    </row>
    <row r="48" spans="1:13" s="179" customFormat="1" ht="24" customHeight="1" x14ac:dyDescent="0.2">
      <c r="A48" s="133">
        <v>1102789359</v>
      </c>
      <c r="B48" s="96" t="s">
        <v>181</v>
      </c>
      <c r="C48" s="151">
        <f t="shared" si="0"/>
        <v>39</v>
      </c>
      <c r="D48" s="89">
        <v>1</v>
      </c>
      <c r="E48" s="206" t="s">
        <v>146</v>
      </c>
      <c r="F48" s="91">
        <v>565.22</v>
      </c>
      <c r="G48" s="91">
        <v>565.22</v>
      </c>
      <c r="H48" s="91">
        <v>565.22</v>
      </c>
      <c r="I48" s="91">
        <v>565.22</v>
      </c>
      <c r="J48" s="91">
        <v>565.22</v>
      </c>
      <c r="K48" s="91">
        <v>565.22</v>
      </c>
      <c r="L48" s="213" t="s">
        <v>434</v>
      </c>
      <c r="M48" s="209">
        <v>40909</v>
      </c>
    </row>
    <row r="49" spans="1:13" s="179" customFormat="1" ht="24" customHeight="1" x14ac:dyDescent="0.2">
      <c r="A49" s="133">
        <v>1104466279</v>
      </c>
      <c r="B49" s="96" t="s">
        <v>182</v>
      </c>
      <c r="C49" s="151">
        <f t="shared" si="0"/>
        <v>40</v>
      </c>
      <c r="D49" s="89">
        <v>5</v>
      </c>
      <c r="E49" s="206" t="s">
        <v>138</v>
      </c>
      <c r="F49" s="91">
        <v>733.22</v>
      </c>
      <c r="G49" s="91">
        <v>733.22</v>
      </c>
      <c r="H49" s="91">
        <v>733.22</v>
      </c>
      <c r="I49" s="91">
        <v>733.22</v>
      </c>
      <c r="J49" s="91">
        <v>733.22</v>
      </c>
      <c r="K49" s="91">
        <v>733.22</v>
      </c>
      <c r="L49" s="213" t="s">
        <v>434</v>
      </c>
      <c r="M49" s="209">
        <v>40909</v>
      </c>
    </row>
    <row r="50" spans="1:13" s="179" customFormat="1" ht="24" customHeight="1" x14ac:dyDescent="0.2">
      <c r="A50" s="129" t="s">
        <v>183</v>
      </c>
      <c r="B50" s="96" t="s">
        <v>464</v>
      </c>
      <c r="C50" s="151">
        <f t="shared" si="0"/>
        <v>41</v>
      </c>
      <c r="D50" s="89">
        <v>5</v>
      </c>
      <c r="E50" s="206" t="s">
        <v>184</v>
      </c>
      <c r="F50" s="91">
        <v>733.22</v>
      </c>
      <c r="G50" s="91">
        <v>733.22</v>
      </c>
      <c r="H50" s="91">
        <v>733.22</v>
      </c>
      <c r="I50" s="91">
        <v>733.22</v>
      </c>
      <c r="J50" s="91">
        <v>733.22</v>
      </c>
      <c r="K50" s="91">
        <v>733.22</v>
      </c>
      <c r="L50" s="213" t="s">
        <v>434</v>
      </c>
      <c r="M50" s="209">
        <v>40909</v>
      </c>
    </row>
    <row r="51" spans="1:13" s="179" customFormat="1" ht="24" customHeight="1" x14ac:dyDescent="0.2">
      <c r="A51" s="133">
        <v>1102052071</v>
      </c>
      <c r="B51" s="96" t="s">
        <v>185</v>
      </c>
      <c r="C51" s="151">
        <f t="shared" si="0"/>
        <v>42</v>
      </c>
      <c r="D51" s="89">
        <v>1</v>
      </c>
      <c r="E51" s="206" t="s">
        <v>146</v>
      </c>
      <c r="F51" s="91">
        <v>565.22</v>
      </c>
      <c r="G51" s="91">
        <v>565.22</v>
      </c>
      <c r="H51" s="91">
        <v>565.22</v>
      </c>
      <c r="I51" s="91">
        <v>565.22</v>
      </c>
      <c r="J51" s="91">
        <v>565.22</v>
      </c>
      <c r="K51" s="91">
        <v>565.22</v>
      </c>
      <c r="L51" s="213" t="s">
        <v>434</v>
      </c>
      <c r="M51" s="209">
        <v>40909</v>
      </c>
    </row>
    <row r="52" spans="1:13" s="179" customFormat="1" ht="24" customHeight="1" x14ac:dyDescent="0.2">
      <c r="A52" s="133">
        <v>1103198501</v>
      </c>
      <c r="B52" s="96" t="s">
        <v>465</v>
      </c>
      <c r="C52" s="151">
        <f t="shared" si="0"/>
        <v>43</v>
      </c>
      <c r="D52" s="89">
        <v>2</v>
      </c>
      <c r="E52" s="206" t="s">
        <v>318</v>
      </c>
      <c r="F52" s="94">
        <v>733.22</v>
      </c>
      <c r="G52" s="94">
        <v>733.22</v>
      </c>
      <c r="H52" s="94">
        <v>733.22</v>
      </c>
      <c r="I52" s="91">
        <v>0</v>
      </c>
      <c r="J52" s="91">
        <v>0</v>
      </c>
      <c r="K52" s="91">
        <v>0</v>
      </c>
      <c r="L52" s="213" t="s">
        <v>498</v>
      </c>
      <c r="M52" s="209"/>
    </row>
    <row r="53" spans="1:13" s="179" customFormat="1" ht="24" customHeight="1" x14ac:dyDescent="0.2">
      <c r="A53" s="133">
        <v>1103144984</v>
      </c>
      <c r="B53" s="96" t="s">
        <v>186</v>
      </c>
      <c r="C53" s="151">
        <f t="shared" si="0"/>
        <v>44</v>
      </c>
      <c r="D53" s="89">
        <v>4</v>
      </c>
      <c r="E53" s="206" t="s">
        <v>487</v>
      </c>
      <c r="F53" s="91">
        <v>615.22</v>
      </c>
      <c r="G53" s="91">
        <v>615.22</v>
      </c>
      <c r="H53" s="91">
        <v>615.22</v>
      </c>
      <c r="I53" s="91">
        <v>615.22</v>
      </c>
      <c r="J53" s="91">
        <v>615.22</v>
      </c>
      <c r="K53" s="91">
        <v>615.22</v>
      </c>
      <c r="L53" s="213" t="s">
        <v>434</v>
      </c>
      <c r="M53" s="209">
        <v>40909</v>
      </c>
    </row>
    <row r="54" spans="1:13" s="179" customFormat="1" ht="24" customHeight="1" x14ac:dyDescent="0.2">
      <c r="A54" s="133">
        <v>1100835873</v>
      </c>
      <c r="B54" s="96" t="s">
        <v>187</v>
      </c>
      <c r="C54" s="151">
        <f t="shared" si="0"/>
        <v>45</v>
      </c>
      <c r="D54" s="89">
        <v>5</v>
      </c>
      <c r="E54" s="206" t="s">
        <v>188</v>
      </c>
      <c r="F54" s="91">
        <v>733.22</v>
      </c>
      <c r="G54" s="91">
        <v>733.22</v>
      </c>
      <c r="H54" s="91">
        <v>733.22</v>
      </c>
      <c r="I54" s="91">
        <v>733.22</v>
      </c>
      <c r="J54" s="91">
        <v>733.22</v>
      </c>
      <c r="K54" s="91">
        <v>733.22</v>
      </c>
      <c r="L54" s="213" t="s">
        <v>434</v>
      </c>
      <c r="M54" s="209">
        <v>40909</v>
      </c>
    </row>
    <row r="55" spans="1:13" s="179" customFormat="1" ht="24" customHeight="1" x14ac:dyDescent="0.2">
      <c r="A55" s="133">
        <v>1101848859</v>
      </c>
      <c r="B55" s="96" t="s">
        <v>189</v>
      </c>
      <c r="C55" s="151">
        <f t="shared" si="0"/>
        <v>46</v>
      </c>
      <c r="D55" s="89">
        <v>4</v>
      </c>
      <c r="E55" s="206" t="s">
        <v>486</v>
      </c>
      <c r="F55" s="90">
        <v>821.82</v>
      </c>
      <c r="G55" s="90">
        <v>821.82</v>
      </c>
      <c r="H55" s="90">
        <v>821.82</v>
      </c>
      <c r="I55" s="90">
        <v>821.82</v>
      </c>
      <c r="J55" s="90">
        <v>821.82</v>
      </c>
      <c r="K55" s="90">
        <v>821.82</v>
      </c>
      <c r="L55" s="213" t="s">
        <v>434</v>
      </c>
      <c r="M55" s="209">
        <v>40909</v>
      </c>
    </row>
    <row r="56" spans="1:13" s="179" customFormat="1" ht="24" customHeight="1" x14ac:dyDescent="0.2">
      <c r="A56" s="133">
        <v>1102240403</v>
      </c>
      <c r="B56" s="96" t="s">
        <v>190</v>
      </c>
      <c r="C56" s="151">
        <f t="shared" si="0"/>
        <v>47</v>
      </c>
      <c r="D56" s="89">
        <v>4</v>
      </c>
      <c r="E56" s="206" t="s">
        <v>486</v>
      </c>
      <c r="F56" s="91">
        <v>615.22</v>
      </c>
      <c r="G56" s="91">
        <v>615.22</v>
      </c>
      <c r="H56" s="91">
        <v>615.22</v>
      </c>
      <c r="I56" s="91">
        <v>615.22</v>
      </c>
      <c r="J56" s="91">
        <v>615.22</v>
      </c>
      <c r="K56" s="91">
        <v>615.22</v>
      </c>
      <c r="L56" s="213" t="s">
        <v>434</v>
      </c>
      <c r="M56" s="209">
        <v>40909</v>
      </c>
    </row>
    <row r="57" spans="1:13" s="179" customFormat="1" ht="24" customHeight="1" x14ac:dyDescent="0.2">
      <c r="A57" s="133">
        <v>1101984449</v>
      </c>
      <c r="B57" s="96" t="s">
        <v>191</v>
      </c>
      <c r="C57" s="151">
        <f t="shared" si="0"/>
        <v>48</v>
      </c>
      <c r="D57" s="89">
        <v>6</v>
      </c>
      <c r="E57" s="206" t="s">
        <v>170</v>
      </c>
      <c r="F57" s="90">
        <v>825.31</v>
      </c>
      <c r="G57" s="90">
        <v>825.31</v>
      </c>
      <c r="H57" s="90">
        <v>825.31</v>
      </c>
      <c r="I57" s="90">
        <v>825.31</v>
      </c>
      <c r="J57" s="90">
        <v>825.31</v>
      </c>
      <c r="K57" s="90">
        <v>825.31</v>
      </c>
      <c r="L57" s="214" t="s">
        <v>434</v>
      </c>
      <c r="M57" s="209">
        <v>40909</v>
      </c>
    </row>
    <row r="58" spans="1:13" s="179" customFormat="1" ht="24" customHeight="1" x14ac:dyDescent="0.2">
      <c r="A58" s="129">
        <v>1102045687</v>
      </c>
      <c r="B58" s="96" t="s">
        <v>192</v>
      </c>
      <c r="C58" s="151">
        <f t="shared" si="0"/>
        <v>49</v>
      </c>
      <c r="D58" s="89">
        <v>1</v>
      </c>
      <c r="E58" s="206" t="s">
        <v>485</v>
      </c>
      <c r="F58" s="91">
        <v>565.22</v>
      </c>
      <c r="G58" s="91">
        <v>565.22</v>
      </c>
      <c r="H58" s="91">
        <v>565.22</v>
      </c>
      <c r="I58" s="91">
        <v>565.22</v>
      </c>
      <c r="J58" s="91">
        <v>565.22</v>
      </c>
      <c r="K58" s="91">
        <v>565.22</v>
      </c>
      <c r="L58" s="213" t="s">
        <v>434</v>
      </c>
      <c r="M58" s="209">
        <v>40909</v>
      </c>
    </row>
    <row r="59" spans="1:13" s="179" customFormat="1" ht="24" customHeight="1" x14ac:dyDescent="0.2">
      <c r="A59" s="133">
        <v>1104277346</v>
      </c>
      <c r="B59" s="96" t="s">
        <v>193</v>
      </c>
      <c r="C59" s="151">
        <f t="shared" si="0"/>
        <v>50</v>
      </c>
      <c r="D59" s="89">
        <v>5</v>
      </c>
      <c r="E59" s="206" t="s">
        <v>184</v>
      </c>
      <c r="F59" s="91">
        <v>733.22</v>
      </c>
      <c r="G59" s="91">
        <v>733.22</v>
      </c>
      <c r="H59" s="91">
        <v>733.22</v>
      </c>
      <c r="I59" s="91">
        <v>733.22</v>
      </c>
      <c r="J59" s="91">
        <v>733.22</v>
      </c>
      <c r="K59" s="91">
        <v>733.22</v>
      </c>
      <c r="L59" s="213" t="s">
        <v>434</v>
      </c>
      <c r="M59" s="209">
        <v>40909</v>
      </c>
    </row>
    <row r="60" spans="1:13" s="179" customFormat="1" ht="24" customHeight="1" x14ac:dyDescent="0.2">
      <c r="A60" s="129">
        <v>1900408590</v>
      </c>
      <c r="B60" s="96" t="s">
        <v>194</v>
      </c>
      <c r="C60" s="151">
        <f t="shared" si="0"/>
        <v>51</v>
      </c>
      <c r="D60" s="89">
        <v>5</v>
      </c>
      <c r="E60" s="206" t="s">
        <v>184</v>
      </c>
      <c r="F60" s="91">
        <v>733.22</v>
      </c>
      <c r="G60" s="91">
        <v>733.22</v>
      </c>
      <c r="H60" s="91">
        <v>733.22</v>
      </c>
      <c r="I60" s="91">
        <v>733.22</v>
      </c>
      <c r="J60" s="91">
        <v>733.22</v>
      </c>
      <c r="K60" s="91">
        <v>733.22</v>
      </c>
      <c r="L60" s="213" t="s">
        <v>434</v>
      </c>
      <c r="M60" s="209">
        <v>40909</v>
      </c>
    </row>
    <row r="61" spans="1:13" s="179" customFormat="1" ht="24" customHeight="1" x14ac:dyDescent="0.2">
      <c r="A61" s="131">
        <v>1102745450</v>
      </c>
      <c r="B61" s="96" t="s">
        <v>195</v>
      </c>
      <c r="C61" s="151">
        <f t="shared" si="0"/>
        <v>52</v>
      </c>
      <c r="D61" s="89">
        <v>4</v>
      </c>
      <c r="E61" s="206" t="s">
        <v>486</v>
      </c>
      <c r="F61" s="92">
        <v>598</v>
      </c>
      <c r="G61" s="92">
        <v>598</v>
      </c>
      <c r="H61" s="92">
        <v>598</v>
      </c>
      <c r="I61" s="92">
        <v>598</v>
      </c>
      <c r="J61" s="92">
        <v>598</v>
      </c>
      <c r="K61" s="92">
        <v>598</v>
      </c>
      <c r="L61" s="213" t="s">
        <v>434</v>
      </c>
      <c r="M61" s="209">
        <v>41640</v>
      </c>
    </row>
    <row r="62" spans="1:13" s="179" customFormat="1" ht="24" customHeight="1" x14ac:dyDescent="0.2">
      <c r="A62" s="135" t="s">
        <v>196</v>
      </c>
      <c r="B62" s="96" t="s">
        <v>197</v>
      </c>
      <c r="C62" s="151">
        <f t="shared" si="0"/>
        <v>53</v>
      </c>
      <c r="D62" s="89">
        <v>1</v>
      </c>
      <c r="E62" s="206" t="s">
        <v>442</v>
      </c>
      <c r="F62" s="92">
        <v>565</v>
      </c>
      <c r="G62" s="92">
        <v>565</v>
      </c>
      <c r="H62" s="92">
        <v>565</v>
      </c>
      <c r="I62" s="92">
        <v>565</v>
      </c>
      <c r="J62" s="92">
        <v>565</v>
      </c>
      <c r="K62" s="92">
        <v>565</v>
      </c>
      <c r="L62" s="213" t="s">
        <v>434</v>
      </c>
      <c r="M62" s="209">
        <v>41640</v>
      </c>
    </row>
    <row r="63" spans="1:13" s="179" customFormat="1" ht="24" customHeight="1" x14ac:dyDescent="0.2">
      <c r="A63" s="129" t="s">
        <v>198</v>
      </c>
      <c r="B63" s="96" t="s">
        <v>199</v>
      </c>
      <c r="C63" s="151">
        <f t="shared" si="0"/>
        <v>54</v>
      </c>
      <c r="D63" s="89">
        <v>2</v>
      </c>
      <c r="E63" s="206" t="s">
        <v>154</v>
      </c>
      <c r="F63" s="91">
        <v>581.22</v>
      </c>
      <c r="G63" s="91">
        <v>581.22</v>
      </c>
      <c r="H63" s="91">
        <v>581.22</v>
      </c>
      <c r="I63" s="91">
        <v>581.22</v>
      </c>
      <c r="J63" s="91">
        <v>581.22</v>
      </c>
      <c r="K63" s="91">
        <v>581.22</v>
      </c>
      <c r="L63" s="213" t="s">
        <v>434</v>
      </c>
      <c r="M63" s="209">
        <v>40909</v>
      </c>
    </row>
    <row r="64" spans="1:13" s="179" customFormat="1" ht="24" customHeight="1" x14ac:dyDescent="0.2">
      <c r="A64" s="136">
        <v>1804187456</v>
      </c>
      <c r="B64" s="96" t="s">
        <v>200</v>
      </c>
      <c r="C64" s="151">
        <f t="shared" si="0"/>
        <v>55</v>
      </c>
      <c r="D64" s="89">
        <v>4</v>
      </c>
      <c r="E64" s="206" t="s">
        <v>486</v>
      </c>
      <c r="F64" s="92">
        <v>598</v>
      </c>
      <c r="G64" s="92">
        <v>598</v>
      </c>
      <c r="H64" s="92">
        <v>598</v>
      </c>
      <c r="I64" s="92">
        <v>598</v>
      </c>
      <c r="J64" s="92">
        <v>598</v>
      </c>
      <c r="K64" s="92">
        <v>598</v>
      </c>
      <c r="L64" s="214" t="s">
        <v>434</v>
      </c>
      <c r="M64" s="209">
        <v>41640</v>
      </c>
    </row>
    <row r="65" spans="1:13" s="179" customFormat="1" ht="24" customHeight="1" x14ac:dyDescent="0.2">
      <c r="A65" s="133">
        <v>1104411390</v>
      </c>
      <c r="B65" s="96" t="s">
        <v>201</v>
      </c>
      <c r="C65" s="151">
        <f t="shared" si="0"/>
        <v>56</v>
      </c>
      <c r="D65" s="89">
        <v>5</v>
      </c>
      <c r="E65" s="206" t="s">
        <v>202</v>
      </c>
      <c r="F65" s="91">
        <v>733.22</v>
      </c>
      <c r="G65" s="91">
        <v>733.22</v>
      </c>
      <c r="H65" s="91">
        <v>733.22</v>
      </c>
      <c r="I65" s="91">
        <v>733.22</v>
      </c>
      <c r="J65" s="91">
        <v>733.22</v>
      </c>
      <c r="K65" s="91">
        <v>733.22</v>
      </c>
      <c r="L65" s="214" t="s">
        <v>434</v>
      </c>
      <c r="M65" s="209">
        <v>40909</v>
      </c>
    </row>
    <row r="66" spans="1:13" s="179" customFormat="1" ht="24" customHeight="1" x14ac:dyDescent="0.2">
      <c r="A66" s="133">
        <v>1102017751</v>
      </c>
      <c r="B66" s="96" t="s">
        <v>466</v>
      </c>
      <c r="C66" s="151">
        <f t="shared" si="0"/>
        <v>57</v>
      </c>
      <c r="D66" s="89">
        <v>2</v>
      </c>
      <c r="E66" s="206" t="s">
        <v>137</v>
      </c>
      <c r="F66" s="94">
        <v>581.22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213" t="s">
        <v>497</v>
      </c>
      <c r="M66" s="209">
        <v>42005</v>
      </c>
    </row>
    <row r="67" spans="1:13" s="179" customFormat="1" ht="24" customHeight="1" x14ac:dyDescent="0.2">
      <c r="A67" s="133">
        <v>1102343967</v>
      </c>
      <c r="B67" s="96" t="s">
        <v>203</v>
      </c>
      <c r="C67" s="151">
        <f t="shared" si="0"/>
        <v>58</v>
      </c>
      <c r="D67" s="89">
        <v>1</v>
      </c>
      <c r="E67" s="206" t="s">
        <v>146</v>
      </c>
      <c r="F67" s="91">
        <v>565.22</v>
      </c>
      <c r="G67" s="91">
        <v>565.22</v>
      </c>
      <c r="H67" s="91">
        <v>565.22</v>
      </c>
      <c r="I67" s="91">
        <v>565.22</v>
      </c>
      <c r="J67" s="91">
        <v>565.22</v>
      </c>
      <c r="K67" s="91">
        <v>565.22</v>
      </c>
      <c r="L67" s="213" t="s">
        <v>434</v>
      </c>
      <c r="M67" s="209">
        <v>40909</v>
      </c>
    </row>
    <row r="68" spans="1:13" s="179" customFormat="1" ht="24" customHeight="1" x14ac:dyDescent="0.2">
      <c r="A68" s="131">
        <v>1103143291</v>
      </c>
      <c r="B68" s="96" t="s">
        <v>204</v>
      </c>
      <c r="C68" s="151">
        <f t="shared" si="0"/>
        <v>59</v>
      </c>
      <c r="D68" s="89">
        <v>4</v>
      </c>
      <c r="E68" s="206" t="s">
        <v>486</v>
      </c>
      <c r="F68" s="92">
        <v>598</v>
      </c>
      <c r="G68" s="92">
        <v>598</v>
      </c>
      <c r="H68" s="92">
        <v>598</v>
      </c>
      <c r="I68" s="92">
        <v>598</v>
      </c>
      <c r="J68" s="92">
        <v>598</v>
      </c>
      <c r="K68" s="92">
        <v>598</v>
      </c>
      <c r="L68" s="214" t="s">
        <v>434</v>
      </c>
      <c r="M68" s="209">
        <v>41640</v>
      </c>
    </row>
    <row r="69" spans="1:13" s="179" customFormat="1" ht="24" customHeight="1" x14ac:dyDescent="0.2">
      <c r="A69" s="133">
        <v>1102980339</v>
      </c>
      <c r="B69" s="96" t="s">
        <v>205</v>
      </c>
      <c r="C69" s="151">
        <f t="shared" si="0"/>
        <v>60</v>
      </c>
      <c r="D69" s="89">
        <v>4</v>
      </c>
      <c r="E69" s="206" t="s">
        <v>486</v>
      </c>
      <c r="F69" s="91">
        <v>615.22</v>
      </c>
      <c r="G69" s="91">
        <v>615.22</v>
      </c>
      <c r="H69" s="91">
        <v>615.22</v>
      </c>
      <c r="I69" s="91">
        <v>615.22</v>
      </c>
      <c r="J69" s="91">
        <v>615.22</v>
      </c>
      <c r="K69" s="91">
        <v>615.22</v>
      </c>
      <c r="L69" s="213" t="s">
        <v>434</v>
      </c>
      <c r="M69" s="209">
        <v>40909</v>
      </c>
    </row>
    <row r="70" spans="1:13" s="179" customFormat="1" ht="24" customHeight="1" x14ac:dyDescent="0.2">
      <c r="A70" s="133">
        <v>1103740831</v>
      </c>
      <c r="B70" s="96" t="s">
        <v>206</v>
      </c>
      <c r="C70" s="151">
        <f t="shared" si="0"/>
        <v>61</v>
      </c>
      <c r="D70" s="89">
        <v>4</v>
      </c>
      <c r="E70" s="206" t="s">
        <v>487</v>
      </c>
      <c r="F70" s="91">
        <v>615.22</v>
      </c>
      <c r="G70" s="91">
        <v>615.22</v>
      </c>
      <c r="H70" s="91">
        <v>615.22</v>
      </c>
      <c r="I70" s="91">
        <v>615.22</v>
      </c>
      <c r="J70" s="91">
        <v>615.22</v>
      </c>
      <c r="K70" s="91">
        <v>615.22</v>
      </c>
      <c r="L70" s="213" t="s">
        <v>434</v>
      </c>
      <c r="M70" s="209">
        <v>40909</v>
      </c>
    </row>
    <row r="71" spans="1:13" s="179" customFormat="1" ht="24" customHeight="1" x14ac:dyDescent="0.2">
      <c r="A71" s="133">
        <v>1103679427</v>
      </c>
      <c r="B71" s="96" t="s">
        <v>207</v>
      </c>
      <c r="C71" s="151">
        <f t="shared" si="0"/>
        <v>62</v>
      </c>
      <c r="D71" s="89">
        <v>1</v>
      </c>
      <c r="E71" s="206" t="s">
        <v>484</v>
      </c>
      <c r="F71" s="91">
        <v>565.22</v>
      </c>
      <c r="G71" s="91">
        <v>565.22</v>
      </c>
      <c r="H71" s="91">
        <v>565.22</v>
      </c>
      <c r="I71" s="91">
        <v>565.22</v>
      </c>
      <c r="J71" s="91">
        <v>565.22</v>
      </c>
      <c r="K71" s="91">
        <v>565.22</v>
      </c>
      <c r="L71" s="213" t="s">
        <v>434</v>
      </c>
      <c r="M71" s="209">
        <v>40909</v>
      </c>
    </row>
    <row r="72" spans="1:13" s="179" customFormat="1" ht="24" customHeight="1" x14ac:dyDescent="0.2">
      <c r="A72" s="133">
        <v>1104109333</v>
      </c>
      <c r="B72" s="96" t="s">
        <v>208</v>
      </c>
      <c r="C72" s="151">
        <f t="shared" si="0"/>
        <v>63</v>
      </c>
      <c r="D72" s="89">
        <v>1</v>
      </c>
      <c r="E72" s="206" t="s">
        <v>485</v>
      </c>
      <c r="F72" s="91">
        <v>565.22</v>
      </c>
      <c r="G72" s="91">
        <v>565.22</v>
      </c>
      <c r="H72" s="91">
        <v>565.22</v>
      </c>
      <c r="I72" s="91">
        <v>565.22</v>
      </c>
      <c r="J72" s="91">
        <v>565.22</v>
      </c>
      <c r="K72" s="91">
        <v>565.22</v>
      </c>
      <c r="L72" s="213" t="s">
        <v>434</v>
      </c>
      <c r="M72" s="209">
        <v>40909</v>
      </c>
    </row>
    <row r="73" spans="1:13" s="179" customFormat="1" ht="24" customHeight="1" x14ac:dyDescent="0.2">
      <c r="A73" s="133">
        <v>1104018294</v>
      </c>
      <c r="B73" s="96" t="s">
        <v>209</v>
      </c>
      <c r="C73" s="151">
        <f t="shared" si="0"/>
        <v>64</v>
      </c>
      <c r="D73" s="89">
        <v>1</v>
      </c>
      <c r="E73" s="206" t="s">
        <v>210</v>
      </c>
      <c r="F73" s="91">
        <v>565.22</v>
      </c>
      <c r="G73" s="91">
        <v>565.22</v>
      </c>
      <c r="H73" s="91">
        <v>565.22</v>
      </c>
      <c r="I73" s="91">
        <v>565.22</v>
      </c>
      <c r="J73" s="91">
        <v>565.22</v>
      </c>
      <c r="K73" s="91">
        <v>565.22</v>
      </c>
      <c r="L73" s="213" t="s">
        <v>434</v>
      </c>
      <c r="M73" s="209">
        <v>40909</v>
      </c>
    </row>
    <row r="74" spans="1:13" s="179" customFormat="1" ht="24" customHeight="1" x14ac:dyDescent="0.2">
      <c r="A74" s="133" t="s">
        <v>211</v>
      </c>
      <c r="B74" s="96" t="s">
        <v>212</v>
      </c>
      <c r="C74" s="151">
        <f t="shared" si="0"/>
        <v>65</v>
      </c>
      <c r="D74" s="89">
        <v>1</v>
      </c>
      <c r="E74" s="206" t="s">
        <v>213</v>
      </c>
      <c r="F74" s="91">
        <v>565.22</v>
      </c>
      <c r="G74" s="91">
        <v>565.22</v>
      </c>
      <c r="H74" s="91">
        <v>565.22</v>
      </c>
      <c r="I74" s="91">
        <v>565.22</v>
      </c>
      <c r="J74" s="91">
        <v>565.22</v>
      </c>
      <c r="K74" s="91">
        <v>565.22</v>
      </c>
      <c r="L74" s="213" t="s">
        <v>434</v>
      </c>
      <c r="M74" s="209">
        <v>40909</v>
      </c>
    </row>
    <row r="75" spans="1:13" s="179" customFormat="1" ht="24" customHeight="1" x14ac:dyDescent="0.2">
      <c r="A75" s="133">
        <v>1103203590</v>
      </c>
      <c r="B75" s="96" t="s">
        <v>214</v>
      </c>
      <c r="C75" s="151">
        <f t="shared" si="0"/>
        <v>66</v>
      </c>
      <c r="D75" s="89">
        <v>3</v>
      </c>
      <c r="E75" s="206" t="s">
        <v>215</v>
      </c>
      <c r="F75" s="90">
        <v>724.43</v>
      </c>
      <c r="G75" s="90">
        <v>724.43</v>
      </c>
      <c r="H75" s="90">
        <v>724.43</v>
      </c>
      <c r="I75" s="90">
        <v>724.43</v>
      </c>
      <c r="J75" s="90">
        <v>724.43</v>
      </c>
      <c r="K75" s="90">
        <v>724.43</v>
      </c>
      <c r="L75" s="213" t="s">
        <v>434</v>
      </c>
      <c r="M75" s="209">
        <v>40909</v>
      </c>
    </row>
    <row r="76" spans="1:13" s="179" customFormat="1" ht="24" customHeight="1" x14ac:dyDescent="0.2">
      <c r="A76" s="133">
        <v>1103055370</v>
      </c>
      <c r="B76" s="96" t="s">
        <v>216</v>
      </c>
      <c r="C76" s="151">
        <f t="shared" si="0"/>
        <v>67</v>
      </c>
      <c r="D76" s="89">
        <v>5</v>
      </c>
      <c r="E76" s="206" t="s">
        <v>184</v>
      </c>
      <c r="F76" s="91">
        <v>733.22</v>
      </c>
      <c r="G76" s="91">
        <v>733.22</v>
      </c>
      <c r="H76" s="91">
        <v>733.22</v>
      </c>
      <c r="I76" s="91">
        <v>733.22</v>
      </c>
      <c r="J76" s="91">
        <v>733.22</v>
      </c>
      <c r="K76" s="91">
        <v>733.22</v>
      </c>
      <c r="L76" s="213" t="s">
        <v>434</v>
      </c>
      <c r="M76" s="209">
        <v>40909</v>
      </c>
    </row>
    <row r="77" spans="1:13" s="179" customFormat="1" ht="24" customHeight="1" x14ac:dyDescent="0.2">
      <c r="A77" s="137">
        <v>1102076518</v>
      </c>
      <c r="B77" s="96" t="s">
        <v>217</v>
      </c>
      <c r="C77" s="151">
        <f t="shared" si="0"/>
        <v>68</v>
      </c>
      <c r="D77" s="89">
        <v>1</v>
      </c>
      <c r="E77" s="206" t="s">
        <v>155</v>
      </c>
      <c r="F77" s="91">
        <v>565.22</v>
      </c>
      <c r="G77" s="91">
        <v>565.22</v>
      </c>
      <c r="H77" s="91">
        <v>565.22</v>
      </c>
      <c r="I77" s="91">
        <v>565.22</v>
      </c>
      <c r="J77" s="91">
        <v>565.22</v>
      </c>
      <c r="K77" s="91">
        <v>565.22</v>
      </c>
      <c r="L77" s="213" t="s">
        <v>434</v>
      </c>
      <c r="M77" s="209">
        <v>40909</v>
      </c>
    </row>
    <row r="78" spans="1:13" s="179" customFormat="1" ht="24" customHeight="1" x14ac:dyDescent="0.2">
      <c r="A78" s="134">
        <v>1103009930</v>
      </c>
      <c r="B78" s="96" t="s">
        <v>218</v>
      </c>
      <c r="C78" s="151">
        <f t="shared" ref="C78:C141" si="1">+C77+1</f>
        <v>69</v>
      </c>
      <c r="D78" s="89">
        <v>1</v>
      </c>
      <c r="E78" s="206" t="s">
        <v>137</v>
      </c>
      <c r="F78" s="92">
        <v>565</v>
      </c>
      <c r="G78" s="92">
        <v>565</v>
      </c>
      <c r="H78" s="92">
        <v>565</v>
      </c>
      <c r="I78" s="92">
        <v>565</v>
      </c>
      <c r="J78" s="92">
        <v>565</v>
      </c>
      <c r="K78" s="92">
        <v>565</v>
      </c>
      <c r="L78" s="213" t="s">
        <v>434</v>
      </c>
      <c r="M78" s="209">
        <v>41640</v>
      </c>
    </row>
    <row r="79" spans="1:13" s="179" customFormat="1" ht="24" customHeight="1" x14ac:dyDescent="0.2">
      <c r="A79" s="133">
        <v>1101467023</v>
      </c>
      <c r="B79" s="96" t="s">
        <v>219</v>
      </c>
      <c r="C79" s="151">
        <f t="shared" si="1"/>
        <v>70</v>
      </c>
      <c r="D79" s="89">
        <v>2</v>
      </c>
      <c r="E79" s="206" t="s">
        <v>318</v>
      </c>
      <c r="F79" s="91">
        <v>876</v>
      </c>
      <c r="G79" s="91">
        <v>876</v>
      </c>
      <c r="H79" s="91">
        <v>876</v>
      </c>
      <c r="I79" s="91">
        <v>876</v>
      </c>
      <c r="J79" s="91">
        <v>876</v>
      </c>
      <c r="K79" s="91">
        <v>876</v>
      </c>
      <c r="L79" s="213" t="s">
        <v>434</v>
      </c>
      <c r="M79" s="209">
        <v>40909</v>
      </c>
    </row>
    <row r="80" spans="1:13" s="179" customFormat="1" ht="24" customHeight="1" x14ac:dyDescent="0.2">
      <c r="A80" s="133">
        <v>1102292974</v>
      </c>
      <c r="B80" s="96" t="s">
        <v>220</v>
      </c>
      <c r="C80" s="151">
        <f t="shared" si="1"/>
        <v>71</v>
      </c>
      <c r="D80" s="89">
        <v>4</v>
      </c>
      <c r="E80" s="206" t="s">
        <v>486</v>
      </c>
      <c r="F80" s="91">
        <v>615.22</v>
      </c>
      <c r="G80" s="91">
        <v>615.22</v>
      </c>
      <c r="H80" s="91">
        <v>615.22</v>
      </c>
      <c r="I80" s="91">
        <v>615.22</v>
      </c>
      <c r="J80" s="91">
        <v>615.22</v>
      </c>
      <c r="K80" s="91">
        <v>615.22</v>
      </c>
      <c r="L80" s="213" t="s">
        <v>434</v>
      </c>
      <c r="M80" s="209">
        <v>40909</v>
      </c>
    </row>
    <row r="81" spans="1:13" s="179" customFormat="1" ht="24" customHeight="1" x14ac:dyDescent="0.2">
      <c r="A81" s="133">
        <v>1103300024</v>
      </c>
      <c r="B81" s="96" t="s">
        <v>467</v>
      </c>
      <c r="C81" s="151">
        <f t="shared" si="1"/>
        <v>72</v>
      </c>
      <c r="D81" s="89">
        <v>2</v>
      </c>
      <c r="E81" s="206" t="s">
        <v>154</v>
      </c>
      <c r="F81" s="91">
        <v>581.22</v>
      </c>
      <c r="G81" s="91">
        <v>581.22</v>
      </c>
      <c r="H81" s="91">
        <v>581.22</v>
      </c>
      <c r="I81" s="91">
        <v>581.22</v>
      </c>
      <c r="J81" s="91">
        <v>0</v>
      </c>
      <c r="K81" s="91">
        <v>0</v>
      </c>
      <c r="L81" s="213" t="s">
        <v>497</v>
      </c>
      <c r="M81" s="209">
        <v>40909</v>
      </c>
    </row>
    <row r="82" spans="1:13" s="179" customFormat="1" ht="24" customHeight="1" x14ac:dyDescent="0.2">
      <c r="A82" s="133">
        <v>1102698733</v>
      </c>
      <c r="B82" s="96" t="s">
        <v>221</v>
      </c>
      <c r="C82" s="151">
        <f t="shared" si="1"/>
        <v>73</v>
      </c>
      <c r="D82" s="89">
        <v>1</v>
      </c>
      <c r="E82" s="206" t="s">
        <v>155</v>
      </c>
      <c r="F82" s="90">
        <v>624.05999999999995</v>
      </c>
      <c r="G82" s="90">
        <v>624.05999999999995</v>
      </c>
      <c r="H82" s="90">
        <v>624.05999999999995</v>
      </c>
      <c r="I82" s="90">
        <v>624.05999999999995</v>
      </c>
      <c r="J82" s="90">
        <v>624.05999999999995</v>
      </c>
      <c r="K82" s="90">
        <v>624.05999999999995</v>
      </c>
      <c r="L82" s="213" t="s">
        <v>434</v>
      </c>
      <c r="M82" s="209">
        <v>40909</v>
      </c>
    </row>
    <row r="83" spans="1:13" s="179" customFormat="1" ht="24" customHeight="1" x14ac:dyDescent="0.2">
      <c r="A83" s="129">
        <v>1101348827</v>
      </c>
      <c r="B83" s="96" t="s">
        <v>222</v>
      </c>
      <c r="C83" s="151">
        <f t="shared" si="1"/>
        <v>74</v>
      </c>
      <c r="D83" s="89">
        <v>6</v>
      </c>
      <c r="E83" s="206" t="s">
        <v>223</v>
      </c>
      <c r="F83" s="91">
        <v>766.22</v>
      </c>
      <c r="G83" s="91">
        <v>766.22</v>
      </c>
      <c r="H83" s="91">
        <v>766.22</v>
      </c>
      <c r="I83" s="91">
        <v>766.22</v>
      </c>
      <c r="J83" s="91">
        <v>766.22</v>
      </c>
      <c r="K83" s="91">
        <v>766.22</v>
      </c>
      <c r="L83" s="213" t="s">
        <v>434</v>
      </c>
      <c r="M83" s="209">
        <v>40909</v>
      </c>
    </row>
    <row r="84" spans="1:13" s="179" customFormat="1" ht="24" customHeight="1" x14ac:dyDescent="0.2">
      <c r="A84" s="129" t="s">
        <v>224</v>
      </c>
      <c r="B84" s="96" t="s">
        <v>225</v>
      </c>
      <c r="C84" s="151">
        <f t="shared" si="1"/>
        <v>75</v>
      </c>
      <c r="D84" s="89">
        <v>2</v>
      </c>
      <c r="E84" s="206" t="s">
        <v>226</v>
      </c>
      <c r="F84" s="91">
        <v>581.22</v>
      </c>
      <c r="G84" s="91">
        <v>581.22</v>
      </c>
      <c r="H84" s="91">
        <v>581.22</v>
      </c>
      <c r="I84" s="91">
        <v>581.22</v>
      </c>
      <c r="J84" s="91">
        <v>581.22</v>
      </c>
      <c r="K84" s="91">
        <v>581.22</v>
      </c>
      <c r="L84" s="213" t="s">
        <v>434</v>
      </c>
      <c r="M84" s="209">
        <v>40909</v>
      </c>
    </row>
    <row r="85" spans="1:13" s="179" customFormat="1" ht="24" customHeight="1" x14ac:dyDescent="0.2">
      <c r="A85" s="129">
        <v>1103617385</v>
      </c>
      <c r="B85" s="96" t="s">
        <v>227</v>
      </c>
      <c r="C85" s="151">
        <f t="shared" si="1"/>
        <v>76</v>
      </c>
      <c r="D85" s="89">
        <v>4</v>
      </c>
      <c r="E85" s="206" t="s">
        <v>486</v>
      </c>
      <c r="F85" s="91">
        <v>615.22</v>
      </c>
      <c r="G85" s="91">
        <v>615.22</v>
      </c>
      <c r="H85" s="91">
        <v>615.22</v>
      </c>
      <c r="I85" s="91">
        <v>615.22</v>
      </c>
      <c r="J85" s="91">
        <v>615.22</v>
      </c>
      <c r="K85" s="91">
        <v>615.22</v>
      </c>
      <c r="L85" s="213" t="s">
        <v>434</v>
      </c>
      <c r="M85" s="209">
        <v>40909</v>
      </c>
    </row>
    <row r="86" spans="1:13" s="179" customFormat="1" ht="24" customHeight="1" x14ac:dyDescent="0.2">
      <c r="A86" s="129">
        <v>1102125513</v>
      </c>
      <c r="B86" s="96" t="s">
        <v>228</v>
      </c>
      <c r="C86" s="151">
        <f t="shared" si="1"/>
        <v>77</v>
      </c>
      <c r="D86" s="89">
        <v>2</v>
      </c>
      <c r="E86" s="206" t="s">
        <v>154</v>
      </c>
      <c r="F86" s="91">
        <v>581.22</v>
      </c>
      <c r="G86" s="91">
        <v>581.22</v>
      </c>
      <c r="H86" s="91">
        <v>581.22</v>
      </c>
      <c r="I86" s="91">
        <v>581.22</v>
      </c>
      <c r="J86" s="91">
        <v>581.22</v>
      </c>
      <c r="K86" s="91">
        <v>581.22</v>
      </c>
      <c r="L86" s="213" t="s">
        <v>434</v>
      </c>
      <c r="M86" s="209">
        <v>40909</v>
      </c>
    </row>
    <row r="87" spans="1:13" s="179" customFormat="1" ht="24" customHeight="1" x14ac:dyDescent="0.2">
      <c r="A87" s="133">
        <v>1103936900</v>
      </c>
      <c r="B87" s="96" t="s">
        <v>229</v>
      </c>
      <c r="C87" s="151">
        <f t="shared" si="1"/>
        <v>78</v>
      </c>
      <c r="D87" s="89">
        <v>1</v>
      </c>
      <c r="E87" s="206" t="s">
        <v>485</v>
      </c>
      <c r="F87" s="91">
        <v>565.22</v>
      </c>
      <c r="G87" s="91">
        <v>565.22</v>
      </c>
      <c r="H87" s="91">
        <v>565.22</v>
      </c>
      <c r="I87" s="91">
        <v>565.22</v>
      </c>
      <c r="J87" s="91">
        <v>565.22</v>
      </c>
      <c r="K87" s="91">
        <v>565.22</v>
      </c>
      <c r="L87" s="213" t="s">
        <v>434</v>
      </c>
      <c r="M87" s="209">
        <v>40909</v>
      </c>
    </row>
    <row r="88" spans="1:13" s="179" customFormat="1" ht="24" customHeight="1" x14ac:dyDescent="0.2">
      <c r="A88" s="133">
        <v>1500611718</v>
      </c>
      <c r="B88" s="96" t="s">
        <v>230</v>
      </c>
      <c r="C88" s="151">
        <f t="shared" si="1"/>
        <v>79</v>
      </c>
      <c r="D88" s="89">
        <v>1</v>
      </c>
      <c r="E88" s="206" t="s">
        <v>485</v>
      </c>
      <c r="F88" s="91">
        <v>565.22</v>
      </c>
      <c r="G88" s="91">
        <v>565.22</v>
      </c>
      <c r="H88" s="91">
        <v>565.22</v>
      </c>
      <c r="I88" s="91">
        <v>565.22</v>
      </c>
      <c r="J88" s="91">
        <v>565.22</v>
      </c>
      <c r="K88" s="91">
        <v>565.22</v>
      </c>
      <c r="L88" s="213" t="s">
        <v>434</v>
      </c>
      <c r="M88" s="209">
        <v>40909</v>
      </c>
    </row>
    <row r="89" spans="1:13" s="179" customFormat="1" ht="24" customHeight="1" x14ac:dyDescent="0.2">
      <c r="A89" s="132">
        <v>1103861496</v>
      </c>
      <c r="B89" s="96" t="s">
        <v>231</v>
      </c>
      <c r="C89" s="151">
        <f t="shared" si="1"/>
        <v>80</v>
      </c>
      <c r="D89" s="89">
        <v>5</v>
      </c>
      <c r="E89" s="206" t="s">
        <v>489</v>
      </c>
      <c r="F89" s="91">
        <v>733</v>
      </c>
      <c r="G89" s="91">
        <v>733</v>
      </c>
      <c r="H89" s="91">
        <v>733</v>
      </c>
      <c r="I89" s="91">
        <v>733</v>
      </c>
      <c r="J89" s="91">
        <v>733</v>
      </c>
      <c r="K89" s="91">
        <v>733</v>
      </c>
      <c r="L89" s="213" t="s">
        <v>434</v>
      </c>
      <c r="M89" s="209">
        <v>41640</v>
      </c>
    </row>
    <row r="90" spans="1:13" s="179" customFormat="1" ht="24" customHeight="1" x14ac:dyDescent="0.2">
      <c r="A90" s="129">
        <v>1104976103</v>
      </c>
      <c r="B90" s="96" t="s">
        <v>232</v>
      </c>
      <c r="C90" s="151">
        <f t="shared" si="1"/>
        <v>81</v>
      </c>
      <c r="D90" s="89">
        <v>2</v>
      </c>
      <c r="E90" s="206" t="s">
        <v>164</v>
      </c>
      <c r="F90" s="91">
        <v>581.22</v>
      </c>
      <c r="G90" s="91">
        <v>581.22</v>
      </c>
      <c r="H90" s="91">
        <v>581.22</v>
      </c>
      <c r="I90" s="91">
        <v>581.22</v>
      </c>
      <c r="J90" s="91">
        <v>581.22</v>
      </c>
      <c r="K90" s="91">
        <v>581.22</v>
      </c>
      <c r="L90" s="213" t="s">
        <v>434</v>
      </c>
      <c r="M90" s="209">
        <v>40909</v>
      </c>
    </row>
    <row r="91" spans="1:13" s="179" customFormat="1" ht="24" customHeight="1" x14ac:dyDescent="0.2">
      <c r="A91" s="129">
        <v>1100647807</v>
      </c>
      <c r="B91" s="96" t="s">
        <v>233</v>
      </c>
      <c r="C91" s="151">
        <f t="shared" si="1"/>
        <v>82</v>
      </c>
      <c r="D91" s="89">
        <v>4</v>
      </c>
      <c r="E91" s="206" t="s">
        <v>486</v>
      </c>
      <c r="F91" s="91">
        <v>615.22</v>
      </c>
      <c r="G91" s="91">
        <v>615.22</v>
      </c>
      <c r="H91" s="91">
        <v>615.22</v>
      </c>
      <c r="I91" s="91">
        <v>615.22</v>
      </c>
      <c r="J91" s="91">
        <v>615.22</v>
      </c>
      <c r="K91" s="91">
        <v>615.22</v>
      </c>
      <c r="L91" s="213" t="s">
        <v>434</v>
      </c>
      <c r="M91" s="209">
        <v>40909</v>
      </c>
    </row>
    <row r="92" spans="1:13" s="179" customFormat="1" ht="24" customHeight="1" x14ac:dyDescent="0.2">
      <c r="A92" s="133">
        <v>1900520618</v>
      </c>
      <c r="B92" s="96" t="s">
        <v>234</v>
      </c>
      <c r="C92" s="151">
        <f t="shared" si="1"/>
        <v>83</v>
      </c>
      <c r="D92" s="89">
        <v>5</v>
      </c>
      <c r="E92" s="206" t="s">
        <v>138</v>
      </c>
      <c r="F92" s="91">
        <v>733.22</v>
      </c>
      <c r="G92" s="91">
        <v>733.22</v>
      </c>
      <c r="H92" s="91">
        <v>733.22</v>
      </c>
      <c r="I92" s="91">
        <v>733.22</v>
      </c>
      <c r="J92" s="91">
        <v>733.22</v>
      </c>
      <c r="K92" s="91">
        <v>733.22</v>
      </c>
      <c r="L92" s="213" t="s">
        <v>434</v>
      </c>
      <c r="M92" s="209">
        <v>40909</v>
      </c>
    </row>
    <row r="93" spans="1:13" s="179" customFormat="1" ht="24" customHeight="1" x14ac:dyDescent="0.2">
      <c r="A93" s="129">
        <v>1102094578</v>
      </c>
      <c r="B93" s="96" t="s">
        <v>235</v>
      </c>
      <c r="C93" s="151">
        <f t="shared" si="1"/>
        <v>84</v>
      </c>
      <c r="D93" s="89">
        <v>2</v>
      </c>
      <c r="E93" s="206" t="s">
        <v>154</v>
      </c>
      <c r="F93" s="91">
        <v>583.16999999999996</v>
      </c>
      <c r="G93" s="91">
        <v>583.16999999999996</v>
      </c>
      <c r="H93" s="91">
        <v>583.16999999999996</v>
      </c>
      <c r="I93" s="91">
        <v>583.16999999999996</v>
      </c>
      <c r="J93" s="91">
        <v>583.16999999999996</v>
      </c>
      <c r="K93" s="91">
        <v>583.16999999999996</v>
      </c>
      <c r="L93" s="213" t="s">
        <v>434</v>
      </c>
      <c r="M93" s="209">
        <v>40909</v>
      </c>
    </row>
    <row r="94" spans="1:13" s="179" customFormat="1" ht="24" customHeight="1" x14ac:dyDescent="0.2">
      <c r="A94" s="133">
        <v>1100415452</v>
      </c>
      <c r="B94" s="96" t="s">
        <v>236</v>
      </c>
      <c r="C94" s="151">
        <f t="shared" si="1"/>
        <v>85</v>
      </c>
      <c r="D94" s="89">
        <v>2</v>
      </c>
      <c r="E94" s="206" t="s">
        <v>164</v>
      </c>
      <c r="F94" s="90">
        <v>801.57</v>
      </c>
      <c r="G94" s="90">
        <v>801.57</v>
      </c>
      <c r="H94" s="90">
        <v>801.57</v>
      </c>
      <c r="I94" s="90">
        <v>801.57</v>
      </c>
      <c r="J94" s="90">
        <v>801.57</v>
      </c>
      <c r="K94" s="90">
        <v>801.57</v>
      </c>
      <c r="L94" s="213" t="s">
        <v>434</v>
      </c>
      <c r="M94" s="209">
        <v>40909</v>
      </c>
    </row>
    <row r="95" spans="1:13" s="179" customFormat="1" ht="24" customHeight="1" x14ac:dyDescent="0.2">
      <c r="A95" s="133">
        <v>1103304877</v>
      </c>
      <c r="B95" s="96" t="s">
        <v>237</v>
      </c>
      <c r="C95" s="151">
        <f t="shared" si="1"/>
        <v>86</v>
      </c>
      <c r="D95" s="89">
        <v>4</v>
      </c>
      <c r="E95" s="206" t="s">
        <v>486</v>
      </c>
      <c r="F95" s="91">
        <v>615.22</v>
      </c>
      <c r="G95" s="91">
        <v>615.22</v>
      </c>
      <c r="H95" s="91">
        <v>615.22</v>
      </c>
      <c r="I95" s="91">
        <v>615.22</v>
      </c>
      <c r="J95" s="91">
        <v>615.22</v>
      </c>
      <c r="K95" s="91">
        <v>615.22</v>
      </c>
      <c r="L95" s="213" t="s">
        <v>434</v>
      </c>
      <c r="M95" s="209">
        <v>40909</v>
      </c>
    </row>
    <row r="96" spans="1:13" s="179" customFormat="1" ht="24" customHeight="1" x14ac:dyDescent="0.2">
      <c r="A96" s="133">
        <v>1103420111</v>
      </c>
      <c r="B96" s="96" t="s">
        <v>238</v>
      </c>
      <c r="C96" s="151">
        <f t="shared" si="1"/>
        <v>87</v>
      </c>
      <c r="D96" s="89">
        <v>1</v>
      </c>
      <c r="E96" s="206" t="s">
        <v>155</v>
      </c>
      <c r="F96" s="91">
        <v>565.22</v>
      </c>
      <c r="G96" s="91">
        <v>565.22</v>
      </c>
      <c r="H96" s="91">
        <v>565.22</v>
      </c>
      <c r="I96" s="91">
        <v>565.22</v>
      </c>
      <c r="J96" s="91">
        <v>565.22</v>
      </c>
      <c r="K96" s="91">
        <v>565.22</v>
      </c>
      <c r="L96" s="213" t="s">
        <v>434</v>
      </c>
      <c r="M96" s="209">
        <v>40909</v>
      </c>
    </row>
    <row r="97" spans="1:13" s="179" customFormat="1" ht="50.25" customHeight="1" x14ac:dyDescent="0.2">
      <c r="A97" s="133">
        <v>1101751210</v>
      </c>
      <c r="B97" s="96" t="s">
        <v>468</v>
      </c>
      <c r="C97" s="151">
        <f t="shared" si="1"/>
        <v>88</v>
      </c>
      <c r="D97" s="89">
        <v>2</v>
      </c>
      <c r="E97" s="206" t="s">
        <v>154</v>
      </c>
      <c r="F97" s="180">
        <v>811.45</v>
      </c>
      <c r="G97" s="180">
        <v>811.45</v>
      </c>
      <c r="H97" s="180">
        <v>811.45</v>
      </c>
      <c r="I97" s="180">
        <v>811.45</v>
      </c>
      <c r="J97" s="180">
        <v>811.45</v>
      </c>
      <c r="K97" s="91">
        <v>0</v>
      </c>
      <c r="L97" s="213" t="s">
        <v>504</v>
      </c>
      <c r="M97" s="209"/>
    </row>
    <row r="98" spans="1:13" s="179" customFormat="1" ht="24" customHeight="1" x14ac:dyDescent="0.2">
      <c r="A98" s="133">
        <v>1102599949</v>
      </c>
      <c r="B98" s="96" t="s">
        <v>239</v>
      </c>
      <c r="C98" s="151">
        <f t="shared" si="1"/>
        <v>89</v>
      </c>
      <c r="D98" s="89">
        <v>5</v>
      </c>
      <c r="E98" s="206" t="s">
        <v>240</v>
      </c>
      <c r="F98" s="91">
        <v>733.22</v>
      </c>
      <c r="G98" s="91">
        <v>733.22</v>
      </c>
      <c r="H98" s="91">
        <v>733.22</v>
      </c>
      <c r="I98" s="91">
        <v>733.22</v>
      </c>
      <c r="J98" s="91">
        <v>733.22</v>
      </c>
      <c r="K98" s="91">
        <v>733.22</v>
      </c>
      <c r="L98" s="213" t="s">
        <v>434</v>
      </c>
      <c r="M98" s="209">
        <v>40909</v>
      </c>
    </row>
    <row r="99" spans="1:13" s="179" customFormat="1" ht="24" customHeight="1" x14ac:dyDescent="0.2">
      <c r="A99" s="129">
        <v>1102402094</v>
      </c>
      <c r="B99" s="96" t="s">
        <v>241</v>
      </c>
      <c r="C99" s="151">
        <f t="shared" si="1"/>
        <v>90</v>
      </c>
      <c r="D99" s="89">
        <v>4</v>
      </c>
      <c r="E99" s="206" t="s">
        <v>487</v>
      </c>
      <c r="F99" s="91">
        <v>615.22</v>
      </c>
      <c r="G99" s="91">
        <v>615.22</v>
      </c>
      <c r="H99" s="91">
        <v>615.22</v>
      </c>
      <c r="I99" s="91">
        <v>615.22</v>
      </c>
      <c r="J99" s="91">
        <v>615.22</v>
      </c>
      <c r="K99" s="91">
        <v>615.22</v>
      </c>
      <c r="L99" s="214" t="s">
        <v>434</v>
      </c>
      <c r="M99" s="209">
        <v>40909</v>
      </c>
    </row>
    <row r="100" spans="1:13" s="179" customFormat="1" ht="52.5" customHeight="1" x14ac:dyDescent="0.2">
      <c r="A100" s="129">
        <v>1100794641</v>
      </c>
      <c r="B100" s="96" t="s">
        <v>469</v>
      </c>
      <c r="C100" s="151">
        <f t="shared" si="1"/>
        <v>91</v>
      </c>
      <c r="D100" s="89">
        <v>4</v>
      </c>
      <c r="E100" s="206" t="s">
        <v>486</v>
      </c>
      <c r="F100" s="94">
        <v>615.22</v>
      </c>
      <c r="G100" s="94">
        <v>615.22</v>
      </c>
      <c r="H100" s="94">
        <v>615.22</v>
      </c>
      <c r="I100" s="94">
        <v>615.22</v>
      </c>
      <c r="J100" s="94">
        <v>615.22</v>
      </c>
      <c r="K100" s="91">
        <v>0</v>
      </c>
      <c r="L100" s="213" t="s">
        <v>504</v>
      </c>
      <c r="M100" s="209"/>
    </row>
    <row r="101" spans="1:13" s="179" customFormat="1" ht="29.25" customHeight="1" x14ac:dyDescent="0.2">
      <c r="A101" s="129">
        <v>1101075966</v>
      </c>
      <c r="B101" s="96" t="s">
        <v>242</v>
      </c>
      <c r="C101" s="151">
        <f t="shared" si="1"/>
        <v>92</v>
      </c>
      <c r="D101" s="89">
        <v>5</v>
      </c>
      <c r="E101" s="206" t="s">
        <v>188</v>
      </c>
      <c r="F101" s="90">
        <v>953.46</v>
      </c>
      <c r="G101" s="90">
        <v>953.46</v>
      </c>
      <c r="H101" s="90">
        <v>953.46</v>
      </c>
      <c r="I101" s="90">
        <v>953.46</v>
      </c>
      <c r="J101" s="90">
        <v>953.46</v>
      </c>
      <c r="K101" s="90">
        <v>0</v>
      </c>
      <c r="L101" s="213" t="s">
        <v>504</v>
      </c>
      <c r="M101" s="209">
        <v>40909</v>
      </c>
    </row>
    <row r="102" spans="1:13" s="179" customFormat="1" ht="24" customHeight="1" x14ac:dyDescent="0.2">
      <c r="A102" s="134">
        <v>1101198446</v>
      </c>
      <c r="B102" s="96" t="s">
        <v>243</v>
      </c>
      <c r="C102" s="151">
        <f t="shared" si="1"/>
        <v>93</v>
      </c>
      <c r="D102" s="89">
        <v>4</v>
      </c>
      <c r="E102" s="206" t="s">
        <v>486</v>
      </c>
      <c r="F102" s="92">
        <v>598</v>
      </c>
      <c r="G102" s="92">
        <v>598</v>
      </c>
      <c r="H102" s="92">
        <v>598</v>
      </c>
      <c r="I102" s="92">
        <v>598</v>
      </c>
      <c r="J102" s="92">
        <v>598</v>
      </c>
      <c r="K102" s="92">
        <v>598</v>
      </c>
      <c r="L102" s="214" t="s">
        <v>434</v>
      </c>
      <c r="M102" s="209">
        <v>41640</v>
      </c>
    </row>
    <row r="103" spans="1:13" s="179" customFormat="1" ht="24" customHeight="1" x14ac:dyDescent="0.2">
      <c r="A103" s="134">
        <v>1600132706</v>
      </c>
      <c r="B103" s="96" t="s">
        <v>470</v>
      </c>
      <c r="C103" s="151">
        <f t="shared" si="1"/>
        <v>94</v>
      </c>
      <c r="D103" s="89">
        <v>4</v>
      </c>
      <c r="E103" s="206" t="s">
        <v>486</v>
      </c>
      <c r="F103" s="180">
        <v>939.95</v>
      </c>
      <c r="G103" s="180">
        <v>939.95</v>
      </c>
      <c r="H103" s="180">
        <v>939.95</v>
      </c>
      <c r="I103" s="92">
        <v>0</v>
      </c>
      <c r="J103" s="92">
        <v>0</v>
      </c>
      <c r="K103" s="92">
        <v>0</v>
      </c>
      <c r="L103" s="213" t="s">
        <v>499</v>
      </c>
      <c r="M103" s="209"/>
    </row>
    <row r="104" spans="1:13" s="179" customFormat="1" ht="24" customHeight="1" x14ac:dyDescent="0.2">
      <c r="A104" s="129">
        <v>1101704078</v>
      </c>
      <c r="B104" s="96" t="s">
        <v>244</v>
      </c>
      <c r="C104" s="151">
        <f t="shared" si="1"/>
        <v>95</v>
      </c>
      <c r="D104" s="89">
        <v>5</v>
      </c>
      <c r="E104" s="206" t="s">
        <v>245</v>
      </c>
      <c r="F104" s="90">
        <v>876</v>
      </c>
      <c r="G104" s="90">
        <v>876</v>
      </c>
      <c r="H104" s="90">
        <v>876</v>
      </c>
      <c r="I104" s="90">
        <v>876</v>
      </c>
      <c r="J104" s="90">
        <v>876</v>
      </c>
      <c r="K104" s="90">
        <v>876</v>
      </c>
      <c r="L104" s="213" t="s">
        <v>434</v>
      </c>
      <c r="M104" s="209">
        <v>40909</v>
      </c>
    </row>
    <row r="105" spans="1:13" s="179" customFormat="1" ht="24" customHeight="1" x14ac:dyDescent="0.2">
      <c r="A105" s="133">
        <v>1103606222</v>
      </c>
      <c r="B105" s="96" t="s">
        <v>246</v>
      </c>
      <c r="C105" s="151">
        <f t="shared" si="1"/>
        <v>96</v>
      </c>
      <c r="D105" s="89">
        <v>1</v>
      </c>
      <c r="E105" s="206" t="s">
        <v>484</v>
      </c>
      <c r="F105" s="91">
        <v>565.22</v>
      </c>
      <c r="G105" s="91">
        <v>565.22</v>
      </c>
      <c r="H105" s="91">
        <v>565.22</v>
      </c>
      <c r="I105" s="91">
        <v>565.22</v>
      </c>
      <c r="J105" s="91">
        <v>565.22</v>
      </c>
      <c r="K105" s="91">
        <v>565.22</v>
      </c>
      <c r="L105" s="213" t="s">
        <v>434</v>
      </c>
      <c r="M105" s="209">
        <v>40909</v>
      </c>
    </row>
    <row r="106" spans="1:13" s="179" customFormat="1" ht="24" customHeight="1" x14ac:dyDescent="0.2">
      <c r="A106" s="133">
        <v>1103270649</v>
      </c>
      <c r="B106" s="96" t="s">
        <v>247</v>
      </c>
      <c r="C106" s="151">
        <f t="shared" si="1"/>
        <v>97</v>
      </c>
      <c r="D106" s="89">
        <v>1</v>
      </c>
      <c r="E106" s="206" t="s">
        <v>485</v>
      </c>
      <c r="F106" s="91">
        <v>565.22</v>
      </c>
      <c r="G106" s="91">
        <v>565.22</v>
      </c>
      <c r="H106" s="91">
        <v>565.22</v>
      </c>
      <c r="I106" s="91">
        <v>565.22</v>
      </c>
      <c r="J106" s="91">
        <v>565.22</v>
      </c>
      <c r="K106" s="91">
        <v>565.22</v>
      </c>
      <c r="L106" s="213" t="s">
        <v>434</v>
      </c>
      <c r="M106" s="209">
        <v>40909</v>
      </c>
    </row>
    <row r="107" spans="1:13" s="179" customFormat="1" ht="24" customHeight="1" x14ac:dyDescent="0.2">
      <c r="A107" s="133">
        <v>1102562111</v>
      </c>
      <c r="B107" s="96" t="s">
        <v>248</v>
      </c>
      <c r="C107" s="151">
        <f t="shared" si="1"/>
        <v>98</v>
      </c>
      <c r="D107" s="89">
        <v>5</v>
      </c>
      <c r="E107" s="206" t="s">
        <v>188</v>
      </c>
      <c r="F107" s="90">
        <v>876</v>
      </c>
      <c r="G107" s="90">
        <v>876</v>
      </c>
      <c r="H107" s="90">
        <v>876</v>
      </c>
      <c r="I107" s="90">
        <v>876</v>
      </c>
      <c r="J107" s="90">
        <v>876</v>
      </c>
      <c r="K107" s="90">
        <v>876</v>
      </c>
      <c r="L107" s="213" t="s">
        <v>434</v>
      </c>
      <c r="M107" s="209">
        <v>40909</v>
      </c>
    </row>
    <row r="108" spans="1:13" s="179" customFormat="1" ht="24" customHeight="1" x14ac:dyDescent="0.2">
      <c r="A108" s="129">
        <v>1100417292</v>
      </c>
      <c r="B108" s="96" t="s">
        <v>249</v>
      </c>
      <c r="C108" s="151">
        <f t="shared" si="1"/>
        <v>99</v>
      </c>
      <c r="D108" s="89">
        <v>6</v>
      </c>
      <c r="E108" s="206" t="s">
        <v>223</v>
      </c>
      <c r="F108" s="90">
        <v>953.03</v>
      </c>
      <c r="G108" s="90">
        <v>953.03</v>
      </c>
      <c r="H108" s="90">
        <v>953.03</v>
      </c>
      <c r="I108" s="90">
        <v>953.03</v>
      </c>
      <c r="J108" s="90">
        <v>953.03</v>
      </c>
      <c r="K108" s="90">
        <v>953.03</v>
      </c>
      <c r="L108" s="213" t="s">
        <v>434</v>
      </c>
      <c r="M108" s="209">
        <v>40909</v>
      </c>
    </row>
    <row r="109" spans="1:13" s="179" customFormat="1" ht="24" customHeight="1" x14ac:dyDescent="0.2">
      <c r="A109" s="133">
        <v>1705635348</v>
      </c>
      <c r="B109" s="96" t="s">
        <v>250</v>
      </c>
      <c r="C109" s="151">
        <f t="shared" si="1"/>
        <v>100</v>
      </c>
      <c r="D109" s="89">
        <v>8</v>
      </c>
      <c r="E109" s="206" t="s">
        <v>251</v>
      </c>
      <c r="F109" s="91">
        <v>816.22</v>
      </c>
      <c r="G109" s="91">
        <v>816.22</v>
      </c>
      <c r="H109" s="91">
        <v>816.22</v>
      </c>
      <c r="I109" s="91">
        <v>816.22</v>
      </c>
      <c r="J109" s="91">
        <v>816.22</v>
      </c>
      <c r="K109" s="91">
        <v>816.22</v>
      </c>
      <c r="L109" s="213" t="s">
        <v>434</v>
      </c>
      <c r="M109" s="209">
        <v>40909</v>
      </c>
    </row>
    <row r="110" spans="1:13" s="179" customFormat="1" ht="24" customHeight="1" x14ac:dyDescent="0.2">
      <c r="A110" s="129">
        <v>1102886825</v>
      </c>
      <c r="B110" s="96" t="s">
        <v>252</v>
      </c>
      <c r="C110" s="151">
        <f t="shared" si="1"/>
        <v>101</v>
      </c>
      <c r="D110" s="89">
        <v>5</v>
      </c>
      <c r="E110" s="206" t="s">
        <v>151</v>
      </c>
      <c r="F110" s="90">
        <v>733.22</v>
      </c>
      <c r="G110" s="90">
        <v>733.22</v>
      </c>
      <c r="H110" s="90">
        <v>733.22</v>
      </c>
      <c r="I110" s="90">
        <v>733.22</v>
      </c>
      <c r="J110" s="90">
        <v>733.22</v>
      </c>
      <c r="K110" s="90">
        <v>733.22</v>
      </c>
      <c r="L110" s="213" t="s">
        <v>434</v>
      </c>
      <c r="M110" s="209">
        <v>40909</v>
      </c>
    </row>
    <row r="111" spans="1:13" s="179" customFormat="1" ht="24" customHeight="1" x14ac:dyDescent="0.2">
      <c r="A111" s="133" t="s">
        <v>253</v>
      </c>
      <c r="B111" s="96" t="s">
        <v>254</v>
      </c>
      <c r="C111" s="151">
        <f t="shared" si="1"/>
        <v>102</v>
      </c>
      <c r="D111" s="89">
        <v>5</v>
      </c>
      <c r="E111" s="206" t="s">
        <v>151</v>
      </c>
      <c r="F111" s="90">
        <v>733.22</v>
      </c>
      <c r="G111" s="90">
        <v>733.22</v>
      </c>
      <c r="H111" s="90">
        <v>733.22</v>
      </c>
      <c r="I111" s="90">
        <v>733.22</v>
      </c>
      <c r="J111" s="90">
        <v>733.22</v>
      </c>
      <c r="K111" s="90">
        <v>733.22</v>
      </c>
      <c r="L111" s="213" t="s">
        <v>434</v>
      </c>
      <c r="M111" s="209">
        <v>40909</v>
      </c>
    </row>
    <row r="112" spans="1:13" s="179" customFormat="1" ht="24" customHeight="1" x14ac:dyDescent="0.2">
      <c r="A112" s="129">
        <v>1102408539</v>
      </c>
      <c r="B112" s="96" t="s">
        <v>255</v>
      </c>
      <c r="C112" s="151">
        <f t="shared" si="1"/>
        <v>103</v>
      </c>
      <c r="D112" s="89">
        <v>6</v>
      </c>
      <c r="E112" s="206" t="s">
        <v>223</v>
      </c>
      <c r="F112" s="90">
        <v>766.22</v>
      </c>
      <c r="G112" s="90">
        <v>766.22</v>
      </c>
      <c r="H112" s="90">
        <v>766.22</v>
      </c>
      <c r="I112" s="90">
        <v>766.22</v>
      </c>
      <c r="J112" s="90">
        <v>766.22</v>
      </c>
      <c r="K112" s="90">
        <v>766.22</v>
      </c>
      <c r="L112" s="214" t="s">
        <v>434</v>
      </c>
      <c r="M112" s="209">
        <v>40909</v>
      </c>
    </row>
    <row r="113" spans="1:13" s="179" customFormat="1" ht="24" customHeight="1" x14ac:dyDescent="0.2">
      <c r="A113" s="133">
        <v>1101849758</v>
      </c>
      <c r="B113" s="96" t="s">
        <v>256</v>
      </c>
      <c r="C113" s="151">
        <f t="shared" si="1"/>
        <v>104</v>
      </c>
      <c r="D113" s="89">
        <v>8</v>
      </c>
      <c r="E113" s="206" t="s">
        <v>492</v>
      </c>
      <c r="F113" s="90">
        <v>854.43</v>
      </c>
      <c r="G113" s="90">
        <v>854.43</v>
      </c>
      <c r="H113" s="90">
        <v>854.43</v>
      </c>
      <c r="I113" s="90">
        <v>854.43</v>
      </c>
      <c r="J113" s="90">
        <v>854.43</v>
      </c>
      <c r="K113" s="90">
        <v>854.43</v>
      </c>
      <c r="L113" s="213" t="s">
        <v>434</v>
      </c>
      <c r="M113" s="209">
        <v>40909</v>
      </c>
    </row>
    <row r="114" spans="1:13" s="179" customFormat="1" ht="24" customHeight="1" x14ac:dyDescent="0.2">
      <c r="A114" s="129">
        <v>1101432134</v>
      </c>
      <c r="B114" s="96" t="s">
        <v>257</v>
      </c>
      <c r="C114" s="151">
        <f t="shared" si="1"/>
        <v>105</v>
      </c>
      <c r="D114" s="89">
        <v>3</v>
      </c>
      <c r="E114" s="206" t="s">
        <v>215</v>
      </c>
      <c r="F114" s="90">
        <v>902.76</v>
      </c>
      <c r="G114" s="90">
        <v>902.76</v>
      </c>
      <c r="H114" s="90">
        <v>902.76</v>
      </c>
      <c r="I114" s="90">
        <v>902.76</v>
      </c>
      <c r="J114" s="90">
        <v>902.76</v>
      </c>
      <c r="K114" s="90">
        <v>902.76</v>
      </c>
      <c r="L114" s="213" t="s">
        <v>434</v>
      </c>
      <c r="M114" s="209">
        <v>40909</v>
      </c>
    </row>
    <row r="115" spans="1:13" s="179" customFormat="1" ht="24" customHeight="1" x14ac:dyDescent="0.2">
      <c r="A115" s="133">
        <v>1101704649</v>
      </c>
      <c r="B115" s="96" t="s">
        <v>258</v>
      </c>
      <c r="C115" s="151">
        <f t="shared" si="1"/>
        <v>106</v>
      </c>
      <c r="D115" s="89">
        <v>1</v>
      </c>
      <c r="E115" s="206" t="s">
        <v>485</v>
      </c>
      <c r="F115" s="91">
        <v>782.72</v>
      </c>
      <c r="G115" s="91">
        <v>782.72</v>
      </c>
      <c r="H115" s="91">
        <v>782.72</v>
      </c>
      <c r="I115" s="91">
        <v>782.72</v>
      </c>
      <c r="J115" s="91">
        <v>782.72</v>
      </c>
      <c r="K115" s="91">
        <v>782.72</v>
      </c>
      <c r="L115" s="213" t="s">
        <v>434</v>
      </c>
      <c r="M115" s="209">
        <v>40909</v>
      </c>
    </row>
    <row r="116" spans="1:13" s="179" customFormat="1" ht="24" customHeight="1" x14ac:dyDescent="0.2">
      <c r="A116" s="133" t="s">
        <v>259</v>
      </c>
      <c r="B116" s="96" t="s">
        <v>260</v>
      </c>
      <c r="C116" s="151">
        <f t="shared" si="1"/>
        <v>107</v>
      </c>
      <c r="D116" s="89">
        <v>1</v>
      </c>
      <c r="E116" s="206" t="s">
        <v>213</v>
      </c>
      <c r="F116" s="91">
        <v>565.22</v>
      </c>
      <c r="G116" s="91">
        <v>565.22</v>
      </c>
      <c r="H116" s="91">
        <v>565.22</v>
      </c>
      <c r="I116" s="91">
        <v>565.22</v>
      </c>
      <c r="J116" s="91">
        <v>565.22</v>
      </c>
      <c r="K116" s="91">
        <v>565.22</v>
      </c>
      <c r="L116" s="213" t="s">
        <v>434</v>
      </c>
      <c r="M116" s="209">
        <v>40909</v>
      </c>
    </row>
    <row r="117" spans="1:13" s="179" customFormat="1" ht="24" customHeight="1" x14ac:dyDescent="0.2">
      <c r="A117" s="129">
        <v>1100607199</v>
      </c>
      <c r="B117" s="96" t="s">
        <v>261</v>
      </c>
      <c r="C117" s="151">
        <f t="shared" si="1"/>
        <v>108</v>
      </c>
      <c r="D117" s="89">
        <v>4</v>
      </c>
      <c r="E117" s="206" t="s">
        <v>486</v>
      </c>
      <c r="F117" s="91">
        <v>615.22</v>
      </c>
      <c r="G117" s="91">
        <v>615.22</v>
      </c>
      <c r="H117" s="91">
        <v>615.22</v>
      </c>
      <c r="I117" s="91">
        <v>615.22</v>
      </c>
      <c r="J117" s="91">
        <v>615.22</v>
      </c>
      <c r="K117" s="91">
        <v>615.22</v>
      </c>
      <c r="L117" s="213" t="s">
        <v>434</v>
      </c>
      <c r="M117" s="209">
        <v>40909</v>
      </c>
    </row>
    <row r="118" spans="1:13" s="179" customFormat="1" ht="24" customHeight="1" x14ac:dyDescent="0.2">
      <c r="A118" s="133">
        <v>1103750764</v>
      </c>
      <c r="B118" s="96" t="s">
        <v>262</v>
      </c>
      <c r="C118" s="151">
        <f t="shared" si="1"/>
        <v>109</v>
      </c>
      <c r="D118" s="89">
        <v>4</v>
      </c>
      <c r="E118" s="206" t="s">
        <v>486</v>
      </c>
      <c r="F118" s="91">
        <v>615.22</v>
      </c>
      <c r="G118" s="91">
        <v>615.22</v>
      </c>
      <c r="H118" s="91">
        <v>615.22</v>
      </c>
      <c r="I118" s="91">
        <v>615.22</v>
      </c>
      <c r="J118" s="91">
        <v>615.22</v>
      </c>
      <c r="K118" s="91">
        <v>615.22</v>
      </c>
      <c r="L118" s="213" t="s">
        <v>434</v>
      </c>
      <c r="M118" s="209">
        <v>40909</v>
      </c>
    </row>
    <row r="119" spans="1:13" s="179" customFormat="1" ht="24" customHeight="1" x14ac:dyDescent="0.2">
      <c r="A119" s="133" t="s">
        <v>263</v>
      </c>
      <c r="B119" s="96" t="s">
        <v>264</v>
      </c>
      <c r="C119" s="151">
        <f t="shared" si="1"/>
        <v>110</v>
      </c>
      <c r="D119" s="89">
        <v>1</v>
      </c>
      <c r="E119" s="206" t="s">
        <v>213</v>
      </c>
      <c r="F119" s="91">
        <v>565.22</v>
      </c>
      <c r="G119" s="91">
        <v>565.22</v>
      </c>
      <c r="H119" s="91">
        <v>565.22</v>
      </c>
      <c r="I119" s="91">
        <v>565.22</v>
      </c>
      <c r="J119" s="91">
        <v>565.22</v>
      </c>
      <c r="K119" s="91">
        <v>565.22</v>
      </c>
      <c r="L119" s="213" t="s">
        <v>434</v>
      </c>
      <c r="M119" s="209">
        <v>40909</v>
      </c>
    </row>
    <row r="120" spans="1:13" s="179" customFormat="1" ht="24" customHeight="1" x14ac:dyDescent="0.2">
      <c r="A120" s="129">
        <v>1101558268</v>
      </c>
      <c r="B120" s="96" t="s">
        <v>265</v>
      </c>
      <c r="C120" s="151">
        <f t="shared" si="1"/>
        <v>111</v>
      </c>
      <c r="D120" s="89">
        <v>1</v>
      </c>
      <c r="E120" s="206" t="s">
        <v>155</v>
      </c>
      <c r="F120" s="91">
        <v>565.22</v>
      </c>
      <c r="G120" s="91">
        <v>565.22</v>
      </c>
      <c r="H120" s="91">
        <v>565.22</v>
      </c>
      <c r="I120" s="91">
        <v>565.22</v>
      </c>
      <c r="J120" s="91">
        <v>565.22</v>
      </c>
      <c r="K120" s="91">
        <v>565.22</v>
      </c>
      <c r="L120" s="213" t="s">
        <v>434</v>
      </c>
      <c r="M120" s="209">
        <v>40909</v>
      </c>
    </row>
    <row r="121" spans="1:13" s="179" customFormat="1" ht="24" customHeight="1" x14ac:dyDescent="0.2">
      <c r="A121" s="129">
        <v>1102657036</v>
      </c>
      <c r="B121" s="96" t="s">
        <v>266</v>
      </c>
      <c r="C121" s="151">
        <f t="shared" si="1"/>
        <v>112</v>
      </c>
      <c r="D121" s="89">
        <v>1</v>
      </c>
      <c r="E121" s="206" t="s">
        <v>485</v>
      </c>
      <c r="F121" s="91">
        <v>565.22</v>
      </c>
      <c r="G121" s="91">
        <v>565.22</v>
      </c>
      <c r="H121" s="91">
        <v>565.22</v>
      </c>
      <c r="I121" s="91">
        <v>565.22</v>
      </c>
      <c r="J121" s="91">
        <v>565.22</v>
      </c>
      <c r="K121" s="91">
        <v>565.22</v>
      </c>
      <c r="L121" s="213" t="s">
        <v>434</v>
      </c>
      <c r="M121" s="209">
        <v>40909</v>
      </c>
    </row>
    <row r="122" spans="1:13" s="179" customFormat="1" ht="24" customHeight="1" x14ac:dyDescent="0.2">
      <c r="A122" s="133">
        <v>1104064108</v>
      </c>
      <c r="B122" s="96" t="s">
        <v>267</v>
      </c>
      <c r="C122" s="151">
        <f t="shared" si="1"/>
        <v>113</v>
      </c>
      <c r="D122" s="89">
        <v>1</v>
      </c>
      <c r="E122" s="206" t="s">
        <v>484</v>
      </c>
      <c r="F122" s="91">
        <v>565.22</v>
      </c>
      <c r="G122" s="91">
        <v>565.22</v>
      </c>
      <c r="H122" s="91">
        <v>565.22</v>
      </c>
      <c r="I122" s="91">
        <v>565.22</v>
      </c>
      <c r="J122" s="91">
        <v>565.22</v>
      </c>
      <c r="K122" s="91">
        <v>565.22</v>
      </c>
      <c r="L122" s="213" t="s">
        <v>434</v>
      </c>
      <c r="M122" s="209">
        <v>40909</v>
      </c>
    </row>
    <row r="123" spans="1:13" s="179" customFormat="1" ht="24" customHeight="1" x14ac:dyDescent="0.2">
      <c r="A123" s="133">
        <v>1104430192</v>
      </c>
      <c r="B123" s="96" t="s">
        <v>268</v>
      </c>
      <c r="C123" s="151">
        <f t="shared" si="1"/>
        <v>114</v>
      </c>
      <c r="D123" s="89">
        <v>1</v>
      </c>
      <c r="E123" s="206" t="s">
        <v>146</v>
      </c>
      <c r="F123" s="91">
        <v>565.22</v>
      </c>
      <c r="G123" s="91">
        <v>565.22</v>
      </c>
      <c r="H123" s="91">
        <v>565.22</v>
      </c>
      <c r="I123" s="91">
        <v>565.22</v>
      </c>
      <c r="J123" s="91">
        <v>565.22</v>
      </c>
      <c r="K123" s="91">
        <v>565.22</v>
      </c>
      <c r="L123" s="213" t="s">
        <v>434</v>
      </c>
      <c r="M123" s="209">
        <v>40909</v>
      </c>
    </row>
    <row r="124" spans="1:13" s="179" customFormat="1" ht="24" customHeight="1" x14ac:dyDescent="0.2">
      <c r="A124" s="133">
        <v>1103968713</v>
      </c>
      <c r="B124" s="96" t="s">
        <v>269</v>
      </c>
      <c r="C124" s="151">
        <f t="shared" si="1"/>
        <v>115</v>
      </c>
      <c r="D124" s="89">
        <v>1</v>
      </c>
      <c r="E124" s="206" t="s">
        <v>146</v>
      </c>
      <c r="F124" s="91">
        <v>565.22</v>
      </c>
      <c r="G124" s="91">
        <v>565.22</v>
      </c>
      <c r="H124" s="91">
        <v>565.22</v>
      </c>
      <c r="I124" s="91">
        <v>565.22</v>
      </c>
      <c r="J124" s="91">
        <v>565.22</v>
      </c>
      <c r="K124" s="91">
        <v>565.22</v>
      </c>
      <c r="L124" s="213" t="s">
        <v>434</v>
      </c>
      <c r="M124" s="209">
        <v>40909</v>
      </c>
    </row>
    <row r="125" spans="1:13" s="179" customFormat="1" ht="24" customHeight="1" x14ac:dyDescent="0.2">
      <c r="A125" s="129">
        <v>1100627668</v>
      </c>
      <c r="B125" s="96" t="s">
        <v>270</v>
      </c>
      <c r="C125" s="151">
        <f t="shared" si="1"/>
        <v>116</v>
      </c>
      <c r="D125" s="89">
        <v>4</v>
      </c>
      <c r="E125" s="206" t="s">
        <v>486</v>
      </c>
      <c r="F125" s="91">
        <v>615.22</v>
      </c>
      <c r="G125" s="91">
        <v>615.22</v>
      </c>
      <c r="H125" s="91">
        <v>615.22</v>
      </c>
      <c r="I125" s="91">
        <v>615.22</v>
      </c>
      <c r="J125" s="91">
        <v>615.22</v>
      </c>
      <c r="K125" s="91">
        <v>615.22</v>
      </c>
      <c r="L125" s="213" t="s">
        <v>434</v>
      </c>
      <c r="M125" s="209">
        <v>40909</v>
      </c>
    </row>
    <row r="126" spans="1:13" s="179" customFormat="1" ht="24" customHeight="1" x14ac:dyDescent="0.2">
      <c r="A126" s="129">
        <v>1102444864</v>
      </c>
      <c r="B126" s="96" t="s">
        <v>271</v>
      </c>
      <c r="C126" s="151">
        <f t="shared" si="1"/>
        <v>117</v>
      </c>
      <c r="D126" s="89">
        <v>1</v>
      </c>
      <c r="E126" s="206" t="s">
        <v>485</v>
      </c>
      <c r="F126" s="91">
        <v>565.22</v>
      </c>
      <c r="G126" s="91">
        <v>565.22</v>
      </c>
      <c r="H126" s="91">
        <v>565.22</v>
      </c>
      <c r="I126" s="91">
        <v>565.22</v>
      </c>
      <c r="J126" s="91">
        <v>565.22</v>
      </c>
      <c r="K126" s="91">
        <v>565.22</v>
      </c>
      <c r="L126" s="214" t="s">
        <v>434</v>
      </c>
      <c r="M126" s="209">
        <v>40909</v>
      </c>
    </row>
    <row r="127" spans="1:13" s="179" customFormat="1" ht="24" customHeight="1" x14ac:dyDescent="0.2">
      <c r="A127" s="133">
        <v>1104360548</v>
      </c>
      <c r="B127" s="96" t="s">
        <v>272</v>
      </c>
      <c r="C127" s="151">
        <f t="shared" si="1"/>
        <v>118</v>
      </c>
      <c r="D127" s="89">
        <v>5</v>
      </c>
      <c r="E127" s="206" t="s">
        <v>240</v>
      </c>
      <c r="F127" s="90">
        <v>733.22</v>
      </c>
      <c r="G127" s="90">
        <v>733.22</v>
      </c>
      <c r="H127" s="90">
        <v>733.22</v>
      </c>
      <c r="I127" s="90">
        <v>733.22</v>
      </c>
      <c r="J127" s="90">
        <v>733.22</v>
      </c>
      <c r="K127" s="90">
        <v>733.22</v>
      </c>
      <c r="L127" s="213" t="s">
        <v>434</v>
      </c>
      <c r="M127" s="209">
        <v>40909</v>
      </c>
    </row>
    <row r="128" spans="1:13" s="179" customFormat="1" ht="24" customHeight="1" x14ac:dyDescent="0.2">
      <c r="A128" s="133">
        <v>1102539549</v>
      </c>
      <c r="B128" s="96" t="s">
        <v>273</v>
      </c>
      <c r="C128" s="151">
        <f t="shared" si="1"/>
        <v>119</v>
      </c>
      <c r="D128" s="89">
        <v>8</v>
      </c>
      <c r="E128" s="206" t="s">
        <v>251</v>
      </c>
      <c r="F128" s="91">
        <v>816.22</v>
      </c>
      <c r="G128" s="91">
        <v>816.22</v>
      </c>
      <c r="H128" s="91">
        <v>816.22</v>
      </c>
      <c r="I128" s="91">
        <v>816.22</v>
      </c>
      <c r="J128" s="91">
        <v>816.22</v>
      </c>
      <c r="K128" s="91">
        <v>816.22</v>
      </c>
      <c r="L128" s="213" t="s">
        <v>434</v>
      </c>
      <c r="M128" s="209">
        <v>40909</v>
      </c>
    </row>
    <row r="129" spans="1:13" s="179" customFormat="1" ht="24" customHeight="1" x14ac:dyDescent="0.2">
      <c r="A129" s="133" t="s">
        <v>274</v>
      </c>
      <c r="B129" s="96" t="s">
        <v>275</v>
      </c>
      <c r="C129" s="151">
        <f t="shared" si="1"/>
        <v>120</v>
      </c>
      <c r="D129" s="89">
        <v>5</v>
      </c>
      <c r="E129" s="206" t="s">
        <v>151</v>
      </c>
      <c r="F129" s="90">
        <v>733.22</v>
      </c>
      <c r="G129" s="90">
        <v>733.22</v>
      </c>
      <c r="H129" s="90">
        <v>733.22</v>
      </c>
      <c r="I129" s="90">
        <v>733.22</v>
      </c>
      <c r="J129" s="90">
        <v>733.22</v>
      </c>
      <c r="K129" s="90">
        <v>733.22</v>
      </c>
      <c r="L129" s="214" t="s">
        <v>434</v>
      </c>
      <c r="M129" s="209">
        <v>40909</v>
      </c>
    </row>
    <row r="130" spans="1:13" s="179" customFormat="1" ht="24" customHeight="1" x14ac:dyDescent="0.2">
      <c r="A130" s="129">
        <v>1102561691</v>
      </c>
      <c r="B130" s="96" t="s">
        <v>276</v>
      </c>
      <c r="C130" s="151">
        <f t="shared" si="1"/>
        <v>121</v>
      </c>
      <c r="D130" s="89">
        <v>6</v>
      </c>
      <c r="E130" s="206" t="s">
        <v>223</v>
      </c>
      <c r="F130" s="90">
        <v>766.22</v>
      </c>
      <c r="G130" s="90">
        <v>766.22</v>
      </c>
      <c r="H130" s="90">
        <v>766.22</v>
      </c>
      <c r="I130" s="90">
        <v>766.22</v>
      </c>
      <c r="J130" s="90">
        <v>766.22</v>
      </c>
      <c r="K130" s="90">
        <v>766.22</v>
      </c>
      <c r="L130" s="213" t="s">
        <v>434</v>
      </c>
      <c r="M130" s="209">
        <v>40909</v>
      </c>
    </row>
    <row r="131" spans="1:13" s="179" customFormat="1" ht="24" customHeight="1" x14ac:dyDescent="0.2">
      <c r="A131" s="133">
        <v>1104109655</v>
      </c>
      <c r="B131" s="96" t="s">
        <v>277</v>
      </c>
      <c r="C131" s="151">
        <f t="shared" si="1"/>
        <v>122</v>
      </c>
      <c r="D131" s="89">
        <v>2</v>
      </c>
      <c r="E131" s="206" t="s">
        <v>278</v>
      </c>
      <c r="F131" s="91">
        <v>581.22</v>
      </c>
      <c r="G131" s="91">
        <v>581.22</v>
      </c>
      <c r="H131" s="91">
        <v>581.22</v>
      </c>
      <c r="I131" s="91">
        <v>581.22</v>
      </c>
      <c r="J131" s="91">
        <v>581.22</v>
      </c>
      <c r="K131" s="91">
        <v>581.22</v>
      </c>
      <c r="L131" s="213" t="s">
        <v>434</v>
      </c>
      <c r="M131" s="209">
        <v>40909</v>
      </c>
    </row>
    <row r="132" spans="1:13" s="179" customFormat="1" ht="24" customHeight="1" x14ac:dyDescent="0.2">
      <c r="A132" s="136">
        <v>1103919096</v>
      </c>
      <c r="B132" s="96" t="s">
        <v>279</v>
      </c>
      <c r="C132" s="151">
        <f t="shared" si="1"/>
        <v>123</v>
      </c>
      <c r="D132" s="89">
        <v>1</v>
      </c>
      <c r="E132" s="206" t="s">
        <v>213</v>
      </c>
      <c r="F132" s="92">
        <v>565</v>
      </c>
      <c r="G132" s="92">
        <v>565</v>
      </c>
      <c r="H132" s="92">
        <v>565</v>
      </c>
      <c r="I132" s="92">
        <v>565</v>
      </c>
      <c r="J132" s="92">
        <v>565</v>
      </c>
      <c r="K132" s="92">
        <v>565</v>
      </c>
      <c r="L132" s="213" t="s">
        <v>434</v>
      </c>
      <c r="M132" s="209">
        <v>41640</v>
      </c>
    </row>
    <row r="133" spans="1:13" s="179" customFormat="1" ht="24" customHeight="1" x14ac:dyDescent="0.2">
      <c r="A133" s="133">
        <v>1102823372</v>
      </c>
      <c r="B133" s="96" t="s">
        <v>280</v>
      </c>
      <c r="C133" s="151">
        <f t="shared" si="1"/>
        <v>124</v>
      </c>
      <c r="D133" s="89">
        <v>1</v>
      </c>
      <c r="E133" s="206" t="s">
        <v>485</v>
      </c>
      <c r="F133" s="91">
        <v>565.22</v>
      </c>
      <c r="G133" s="91">
        <v>565.22</v>
      </c>
      <c r="H133" s="91">
        <v>565.22</v>
      </c>
      <c r="I133" s="91">
        <v>565.22</v>
      </c>
      <c r="J133" s="91">
        <v>565.22</v>
      </c>
      <c r="K133" s="91">
        <v>565.22</v>
      </c>
      <c r="L133" s="214" t="s">
        <v>434</v>
      </c>
      <c r="M133" s="209">
        <v>40909</v>
      </c>
    </row>
    <row r="134" spans="1:13" s="179" customFormat="1" ht="24" customHeight="1" x14ac:dyDescent="0.2">
      <c r="A134" s="129">
        <v>1102853585</v>
      </c>
      <c r="B134" s="96" t="s">
        <v>281</v>
      </c>
      <c r="C134" s="151">
        <f t="shared" si="1"/>
        <v>125</v>
      </c>
      <c r="D134" s="89">
        <v>5</v>
      </c>
      <c r="E134" s="206" t="s">
        <v>282</v>
      </c>
      <c r="F134" s="90">
        <v>733.22</v>
      </c>
      <c r="G134" s="90">
        <v>733.22</v>
      </c>
      <c r="H134" s="90">
        <v>733.22</v>
      </c>
      <c r="I134" s="90">
        <v>733.22</v>
      </c>
      <c r="J134" s="90">
        <v>733.22</v>
      </c>
      <c r="K134" s="90">
        <v>733.22</v>
      </c>
      <c r="L134" s="213" t="s">
        <v>434</v>
      </c>
      <c r="M134" s="209">
        <v>40909</v>
      </c>
    </row>
    <row r="135" spans="1:13" s="179" customFormat="1" ht="24" customHeight="1" x14ac:dyDescent="0.2">
      <c r="A135" s="129">
        <v>1102621271</v>
      </c>
      <c r="B135" s="96" t="s">
        <v>283</v>
      </c>
      <c r="C135" s="151">
        <f t="shared" si="1"/>
        <v>126</v>
      </c>
      <c r="D135" s="89">
        <v>2</v>
      </c>
      <c r="E135" s="206" t="s">
        <v>154</v>
      </c>
      <c r="F135" s="91">
        <v>581.22</v>
      </c>
      <c r="G135" s="91">
        <v>581.22</v>
      </c>
      <c r="H135" s="91">
        <v>581.22</v>
      </c>
      <c r="I135" s="91">
        <v>581.22</v>
      </c>
      <c r="J135" s="91">
        <v>581.22</v>
      </c>
      <c r="K135" s="91">
        <v>581.22</v>
      </c>
      <c r="L135" s="213" t="s">
        <v>434</v>
      </c>
      <c r="M135" s="209">
        <v>40909</v>
      </c>
    </row>
    <row r="136" spans="1:13" s="179" customFormat="1" ht="24" customHeight="1" x14ac:dyDescent="0.2">
      <c r="A136" s="133">
        <v>1101760054</v>
      </c>
      <c r="B136" s="96" t="s">
        <v>284</v>
      </c>
      <c r="C136" s="151">
        <f t="shared" si="1"/>
        <v>127</v>
      </c>
      <c r="D136" s="89">
        <v>1</v>
      </c>
      <c r="E136" s="206" t="s">
        <v>137</v>
      </c>
      <c r="F136" s="91">
        <v>565.22</v>
      </c>
      <c r="G136" s="91">
        <v>565.22</v>
      </c>
      <c r="H136" s="91">
        <v>565.22</v>
      </c>
      <c r="I136" s="91">
        <v>565.22</v>
      </c>
      <c r="J136" s="91">
        <v>565.22</v>
      </c>
      <c r="K136" s="91">
        <v>565.22</v>
      </c>
      <c r="L136" s="214" t="s">
        <v>434</v>
      </c>
      <c r="M136" s="209">
        <v>40909</v>
      </c>
    </row>
    <row r="137" spans="1:13" s="179" customFormat="1" ht="24" customHeight="1" x14ac:dyDescent="0.2">
      <c r="A137" s="133">
        <v>1104329188</v>
      </c>
      <c r="B137" s="96" t="s">
        <v>471</v>
      </c>
      <c r="C137" s="151">
        <f t="shared" si="1"/>
        <v>128</v>
      </c>
      <c r="D137" s="89">
        <v>1</v>
      </c>
      <c r="E137" s="206" t="s">
        <v>485</v>
      </c>
      <c r="F137" s="91">
        <v>565.22</v>
      </c>
      <c r="G137" s="91">
        <v>0</v>
      </c>
      <c r="H137" s="91">
        <v>0</v>
      </c>
      <c r="I137" s="91">
        <v>0</v>
      </c>
      <c r="J137" s="91">
        <v>0</v>
      </c>
      <c r="K137" s="91">
        <v>0</v>
      </c>
      <c r="L137" s="213" t="s">
        <v>497</v>
      </c>
      <c r="M137" s="209">
        <v>40909</v>
      </c>
    </row>
    <row r="138" spans="1:13" s="179" customFormat="1" ht="24" customHeight="1" x14ac:dyDescent="0.2">
      <c r="A138" s="133">
        <v>1101047148</v>
      </c>
      <c r="B138" s="96" t="s">
        <v>285</v>
      </c>
      <c r="C138" s="151">
        <f t="shared" si="1"/>
        <v>129</v>
      </c>
      <c r="D138" s="89">
        <v>1</v>
      </c>
      <c r="E138" s="206" t="s">
        <v>485</v>
      </c>
      <c r="F138" s="91">
        <v>786.18</v>
      </c>
      <c r="G138" s="91">
        <v>786.18</v>
      </c>
      <c r="H138" s="91">
        <v>786.18</v>
      </c>
      <c r="I138" s="91">
        <v>786.18</v>
      </c>
      <c r="J138" s="91">
        <v>786.18</v>
      </c>
      <c r="K138" s="91">
        <v>786.18</v>
      </c>
      <c r="L138" s="213" t="s">
        <v>434</v>
      </c>
      <c r="M138" s="209">
        <v>40909</v>
      </c>
    </row>
    <row r="139" spans="1:13" s="179" customFormat="1" ht="24" customHeight="1" x14ac:dyDescent="0.2">
      <c r="A139" s="133" t="s">
        <v>286</v>
      </c>
      <c r="B139" s="96" t="s">
        <v>287</v>
      </c>
      <c r="C139" s="151">
        <f t="shared" si="1"/>
        <v>130</v>
      </c>
      <c r="D139" s="89">
        <v>2</v>
      </c>
      <c r="E139" s="206" t="s">
        <v>318</v>
      </c>
      <c r="F139" s="91">
        <v>581.22</v>
      </c>
      <c r="G139" s="91">
        <v>581.22</v>
      </c>
      <c r="H139" s="91">
        <v>581.22</v>
      </c>
      <c r="I139" s="91">
        <v>581.22</v>
      </c>
      <c r="J139" s="91">
        <v>581.22</v>
      </c>
      <c r="K139" s="91">
        <v>581.22</v>
      </c>
      <c r="L139" s="213" t="s">
        <v>434</v>
      </c>
      <c r="M139" s="209">
        <v>41852</v>
      </c>
    </row>
    <row r="140" spans="1:13" s="179" customFormat="1" ht="24" customHeight="1" x14ac:dyDescent="0.2">
      <c r="A140" s="133">
        <v>1103351027</v>
      </c>
      <c r="B140" s="96" t="s">
        <v>288</v>
      </c>
      <c r="C140" s="151">
        <f t="shared" si="1"/>
        <v>131</v>
      </c>
      <c r="D140" s="89">
        <v>1</v>
      </c>
      <c r="E140" s="206" t="s">
        <v>485</v>
      </c>
      <c r="F140" s="91">
        <v>565.22</v>
      </c>
      <c r="G140" s="91">
        <v>565.22</v>
      </c>
      <c r="H140" s="91">
        <v>565.22</v>
      </c>
      <c r="I140" s="91">
        <v>565.22</v>
      </c>
      <c r="J140" s="91">
        <v>565.22</v>
      </c>
      <c r="K140" s="91">
        <v>565.22</v>
      </c>
      <c r="L140" s="213" t="s">
        <v>434</v>
      </c>
      <c r="M140" s="209">
        <v>40909</v>
      </c>
    </row>
    <row r="141" spans="1:13" s="179" customFormat="1" ht="24" customHeight="1" x14ac:dyDescent="0.2">
      <c r="A141" s="133">
        <v>1103825509</v>
      </c>
      <c r="B141" s="96" t="s">
        <v>289</v>
      </c>
      <c r="C141" s="151">
        <f t="shared" si="1"/>
        <v>132</v>
      </c>
      <c r="D141" s="89">
        <v>2</v>
      </c>
      <c r="E141" s="206" t="s">
        <v>154</v>
      </c>
      <c r="F141" s="91">
        <v>581.22</v>
      </c>
      <c r="G141" s="91">
        <v>581.22</v>
      </c>
      <c r="H141" s="91">
        <v>581.22</v>
      </c>
      <c r="I141" s="91">
        <v>581.22</v>
      </c>
      <c r="J141" s="91">
        <v>581.22</v>
      </c>
      <c r="K141" s="91">
        <v>581.22</v>
      </c>
      <c r="L141" s="213" t="s">
        <v>434</v>
      </c>
      <c r="M141" s="209">
        <v>40909</v>
      </c>
    </row>
    <row r="142" spans="1:13" s="179" customFormat="1" ht="24" customHeight="1" x14ac:dyDescent="0.2">
      <c r="A142" s="138">
        <v>1103999676</v>
      </c>
      <c r="B142" s="96" t="s">
        <v>290</v>
      </c>
      <c r="C142" s="151">
        <f t="shared" ref="C142:C205" si="2">+C141+1</f>
        <v>133</v>
      </c>
      <c r="D142" s="89">
        <v>1</v>
      </c>
      <c r="E142" s="206" t="s">
        <v>291</v>
      </c>
      <c r="F142" s="91">
        <v>565.22</v>
      </c>
      <c r="G142" s="91">
        <v>565.22</v>
      </c>
      <c r="H142" s="91">
        <v>565.22</v>
      </c>
      <c r="I142" s="91">
        <v>565.22</v>
      </c>
      <c r="J142" s="91">
        <v>565.22</v>
      </c>
      <c r="K142" s="91">
        <v>565.22</v>
      </c>
      <c r="L142" s="213" t="s">
        <v>434</v>
      </c>
      <c r="M142" s="209">
        <v>40909</v>
      </c>
    </row>
    <row r="143" spans="1:13" s="179" customFormat="1" ht="24" customHeight="1" x14ac:dyDescent="0.2">
      <c r="A143" s="133">
        <v>1101821880</v>
      </c>
      <c r="B143" s="96" t="s">
        <v>292</v>
      </c>
      <c r="C143" s="151">
        <f t="shared" si="2"/>
        <v>134</v>
      </c>
      <c r="D143" s="89">
        <v>8</v>
      </c>
      <c r="E143" s="206" t="s">
        <v>492</v>
      </c>
      <c r="F143" s="91">
        <v>816.22</v>
      </c>
      <c r="G143" s="91">
        <v>816.22</v>
      </c>
      <c r="H143" s="91">
        <v>816.22</v>
      </c>
      <c r="I143" s="91">
        <v>816.22</v>
      </c>
      <c r="J143" s="91">
        <v>816.22</v>
      </c>
      <c r="K143" s="91">
        <v>816.22</v>
      </c>
      <c r="L143" s="213" t="s">
        <v>434</v>
      </c>
      <c r="M143" s="209">
        <v>40909</v>
      </c>
    </row>
    <row r="144" spans="1:13" s="179" customFormat="1" ht="24" customHeight="1" x14ac:dyDescent="0.2">
      <c r="A144" s="133">
        <v>1102719489</v>
      </c>
      <c r="B144" s="96" t="s">
        <v>293</v>
      </c>
      <c r="C144" s="151">
        <f t="shared" si="2"/>
        <v>135</v>
      </c>
      <c r="D144" s="89">
        <v>1</v>
      </c>
      <c r="E144" s="206" t="s">
        <v>485</v>
      </c>
      <c r="F144" s="91">
        <v>565.22</v>
      </c>
      <c r="G144" s="91">
        <v>565.22</v>
      </c>
      <c r="H144" s="91">
        <v>565.22</v>
      </c>
      <c r="I144" s="91">
        <v>565.22</v>
      </c>
      <c r="J144" s="91">
        <v>565.22</v>
      </c>
      <c r="K144" s="91">
        <v>565.22</v>
      </c>
      <c r="L144" s="213" t="s">
        <v>434</v>
      </c>
      <c r="M144" s="209">
        <v>40909</v>
      </c>
    </row>
    <row r="145" spans="1:13" s="179" customFormat="1" ht="24" customHeight="1" x14ac:dyDescent="0.2">
      <c r="A145" s="133">
        <v>1103412779</v>
      </c>
      <c r="B145" s="96" t="s">
        <v>294</v>
      </c>
      <c r="C145" s="151">
        <f t="shared" si="2"/>
        <v>136</v>
      </c>
      <c r="D145" s="89">
        <v>1</v>
      </c>
      <c r="E145" s="206" t="s">
        <v>295</v>
      </c>
      <c r="F145" s="91">
        <v>565.22</v>
      </c>
      <c r="G145" s="91">
        <v>565.22</v>
      </c>
      <c r="H145" s="91">
        <v>565.22</v>
      </c>
      <c r="I145" s="91">
        <v>565.22</v>
      </c>
      <c r="J145" s="91">
        <v>565.22</v>
      </c>
      <c r="K145" s="91">
        <v>565.22</v>
      </c>
      <c r="L145" s="213" t="s">
        <v>434</v>
      </c>
      <c r="M145" s="209">
        <v>40909</v>
      </c>
    </row>
    <row r="146" spans="1:13" s="179" customFormat="1" ht="24" customHeight="1" x14ac:dyDescent="0.2">
      <c r="A146" s="133">
        <v>1102865779</v>
      </c>
      <c r="B146" s="96" t="s">
        <v>296</v>
      </c>
      <c r="C146" s="151">
        <f t="shared" si="2"/>
        <v>137</v>
      </c>
      <c r="D146" s="89">
        <v>1</v>
      </c>
      <c r="E146" s="206" t="s">
        <v>485</v>
      </c>
      <c r="F146" s="91">
        <v>565.22</v>
      </c>
      <c r="G146" s="91">
        <v>565.22</v>
      </c>
      <c r="H146" s="91">
        <v>565.22</v>
      </c>
      <c r="I146" s="91">
        <v>565.22</v>
      </c>
      <c r="J146" s="91">
        <v>565.22</v>
      </c>
      <c r="K146" s="91">
        <v>565.22</v>
      </c>
      <c r="L146" s="213" t="s">
        <v>434</v>
      </c>
      <c r="M146" s="209">
        <v>40909</v>
      </c>
    </row>
    <row r="147" spans="1:13" s="179" customFormat="1" ht="24" customHeight="1" x14ac:dyDescent="0.2">
      <c r="A147" s="133">
        <v>1102511639</v>
      </c>
      <c r="B147" s="96" t="s">
        <v>297</v>
      </c>
      <c r="C147" s="151">
        <f t="shared" si="2"/>
        <v>138</v>
      </c>
      <c r="D147" s="89">
        <v>1</v>
      </c>
      <c r="E147" s="206" t="s">
        <v>485</v>
      </c>
      <c r="F147" s="91">
        <v>565.22</v>
      </c>
      <c r="G147" s="91">
        <v>565.22</v>
      </c>
      <c r="H147" s="91">
        <v>565.22</v>
      </c>
      <c r="I147" s="91">
        <v>565.22</v>
      </c>
      <c r="J147" s="91">
        <v>565.22</v>
      </c>
      <c r="K147" s="91">
        <v>565.22</v>
      </c>
      <c r="L147" s="213" t="s">
        <v>434</v>
      </c>
      <c r="M147" s="209">
        <v>40909</v>
      </c>
    </row>
    <row r="148" spans="1:13" s="179" customFormat="1" ht="24" customHeight="1" x14ac:dyDescent="0.2">
      <c r="A148" s="137">
        <v>1100538535</v>
      </c>
      <c r="B148" s="96" t="s">
        <v>298</v>
      </c>
      <c r="C148" s="151">
        <f t="shared" si="2"/>
        <v>139</v>
      </c>
      <c r="D148" s="89">
        <v>4</v>
      </c>
      <c r="E148" s="206" t="s">
        <v>486</v>
      </c>
      <c r="F148" s="91">
        <v>615.22</v>
      </c>
      <c r="G148" s="91">
        <v>615.22</v>
      </c>
      <c r="H148" s="91">
        <v>615.22</v>
      </c>
      <c r="I148" s="91">
        <v>615.22</v>
      </c>
      <c r="J148" s="91">
        <v>615.22</v>
      </c>
      <c r="K148" s="91">
        <v>615.22</v>
      </c>
      <c r="L148" s="213" t="s">
        <v>434</v>
      </c>
      <c r="M148" s="209">
        <v>40909</v>
      </c>
    </row>
    <row r="149" spans="1:13" s="179" customFormat="1" ht="24" customHeight="1" x14ac:dyDescent="0.2">
      <c r="A149" s="133">
        <v>1103428957</v>
      </c>
      <c r="B149" s="96" t="s">
        <v>299</v>
      </c>
      <c r="C149" s="151">
        <f t="shared" si="2"/>
        <v>140</v>
      </c>
      <c r="D149" s="89">
        <v>4</v>
      </c>
      <c r="E149" s="206" t="s">
        <v>486</v>
      </c>
      <c r="F149" s="91">
        <v>615.22</v>
      </c>
      <c r="G149" s="91">
        <v>615.22</v>
      </c>
      <c r="H149" s="91">
        <v>615.22</v>
      </c>
      <c r="I149" s="91">
        <v>615.22</v>
      </c>
      <c r="J149" s="91">
        <v>615.22</v>
      </c>
      <c r="K149" s="91">
        <v>615.22</v>
      </c>
      <c r="L149" s="213" t="s">
        <v>434</v>
      </c>
      <c r="M149" s="209">
        <v>40909</v>
      </c>
    </row>
    <row r="150" spans="1:13" s="179" customFormat="1" ht="24" customHeight="1" x14ac:dyDescent="0.2">
      <c r="A150" s="133">
        <v>1900353226</v>
      </c>
      <c r="B150" s="96" t="s">
        <v>300</v>
      </c>
      <c r="C150" s="151">
        <f t="shared" si="2"/>
        <v>141</v>
      </c>
      <c r="D150" s="89">
        <v>1</v>
      </c>
      <c r="E150" s="206" t="s">
        <v>146</v>
      </c>
      <c r="F150" s="91">
        <v>565.22</v>
      </c>
      <c r="G150" s="91">
        <v>565.22</v>
      </c>
      <c r="H150" s="91">
        <v>565.22</v>
      </c>
      <c r="I150" s="91">
        <v>565.22</v>
      </c>
      <c r="J150" s="91">
        <v>565.22</v>
      </c>
      <c r="K150" s="91">
        <v>565.22</v>
      </c>
      <c r="L150" s="213" t="s">
        <v>434</v>
      </c>
      <c r="M150" s="209">
        <v>40909</v>
      </c>
    </row>
    <row r="151" spans="1:13" s="179" customFormat="1" ht="24" customHeight="1" x14ac:dyDescent="0.2">
      <c r="A151" s="137">
        <v>1103352314</v>
      </c>
      <c r="B151" s="96" t="s">
        <v>301</v>
      </c>
      <c r="C151" s="151">
        <f t="shared" si="2"/>
        <v>142</v>
      </c>
      <c r="D151" s="89">
        <v>1</v>
      </c>
      <c r="E151" s="206" t="s">
        <v>291</v>
      </c>
      <c r="F151" s="91">
        <v>565.22</v>
      </c>
      <c r="G151" s="91">
        <v>565.22</v>
      </c>
      <c r="H151" s="91">
        <v>565.22</v>
      </c>
      <c r="I151" s="91">
        <v>565.22</v>
      </c>
      <c r="J151" s="91">
        <v>565.22</v>
      </c>
      <c r="K151" s="91">
        <v>565.22</v>
      </c>
      <c r="L151" s="213" t="s">
        <v>434</v>
      </c>
      <c r="M151" s="209">
        <v>40909</v>
      </c>
    </row>
    <row r="152" spans="1:13" s="179" customFormat="1" ht="24" customHeight="1" x14ac:dyDescent="0.2">
      <c r="A152" s="133">
        <v>1101570008</v>
      </c>
      <c r="B152" s="96" t="s">
        <v>302</v>
      </c>
      <c r="C152" s="151">
        <f t="shared" si="2"/>
        <v>143</v>
      </c>
      <c r="D152" s="89">
        <v>5</v>
      </c>
      <c r="E152" s="206" t="s">
        <v>488</v>
      </c>
      <c r="F152" s="90">
        <v>733.22</v>
      </c>
      <c r="G152" s="90">
        <v>733.22</v>
      </c>
      <c r="H152" s="90">
        <v>733.22</v>
      </c>
      <c r="I152" s="90">
        <v>733.22</v>
      </c>
      <c r="J152" s="90">
        <v>733.22</v>
      </c>
      <c r="K152" s="90">
        <v>733.22</v>
      </c>
      <c r="L152" s="213" t="s">
        <v>434</v>
      </c>
      <c r="M152" s="209">
        <v>40909</v>
      </c>
    </row>
    <row r="153" spans="1:13" s="179" customFormat="1" ht="24" customHeight="1" x14ac:dyDescent="0.2">
      <c r="A153" s="133">
        <v>1703104164</v>
      </c>
      <c r="B153" s="96" t="s">
        <v>303</v>
      </c>
      <c r="C153" s="151">
        <f t="shared" si="2"/>
        <v>144</v>
      </c>
      <c r="D153" s="89">
        <v>1</v>
      </c>
      <c r="E153" s="206" t="s">
        <v>484</v>
      </c>
      <c r="F153" s="91">
        <v>798.53</v>
      </c>
      <c r="G153" s="91">
        <v>798.53</v>
      </c>
      <c r="H153" s="91">
        <v>798.53</v>
      </c>
      <c r="I153" s="91">
        <v>798.53</v>
      </c>
      <c r="J153" s="91">
        <v>798.53</v>
      </c>
      <c r="K153" s="91">
        <v>798.53</v>
      </c>
      <c r="L153" s="213" t="s">
        <v>434</v>
      </c>
      <c r="M153" s="209">
        <v>40909</v>
      </c>
    </row>
    <row r="154" spans="1:13" s="179" customFormat="1" ht="24" customHeight="1" x14ac:dyDescent="0.2">
      <c r="A154" s="133">
        <v>1103646459</v>
      </c>
      <c r="B154" s="96" t="s">
        <v>472</v>
      </c>
      <c r="C154" s="151">
        <f t="shared" si="2"/>
        <v>145</v>
      </c>
      <c r="D154" s="89">
        <v>1</v>
      </c>
      <c r="E154" s="206" t="s">
        <v>485</v>
      </c>
      <c r="F154" s="94">
        <v>565.22</v>
      </c>
      <c r="G154" s="94">
        <v>565.22</v>
      </c>
      <c r="H154" s="94">
        <v>565.22</v>
      </c>
      <c r="I154" s="91">
        <v>0</v>
      </c>
      <c r="J154" s="91">
        <v>0</v>
      </c>
      <c r="K154" s="91">
        <v>0</v>
      </c>
      <c r="L154" s="213" t="s">
        <v>502</v>
      </c>
      <c r="M154" s="209"/>
    </row>
    <row r="155" spans="1:13" s="179" customFormat="1" ht="24" customHeight="1" x14ac:dyDescent="0.2">
      <c r="A155" s="133">
        <v>1102116538</v>
      </c>
      <c r="B155" s="96" t="s">
        <v>304</v>
      </c>
      <c r="C155" s="151">
        <f t="shared" si="2"/>
        <v>146</v>
      </c>
      <c r="D155" s="89">
        <v>4</v>
      </c>
      <c r="E155" s="206" t="s">
        <v>486</v>
      </c>
      <c r="F155" s="91">
        <v>615.22</v>
      </c>
      <c r="G155" s="91">
        <v>615.22</v>
      </c>
      <c r="H155" s="91">
        <v>615.22</v>
      </c>
      <c r="I155" s="91">
        <v>615.22</v>
      </c>
      <c r="J155" s="91">
        <v>615.22</v>
      </c>
      <c r="K155" s="91">
        <v>615.22</v>
      </c>
      <c r="L155" s="213" t="s">
        <v>434</v>
      </c>
      <c r="M155" s="209">
        <v>40909</v>
      </c>
    </row>
    <row r="156" spans="1:13" s="179" customFormat="1" ht="24" customHeight="1" x14ac:dyDescent="0.2">
      <c r="A156" s="129">
        <v>1104056930</v>
      </c>
      <c r="B156" s="96" t="s">
        <v>305</v>
      </c>
      <c r="C156" s="151">
        <f t="shared" si="2"/>
        <v>147</v>
      </c>
      <c r="D156" s="89">
        <v>5</v>
      </c>
      <c r="E156" s="206" t="s">
        <v>184</v>
      </c>
      <c r="F156" s="90">
        <v>733.22</v>
      </c>
      <c r="G156" s="90">
        <v>733.22</v>
      </c>
      <c r="H156" s="90">
        <v>733.22</v>
      </c>
      <c r="I156" s="90">
        <v>733.22</v>
      </c>
      <c r="J156" s="90">
        <v>733.22</v>
      </c>
      <c r="K156" s="90">
        <v>733.22</v>
      </c>
      <c r="L156" s="213" t="s">
        <v>434</v>
      </c>
      <c r="M156" s="209">
        <v>40909</v>
      </c>
    </row>
    <row r="157" spans="1:13" s="179" customFormat="1" ht="24" customHeight="1" x14ac:dyDescent="0.2">
      <c r="A157" s="129" t="s">
        <v>306</v>
      </c>
      <c r="B157" s="96" t="s">
        <v>307</v>
      </c>
      <c r="C157" s="151">
        <f t="shared" si="2"/>
        <v>148</v>
      </c>
      <c r="D157" s="89">
        <v>4</v>
      </c>
      <c r="E157" s="206" t="s">
        <v>486</v>
      </c>
      <c r="F157" s="91">
        <v>615.22</v>
      </c>
      <c r="G157" s="91">
        <v>615.22</v>
      </c>
      <c r="H157" s="91">
        <v>615.22</v>
      </c>
      <c r="I157" s="91">
        <v>615.22</v>
      </c>
      <c r="J157" s="91">
        <v>615.22</v>
      </c>
      <c r="K157" s="91">
        <v>615.22</v>
      </c>
      <c r="L157" s="213" t="s">
        <v>434</v>
      </c>
      <c r="M157" s="209">
        <v>40909</v>
      </c>
    </row>
    <row r="158" spans="1:13" s="179" customFormat="1" ht="24" customHeight="1" x14ac:dyDescent="0.2">
      <c r="A158" s="133">
        <v>1100327095</v>
      </c>
      <c r="B158" s="96" t="s">
        <v>308</v>
      </c>
      <c r="C158" s="151">
        <f t="shared" si="2"/>
        <v>149</v>
      </c>
      <c r="D158" s="89">
        <v>2</v>
      </c>
      <c r="E158" s="206" t="s">
        <v>154</v>
      </c>
      <c r="F158" s="91">
        <v>581.22</v>
      </c>
      <c r="G158" s="91">
        <v>581.22</v>
      </c>
      <c r="H158" s="91">
        <v>581.22</v>
      </c>
      <c r="I158" s="91">
        <v>581.22</v>
      </c>
      <c r="J158" s="91">
        <v>581.22</v>
      </c>
      <c r="K158" s="91">
        <v>581.22</v>
      </c>
      <c r="L158" s="213" t="s">
        <v>434</v>
      </c>
      <c r="M158" s="209">
        <v>40909</v>
      </c>
    </row>
    <row r="159" spans="1:13" s="179" customFormat="1" ht="24" customHeight="1" x14ac:dyDescent="0.2">
      <c r="A159" s="133">
        <v>1102008693</v>
      </c>
      <c r="B159" s="96" t="s">
        <v>309</v>
      </c>
      <c r="C159" s="151">
        <f t="shared" si="2"/>
        <v>150</v>
      </c>
      <c r="D159" s="89">
        <v>1</v>
      </c>
      <c r="E159" s="206" t="s">
        <v>485</v>
      </c>
      <c r="F159" s="91">
        <v>565.22</v>
      </c>
      <c r="G159" s="91">
        <v>565.22</v>
      </c>
      <c r="H159" s="91">
        <v>565.22</v>
      </c>
      <c r="I159" s="91">
        <v>565.22</v>
      </c>
      <c r="J159" s="91">
        <v>565.22</v>
      </c>
      <c r="K159" s="91">
        <v>565.22</v>
      </c>
      <c r="L159" s="213" t="s">
        <v>434</v>
      </c>
      <c r="M159" s="209">
        <v>40909</v>
      </c>
    </row>
    <row r="160" spans="1:13" s="179" customFormat="1" ht="24" customHeight="1" x14ac:dyDescent="0.2">
      <c r="A160" s="129">
        <v>1100347135</v>
      </c>
      <c r="B160" s="96" t="s">
        <v>310</v>
      </c>
      <c r="C160" s="151">
        <f t="shared" si="2"/>
        <v>151</v>
      </c>
      <c r="D160" s="89">
        <v>1</v>
      </c>
      <c r="E160" s="206" t="s">
        <v>485</v>
      </c>
      <c r="F160" s="91">
        <v>565.22</v>
      </c>
      <c r="G160" s="91">
        <v>565.22</v>
      </c>
      <c r="H160" s="91">
        <v>565.22</v>
      </c>
      <c r="I160" s="91">
        <v>565.22</v>
      </c>
      <c r="J160" s="91">
        <v>565.22</v>
      </c>
      <c r="K160" s="91">
        <v>565.22</v>
      </c>
      <c r="L160" s="213" t="s">
        <v>434</v>
      </c>
      <c r="M160" s="209">
        <v>40909</v>
      </c>
    </row>
    <row r="161" spans="1:13" s="179" customFormat="1" ht="24" customHeight="1" x14ac:dyDescent="0.2">
      <c r="A161" s="129">
        <v>1101490454</v>
      </c>
      <c r="B161" s="96" t="s">
        <v>311</v>
      </c>
      <c r="C161" s="151">
        <f t="shared" si="2"/>
        <v>152</v>
      </c>
      <c r="D161" s="89">
        <v>1</v>
      </c>
      <c r="E161" s="206" t="s">
        <v>485</v>
      </c>
      <c r="F161" s="91">
        <v>565.22</v>
      </c>
      <c r="G161" s="91">
        <v>565.22</v>
      </c>
      <c r="H161" s="91">
        <v>565.22</v>
      </c>
      <c r="I161" s="91">
        <v>565.22</v>
      </c>
      <c r="J161" s="91">
        <v>565.22</v>
      </c>
      <c r="K161" s="91">
        <v>565.22</v>
      </c>
      <c r="L161" s="213" t="s">
        <v>434</v>
      </c>
      <c r="M161" s="209">
        <v>40909</v>
      </c>
    </row>
    <row r="162" spans="1:13" s="179" customFormat="1" ht="24" customHeight="1" x14ac:dyDescent="0.2">
      <c r="A162" s="133">
        <v>1100625084</v>
      </c>
      <c r="B162" s="96" t="s">
        <v>312</v>
      </c>
      <c r="C162" s="151">
        <f t="shared" si="2"/>
        <v>153</v>
      </c>
      <c r="D162" s="89">
        <v>4</v>
      </c>
      <c r="E162" s="206" t="s">
        <v>486</v>
      </c>
      <c r="F162" s="91">
        <v>615.22</v>
      </c>
      <c r="G162" s="91">
        <v>615.22</v>
      </c>
      <c r="H162" s="91">
        <v>615.22</v>
      </c>
      <c r="I162" s="91">
        <v>615.22</v>
      </c>
      <c r="J162" s="91">
        <v>615.22</v>
      </c>
      <c r="K162" s="91">
        <v>615.22</v>
      </c>
      <c r="L162" s="213" t="s">
        <v>434</v>
      </c>
      <c r="M162" s="209">
        <v>40909</v>
      </c>
    </row>
    <row r="163" spans="1:13" s="179" customFormat="1" ht="24" customHeight="1" x14ac:dyDescent="0.2">
      <c r="A163" s="129">
        <v>1101939849</v>
      </c>
      <c r="B163" s="96" t="s">
        <v>313</v>
      </c>
      <c r="C163" s="151">
        <f t="shared" si="2"/>
        <v>154</v>
      </c>
      <c r="D163" s="89">
        <v>1</v>
      </c>
      <c r="E163" s="206" t="s">
        <v>485</v>
      </c>
      <c r="F163" s="91">
        <v>608.84</v>
      </c>
      <c r="G163" s="91">
        <v>608.84</v>
      </c>
      <c r="H163" s="91">
        <v>608.84</v>
      </c>
      <c r="I163" s="91">
        <v>608.84</v>
      </c>
      <c r="J163" s="91">
        <v>608.84</v>
      </c>
      <c r="K163" s="91">
        <v>608.84</v>
      </c>
      <c r="L163" s="213" t="s">
        <v>434</v>
      </c>
      <c r="M163" s="209">
        <v>40909</v>
      </c>
    </row>
    <row r="164" spans="1:13" s="179" customFormat="1" ht="24" customHeight="1" x14ac:dyDescent="0.2">
      <c r="A164" s="129">
        <v>1104549744</v>
      </c>
      <c r="B164" s="96" t="s">
        <v>314</v>
      </c>
      <c r="C164" s="151">
        <f t="shared" si="2"/>
        <v>155</v>
      </c>
      <c r="D164" s="89">
        <v>5</v>
      </c>
      <c r="E164" s="206" t="s">
        <v>315</v>
      </c>
      <c r="F164" s="91">
        <v>733.22</v>
      </c>
      <c r="G164" s="91">
        <v>733.22</v>
      </c>
      <c r="H164" s="91">
        <v>733.22</v>
      </c>
      <c r="I164" s="91">
        <v>733.22</v>
      </c>
      <c r="J164" s="91">
        <v>733.22</v>
      </c>
      <c r="K164" s="91">
        <v>733.22</v>
      </c>
      <c r="L164" s="214" t="s">
        <v>434</v>
      </c>
      <c r="M164" s="209">
        <v>40909</v>
      </c>
    </row>
    <row r="165" spans="1:13" s="179" customFormat="1" ht="24" customHeight="1" x14ac:dyDescent="0.2">
      <c r="A165" s="129">
        <v>1102828231</v>
      </c>
      <c r="B165" s="96" t="s">
        <v>316</v>
      </c>
      <c r="C165" s="151">
        <f t="shared" si="2"/>
        <v>156</v>
      </c>
      <c r="D165" s="89">
        <v>2</v>
      </c>
      <c r="E165" s="206" t="s">
        <v>154</v>
      </c>
      <c r="F165" s="91">
        <v>581.22</v>
      </c>
      <c r="G165" s="91">
        <v>581.22</v>
      </c>
      <c r="H165" s="91">
        <v>581.22</v>
      </c>
      <c r="I165" s="91">
        <v>581.22</v>
      </c>
      <c r="J165" s="91">
        <v>581.22</v>
      </c>
      <c r="K165" s="91">
        <v>581.22</v>
      </c>
      <c r="L165" s="213" t="s">
        <v>434</v>
      </c>
      <c r="M165" s="209">
        <v>40909</v>
      </c>
    </row>
    <row r="166" spans="1:13" s="179" customFormat="1" ht="24" customHeight="1" x14ac:dyDescent="0.2">
      <c r="A166" s="133">
        <v>1104151442</v>
      </c>
      <c r="B166" s="96" t="s">
        <v>317</v>
      </c>
      <c r="C166" s="151">
        <f t="shared" si="2"/>
        <v>157</v>
      </c>
      <c r="D166" s="89">
        <v>2</v>
      </c>
      <c r="E166" s="206" t="s">
        <v>318</v>
      </c>
      <c r="F166" s="91">
        <v>581.22</v>
      </c>
      <c r="G166" s="91">
        <v>581.22</v>
      </c>
      <c r="H166" s="91">
        <v>581.22</v>
      </c>
      <c r="I166" s="91">
        <v>581.22</v>
      </c>
      <c r="J166" s="91">
        <v>581.22</v>
      </c>
      <c r="K166" s="91">
        <v>581.22</v>
      </c>
      <c r="L166" s="213" t="s">
        <v>434</v>
      </c>
      <c r="M166" s="209">
        <v>40909</v>
      </c>
    </row>
    <row r="167" spans="1:13" s="179" customFormat="1" ht="24" customHeight="1" x14ac:dyDescent="0.2">
      <c r="A167" s="129">
        <v>1710849876</v>
      </c>
      <c r="B167" s="96" t="s">
        <v>319</v>
      </c>
      <c r="C167" s="151">
        <f t="shared" si="2"/>
        <v>158</v>
      </c>
      <c r="D167" s="89">
        <v>1</v>
      </c>
      <c r="E167" s="206" t="s">
        <v>137</v>
      </c>
      <c r="F167" s="91">
        <v>565.22</v>
      </c>
      <c r="G167" s="91">
        <v>565.22</v>
      </c>
      <c r="H167" s="91">
        <v>565.22</v>
      </c>
      <c r="I167" s="91">
        <v>565.22</v>
      </c>
      <c r="J167" s="91">
        <v>565.22</v>
      </c>
      <c r="K167" s="91">
        <v>565.22</v>
      </c>
      <c r="L167" s="214" t="s">
        <v>434</v>
      </c>
      <c r="M167" s="209">
        <v>40909</v>
      </c>
    </row>
    <row r="168" spans="1:13" s="179" customFormat="1" ht="24" customHeight="1" x14ac:dyDescent="0.2">
      <c r="A168" s="129" t="s">
        <v>320</v>
      </c>
      <c r="B168" s="96" t="s">
        <v>321</v>
      </c>
      <c r="C168" s="151">
        <f t="shared" si="2"/>
        <v>159</v>
      </c>
      <c r="D168" s="89">
        <v>4</v>
      </c>
      <c r="E168" s="206" t="s">
        <v>487</v>
      </c>
      <c r="F168" s="91">
        <v>615.22</v>
      </c>
      <c r="G168" s="91">
        <v>615.22</v>
      </c>
      <c r="H168" s="91">
        <v>615.22</v>
      </c>
      <c r="I168" s="91">
        <v>615.22</v>
      </c>
      <c r="J168" s="91">
        <v>615.22</v>
      </c>
      <c r="K168" s="91">
        <v>615.22</v>
      </c>
      <c r="L168" s="213" t="s">
        <v>434</v>
      </c>
      <c r="M168" s="209">
        <v>41852</v>
      </c>
    </row>
    <row r="169" spans="1:13" s="179" customFormat="1" ht="24" customHeight="1" x14ac:dyDescent="0.2">
      <c r="A169" s="133">
        <v>1102997788</v>
      </c>
      <c r="B169" s="96" t="s">
        <v>322</v>
      </c>
      <c r="C169" s="151">
        <f t="shared" si="2"/>
        <v>160</v>
      </c>
      <c r="D169" s="89">
        <v>3</v>
      </c>
      <c r="E169" s="206" t="s">
        <v>215</v>
      </c>
      <c r="F169" s="90">
        <v>728.77</v>
      </c>
      <c r="G169" s="90">
        <v>728.77</v>
      </c>
      <c r="H169" s="90">
        <v>728.77</v>
      </c>
      <c r="I169" s="90">
        <v>728.77</v>
      </c>
      <c r="J169" s="90">
        <v>728.77</v>
      </c>
      <c r="K169" s="90">
        <v>728.77</v>
      </c>
      <c r="L169" s="213" t="s">
        <v>434</v>
      </c>
      <c r="M169" s="209">
        <v>40909</v>
      </c>
    </row>
    <row r="170" spans="1:13" s="179" customFormat="1" ht="24" customHeight="1" x14ac:dyDescent="0.2">
      <c r="A170" s="129" t="s">
        <v>323</v>
      </c>
      <c r="B170" s="96" t="s">
        <v>324</v>
      </c>
      <c r="C170" s="151">
        <f t="shared" si="2"/>
        <v>161</v>
      </c>
      <c r="D170" s="89">
        <v>5</v>
      </c>
      <c r="E170" s="206" t="s">
        <v>240</v>
      </c>
      <c r="F170" s="90">
        <v>733.22</v>
      </c>
      <c r="G170" s="90">
        <v>733.22</v>
      </c>
      <c r="H170" s="90">
        <v>733.22</v>
      </c>
      <c r="I170" s="90">
        <v>733.22</v>
      </c>
      <c r="J170" s="90">
        <v>733.22</v>
      </c>
      <c r="K170" s="90">
        <v>733.22</v>
      </c>
      <c r="L170" s="214" t="s">
        <v>434</v>
      </c>
      <c r="M170" s="209">
        <v>40909</v>
      </c>
    </row>
    <row r="171" spans="1:13" s="179" customFormat="1" ht="24" customHeight="1" x14ac:dyDescent="0.2">
      <c r="A171" s="133">
        <v>1102020573</v>
      </c>
      <c r="B171" s="96" t="s">
        <v>325</v>
      </c>
      <c r="C171" s="151">
        <f t="shared" si="2"/>
        <v>162</v>
      </c>
      <c r="D171" s="89">
        <v>1</v>
      </c>
      <c r="E171" s="206" t="s">
        <v>485</v>
      </c>
      <c r="F171" s="91">
        <v>565.22</v>
      </c>
      <c r="G171" s="91">
        <v>565.22</v>
      </c>
      <c r="H171" s="91">
        <v>565.22</v>
      </c>
      <c r="I171" s="91">
        <v>565.22</v>
      </c>
      <c r="J171" s="91">
        <v>565.22</v>
      </c>
      <c r="K171" s="91">
        <v>565.22</v>
      </c>
      <c r="L171" s="213" t="s">
        <v>434</v>
      </c>
      <c r="M171" s="209">
        <v>40909</v>
      </c>
    </row>
    <row r="172" spans="1:13" s="179" customFormat="1" ht="24" customHeight="1" x14ac:dyDescent="0.2">
      <c r="A172" s="133">
        <v>1102017678</v>
      </c>
      <c r="B172" s="96" t="s">
        <v>326</v>
      </c>
      <c r="C172" s="151">
        <f t="shared" si="2"/>
        <v>163</v>
      </c>
      <c r="D172" s="89">
        <v>1</v>
      </c>
      <c r="E172" s="206" t="s">
        <v>210</v>
      </c>
      <c r="F172" s="91">
        <v>565.22</v>
      </c>
      <c r="G172" s="91">
        <v>565.22</v>
      </c>
      <c r="H172" s="91">
        <v>565.22</v>
      </c>
      <c r="I172" s="91">
        <v>565.22</v>
      </c>
      <c r="J172" s="91">
        <v>565.22</v>
      </c>
      <c r="K172" s="91">
        <v>565.22</v>
      </c>
      <c r="L172" s="213" t="s">
        <v>434</v>
      </c>
      <c r="M172" s="209">
        <v>40909</v>
      </c>
    </row>
    <row r="173" spans="1:13" s="179" customFormat="1" ht="24" customHeight="1" x14ac:dyDescent="0.2">
      <c r="A173" s="133">
        <v>1716237555</v>
      </c>
      <c r="B173" s="96" t="s">
        <v>327</v>
      </c>
      <c r="C173" s="151">
        <f t="shared" si="2"/>
        <v>164</v>
      </c>
      <c r="D173" s="89">
        <v>5</v>
      </c>
      <c r="E173" s="206" t="s">
        <v>151</v>
      </c>
      <c r="F173" s="90">
        <v>733.22</v>
      </c>
      <c r="G173" s="90">
        <v>733.22</v>
      </c>
      <c r="H173" s="90">
        <v>733.22</v>
      </c>
      <c r="I173" s="90">
        <v>733.22</v>
      </c>
      <c r="J173" s="90">
        <v>733.22</v>
      </c>
      <c r="K173" s="90">
        <v>733.22</v>
      </c>
      <c r="L173" s="213" t="s">
        <v>434</v>
      </c>
      <c r="M173" s="209">
        <v>40909</v>
      </c>
    </row>
    <row r="174" spans="1:13" s="179" customFormat="1" ht="24" customHeight="1" x14ac:dyDescent="0.2">
      <c r="A174" s="129" t="s">
        <v>328</v>
      </c>
      <c r="B174" s="96" t="s">
        <v>329</v>
      </c>
      <c r="C174" s="151">
        <f t="shared" si="2"/>
        <v>165</v>
      </c>
      <c r="D174" s="89">
        <v>1</v>
      </c>
      <c r="E174" s="206" t="s">
        <v>485</v>
      </c>
      <c r="F174" s="91">
        <v>565.22</v>
      </c>
      <c r="G174" s="91">
        <v>565.22</v>
      </c>
      <c r="H174" s="91">
        <v>565.22</v>
      </c>
      <c r="I174" s="91">
        <v>565.22</v>
      </c>
      <c r="J174" s="91">
        <v>565.22</v>
      </c>
      <c r="K174" s="91">
        <v>565.22</v>
      </c>
      <c r="L174" s="213" t="s">
        <v>434</v>
      </c>
      <c r="M174" s="209">
        <v>40909</v>
      </c>
    </row>
    <row r="175" spans="1:13" s="179" customFormat="1" ht="24" customHeight="1" x14ac:dyDescent="0.2">
      <c r="A175" s="133" t="s">
        <v>330</v>
      </c>
      <c r="B175" s="96" t="s">
        <v>331</v>
      </c>
      <c r="C175" s="151">
        <f t="shared" si="2"/>
        <v>166</v>
      </c>
      <c r="D175" s="89">
        <v>5</v>
      </c>
      <c r="E175" s="206" t="s">
        <v>188</v>
      </c>
      <c r="F175" s="90">
        <v>733.22</v>
      </c>
      <c r="G175" s="90">
        <v>733.22</v>
      </c>
      <c r="H175" s="90">
        <v>733.22</v>
      </c>
      <c r="I175" s="90">
        <v>733.22</v>
      </c>
      <c r="J175" s="90">
        <v>733.22</v>
      </c>
      <c r="K175" s="90">
        <v>733.22</v>
      </c>
      <c r="L175" s="213" t="s">
        <v>434</v>
      </c>
      <c r="M175" s="209">
        <v>40909</v>
      </c>
    </row>
    <row r="176" spans="1:13" s="179" customFormat="1" ht="24" customHeight="1" x14ac:dyDescent="0.2">
      <c r="A176" s="129">
        <v>1103407647</v>
      </c>
      <c r="B176" s="96" t="s">
        <v>332</v>
      </c>
      <c r="C176" s="151">
        <f t="shared" si="2"/>
        <v>167</v>
      </c>
      <c r="D176" s="89">
        <v>1</v>
      </c>
      <c r="E176" s="206" t="s">
        <v>137</v>
      </c>
      <c r="F176" s="91">
        <v>565.22</v>
      </c>
      <c r="G176" s="91">
        <v>565.22</v>
      </c>
      <c r="H176" s="91">
        <v>565.22</v>
      </c>
      <c r="I176" s="91">
        <v>565.22</v>
      </c>
      <c r="J176" s="91">
        <v>565.22</v>
      </c>
      <c r="K176" s="91">
        <v>565.22</v>
      </c>
      <c r="L176" s="213" t="s">
        <v>434</v>
      </c>
      <c r="M176" s="209">
        <v>40909</v>
      </c>
    </row>
    <row r="177" spans="1:13" s="179" customFormat="1" ht="24" customHeight="1" x14ac:dyDescent="0.2">
      <c r="A177" s="129">
        <v>1101574380</v>
      </c>
      <c r="B177" s="96" t="s">
        <v>333</v>
      </c>
      <c r="C177" s="151">
        <f t="shared" si="2"/>
        <v>168</v>
      </c>
      <c r="D177" s="89">
        <v>4</v>
      </c>
      <c r="E177" s="206" t="s">
        <v>486</v>
      </c>
      <c r="F177" s="91">
        <v>615.22</v>
      </c>
      <c r="G177" s="91">
        <v>615.22</v>
      </c>
      <c r="H177" s="91">
        <v>615.22</v>
      </c>
      <c r="I177" s="91">
        <v>615.22</v>
      </c>
      <c r="J177" s="91">
        <v>615.22</v>
      </c>
      <c r="K177" s="91">
        <v>615.22</v>
      </c>
      <c r="L177" s="213" t="s">
        <v>434</v>
      </c>
      <c r="M177" s="209">
        <v>40909</v>
      </c>
    </row>
    <row r="178" spans="1:13" s="179" customFormat="1" ht="24" customHeight="1" x14ac:dyDescent="0.2">
      <c r="A178" s="129">
        <v>1104448806</v>
      </c>
      <c r="B178" s="96" t="s">
        <v>334</v>
      </c>
      <c r="C178" s="151">
        <f t="shared" si="2"/>
        <v>169</v>
      </c>
      <c r="D178" s="89">
        <v>1</v>
      </c>
      <c r="E178" s="206" t="s">
        <v>485</v>
      </c>
      <c r="F178" s="91">
        <v>565.22</v>
      </c>
      <c r="G178" s="91">
        <v>565.22</v>
      </c>
      <c r="H178" s="91">
        <v>565.22</v>
      </c>
      <c r="I178" s="91">
        <v>565.22</v>
      </c>
      <c r="J178" s="91">
        <v>565.22</v>
      </c>
      <c r="K178" s="91">
        <v>565.22</v>
      </c>
      <c r="L178" s="213" t="s">
        <v>434</v>
      </c>
      <c r="M178" s="209">
        <v>40909</v>
      </c>
    </row>
    <row r="179" spans="1:13" s="179" customFormat="1" ht="24" customHeight="1" x14ac:dyDescent="0.2">
      <c r="A179" s="133">
        <v>1102982905</v>
      </c>
      <c r="B179" s="96" t="s">
        <v>335</v>
      </c>
      <c r="C179" s="151">
        <f t="shared" si="2"/>
        <v>170</v>
      </c>
      <c r="D179" s="89">
        <v>1</v>
      </c>
      <c r="E179" s="206" t="s">
        <v>484</v>
      </c>
      <c r="F179" s="91">
        <v>565.22</v>
      </c>
      <c r="G179" s="91">
        <v>565.22</v>
      </c>
      <c r="H179" s="91">
        <v>565.22</v>
      </c>
      <c r="I179" s="91">
        <v>565.22</v>
      </c>
      <c r="J179" s="91">
        <v>565.22</v>
      </c>
      <c r="K179" s="91">
        <v>565.22</v>
      </c>
      <c r="L179" s="213" t="s">
        <v>434</v>
      </c>
      <c r="M179" s="209">
        <v>40909</v>
      </c>
    </row>
    <row r="180" spans="1:13" s="179" customFormat="1" ht="24" customHeight="1" x14ac:dyDescent="0.2">
      <c r="A180" s="129">
        <v>1103336325</v>
      </c>
      <c r="B180" s="96" t="s">
        <v>336</v>
      </c>
      <c r="C180" s="151">
        <f t="shared" si="2"/>
        <v>171</v>
      </c>
      <c r="D180" s="89">
        <v>5</v>
      </c>
      <c r="E180" s="206" t="s">
        <v>282</v>
      </c>
      <c r="F180" s="90">
        <v>733.22</v>
      </c>
      <c r="G180" s="90">
        <v>733.22</v>
      </c>
      <c r="H180" s="90">
        <v>733.22</v>
      </c>
      <c r="I180" s="90">
        <v>733.22</v>
      </c>
      <c r="J180" s="90">
        <v>733.22</v>
      </c>
      <c r="K180" s="90">
        <v>733.22</v>
      </c>
      <c r="L180" s="213" t="s">
        <v>434</v>
      </c>
      <c r="M180" s="209">
        <v>40909</v>
      </c>
    </row>
    <row r="181" spans="1:13" s="179" customFormat="1" ht="24" customHeight="1" x14ac:dyDescent="0.2">
      <c r="A181" s="129" t="s">
        <v>337</v>
      </c>
      <c r="B181" s="96" t="s">
        <v>338</v>
      </c>
      <c r="C181" s="151">
        <f t="shared" si="2"/>
        <v>172</v>
      </c>
      <c r="D181" s="89">
        <v>5</v>
      </c>
      <c r="E181" s="206" t="s">
        <v>282</v>
      </c>
      <c r="F181" s="90">
        <v>733.22</v>
      </c>
      <c r="G181" s="90">
        <v>733.22</v>
      </c>
      <c r="H181" s="90">
        <v>733.22</v>
      </c>
      <c r="I181" s="90">
        <v>733.22</v>
      </c>
      <c r="J181" s="90">
        <v>733.22</v>
      </c>
      <c r="K181" s="90">
        <v>733.22</v>
      </c>
      <c r="L181" s="213" t="s">
        <v>434</v>
      </c>
      <c r="M181" s="209">
        <v>40909</v>
      </c>
    </row>
    <row r="182" spans="1:13" s="179" customFormat="1" ht="24" customHeight="1" x14ac:dyDescent="0.2">
      <c r="A182" s="129" t="s">
        <v>339</v>
      </c>
      <c r="B182" s="96" t="s">
        <v>340</v>
      </c>
      <c r="C182" s="151">
        <f t="shared" si="2"/>
        <v>173</v>
      </c>
      <c r="D182" s="89">
        <v>1</v>
      </c>
      <c r="E182" s="206" t="s">
        <v>485</v>
      </c>
      <c r="F182" s="91">
        <v>565.22</v>
      </c>
      <c r="G182" s="91">
        <v>565.22</v>
      </c>
      <c r="H182" s="91">
        <v>565.22</v>
      </c>
      <c r="I182" s="91">
        <v>565.22</v>
      </c>
      <c r="J182" s="91">
        <v>565.22</v>
      </c>
      <c r="K182" s="91">
        <v>565.22</v>
      </c>
      <c r="L182" s="213" t="s">
        <v>434</v>
      </c>
      <c r="M182" s="209">
        <v>40909</v>
      </c>
    </row>
    <row r="183" spans="1:13" s="179" customFormat="1" ht="24" customHeight="1" x14ac:dyDescent="0.2">
      <c r="A183" s="129">
        <v>1100425642</v>
      </c>
      <c r="B183" s="96" t="s">
        <v>341</v>
      </c>
      <c r="C183" s="151">
        <f t="shared" si="2"/>
        <v>174</v>
      </c>
      <c r="D183" s="89">
        <v>1</v>
      </c>
      <c r="E183" s="206" t="s">
        <v>155</v>
      </c>
      <c r="F183" s="91">
        <v>565.22</v>
      </c>
      <c r="G183" s="91">
        <v>565.22</v>
      </c>
      <c r="H183" s="91">
        <v>565.22</v>
      </c>
      <c r="I183" s="91">
        <v>565.22</v>
      </c>
      <c r="J183" s="91">
        <v>565.22</v>
      </c>
      <c r="K183" s="91">
        <v>565.22</v>
      </c>
      <c r="L183" s="213" t="s">
        <v>434</v>
      </c>
      <c r="M183" s="209">
        <v>40909</v>
      </c>
    </row>
    <row r="184" spans="1:13" s="179" customFormat="1" ht="24" customHeight="1" x14ac:dyDescent="0.2">
      <c r="A184" s="133">
        <v>1104075435</v>
      </c>
      <c r="B184" s="96" t="s">
        <v>342</v>
      </c>
      <c r="C184" s="151">
        <f t="shared" si="2"/>
        <v>175</v>
      </c>
      <c r="D184" s="89">
        <v>5</v>
      </c>
      <c r="E184" s="206" t="s">
        <v>184</v>
      </c>
      <c r="F184" s="90">
        <v>733.22</v>
      </c>
      <c r="G184" s="90">
        <v>733.22</v>
      </c>
      <c r="H184" s="90">
        <v>733.22</v>
      </c>
      <c r="I184" s="90">
        <v>733.22</v>
      </c>
      <c r="J184" s="90">
        <v>733.22</v>
      </c>
      <c r="K184" s="90">
        <v>733.22</v>
      </c>
      <c r="L184" s="213" t="s">
        <v>434</v>
      </c>
      <c r="M184" s="209">
        <v>40909</v>
      </c>
    </row>
    <row r="185" spans="1:13" s="179" customFormat="1" ht="51" customHeight="1" x14ac:dyDescent="0.2">
      <c r="A185" s="133">
        <v>1101798666</v>
      </c>
      <c r="B185" s="96" t="s">
        <v>473</v>
      </c>
      <c r="C185" s="151">
        <f t="shared" si="2"/>
        <v>176</v>
      </c>
      <c r="D185" s="89">
        <v>5</v>
      </c>
      <c r="E185" s="206" t="s">
        <v>318</v>
      </c>
      <c r="F185" s="180">
        <v>962.13</v>
      </c>
      <c r="G185" s="180">
        <v>962.13</v>
      </c>
      <c r="H185" s="180">
        <v>962.13</v>
      </c>
      <c r="I185" s="180">
        <v>962.13</v>
      </c>
      <c r="J185" s="180">
        <v>962.13</v>
      </c>
      <c r="K185" s="90">
        <v>0</v>
      </c>
      <c r="L185" s="213" t="s">
        <v>504</v>
      </c>
      <c r="M185" s="209">
        <v>40909</v>
      </c>
    </row>
    <row r="186" spans="1:13" s="179" customFormat="1" ht="24" customHeight="1" x14ac:dyDescent="0.2">
      <c r="A186" s="133">
        <v>1103329247</v>
      </c>
      <c r="B186" s="96" t="s">
        <v>343</v>
      </c>
      <c r="C186" s="151">
        <f t="shared" si="2"/>
        <v>177</v>
      </c>
      <c r="D186" s="89">
        <v>9</v>
      </c>
      <c r="E186" s="206" t="s">
        <v>491</v>
      </c>
      <c r="F186" s="91">
        <v>835.22</v>
      </c>
      <c r="G186" s="91">
        <v>835.22</v>
      </c>
      <c r="H186" s="91">
        <v>856</v>
      </c>
      <c r="I186" s="91">
        <v>856</v>
      </c>
      <c r="J186" s="91">
        <v>856</v>
      </c>
      <c r="K186" s="91">
        <v>856</v>
      </c>
      <c r="L186" s="213" t="s">
        <v>434</v>
      </c>
      <c r="M186" s="209">
        <v>40909</v>
      </c>
    </row>
    <row r="187" spans="1:13" s="179" customFormat="1" ht="24" customHeight="1" x14ac:dyDescent="0.2">
      <c r="A187" s="133">
        <v>1102131099</v>
      </c>
      <c r="B187" s="96" t="s">
        <v>344</v>
      </c>
      <c r="C187" s="151">
        <f t="shared" si="2"/>
        <v>178</v>
      </c>
      <c r="D187" s="89">
        <v>5</v>
      </c>
      <c r="E187" s="206" t="s">
        <v>184</v>
      </c>
      <c r="F187" s="90">
        <v>876</v>
      </c>
      <c r="G187" s="90">
        <v>876</v>
      </c>
      <c r="H187" s="90">
        <v>876</v>
      </c>
      <c r="I187" s="90">
        <v>876</v>
      </c>
      <c r="J187" s="90">
        <v>876</v>
      </c>
      <c r="K187" s="90">
        <v>876</v>
      </c>
      <c r="L187" s="213" t="s">
        <v>434</v>
      </c>
      <c r="M187" s="209">
        <v>40909</v>
      </c>
    </row>
    <row r="188" spans="1:13" s="179" customFormat="1" ht="24" customHeight="1" x14ac:dyDescent="0.2">
      <c r="A188" s="133">
        <v>1104601867</v>
      </c>
      <c r="B188" s="96" t="s">
        <v>345</v>
      </c>
      <c r="C188" s="151">
        <f t="shared" si="2"/>
        <v>179</v>
      </c>
      <c r="D188" s="89">
        <v>1</v>
      </c>
      <c r="E188" s="206" t="s">
        <v>146</v>
      </c>
      <c r="F188" s="91">
        <v>565.22</v>
      </c>
      <c r="G188" s="91">
        <v>565.22</v>
      </c>
      <c r="H188" s="91">
        <v>565.22</v>
      </c>
      <c r="I188" s="91">
        <v>565.22</v>
      </c>
      <c r="J188" s="91">
        <v>565.22</v>
      </c>
      <c r="K188" s="91">
        <v>565.22</v>
      </c>
      <c r="L188" s="214" t="s">
        <v>434</v>
      </c>
      <c r="M188" s="209">
        <v>40909</v>
      </c>
    </row>
    <row r="189" spans="1:13" s="179" customFormat="1" ht="24" customHeight="1" x14ac:dyDescent="0.2">
      <c r="A189" s="135">
        <v>1102167226</v>
      </c>
      <c r="B189" s="96" t="s">
        <v>346</v>
      </c>
      <c r="C189" s="151">
        <f t="shared" si="2"/>
        <v>180</v>
      </c>
      <c r="D189" s="89">
        <v>4</v>
      </c>
      <c r="E189" s="206" t="s">
        <v>486</v>
      </c>
      <c r="F189" s="92">
        <v>598</v>
      </c>
      <c r="G189" s="92">
        <v>598</v>
      </c>
      <c r="H189" s="92">
        <v>598</v>
      </c>
      <c r="I189" s="92">
        <v>598</v>
      </c>
      <c r="J189" s="92">
        <v>598</v>
      </c>
      <c r="K189" s="92">
        <v>598</v>
      </c>
      <c r="L189" s="213" t="s">
        <v>434</v>
      </c>
      <c r="M189" s="209">
        <v>41640</v>
      </c>
    </row>
    <row r="190" spans="1:13" s="179" customFormat="1" ht="24" customHeight="1" x14ac:dyDescent="0.2">
      <c r="A190" s="133">
        <v>1102863824</v>
      </c>
      <c r="B190" s="96" t="s">
        <v>347</v>
      </c>
      <c r="C190" s="151">
        <f t="shared" si="2"/>
        <v>181</v>
      </c>
      <c r="D190" s="89">
        <v>4</v>
      </c>
      <c r="E190" s="206" t="s">
        <v>487</v>
      </c>
      <c r="F190" s="91">
        <v>615.22</v>
      </c>
      <c r="G190" s="91">
        <v>615.22</v>
      </c>
      <c r="H190" s="91">
        <v>615.22</v>
      </c>
      <c r="I190" s="91">
        <v>615.22</v>
      </c>
      <c r="J190" s="91">
        <v>615.22</v>
      </c>
      <c r="K190" s="91">
        <v>615.22</v>
      </c>
      <c r="L190" s="213" t="s">
        <v>434</v>
      </c>
      <c r="M190" s="209">
        <v>40909</v>
      </c>
    </row>
    <row r="191" spans="1:13" s="179" customFormat="1" ht="24" customHeight="1" x14ac:dyDescent="0.2">
      <c r="A191" s="133">
        <v>1103148951</v>
      </c>
      <c r="B191" s="96" t="s">
        <v>348</v>
      </c>
      <c r="C191" s="151">
        <f t="shared" si="2"/>
        <v>182</v>
      </c>
      <c r="D191" s="89">
        <v>1</v>
      </c>
      <c r="E191" s="206" t="s">
        <v>485</v>
      </c>
      <c r="F191" s="91">
        <v>565.22</v>
      </c>
      <c r="G191" s="91">
        <v>565.22</v>
      </c>
      <c r="H191" s="91">
        <v>565.22</v>
      </c>
      <c r="I191" s="91">
        <v>565.22</v>
      </c>
      <c r="J191" s="91">
        <v>565.22</v>
      </c>
      <c r="K191" s="91">
        <v>565.22</v>
      </c>
      <c r="L191" s="213" t="s">
        <v>434</v>
      </c>
      <c r="M191" s="209">
        <v>40909</v>
      </c>
    </row>
    <row r="192" spans="1:13" s="179" customFormat="1" ht="24" customHeight="1" x14ac:dyDescent="0.2">
      <c r="A192" s="129">
        <v>1103653786</v>
      </c>
      <c r="B192" s="96" t="s">
        <v>349</v>
      </c>
      <c r="C192" s="151">
        <f t="shared" si="2"/>
        <v>183</v>
      </c>
      <c r="D192" s="89">
        <v>5</v>
      </c>
      <c r="E192" s="206" t="s">
        <v>138</v>
      </c>
      <c r="F192" s="90">
        <v>733.22</v>
      </c>
      <c r="G192" s="90">
        <v>733.22</v>
      </c>
      <c r="H192" s="90">
        <v>733.22</v>
      </c>
      <c r="I192" s="90">
        <v>733.22</v>
      </c>
      <c r="J192" s="90">
        <v>733.22</v>
      </c>
      <c r="K192" s="90">
        <v>733.22</v>
      </c>
      <c r="L192" s="214" t="s">
        <v>434</v>
      </c>
      <c r="M192" s="209">
        <v>40909</v>
      </c>
    </row>
    <row r="193" spans="1:13" s="179" customFormat="1" ht="24" customHeight="1" x14ac:dyDescent="0.2">
      <c r="A193" s="133">
        <v>1101943494</v>
      </c>
      <c r="B193" s="96" t="s">
        <v>350</v>
      </c>
      <c r="C193" s="151">
        <f t="shared" si="2"/>
        <v>184</v>
      </c>
      <c r="D193" s="89">
        <v>2</v>
      </c>
      <c r="E193" s="206" t="s">
        <v>154</v>
      </c>
      <c r="F193" s="91">
        <v>581.22</v>
      </c>
      <c r="G193" s="91">
        <v>581.22</v>
      </c>
      <c r="H193" s="91">
        <v>581.22</v>
      </c>
      <c r="I193" s="91">
        <v>581.22</v>
      </c>
      <c r="J193" s="91">
        <v>581.22</v>
      </c>
      <c r="K193" s="91">
        <v>581.22</v>
      </c>
      <c r="L193" s="213" t="s">
        <v>434</v>
      </c>
      <c r="M193" s="209">
        <v>40909</v>
      </c>
    </row>
    <row r="194" spans="1:13" s="179" customFormat="1" ht="24" customHeight="1" x14ac:dyDescent="0.2">
      <c r="A194" s="129">
        <v>1102134960</v>
      </c>
      <c r="B194" s="96" t="s">
        <v>351</v>
      </c>
      <c r="C194" s="151">
        <f t="shared" si="2"/>
        <v>185</v>
      </c>
      <c r="D194" s="89">
        <v>5</v>
      </c>
      <c r="E194" s="206" t="s">
        <v>352</v>
      </c>
      <c r="F194" s="90">
        <v>733.22</v>
      </c>
      <c r="G194" s="90">
        <v>733.22</v>
      </c>
      <c r="H194" s="90">
        <v>733.22</v>
      </c>
      <c r="I194" s="90">
        <v>733.22</v>
      </c>
      <c r="J194" s="90">
        <v>733.22</v>
      </c>
      <c r="K194" s="90">
        <v>733.22</v>
      </c>
      <c r="L194" s="213" t="s">
        <v>434</v>
      </c>
      <c r="M194" s="209">
        <v>40909</v>
      </c>
    </row>
    <row r="195" spans="1:13" s="179" customFormat="1" ht="24" customHeight="1" x14ac:dyDescent="0.2">
      <c r="A195" s="133">
        <v>1101794897</v>
      </c>
      <c r="B195" s="96" t="s">
        <v>353</v>
      </c>
      <c r="C195" s="151">
        <f t="shared" si="2"/>
        <v>186</v>
      </c>
      <c r="D195" s="89">
        <v>8</v>
      </c>
      <c r="E195" s="206" t="s">
        <v>492</v>
      </c>
      <c r="F195" s="90">
        <v>876</v>
      </c>
      <c r="G195" s="90">
        <v>876</v>
      </c>
      <c r="H195" s="90">
        <v>876</v>
      </c>
      <c r="I195" s="90">
        <v>876</v>
      </c>
      <c r="J195" s="90">
        <v>876</v>
      </c>
      <c r="K195" s="90">
        <v>876</v>
      </c>
      <c r="L195" s="213" t="s">
        <v>434</v>
      </c>
      <c r="M195" s="209">
        <v>40909</v>
      </c>
    </row>
    <row r="196" spans="1:13" s="179" customFormat="1" ht="24" customHeight="1" x14ac:dyDescent="0.2">
      <c r="A196" s="133" t="s">
        <v>354</v>
      </c>
      <c r="B196" s="96" t="s">
        <v>355</v>
      </c>
      <c r="C196" s="151">
        <f t="shared" si="2"/>
        <v>187</v>
      </c>
      <c r="D196" s="89">
        <v>8</v>
      </c>
      <c r="E196" s="206" t="s">
        <v>492</v>
      </c>
      <c r="F196" s="91">
        <v>816.22</v>
      </c>
      <c r="G196" s="91">
        <v>816.22</v>
      </c>
      <c r="H196" s="91">
        <v>816.22</v>
      </c>
      <c r="I196" s="91">
        <v>816.22</v>
      </c>
      <c r="J196" s="91">
        <v>816.22</v>
      </c>
      <c r="K196" s="91">
        <v>816.22</v>
      </c>
      <c r="L196" s="213" t="s">
        <v>434</v>
      </c>
      <c r="M196" s="209">
        <v>40909</v>
      </c>
    </row>
    <row r="197" spans="1:13" s="179" customFormat="1" ht="24" customHeight="1" x14ac:dyDescent="0.2">
      <c r="A197" s="136">
        <v>1103498117</v>
      </c>
      <c r="B197" s="96" t="s">
        <v>356</v>
      </c>
      <c r="C197" s="151">
        <f t="shared" si="2"/>
        <v>188</v>
      </c>
      <c r="D197" s="89">
        <v>3</v>
      </c>
      <c r="E197" s="206" t="s">
        <v>215</v>
      </c>
      <c r="F197" s="92">
        <v>598</v>
      </c>
      <c r="G197" s="92">
        <v>598</v>
      </c>
      <c r="H197" s="92">
        <v>598</v>
      </c>
      <c r="I197" s="92">
        <v>598</v>
      </c>
      <c r="J197" s="92">
        <v>598</v>
      </c>
      <c r="K197" s="92">
        <v>598</v>
      </c>
      <c r="L197" s="213" t="s">
        <v>434</v>
      </c>
      <c r="M197" s="209">
        <v>41640</v>
      </c>
    </row>
    <row r="198" spans="1:13" s="179" customFormat="1" ht="24" customHeight="1" x14ac:dyDescent="0.2">
      <c r="A198" s="132">
        <v>1104396211</v>
      </c>
      <c r="B198" s="96" t="s">
        <v>357</v>
      </c>
      <c r="C198" s="151">
        <f t="shared" si="2"/>
        <v>189</v>
      </c>
      <c r="D198" s="89">
        <v>5</v>
      </c>
      <c r="E198" s="206" t="s">
        <v>489</v>
      </c>
      <c r="F198" s="92">
        <v>733</v>
      </c>
      <c r="G198" s="92">
        <v>733</v>
      </c>
      <c r="H198" s="92">
        <v>733</v>
      </c>
      <c r="I198" s="92">
        <v>733</v>
      </c>
      <c r="J198" s="92">
        <v>733</v>
      </c>
      <c r="K198" s="92">
        <v>733</v>
      </c>
      <c r="L198" s="213" t="s">
        <v>434</v>
      </c>
      <c r="M198" s="209">
        <v>41640</v>
      </c>
    </row>
    <row r="199" spans="1:13" s="179" customFormat="1" ht="24" customHeight="1" x14ac:dyDescent="0.2">
      <c r="A199" s="131">
        <v>1103139851</v>
      </c>
      <c r="B199" s="96" t="s">
        <v>358</v>
      </c>
      <c r="C199" s="151">
        <f t="shared" si="2"/>
        <v>190</v>
      </c>
      <c r="D199" s="89">
        <v>3</v>
      </c>
      <c r="E199" s="206" t="s">
        <v>215</v>
      </c>
      <c r="F199" s="92">
        <v>598</v>
      </c>
      <c r="G199" s="92">
        <v>598</v>
      </c>
      <c r="H199" s="92">
        <v>598</v>
      </c>
      <c r="I199" s="92">
        <v>598</v>
      </c>
      <c r="J199" s="92">
        <v>598</v>
      </c>
      <c r="K199" s="92">
        <v>598</v>
      </c>
      <c r="L199" s="213" t="s">
        <v>434</v>
      </c>
      <c r="M199" s="209">
        <v>41640</v>
      </c>
    </row>
    <row r="200" spans="1:13" s="179" customFormat="1" ht="24" customHeight="1" x14ac:dyDescent="0.2">
      <c r="A200" s="132">
        <v>1704344611</v>
      </c>
      <c r="B200" s="96" t="s">
        <v>359</v>
      </c>
      <c r="C200" s="151">
        <f t="shared" si="2"/>
        <v>191</v>
      </c>
      <c r="D200" s="89">
        <v>4</v>
      </c>
      <c r="E200" s="206" t="s">
        <v>486</v>
      </c>
      <c r="F200" s="92">
        <v>598</v>
      </c>
      <c r="G200" s="92">
        <v>598</v>
      </c>
      <c r="H200" s="92">
        <v>598</v>
      </c>
      <c r="I200" s="92">
        <v>598</v>
      </c>
      <c r="J200" s="92">
        <v>598</v>
      </c>
      <c r="K200" s="92">
        <v>598</v>
      </c>
      <c r="L200" s="214" t="s">
        <v>434</v>
      </c>
      <c r="M200" s="209">
        <v>41640</v>
      </c>
    </row>
    <row r="201" spans="1:13" s="179" customFormat="1" ht="24" customHeight="1" x14ac:dyDescent="0.2">
      <c r="A201" s="129" t="s">
        <v>360</v>
      </c>
      <c r="B201" s="96" t="s">
        <v>361</v>
      </c>
      <c r="C201" s="151">
        <f t="shared" si="2"/>
        <v>192</v>
      </c>
      <c r="D201" s="89">
        <v>1</v>
      </c>
      <c r="E201" s="206" t="s">
        <v>137</v>
      </c>
      <c r="F201" s="91">
        <v>565.22</v>
      </c>
      <c r="G201" s="91">
        <v>565.22</v>
      </c>
      <c r="H201" s="91">
        <v>565.22</v>
      </c>
      <c r="I201" s="91">
        <v>565.22</v>
      </c>
      <c r="J201" s="91">
        <v>565.22</v>
      </c>
      <c r="K201" s="91">
        <v>565.22</v>
      </c>
      <c r="L201" s="213" t="s">
        <v>434</v>
      </c>
      <c r="M201" s="209">
        <v>40909</v>
      </c>
    </row>
    <row r="202" spans="1:13" s="179" customFormat="1" ht="24" customHeight="1" x14ac:dyDescent="0.2">
      <c r="A202" s="129" t="s">
        <v>362</v>
      </c>
      <c r="B202" s="96" t="s">
        <v>363</v>
      </c>
      <c r="C202" s="151">
        <f t="shared" si="2"/>
        <v>193</v>
      </c>
      <c r="D202" s="89">
        <v>5</v>
      </c>
      <c r="E202" s="206" t="s">
        <v>364</v>
      </c>
      <c r="F202" s="90">
        <v>733.22</v>
      </c>
      <c r="G202" s="90">
        <v>733.22</v>
      </c>
      <c r="H202" s="90">
        <v>733.22</v>
      </c>
      <c r="I202" s="90">
        <v>733.22</v>
      </c>
      <c r="J202" s="90">
        <v>733.22</v>
      </c>
      <c r="K202" s="90">
        <v>733.22</v>
      </c>
      <c r="L202" s="213" t="s">
        <v>434</v>
      </c>
      <c r="M202" s="209">
        <v>40909</v>
      </c>
    </row>
    <row r="203" spans="1:13" s="179" customFormat="1" ht="25.5" customHeight="1" x14ac:dyDescent="0.2">
      <c r="A203" s="133">
        <v>1102640370</v>
      </c>
      <c r="B203" s="96" t="s">
        <v>365</v>
      </c>
      <c r="C203" s="151">
        <f t="shared" si="2"/>
        <v>194</v>
      </c>
      <c r="D203" s="89">
        <v>2</v>
      </c>
      <c r="E203" s="206" t="s">
        <v>154</v>
      </c>
      <c r="F203" s="91">
        <v>581.22</v>
      </c>
      <c r="G203" s="91">
        <v>581.22</v>
      </c>
      <c r="H203" s="91">
        <v>581.22</v>
      </c>
      <c r="I203" s="91">
        <v>581.22</v>
      </c>
      <c r="J203" s="91">
        <v>581.22</v>
      </c>
      <c r="K203" s="91">
        <v>581.22</v>
      </c>
      <c r="L203" s="213" t="s">
        <v>434</v>
      </c>
      <c r="M203" s="209">
        <v>40909</v>
      </c>
    </row>
    <row r="204" spans="1:13" s="179" customFormat="1" ht="25.5" customHeight="1" x14ac:dyDescent="0.2">
      <c r="A204" s="133">
        <v>1101462453</v>
      </c>
      <c r="B204" s="96" t="s">
        <v>474</v>
      </c>
      <c r="C204" s="151">
        <f t="shared" si="2"/>
        <v>195</v>
      </c>
      <c r="D204" s="89">
        <v>2</v>
      </c>
      <c r="E204" s="206" t="s">
        <v>154</v>
      </c>
      <c r="F204" s="91">
        <v>581.22</v>
      </c>
      <c r="G204" s="91">
        <v>581.22</v>
      </c>
      <c r="H204" s="91">
        <v>581.22</v>
      </c>
      <c r="I204" s="91">
        <v>0</v>
      </c>
      <c r="J204" s="91">
        <v>0</v>
      </c>
      <c r="K204" s="91">
        <v>0</v>
      </c>
      <c r="L204" s="214" t="s">
        <v>499</v>
      </c>
      <c r="M204" s="209"/>
    </row>
    <row r="205" spans="1:13" s="179" customFormat="1" ht="24" customHeight="1" x14ac:dyDescent="0.2">
      <c r="A205" s="133">
        <v>1102645759</v>
      </c>
      <c r="B205" s="96" t="s">
        <v>366</v>
      </c>
      <c r="C205" s="151">
        <f t="shared" si="2"/>
        <v>196</v>
      </c>
      <c r="D205" s="89">
        <v>1</v>
      </c>
      <c r="E205" s="206" t="s">
        <v>367</v>
      </c>
      <c r="F205" s="91">
        <v>632.29</v>
      </c>
      <c r="G205" s="91">
        <v>632.29</v>
      </c>
      <c r="H205" s="91">
        <v>632.29</v>
      </c>
      <c r="I205" s="91">
        <v>632.29</v>
      </c>
      <c r="J205" s="91">
        <v>632.29</v>
      </c>
      <c r="K205" s="91">
        <v>632.29</v>
      </c>
      <c r="L205" s="213" t="s">
        <v>434</v>
      </c>
      <c r="M205" s="209">
        <v>40909</v>
      </c>
    </row>
    <row r="206" spans="1:13" s="179" customFormat="1" ht="24" customHeight="1" x14ac:dyDescent="0.2">
      <c r="A206" s="133">
        <v>1102865613</v>
      </c>
      <c r="B206" s="96" t="s">
        <v>368</v>
      </c>
      <c r="C206" s="151">
        <f t="shared" ref="C206:C262" si="3">+C205+1</f>
        <v>197</v>
      </c>
      <c r="D206" s="89">
        <v>8</v>
      </c>
      <c r="E206" s="206" t="s">
        <v>251</v>
      </c>
      <c r="F206" s="91">
        <v>816.22</v>
      </c>
      <c r="G206" s="91">
        <v>816.22</v>
      </c>
      <c r="H206" s="91">
        <v>816.22</v>
      </c>
      <c r="I206" s="91">
        <v>816.22</v>
      </c>
      <c r="J206" s="91">
        <v>816.22</v>
      </c>
      <c r="K206" s="91">
        <v>816.22</v>
      </c>
      <c r="L206" s="213" t="s">
        <v>434</v>
      </c>
      <c r="M206" s="209">
        <v>40909</v>
      </c>
    </row>
    <row r="207" spans="1:13" s="179" customFormat="1" ht="24" customHeight="1" x14ac:dyDescent="0.2">
      <c r="A207" s="133">
        <v>1102440060</v>
      </c>
      <c r="B207" s="96" t="s">
        <v>369</v>
      </c>
      <c r="C207" s="151">
        <f t="shared" si="3"/>
        <v>198</v>
      </c>
      <c r="D207" s="89">
        <v>1</v>
      </c>
      <c r="E207" s="206" t="s">
        <v>485</v>
      </c>
      <c r="F207" s="91">
        <v>565.22</v>
      </c>
      <c r="G207" s="91">
        <v>565.22</v>
      </c>
      <c r="H207" s="91">
        <v>565.22</v>
      </c>
      <c r="I207" s="91">
        <v>565.22</v>
      </c>
      <c r="J207" s="91">
        <v>565.22</v>
      </c>
      <c r="K207" s="91">
        <v>565.22</v>
      </c>
      <c r="L207" s="213" t="s">
        <v>434</v>
      </c>
      <c r="M207" s="209">
        <v>40909</v>
      </c>
    </row>
    <row r="208" spans="1:13" s="179" customFormat="1" ht="24" customHeight="1" x14ac:dyDescent="0.2">
      <c r="A208" s="133">
        <v>1104435555</v>
      </c>
      <c r="B208" s="96" t="s">
        <v>370</v>
      </c>
      <c r="C208" s="151">
        <f t="shared" si="3"/>
        <v>199</v>
      </c>
      <c r="D208" s="89">
        <v>1</v>
      </c>
      <c r="E208" s="206" t="s">
        <v>175</v>
      </c>
      <c r="F208" s="91">
        <v>565.22</v>
      </c>
      <c r="G208" s="91">
        <v>565.22</v>
      </c>
      <c r="H208" s="91">
        <v>565.22</v>
      </c>
      <c r="I208" s="91">
        <v>565.22</v>
      </c>
      <c r="J208" s="91">
        <v>565.22</v>
      </c>
      <c r="K208" s="91">
        <v>565.22</v>
      </c>
      <c r="L208" s="213" t="s">
        <v>434</v>
      </c>
      <c r="M208" s="209">
        <v>40909</v>
      </c>
    </row>
    <row r="209" spans="1:13" s="179" customFormat="1" ht="24" customHeight="1" x14ac:dyDescent="0.2">
      <c r="A209" s="133">
        <v>1102402110</v>
      </c>
      <c r="B209" s="96" t="s">
        <v>371</v>
      </c>
      <c r="C209" s="151">
        <f t="shared" si="3"/>
        <v>200</v>
      </c>
      <c r="D209" s="89">
        <v>4</v>
      </c>
      <c r="E209" s="206" t="s">
        <v>486</v>
      </c>
      <c r="F209" s="91">
        <v>615.22</v>
      </c>
      <c r="G209" s="91">
        <v>615.22</v>
      </c>
      <c r="H209" s="91">
        <v>615.22</v>
      </c>
      <c r="I209" s="91">
        <v>615.22</v>
      </c>
      <c r="J209" s="91">
        <v>615.22</v>
      </c>
      <c r="K209" s="91">
        <v>615.22</v>
      </c>
      <c r="L209" s="213" t="s">
        <v>434</v>
      </c>
      <c r="M209" s="209">
        <v>40909</v>
      </c>
    </row>
    <row r="210" spans="1:13" s="179" customFormat="1" ht="24" customHeight="1" x14ac:dyDescent="0.2">
      <c r="A210" s="133" t="s">
        <v>372</v>
      </c>
      <c r="B210" s="96" t="s">
        <v>373</v>
      </c>
      <c r="C210" s="151">
        <f t="shared" si="3"/>
        <v>201</v>
      </c>
      <c r="D210" s="89">
        <v>1</v>
      </c>
      <c r="E210" s="206" t="s">
        <v>146</v>
      </c>
      <c r="F210" s="91">
        <v>565.22</v>
      </c>
      <c r="G210" s="91">
        <v>565.22</v>
      </c>
      <c r="H210" s="91">
        <v>565.22</v>
      </c>
      <c r="I210" s="91">
        <v>565.22</v>
      </c>
      <c r="J210" s="91">
        <v>565.22</v>
      </c>
      <c r="K210" s="91">
        <v>565.22</v>
      </c>
      <c r="L210" s="213" t="s">
        <v>434</v>
      </c>
      <c r="M210" s="209">
        <v>40909</v>
      </c>
    </row>
    <row r="211" spans="1:13" s="179" customFormat="1" ht="24" customHeight="1" x14ac:dyDescent="0.2">
      <c r="A211" s="133">
        <v>1100309044</v>
      </c>
      <c r="B211" s="96" t="s">
        <v>374</v>
      </c>
      <c r="C211" s="151">
        <f t="shared" si="3"/>
        <v>202</v>
      </c>
      <c r="D211" s="89">
        <v>1</v>
      </c>
      <c r="E211" s="206" t="s">
        <v>484</v>
      </c>
      <c r="F211" s="91">
        <v>565.22</v>
      </c>
      <c r="G211" s="91">
        <v>565.22</v>
      </c>
      <c r="H211" s="91">
        <v>565.22</v>
      </c>
      <c r="I211" s="91">
        <v>565.22</v>
      </c>
      <c r="J211" s="91">
        <v>565.22</v>
      </c>
      <c r="K211" s="91">
        <v>565.22</v>
      </c>
      <c r="L211" s="213" t="s">
        <v>434</v>
      </c>
      <c r="M211" s="209">
        <v>40909</v>
      </c>
    </row>
    <row r="212" spans="1:13" s="179" customFormat="1" ht="24" customHeight="1" x14ac:dyDescent="0.2">
      <c r="A212" s="136">
        <v>1102060710</v>
      </c>
      <c r="B212" s="96" t="s">
        <v>375</v>
      </c>
      <c r="C212" s="151">
        <f t="shared" si="3"/>
        <v>203</v>
      </c>
      <c r="D212" s="89">
        <v>4</v>
      </c>
      <c r="E212" s="206" t="s">
        <v>486</v>
      </c>
      <c r="F212" s="92">
        <v>598</v>
      </c>
      <c r="G212" s="92">
        <v>598</v>
      </c>
      <c r="H212" s="92">
        <v>598</v>
      </c>
      <c r="I212" s="92">
        <v>598</v>
      </c>
      <c r="J212" s="92">
        <v>598</v>
      </c>
      <c r="K212" s="92">
        <v>598</v>
      </c>
      <c r="L212" s="213" t="s">
        <v>434</v>
      </c>
      <c r="M212" s="209">
        <v>41640</v>
      </c>
    </row>
    <row r="213" spans="1:13" s="179" customFormat="1" ht="24" customHeight="1" x14ac:dyDescent="0.2">
      <c r="A213" s="136">
        <v>1102296553</v>
      </c>
      <c r="B213" s="96" t="s">
        <v>376</v>
      </c>
      <c r="C213" s="151">
        <f t="shared" si="3"/>
        <v>204</v>
      </c>
      <c r="D213" s="89">
        <v>5</v>
      </c>
      <c r="E213" s="206" t="s">
        <v>489</v>
      </c>
      <c r="F213" s="92">
        <v>733</v>
      </c>
      <c r="G213" s="92">
        <v>733</v>
      </c>
      <c r="H213" s="92">
        <v>733</v>
      </c>
      <c r="I213" s="92">
        <v>733</v>
      </c>
      <c r="J213" s="92">
        <v>733</v>
      </c>
      <c r="K213" s="92">
        <v>733</v>
      </c>
      <c r="L213" s="213" t="s">
        <v>434</v>
      </c>
      <c r="M213" s="209">
        <v>41640</v>
      </c>
    </row>
    <row r="214" spans="1:13" s="179" customFormat="1" ht="24" customHeight="1" x14ac:dyDescent="0.2">
      <c r="A214" s="133">
        <v>1102813241</v>
      </c>
      <c r="B214" s="96" t="s">
        <v>377</v>
      </c>
      <c r="C214" s="151">
        <f t="shared" si="3"/>
        <v>205</v>
      </c>
      <c r="D214" s="89">
        <v>2</v>
      </c>
      <c r="E214" s="206" t="s">
        <v>164</v>
      </c>
      <c r="F214" s="91">
        <v>581.22</v>
      </c>
      <c r="G214" s="91">
        <v>581.22</v>
      </c>
      <c r="H214" s="91">
        <v>581.22</v>
      </c>
      <c r="I214" s="91">
        <v>581.22</v>
      </c>
      <c r="J214" s="91">
        <v>581.22</v>
      </c>
      <c r="K214" s="91">
        <v>581.22</v>
      </c>
      <c r="L214" s="213" t="s">
        <v>434</v>
      </c>
      <c r="M214" s="209">
        <v>40909</v>
      </c>
    </row>
    <row r="215" spans="1:13" s="179" customFormat="1" ht="24" customHeight="1" x14ac:dyDescent="0.2">
      <c r="A215" s="129" t="s">
        <v>378</v>
      </c>
      <c r="B215" s="96" t="s">
        <v>379</v>
      </c>
      <c r="C215" s="151">
        <f t="shared" si="3"/>
        <v>206</v>
      </c>
      <c r="D215" s="89">
        <v>5</v>
      </c>
      <c r="E215" s="206" t="s">
        <v>188</v>
      </c>
      <c r="F215" s="90">
        <v>733.22</v>
      </c>
      <c r="G215" s="90">
        <v>733.22</v>
      </c>
      <c r="H215" s="90">
        <v>733.22</v>
      </c>
      <c r="I215" s="90">
        <v>733.22</v>
      </c>
      <c r="J215" s="90">
        <v>733.22</v>
      </c>
      <c r="K215" s="90">
        <v>733.22</v>
      </c>
      <c r="L215" s="213" t="s">
        <v>434</v>
      </c>
      <c r="M215" s="209">
        <v>40909</v>
      </c>
    </row>
    <row r="216" spans="1:13" s="179" customFormat="1" ht="52.5" customHeight="1" x14ac:dyDescent="0.2">
      <c r="A216" s="129">
        <v>1100093853</v>
      </c>
      <c r="B216" s="96" t="s">
        <v>475</v>
      </c>
      <c r="C216" s="151">
        <f t="shared" si="3"/>
        <v>207</v>
      </c>
      <c r="D216" s="89">
        <v>3</v>
      </c>
      <c r="E216" s="206" t="s">
        <v>215</v>
      </c>
      <c r="F216" s="94">
        <v>598.22</v>
      </c>
      <c r="G216" s="94">
        <v>598.22</v>
      </c>
      <c r="H216" s="94">
        <v>598.22</v>
      </c>
      <c r="I216" s="94">
        <v>598.22</v>
      </c>
      <c r="J216" s="94">
        <v>598.22</v>
      </c>
      <c r="K216" s="90">
        <v>0</v>
      </c>
      <c r="L216" s="213" t="s">
        <v>504</v>
      </c>
      <c r="M216" s="209"/>
    </row>
    <row r="217" spans="1:13" s="179" customFormat="1" ht="24" customHeight="1" x14ac:dyDescent="0.2">
      <c r="A217" s="129" t="s">
        <v>380</v>
      </c>
      <c r="B217" s="96" t="s">
        <v>381</v>
      </c>
      <c r="C217" s="151">
        <f t="shared" si="3"/>
        <v>208</v>
      </c>
      <c r="D217" s="89">
        <v>1</v>
      </c>
      <c r="E217" s="206" t="s">
        <v>485</v>
      </c>
      <c r="F217" s="91">
        <v>565.22</v>
      </c>
      <c r="G217" s="91">
        <v>565.22</v>
      </c>
      <c r="H217" s="91">
        <v>565.22</v>
      </c>
      <c r="I217" s="91">
        <v>565.22</v>
      </c>
      <c r="J217" s="91">
        <v>565.22</v>
      </c>
      <c r="K217" s="91">
        <v>565.22</v>
      </c>
      <c r="L217" s="214" t="s">
        <v>434</v>
      </c>
      <c r="M217" s="209">
        <v>40909</v>
      </c>
    </row>
    <row r="218" spans="1:13" s="179" customFormat="1" ht="24" customHeight="1" x14ac:dyDescent="0.2">
      <c r="A218" s="133" t="s">
        <v>382</v>
      </c>
      <c r="B218" s="96" t="s">
        <v>383</v>
      </c>
      <c r="C218" s="151">
        <f t="shared" si="3"/>
        <v>209</v>
      </c>
      <c r="D218" s="89">
        <v>6</v>
      </c>
      <c r="E218" s="206" t="s">
        <v>170</v>
      </c>
      <c r="F218" s="91">
        <v>615.22</v>
      </c>
      <c r="G218" s="91">
        <v>615.22</v>
      </c>
      <c r="H218" s="91">
        <v>709</v>
      </c>
      <c r="I218" s="91">
        <v>709</v>
      </c>
      <c r="J218" s="91">
        <v>709</v>
      </c>
      <c r="K218" s="91">
        <v>709</v>
      </c>
      <c r="L218" s="213" t="s">
        <v>495</v>
      </c>
      <c r="M218" s="209">
        <v>40909</v>
      </c>
    </row>
    <row r="219" spans="1:13" s="179" customFormat="1" ht="24" customHeight="1" x14ac:dyDescent="0.2">
      <c r="A219" s="129">
        <v>1101431201</v>
      </c>
      <c r="B219" s="96" t="s">
        <v>384</v>
      </c>
      <c r="C219" s="151">
        <f t="shared" si="3"/>
        <v>210</v>
      </c>
      <c r="D219" s="89">
        <v>2</v>
      </c>
      <c r="E219" s="206" t="s">
        <v>154</v>
      </c>
      <c r="F219" s="91">
        <v>581.22</v>
      </c>
      <c r="G219" s="91">
        <v>581.22</v>
      </c>
      <c r="H219" s="91">
        <v>581.22</v>
      </c>
      <c r="I219" s="91">
        <v>581.22</v>
      </c>
      <c r="J219" s="91">
        <v>581.22</v>
      </c>
      <c r="K219" s="91">
        <v>581.22</v>
      </c>
      <c r="L219" s="213" t="s">
        <v>434</v>
      </c>
      <c r="M219" s="209">
        <v>40909</v>
      </c>
    </row>
    <row r="220" spans="1:13" s="179" customFormat="1" ht="24" customHeight="1" x14ac:dyDescent="0.2">
      <c r="A220" s="133">
        <v>1102798962</v>
      </c>
      <c r="B220" s="96" t="s">
        <v>385</v>
      </c>
      <c r="C220" s="151">
        <f t="shared" si="3"/>
        <v>211</v>
      </c>
      <c r="D220" s="89">
        <v>8</v>
      </c>
      <c r="E220" s="206" t="s">
        <v>386</v>
      </c>
      <c r="F220" s="91">
        <v>816.22</v>
      </c>
      <c r="G220" s="91">
        <v>816.22</v>
      </c>
      <c r="H220" s="91">
        <v>816.22</v>
      </c>
      <c r="I220" s="91">
        <v>816.22</v>
      </c>
      <c r="J220" s="91">
        <v>816.22</v>
      </c>
      <c r="K220" s="91">
        <v>816.22</v>
      </c>
      <c r="L220" s="213" t="s">
        <v>434</v>
      </c>
      <c r="M220" s="209">
        <v>40909</v>
      </c>
    </row>
    <row r="221" spans="1:13" s="179" customFormat="1" ht="24" customHeight="1" x14ac:dyDescent="0.2">
      <c r="A221" s="133">
        <v>1100868593</v>
      </c>
      <c r="B221" s="96" t="s">
        <v>387</v>
      </c>
      <c r="C221" s="151">
        <f t="shared" si="3"/>
        <v>212</v>
      </c>
      <c r="D221" s="89">
        <v>6</v>
      </c>
      <c r="E221" s="206" t="s">
        <v>170</v>
      </c>
      <c r="F221" s="91">
        <v>615.22</v>
      </c>
      <c r="G221" s="91">
        <v>615.22</v>
      </c>
      <c r="H221" s="91">
        <v>709</v>
      </c>
      <c r="I221" s="91">
        <v>709</v>
      </c>
      <c r="J221" s="91">
        <v>709</v>
      </c>
      <c r="K221" s="91">
        <v>709</v>
      </c>
      <c r="L221" s="213" t="s">
        <v>495</v>
      </c>
      <c r="M221" s="209">
        <v>40909</v>
      </c>
    </row>
    <row r="222" spans="1:13" s="179" customFormat="1" ht="24" customHeight="1" x14ac:dyDescent="0.2">
      <c r="A222" s="133">
        <v>1102750641</v>
      </c>
      <c r="B222" s="96" t="s">
        <v>388</v>
      </c>
      <c r="C222" s="151">
        <f t="shared" si="3"/>
        <v>213</v>
      </c>
      <c r="D222" s="89">
        <v>4</v>
      </c>
      <c r="E222" s="206" t="s">
        <v>486</v>
      </c>
      <c r="F222" s="91">
        <v>615.22</v>
      </c>
      <c r="G222" s="91">
        <v>615.22</v>
      </c>
      <c r="H222" s="91">
        <v>615.22</v>
      </c>
      <c r="I222" s="91">
        <v>615.22</v>
      </c>
      <c r="J222" s="91">
        <v>615.22</v>
      </c>
      <c r="K222" s="91">
        <v>615.22</v>
      </c>
      <c r="L222" s="213" t="s">
        <v>434</v>
      </c>
      <c r="M222" s="209">
        <v>40909</v>
      </c>
    </row>
    <row r="223" spans="1:13" s="179" customFormat="1" ht="24" customHeight="1" x14ac:dyDescent="0.2">
      <c r="A223" s="136">
        <v>1103106405</v>
      </c>
      <c r="B223" s="96" t="s">
        <v>389</v>
      </c>
      <c r="C223" s="151">
        <f t="shared" si="3"/>
        <v>214</v>
      </c>
      <c r="D223" s="89">
        <v>4</v>
      </c>
      <c r="E223" s="206" t="s">
        <v>486</v>
      </c>
      <c r="F223" s="92">
        <v>598</v>
      </c>
      <c r="G223" s="92">
        <v>598</v>
      </c>
      <c r="H223" s="92">
        <v>598</v>
      </c>
      <c r="I223" s="92">
        <v>598</v>
      </c>
      <c r="J223" s="92">
        <v>598</v>
      </c>
      <c r="K223" s="92">
        <v>598</v>
      </c>
      <c r="L223" s="213" t="s">
        <v>434</v>
      </c>
      <c r="M223" s="209">
        <v>41640</v>
      </c>
    </row>
    <row r="224" spans="1:13" s="179" customFormat="1" ht="24" customHeight="1" x14ac:dyDescent="0.2">
      <c r="A224" s="133">
        <v>1102361530</v>
      </c>
      <c r="B224" s="96" t="s">
        <v>390</v>
      </c>
      <c r="C224" s="151">
        <f t="shared" si="3"/>
        <v>215</v>
      </c>
      <c r="D224" s="89">
        <v>5</v>
      </c>
      <c r="E224" s="206" t="s">
        <v>240</v>
      </c>
      <c r="F224" s="90">
        <v>733.22</v>
      </c>
      <c r="G224" s="90">
        <v>733.22</v>
      </c>
      <c r="H224" s="90">
        <v>733.22</v>
      </c>
      <c r="I224" s="90">
        <v>733.22</v>
      </c>
      <c r="J224" s="90">
        <v>733.22</v>
      </c>
      <c r="K224" s="90">
        <v>733.22</v>
      </c>
      <c r="L224" s="213" t="s">
        <v>434</v>
      </c>
      <c r="M224" s="209">
        <v>40909</v>
      </c>
    </row>
    <row r="225" spans="1:13" s="179" customFormat="1" ht="38.25" x14ac:dyDescent="0.2">
      <c r="A225" s="137">
        <v>1100249067</v>
      </c>
      <c r="B225" s="96" t="s">
        <v>391</v>
      </c>
      <c r="C225" s="151">
        <f t="shared" si="3"/>
        <v>216</v>
      </c>
      <c r="D225" s="89">
        <v>1</v>
      </c>
      <c r="E225" s="206" t="s">
        <v>137</v>
      </c>
      <c r="F225" s="91">
        <v>565.22</v>
      </c>
      <c r="G225" s="91">
        <v>565.22</v>
      </c>
      <c r="H225" s="91">
        <v>565.22</v>
      </c>
      <c r="I225" s="91">
        <v>565.22</v>
      </c>
      <c r="J225" s="91">
        <v>565.22</v>
      </c>
      <c r="K225" s="91">
        <v>0</v>
      </c>
      <c r="L225" s="213" t="s">
        <v>504</v>
      </c>
      <c r="M225" s="209">
        <v>40909</v>
      </c>
    </row>
    <row r="226" spans="1:13" s="179" customFormat="1" ht="24" customHeight="1" x14ac:dyDescent="0.2">
      <c r="A226" s="133">
        <v>1102982731</v>
      </c>
      <c r="B226" s="96" t="s">
        <v>392</v>
      </c>
      <c r="C226" s="151">
        <f t="shared" si="3"/>
        <v>217</v>
      </c>
      <c r="D226" s="89">
        <v>1</v>
      </c>
      <c r="E226" s="206" t="s">
        <v>485</v>
      </c>
      <c r="F226" s="91">
        <v>565.22</v>
      </c>
      <c r="G226" s="91">
        <v>565.22</v>
      </c>
      <c r="H226" s="91">
        <v>565.22</v>
      </c>
      <c r="I226" s="91">
        <v>565.22</v>
      </c>
      <c r="J226" s="91">
        <v>565.22</v>
      </c>
      <c r="K226" s="91">
        <v>565.22</v>
      </c>
      <c r="L226" s="213" t="s">
        <v>434</v>
      </c>
      <c r="M226" s="209">
        <v>40909</v>
      </c>
    </row>
    <row r="227" spans="1:13" s="179" customFormat="1" ht="24" customHeight="1" x14ac:dyDescent="0.2">
      <c r="A227" s="133">
        <v>1706738729</v>
      </c>
      <c r="B227" s="96" t="s">
        <v>393</v>
      </c>
      <c r="C227" s="151">
        <f t="shared" si="3"/>
        <v>218</v>
      </c>
      <c r="D227" s="89">
        <v>2</v>
      </c>
      <c r="E227" s="206" t="s">
        <v>394</v>
      </c>
      <c r="F227" s="90">
        <v>612.41999999999996</v>
      </c>
      <c r="G227" s="90">
        <v>612.41999999999996</v>
      </c>
      <c r="H227" s="90">
        <v>612.41999999999996</v>
      </c>
      <c r="I227" s="90">
        <v>612.41999999999996</v>
      </c>
      <c r="J227" s="90">
        <v>612.41999999999996</v>
      </c>
      <c r="K227" s="90">
        <v>612.41999999999996</v>
      </c>
      <c r="L227" s="213" t="s">
        <v>434</v>
      </c>
      <c r="M227" s="209">
        <v>40909</v>
      </c>
    </row>
    <row r="228" spans="1:13" s="179" customFormat="1" ht="24" customHeight="1" x14ac:dyDescent="0.2">
      <c r="A228" s="136">
        <v>1715677777</v>
      </c>
      <c r="B228" s="96" t="s">
        <v>395</v>
      </c>
      <c r="C228" s="151">
        <f t="shared" si="3"/>
        <v>219</v>
      </c>
      <c r="D228" s="89">
        <v>4</v>
      </c>
      <c r="E228" s="206" t="s">
        <v>486</v>
      </c>
      <c r="F228" s="92">
        <v>598</v>
      </c>
      <c r="G228" s="92">
        <v>598</v>
      </c>
      <c r="H228" s="92">
        <v>598</v>
      </c>
      <c r="I228" s="92">
        <v>598</v>
      </c>
      <c r="J228" s="92">
        <v>598</v>
      </c>
      <c r="K228" s="92">
        <v>598</v>
      </c>
      <c r="L228" s="213" t="s">
        <v>434</v>
      </c>
      <c r="M228" s="209">
        <v>41640</v>
      </c>
    </row>
    <row r="229" spans="1:13" s="179" customFormat="1" ht="24" customHeight="1" x14ac:dyDescent="0.2">
      <c r="A229" s="133">
        <v>1103041669</v>
      </c>
      <c r="B229" s="96" t="s">
        <v>396</v>
      </c>
      <c r="C229" s="151">
        <f t="shared" si="3"/>
        <v>220</v>
      </c>
      <c r="D229" s="89">
        <v>1</v>
      </c>
      <c r="E229" s="206" t="s">
        <v>155</v>
      </c>
      <c r="F229" s="91">
        <v>649.03</v>
      </c>
      <c r="G229" s="91">
        <v>649.03</v>
      </c>
      <c r="H229" s="91">
        <v>649.03</v>
      </c>
      <c r="I229" s="91">
        <v>649.03</v>
      </c>
      <c r="J229" s="91">
        <v>649.03</v>
      </c>
      <c r="K229" s="91">
        <v>649.03</v>
      </c>
      <c r="L229" s="213" t="s">
        <v>434</v>
      </c>
      <c r="M229" s="209">
        <v>40909</v>
      </c>
    </row>
    <row r="230" spans="1:13" s="179" customFormat="1" ht="24" customHeight="1" x14ac:dyDescent="0.2">
      <c r="A230" s="133">
        <v>1103169312</v>
      </c>
      <c r="B230" s="96" t="s">
        <v>397</v>
      </c>
      <c r="C230" s="151">
        <f t="shared" si="3"/>
        <v>221</v>
      </c>
      <c r="D230" s="89">
        <v>3</v>
      </c>
      <c r="E230" s="206" t="s">
        <v>215</v>
      </c>
      <c r="F230" s="90">
        <v>622.6</v>
      </c>
      <c r="G230" s="90">
        <v>622.6</v>
      </c>
      <c r="H230" s="90">
        <v>622.6</v>
      </c>
      <c r="I230" s="90">
        <v>622.6</v>
      </c>
      <c r="J230" s="90">
        <v>622.6</v>
      </c>
      <c r="K230" s="90">
        <v>622.6</v>
      </c>
      <c r="L230" s="213" t="s">
        <v>434</v>
      </c>
      <c r="M230" s="209">
        <v>40909</v>
      </c>
    </row>
    <row r="231" spans="1:13" s="179" customFormat="1" ht="24" customHeight="1" x14ac:dyDescent="0.2">
      <c r="A231" s="133">
        <v>1101979357</v>
      </c>
      <c r="B231" s="96" t="s">
        <v>398</v>
      </c>
      <c r="C231" s="151">
        <f t="shared" si="3"/>
        <v>222</v>
      </c>
      <c r="D231" s="89">
        <v>8</v>
      </c>
      <c r="E231" s="206" t="s">
        <v>386</v>
      </c>
      <c r="F231" s="91">
        <v>816.22</v>
      </c>
      <c r="G231" s="91">
        <v>816.22</v>
      </c>
      <c r="H231" s="91">
        <v>816.22</v>
      </c>
      <c r="I231" s="91">
        <v>816.22</v>
      </c>
      <c r="J231" s="91">
        <v>816.22</v>
      </c>
      <c r="K231" s="91">
        <v>816.22</v>
      </c>
      <c r="L231" s="213" t="s">
        <v>434</v>
      </c>
      <c r="M231" s="209">
        <v>40909</v>
      </c>
    </row>
    <row r="232" spans="1:13" s="179" customFormat="1" ht="24" customHeight="1" x14ac:dyDescent="0.2">
      <c r="A232" s="137">
        <v>1102662051</v>
      </c>
      <c r="B232" s="96" t="s">
        <v>399</v>
      </c>
      <c r="C232" s="151">
        <f t="shared" si="3"/>
        <v>223</v>
      </c>
      <c r="D232" s="89">
        <v>1</v>
      </c>
      <c r="E232" s="206" t="s">
        <v>484</v>
      </c>
      <c r="F232" s="91">
        <v>799.18</v>
      </c>
      <c r="G232" s="91">
        <v>799.18</v>
      </c>
      <c r="H232" s="91">
        <v>799.18</v>
      </c>
      <c r="I232" s="91">
        <v>799.18</v>
      </c>
      <c r="J232" s="91">
        <v>799.18</v>
      </c>
      <c r="K232" s="91">
        <v>799.18</v>
      </c>
      <c r="L232" s="214" t="s">
        <v>434</v>
      </c>
      <c r="M232" s="209">
        <v>40909</v>
      </c>
    </row>
    <row r="233" spans="1:13" s="179" customFormat="1" ht="24" customHeight="1" x14ac:dyDescent="0.2">
      <c r="A233" s="133">
        <v>1102704770</v>
      </c>
      <c r="B233" s="96" t="s">
        <v>400</v>
      </c>
      <c r="C233" s="151">
        <f t="shared" si="3"/>
        <v>224</v>
      </c>
      <c r="D233" s="89">
        <v>3</v>
      </c>
      <c r="E233" s="206" t="s">
        <v>215</v>
      </c>
      <c r="F233" s="90">
        <v>728.33</v>
      </c>
      <c r="G233" s="90">
        <v>728.33</v>
      </c>
      <c r="H233" s="90">
        <v>728.33</v>
      </c>
      <c r="I233" s="90">
        <v>728.33</v>
      </c>
      <c r="J233" s="90">
        <v>728.33</v>
      </c>
      <c r="K233" s="90">
        <v>728.33</v>
      </c>
      <c r="L233" s="214" t="s">
        <v>434</v>
      </c>
      <c r="M233" s="209">
        <v>40909</v>
      </c>
    </row>
    <row r="234" spans="1:13" s="179" customFormat="1" ht="24" customHeight="1" x14ac:dyDescent="0.2">
      <c r="A234" s="133">
        <v>1102740832</v>
      </c>
      <c r="B234" s="96" t="s">
        <v>401</v>
      </c>
      <c r="C234" s="151">
        <f t="shared" si="3"/>
        <v>225</v>
      </c>
      <c r="D234" s="89">
        <v>6</v>
      </c>
      <c r="E234" s="206" t="s">
        <v>170</v>
      </c>
      <c r="F234" s="91">
        <v>615.22</v>
      </c>
      <c r="G234" s="91">
        <v>615.22</v>
      </c>
      <c r="H234" s="91">
        <v>709</v>
      </c>
      <c r="I234" s="91">
        <v>709</v>
      </c>
      <c r="J234" s="91">
        <v>709</v>
      </c>
      <c r="K234" s="91">
        <v>709</v>
      </c>
      <c r="L234" s="213" t="s">
        <v>434</v>
      </c>
      <c r="M234" s="209">
        <v>40909</v>
      </c>
    </row>
    <row r="235" spans="1:13" s="179" customFormat="1" ht="24" customHeight="1" x14ac:dyDescent="0.2">
      <c r="A235" s="133">
        <v>1102681465</v>
      </c>
      <c r="B235" s="96" t="s">
        <v>402</v>
      </c>
      <c r="C235" s="151">
        <f t="shared" si="3"/>
        <v>226</v>
      </c>
      <c r="D235" s="89">
        <v>5</v>
      </c>
      <c r="E235" s="206" t="s">
        <v>403</v>
      </c>
      <c r="F235" s="90">
        <v>733.22</v>
      </c>
      <c r="G235" s="90">
        <v>733.22</v>
      </c>
      <c r="H235" s="90">
        <v>733.22</v>
      </c>
      <c r="I235" s="90">
        <v>733.22</v>
      </c>
      <c r="J235" s="90">
        <v>733.22</v>
      </c>
      <c r="K235" s="90">
        <v>733.22</v>
      </c>
      <c r="L235" s="213" t="s">
        <v>434</v>
      </c>
      <c r="M235" s="209">
        <v>40909</v>
      </c>
    </row>
    <row r="236" spans="1:13" s="179" customFormat="1" ht="24" customHeight="1" x14ac:dyDescent="0.2">
      <c r="A236" s="133">
        <v>1103412217</v>
      </c>
      <c r="B236" s="96" t="s">
        <v>404</v>
      </c>
      <c r="C236" s="151">
        <f t="shared" si="3"/>
        <v>227</v>
      </c>
      <c r="D236" s="89">
        <v>4</v>
      </c>
      <c r="E236" s="206" t="s">
        <v>487</v>
      </c>
      <c r="F236" s="91">
        <v>615.22</v>
      </c>
      <c r="G236" s="91">
        <v>615.22</v>
      </c>
      <c r="H236" s="91">
        <v>615.22</v>
      </c>
      <c r="I236" s="91">
        <v>615.22</v>
      </c>
      <c r="J236" s="91">
        <v>615.22</v>
      </c>
      <c r="K236" s="91">
        <v>615.22</v>
      </c>
      <c r="L236" s="213" t="s">
        <v>434</v>
      </c>
      <c r="M236" s="209">
        <v>40909</v>
      </c>
    </row>
    <row r="237" spans="1:13" s="179" customFormat="1" ht="24" customHeight="1" x14ac:dyDescent="0.2">
      <c r="A237" s="129">
        <v>1102646609</v>
      </c>
      <c r="B237" s="96" t="s">
        <v>405</v>
      </c>
      <c r="C237" s="151">
        <f t="shared" si="3"/>
        <v>228</v>
      </c>
      <c r="D237" s="89">
        <v>5</v>
      </c>
      <c r="E237" s="206" t="s">
        <v>184</v>
      </c>
      <c r="F237" s="90">
        <v>887.68</v>
      </c>
      <c r="G237" s="90">
        <v>887.68</v>
      </c>
      <c r="H237" s="90">
        <v>887.68</v>
      </c>
      <c r="I237" s="90">
        <v>887.68</v>
      </c>
      <c r="J237" s="90">
        <v>887.68</v>
      </c>
      <c r="K237" s="90">
        <v>887.68</v>
      </c>
      <c r="L237" s="213" t="s">
        <v>434</v>
      </c>
      <c r="M237" s="209">
        <v>40909</v>
      </c>
    </row>
    <row r="238" spans="1:13" s="179" customFormat="1" ht="24" customHeight="1" x14ac:dyDescent="0.2">
      <c r="A238" s="131">
        <v>1103698575</v>
      </c>
      <c r="B238" s="96" t="s">
        <v>406</v>
      </c>
      <c r="C238" s="151">
        <f t="shared" si="3"/>
        <v>229</v>
      </c>
      <c r="D238" s="89">
        <v>1</v>
      </c>
      <c r="E238" s="206" t="s">
        <v>158</v>
      </c>
      <c r="F238" s="92">
        <v>565</v>
      </c>
      <c r="G238" s="92">
        <v>565</v>
      </c>
      <c r="H238" s="92">
        <v>565</v>
      </c>
      <c r="I238" s="92">
        <v>565</v>
      </c>
      <c r="J238" s="92">
        <v>565</v>
      </c>
      <c r="K238" s="92">
        <v>565</v>
      </c>
      <c r="L238" s="214" t="s">
        <v>434</v>
      </c>
      <c r="M238" s="209">
        <v>41640</v>
      </c>
    </row>
    <row r="239" spans="1:13" s="179" customFormat="1" ht="24" customHeight="1" x14ac:dyDescent="0.2">
      <c r="A239" s="129">
        <v>1103547194</v>
      </c>
      <c r="B239" s="96" t="s">
        <v>407</v>
      </c>
      <c r="C239" s="151">
        <f t="shared" si="3"/>
        <v>230</v>
      </c>
      <c r="D239" s="89">
        <v>5</v>
      </c>
      <c r="E239" s="206" t="s">
        <v>138</v>
      </c>
      <c r="F239" s="90">
        <v>733.22</v>
      </c>
      <c r="G239" s="90">
        <v>733.22</v>
      </c>
      <c r="H239" s="90">
        <v>733.22</v>
      </c>
      <c r="I239" s="90">
        <v>733.22</v>
      </c>
      <c r="J239" s="90">
        <v>733.22</v>
      </c>
      <c r="K239" s="90">
        <v>733.22</v>
      </c>
      <c r="L239" s="213" t="s">
        <v>434</v>
      </c>
      <c r="M239" s="209">
        <v>40909</v>
      </c>
    </row>
    <row r="240" spans="1:13" s="179" customFormat="1" ht="24" customHeight="1" x14ac:dyDescent="0.2">
      <c r="A240" s="131">
        <v>1104631716</v>
      </c>
      <c r="B240" s="96" t="s">
        <v>408</v>
      </c>
      <c r="C240" s="151">
        <f t="shared" si="3"/>
        <v>231</v>
      </c>
      <c r="D240" s="89">
        <v>1</v>
      </c>
      <c r="E240" s="206" t="s">
        <v>158</v>
      </c>
      <c r="F240" s="92">
        <v>565</v>
      </c>
      <c r="G240" s="92">
        <v>565</v>
      </c>
      <c r="H240" s="92">
        <v>565</v>
      </c>
      <c r="I240" s="92">
        <v>565</v>
      </c>
      <c r="J240" s="92">
        <v>565</v>
      </c>
      <c r="K240" s="92">
        <v>565</v>
      </c>
      <c r="L240" s="213" t="s">
        <v>434</v>
      </c>
      <c r="M240" s="209">
        <v>41640</v>
      </c>
    </row>
    <row r="241" spans="1:13" s="179" customFormat="1" ht="24" customHeight="1" x14ac:dyDescent="0.2">
      <c r="A241" s="132">
        <v>1103836449</v>
      </c>
      <c r="B241" s="96" t="s">
        <v>409</v>
      </c>
      <c r="C241" s="151">
        <f t="shared" si="3"/>
        <v>232</v>
      </c>
      <c r="D241" s="89">
        <v>1</v>
      </c>
      <c r="E241" s="206" t="s">
        <v>155</v>
      </c>
      <c r="F241" s="91">
        <v>565.22</v>
      </c>
      <c r="G241" s="91">
        <v>565.22</v>
      </c>
      <c r="H241" s="91">
        <v>565.22</v>
      </c>
      <c r="I241" s="91">
        <v>565.22</v>
      </c>
      <c r="J241" s="91">
        <v>565.22</v>
      </c>
      <c r="K241" s="91">
        <v>565.22</v>
      </c>
      <c r="L241" s="213" t="s">
        <v>434</v>
      </c>
      <c r="M241" s="209">
        <v>40909</v>
      </c>
    </row>
    <row r="242" spans="1:13" s="179" customFormat="1" ht="24" customHeight="1" x14ac:dyDescent="0.2">
      <c r="A242" s="133">
        <v>1101891735</v>
      </c>
      <c r="B242" s="96" t="s">
        <v>410</v>
      </c>
      <c r="C242" s="151">
        <f t="shared" si="3"/>
        <v>233</v>
      </c>
      <c r="D242" s="89">
        <v>5</v>
      </c>
      <c r="E242" s="206" t="s">
        <v>184</v>
      </c>
      <c r="F242" s="90">
        <v>920.53</v>
      </c>
      <c r="G242" s="90">
        <v>920.53</v>
      </c>
      <c r="H242" s="90">
        <v>920.53</v>
      </c>
      <c r="I242" s="90">
        <v>920.53</v>
      </c>
      <c r="J242" s="90">
        <v>920.53</v>
      </c>
      <c r="K242" s="90">
        <v>920.53</v>
      </c>
      <c r="L242" s="213" t="s">
        <v>434</v>
      </c>
      <c r="M242" s="209">
        <v>40909</v>
      </c>
    </row>
    <row r="243" spans="1:13" s="179" customFormat="1" ht="24" customHeight="1" x14ac:dyDescent="0.2">
      <c r="A243" s="129" t="s">
        <v>411</v>
      </c>
      <c r="B243" s="96" t="s">
        <v>412</v>
      </c>
      <c r="C243" s="151">
        <f t="shared" si="3"/>
        <v>234</v>
      </c>
      <c r="D243" s="89">
        <v>1</v>
      </c>
      <c r="E243" s="206" t="s">
        <v>137</v>
      </c>
      <c r="F243" s="91">
        <v>565.22</v>
      </c>
      <c r="G243" s="91">
        <v>565.22</v>
      </c>
      <c r="H243" s="91">
        <v>565.22</v>
      </c>
      <c r="I243" s="91">
        <v>565.22</v>
      </c>
      <c r="J243" s="91">
        <v>565.22</v>
      </c>
      <c r="K243" s="91">
        <v>565.22</v>
      </c>
      <c r="L243" s="213" t="s">
        <v>434</v>
      </c>
      <c r="M243" s="209">
        <v>40909</v>
      </c>
    </row>
    <row r="244" spans="1:13" s="179" customFormat="1" ht="24" customHeight="1" x14ac:dyDescent="0.2">
      <c r="A244" s="131">
        <v>1100431699</v>
      </c>
      <c r="B244" s="96" t="s">
        <v>413</v>
      </c>
      <c r="C244" s="151">
        <f t="shared" si="3"/>
        <v>235</v>
      </c>
      <c r="D244" s="89">
        <v>3</v>
      </c>
      <c r="E244" s="206" t="s">
        <v>215</v>
      </c>
      <c r="F244" s="92">
        <v>598</v>
      </c>
      <c r="G244" s="92">
        <v>598</v>
      </c>
      <c r="H244" s="92">
        <v>598</v>
      </c>
      <c r="I244" s="92">
        <v>598</v>
      </c>
      <c r="J244" s="92">
        <v>598</v>
      </c>
      <c r="K244" s="92">
        <v>598</v>
      </c>
      <c r="L244" s="213" t="s">
        <v>434</v>
      </c>
      <c r="M244" s="209">
        <v>41640</v>
      </c>
    </row>
    <row r="245" spans="1:13" s="179" customFormat="1" ht="24" customHeight="1" x14ac:dyDescent="0.2">
      <c r="A245" s="129" t="s">
        <v>414</v>
      </c>
      <c r="B245" s="96" t="s">
        <v>415</v>
      </c>
      <c r="C245" s="151">
        <f t="shared" si="3"/>
        <v>236</v>
      </c>
      <c r="D245" s="89">
        <v>3</v>
      </c>
      <c r="E245" s="206" t="s">
        <v>215</v>
      </c>
      <c r="F245" s="91">
        <v>615.22</v>
      </c>
      <c r="G245" s="91">
        <v>615.22</v>
      </c>
      <c r="H245" s="91">
        <v>615.22</v>
      </c>
      <c r="I245" s="91">
        <v>615.22</v>
      </c>
      <c r="J245" s="91">
        <v>615.22</v>
      </c>
      <c r="K245" s="91">
        <v>615.22</v>
      </c>
      <c r="L245" s="213" t="s">
        <v>434</v>
      </c>
      <c r="M245" s="209">
        <v>40909</v>
      </c>
    </row>
    <row r="246" spans="1:13" s="179" customFormat="1" ht="38.25" x14ac:dyDescent="0.2">
      <c r="A246" s="129">
        <v>1100625837</v>
      </c>
      <c r="B246" s="96" t="s">
        <v>476</v>
      </c>
      <c r="C246" s="151">
        <f t="shared" si="3"/>
        <v>237</v>
      </c>
      <c r="D246" s="89">
        <v>4</v>
      </c>
      <c r="E246" s="206" t="s">
        <v>486</v>
      </c>
      <c r="F246" s="180">
        <v>876</v>
      </c>
      <c r="G246" s="180">
        <v>876</v>
      </c>
      <c r="H246" s="180">
        <v>876</v>
      </c>
      <c r="I246" s="180">
        <v>876</v>
      </c>
      <c r="J246" s="180">
        <v>876</v>
      </c>
      <c r="K246" s="91">
        <v>0</v>
      </c>
      <c r="L246" s="213" t="s">
        <v>504</v>
      </c>
      <c r="M246" s="209">
        <v>40909</v>
      </c>
    </row>
    <row r="247" spans="1:13" s="179" customFormat="1" ht="24" customHeight="1" x14ac:dyDescent="0.2">
      <c r="A247" s="129">
        <v>1102557392</v>
      </c>
      <c r="B247" s="96" t="s">
        <v>416</v>
      </c>
      <c r="C247" s="151">
        <f t="shared" si="3"/>
        <v>238</v>
      </c>
      <c r="D247" s="89">
        <v>5</v>
      </c>
      <c r="E247" s="206" t="s">
        <v>184</v>
      </c>
      <c r="F247" s="90">
        <v>733.22</v>
      </c>
      <c r="G247" s="90">
        <v>733.22</v>
      </c>
      <c r="H247" s="90">
        <v>733.22</v>
      </c>
      <c r="I247" s="90">
        <v>733.22</v>
      </c>
      <c r="J247" s="90">
        <v>733.22</v>
      </c>
      <c r="K247" s="90">
        <v>733.22</v>
      </c>
      <c r="L247" s="213" t="s">
        <v>434</v>
      </c>
      <c r="M247" s="209">
        <v>40909</v>
      </c>
    </row>
    <row r="248" spans="1:13" s="179" customFormat="1" ht="24" customHeight="1" x14ac:dyDescent="0.2">
      <c r="A248" s="129">
        <v>1100784519</v>
      </c>
      <c r="B248" s="96" t="s">
        <v>417</v>
      </c>
      <c r="C248" s="151">
        <f t="shared" si="3"/>
        <v>239</v>
      </c>
      <c r="D248" s="89">
        <v>5</v>
      </c>
      <c r="E248" s="206" t="s">
        <v>188</v>
      </c>
      <c r="F248" s="90">
        <v>733.22</v>
      </c>
      <c r="G248" s="90">
        <v>733.22</v>
      </c>
      <c r="H248" s="90">
        <v>733.22</v>
      </c>
      <c r="I248" s="90">
        <v>733.22</v>
      </c>
      <c r="J248" s="90">
        <v>733.22</v>
      </c>
      <c r="K248" s="90">
        <v>733.22</v>
      </c>
      <c r="L248" s="213" t="s">
        <v>434</v>
      </c>
      <c r="M248" s="209">
        <v>40909</v>
      </c>
    </row>
    <row r="249" spans="1:13" s="179" customFormat="1" ht="49.5" customHeight="1" x14ac:dyDescent="0.2">
      <c r="A249" s="129">
        <v>1101713723</v>
      </c>
      <c r="B249" s="96" t="s">
        <v>477</v>
      </c>
      <c r="C249" s="151">
        <f t="shared" si="3"/>
        <v>240</v>
      </c>
      <c r="D249" s="89">
        <v>4</v>
      </c>
      <c r="E249" s="206" t="s">
        <v>486</v>
      </c>
      <c r="F249" s="180">
        <v>728.33</v>
      </c>
      <c r="G249" s="180">
        <v>728.33</v>
      </c>
      <c r="H249" s="180">
        <v>728.33</v>
      </c>
      <c r="I249" s="180">
        <v>728.33</v>
      </c>
      <c r="J249" s="180">
        <v>728.33</v>
      </c>
      <c r="K249" s="90">
        <v>0</v>
      </c>
      <c r="L249" s="213" t="s">
        <v>504</v>
      </c>
      <c r="M249" s="209"/>
    </row>
    <row r="250" spans="1:13" s="179" customFormat="1" ht="24" customHeight="1" x14ac:dyDescent="0.2">
      <c r="A250" s="129">
        <v>1102292925</v>
      </c>
      <c r="B250" s="96" t="s">
        <v>418</v>
      </c>
      <c r="C250" s="151">
        <f t="shared" si="3"/>
        <v>241</v>
      </c>
      <c r="D250" s="89">
        <v>4</v>
      </c>
      <c r="E250" s="206" t="s">
        <v>486</v>
      </c>
      <c r="F250" s="91">
        <v>615.22</v>
      </c>
      <c r="G250" s="91">
        <v>615.22</v>
      </c>
      <c r="H250" s="91">
        <v>615.22</v>
      </c>
      <c r="I250" s="91">
        <v>615.22</v>
      </c>
      <c r="J250" s="91">
        <v>615.22</v>
      </c>
      <c r="K250" s="91">
        <v>615.22</v>
      </c>
      <c r="L250" s="214" t="s">
        <v>434</v>
      </c>
      <c r="M250" s="209">
        <v>40909</v>
      </c>
    </row>
    <row r="251" spans="1:13" s="179" customFormat="1" ht="24" customHeight="1" x14ac:dyDescent="0.2">
      <c r="A251" s="133">
        <v>1101070306</v>
      </c>
      <c r="B251" s="96" t="s">
        <v>419</v>
      </c>
      <c r="C251" s="151">
        <f t="shared" si="3"/>
        <v>242</v>
      </c>
      <c r="D251" s="89">
        <v>4</v>
      </c>
      <c r="E251" s="206" t="s">
        <v>486</v>
      </c>
      <c r="F251" s="90">
        <v>902.33</v>
      </c>
      <c r="G251" s="90">
        <v>902.33</v>
      </c>
      <c r="H251" s="90">
        <v>902.33</v>
      </c>
      <c r="I251" s="90">
        <v>902.33</v>
      </c>
      <c r="J251" s="90">
        <v>902.33</v>
      </c>
      <c r="K251" s="90">
        <v>902.33</v>
      </c>
      <c r="L251" s="213" t="s">
        <v>434</v>
      </c>
      <c r="M251" s="209">
        <v>40909</v>
      </c>
    </row>
    <row r="252" spans="1:13" s="179" customFormat="1" ht="24" customHeight="1" x14ac:dyDescent="0.2">
      <c r="A252" s="136">
        <v>1708999337</v>
      </c>
      <c r="B252" s="96" t="s">
        <v>420</v>
      </c>
      <c r="C252" s="151">
        <f t="shared" si="3"/>
        <v>243</v>
      </c>
      <c r="D252" s="89">
        <v>3</v>
      </c>
      <c r="E252" s="206" t="s">
        <v>215</v>
      </c>
      <c r="F252" s="92">
        <v>598</v>
      </c>
      <c r="G252" s="92">
        <v>598</v>
      </c>
      <c r="H252" s="92">
        <v>598</v>
      </c>
      <c r="I252" s="92">
        <v>598</v>
      </c>
      <c r="J252" s="92">
        <v>598</v>
      </c>
      <c r="K252" s="92">
        <v>598</v>
      </c>
      <c r="L252" s="213" t="s">
        <v>434</v>
      </c>
      <c r="M252" s="209">
        <v>41640</v>
      </c>
    </row>
    <row r="253" spans="1:13" s="179" customFormat="1" ht="24" customHeight="1" x14ac:dyDescent="0.2">
      <c r="A253" s="133">
        <v>1706777719</v>
      </c>
      <c r="B253" s="96" t="s">
        <v>421</v>
      </c>
      <c r="C253" s="151">
        <f t="shared" si="3"/>
        <v>244</v>
      </c>
      <c r="D253" s="89">
        <v>1</v>
      </c>
      <c r="E253" s="206" t="s">
        <v>158</v>
      </c>
      <c r="F253" s="91">
        <v>565.22</v>
      </c>
      <c r="G253" s="91">
        <v>565.22</v>
      </c>
      <c r="H253" s="91">
        <v>565.22</v>
      </c>
      <c r="I253" s="91">
        <v>565.22</v>
      </c>
      <c r="J253" s="91">
        <v>565.22</v>
      </c>
      <c r="K253" s="91">
        <v>565.22</v>
      </c>
      <c r="L253" s="213" t="s">
        <v>434</v>
      </c>
      <c r="M253" s="209">
        <v>40909</v>
      </c>
    </row>
    <row r="254" spans="1:13" s="179" customFormat="1" ht="17.25" customHeight="1" x14ac:dyDescent="0.2">
      <c r="A254" s="133">
        <v>1102024393</v>
      </c>
      <c r="B254" s="96" t="s">
        <v>422</v>
      </c>
      <c r="C254" s="151">
        <f t="shared" si="3"/>
        <v>245</v>
      </c>
      <c r="D254" s="89">
        <v>1</v>
      </c>
      <c r="E254" s="206" t="s">
        <v>146</v>
      </c>
      <c r="F254" s="91">
        <v>565.22</v>
      </c>
      <c r="G254" s="91">
        <v>565.22</v>
      </c>
      <c r="H254" s="91">
        <v>565.22</v>
      </c>
      <c r="I254" s="91">
        <v>565.22</v>
      </c>
      <c r="J254" s="91">
        <v>565.22</v>
      </c>
      <c r="K254" s="91">
        <v>565.22</v>
      </c>
      <c r="L254" s="214" t="s">
        <v>434</v>
      </c>
      <c r="M254" s="209">
        <v>40909</v>
      </c>
    </row>
    <row r="255" spans="1:13" s="179" customFormat="1" ht="22.5" customHeight="1" x14ac:dyDescent="0.2">
      <c r="A255" s="129">
        <v>1102739099</v>
      </c>
      <c r="B255" s="96" t="s">
        <v>423</v>
      </c>
      <c r="C255" s="151">
        <f t="shared" si="3"/>
        <v>246</v>
      </c>
      <c r="D255" s="89">
        <v>4</v>
      </c>
      <c r="E255" s="206" t="s">
        <v>486</v>
      </c>
      <c r="F255" s="91">
        <v>615.22</v>
      </c>
      <c r="G255" s="91">
        <v>615.22</v>
      </c>
      <c r="H255" s="91">
        <v>615.22</v>
      </c>
      <c r="I255" s="91">
        <v>615.22</v>
      </c>
      <c r="J255" s="91">
        <v>615.22</v>
      </c>
      <c r="K255" s="91">
        <v>615.22</v>
      </c>
      <c r="L255" s="213" t="s">
        <v>434</v>
      </c>
      <c r="M255" s="209">
        <v>40909</v>
      </c>
    </row>
    <row r="256" spans="1:13" s="179" customFormat="1" ht="24" customHeight="1" x14ac:dyDescent="0.2">
      <c r="A256" s="133">
        <v>1101932638</v>
      </c>
      <c r="B256" s="96" t="s">
        <v>424</v>
      </c>
      <c r="C256" s="151">
        <f t="shared" si="3"/>
        <v>247</v>
      </c>
      <c r="D256" s="89">
        <v>9</v>
      </c>
      <c r="E256" s="206" t="s">
        <v>490</v>
      </c>
      <c r="F256" s="90">
        <v>868.08</v>
      </c>
      <c r="G256" s="90">
        <v>868.08</v>
      </c>
      <c r="H256" s="90">
        <v>868.08</v>
      </c>
      <c r="I256" s="90">
        <v>868.08</v>
      </c>
      <c r="J256" s="90">
        <v>868.08</v>
      </c>
      <c r="K256" s="90">
        <v>868.08</v>
      </c>
      <c r="L256" s="213" t="s">
        <v>434</v>
      </c>
      <c r="M256" s="209">
        <v>40909</v>
      </c>
    </row>
    <row r="257" spans="1:13" s="179" customFormat="1" ht="18.75" customHeight="1" x14ac:dyDescent="0.2">
      <c r="A257" s="133">
        <v>1304998519</v>
      </c>
      <c r="B257" s="96" t="s">
        <v>478</v>
      </c>
      <c r="C257" s="151">
        <f t="shared" si="3"/>
        <v>248</v>
      </c>
      <c r="D257" s="89">
        <v>4</v>
      </c>
      <c r="E257" s="206" t="s">
        <v>487</v>
      </c>
      <c r="F257" s="180">
        <v>628.66999999999996</v>
      </c>
      <c r="G257" s="180">
        <v>628.66999999999996</v>
      </c>
      <c r="H257" s="180">
        <v>628.66999999999996</v>
      </c>
      <c r="I257" s="90">
        <v>0</v>
      </c>
      <c r="J257" s="90">
        <v>0</v>
      </c>
      <c r="K257" s="90">
        <v>0</v>
      </c>
      <c r="L257" s="213" t="s">
        <v>499</v>
      </c>
      <c r="M257" s="209"/>
    </row>
    <row r="258" spans="1:13" s="179" customFormat="1" ht="24" customHeight="1" x14ac:dyDescent="0.2">
      <c r="A258" s="133">
        <v>1102363981</v>
      </c>
      <c r="B258" s="96" t="s">
        <v>479</v>
      </c>
      <c r="C258" s="151">
        <f t="shared" si="3"/>
        <v>249</v>
      </c>
      <c r="D258" s="89">
        <v>6</v>
      </c>
      <c r="E258" s="206" t="s">
        <v>223</v>
      </c>
      <c r="F258" s="90">
        <v>766.22</v>
      </c>
      <c r="G258" s="90">
        <v>766.22</v>
      </c>
      <c r="H258" s="90">
        <v>766.22</v>
      </c>
      <c r="I258" s="90">
        <v>766.22</v>
      </c>
      <c r="J258" s="90">
        <v>766.22</v>
      </c>
      <c r="K258" s="90">
        <v>0</v>
      </c>
      <c r="L258" s="213" t="s">
        <v>500</v>
      </c>
      <c r="M258" s="209"/>
    </row>
    <row r="259" spans="1:13" s="179" customFormat="1" ht="24" customHeight="1" x14ac:dyDescent="0.2">
      <c r="A259" s="133">
        <v>1102069083</v>
      </c>
      <c r="B259" s="96" t="s">
        <v>425</v>
      </c>
      <c r="C259" s="151">
        <f t="shared" si="3"/>
        <v>250</v>
      </c>
      <c r="D259" s="89">
        <v>8</v>
      </c>
      <c r="E259" s="206" t="s">
        <v>426</v>
      </c>
      <c r="F259" s="91">
        <v>816.22</v>
      </c>
      <c r="G259" s="91">
        <v>816.22</v>
      </c>
      <c r="H259" s="91">
        <v>816.22</v>
      </c>
      <c r="I259" s="91">
        <v>816.22</v>
      </c>
      <c r="J259" s="91">
        <v>816.22</v>
      </c>
      <c r="K259" s="91">
        <v>816.22</v>
      </c>
      <c r="L259" s="213" t="s">
        <v>434</v>
      </c>
      <c r="M259" s="209">
        <v>40909</v>
      </c>
    </row>
    <row r="260" spans="1:13" s="179" customFormat="1" ht="25.5" x14ac:dyDescent="0.2">
      <c r="A260" s="133" t="s">
        <v>480</v>
      </c>
      <c r="B260" s="96" t="s">
        <v>481</v>
      </c>
      <c r="C260" s="207">
        <f t="shared" si="3"/>
        <v>251</v>
      </c>
      <c r="D260" s="89">
        <v>4</v>
      </c>
      <c r="E260" s="206" t="s">
        <v>486</v>
      </c>
      <c r="F260" s="180">
        <v>876</v>
      </c>
      <c r="G260" s="180">
        <v>876</v>
      </c>
      <c r="H260" s="91">
        <v>0</v>
      </c>
      <c r="I260" s="91">
        <v>0</v>
      </c>
      <c r="J260" s="91">
        <v>0</v>
      </c>
      <c r="K260" s="94">
        <v>0</v>
      </c>
      <c r="L260" s="213" t="s">
        <v>503</v>
      </c>
      <c r="M260" s="209"/>
    </row>
    <row r="261" spans="1:13" s="179" customFormat="1" ht="24" customHeight="1" x14ac:dyDescent="0.2">
      <c r="A261" s="145">
        <v>1102762216</v>
      </c>
      <c r="B261" s="96" t="s">
        <v>427</v>
      </c>
      <c r="C261" s="151">
        <f t="shared" si="3"/>
        <v>252</v>
      </c>
      <c r="D261" s="89">
        <v>2</v>
      </c>
      <c r="E261" s="206" t="s">
        <v>226</v>
      </c>
      <c r="F261" s="91">
        <v>581.22</v>
      </c>
      <c r="G261" s="91">
        <v>581.22</v>
      </c>
      <c r="H261" s="93">
        <v>581.22</v>
      </c>
      <c r="I261" s="93">
        <v>581.22</v>
      </c>
      <c r="J261" s="93">
        <v>581.22</v>
      </c>
      <c r="K261" s="93">
        <v>581.22</v>
      </c>
      <c r="L261" s="213" t="s">
        <v>434</v>
      </c>
      <c r="M261" s="209">
        <v>40909</v>
      </c>
    </row>
    <row r="262" spans="1:13" s="179" customFormat="1" ht="24" customHeight="1" thickBot="1" x14ac:dyDescent="0.25">
      <c r="A262" s="145">
        <v>1103474159</v>
      </c>
      <c r="B262" s="96" t="s">
        <v>428</v>
      </c>
      <c r="C262" s="151">
        <f t="shared" si="3"/>
        <v>253</v>
      </c>
      <c r="D262" s="89">
        <v>1</v>
      </c>
      <c r="E262" s="206" t="s">
        <v>484</v>
      </c>
      <c r="F262" s="181">
        <v>596.30999999999995</v>
      </c>
      <c r="G262" s="181">
        <v>596.30999999999995</v>
      </c>
      <c r="H262" s="94">
        <v>596.30999999999995</v>
      </c>
      <c r="I262" s="94">
        <v>596.30999999999995</v>
      </c>
      <c r="J262" s="94">
        <v>596.30999999999995</v>
      </c>
      <c r="K262" s="94">
        <v>596.30999999999995</v>
      </c>
      <c r="L262" s="213" t="s">
        <v>434</v>
      </c>
      <c r="M262" s="209">
        <v>40909</v>
      </c>
    </row>
    <row r="263" spans="1:13" ht="15.95" customHeight="1" thickBot="1" x14ac:dyDescent="0.25">
      <c r="A263" s="182"/>
      <c r="B263" s="182"/>
      <c r="C263" s="182"/>
      <c r="D263" s="182"/>
      <c r="E263" s="182" t="s">
        <v>18</v>
      </c>
      <c r="F263" s="182">
        <f>SUM(F10:F262)</f>
        <v>165716.50000000012</v>
      </c>
      <c r="G263" s="182">
        <f t="shared" ref="G263:K263" si="4">SUM(G10:G262)</f>
        <v>162824.62000000011</v>
      </c>
      <c r="H263" s="182">
        <f t="shared" si="4"/>
        <v>162344.52000000011</v>
      </c>
      <c r="I263" s="182">
        <f t="shared" si="4"/>
        <v>158896.24000000011</v>
      </c>
      <c r="J263" s="182">
        <f t="shared" si="4"/>
        <v>158315.02000000011</v>
      </c>
      <c r="K263" s="182">
        <f t="shared" si="4"/>
        <v>150140.33000000007</v>
      </c>
      <c r="L263" s="211"/>
      <c r="M263" s="182"/>
    </row>
    <row r="264" spans="1:13" ht="15" customHeight="1" thickBot="1" x14ac:dyDescent="0.25">
      <c r="A264" s="122"/>
      <c r="B264" s="142"/>
      <c r="C264" s="122"/>
      <c r="D264" s="122"/>
      <c r="E264" s="182" t="s">
        <v>482</v>
      </c>
      <c r="F264" s="182">
        <f>+F263*12</f>
        <v>1988598.0000000014</v>
      </c>
      <c r="G264" s="182">
        <f t="shared" ref="G264:K264" si="5">+G263*12</f>
        <v>1953895.4400000013</v>
      </c>
      <c r="H264" s="182">
        <f t="shared" si="5"/>
        <v>1948134.2400000012</v>
      </c>
      <c r="I264" s="182">
        <f t="shared" si="5"/>
        <v>1906754.8800000013</v>
      </c>
      <c r="J264" s="182">
        <f t="shared" si="5"/>
        <v>1899780.2400000012</v>
      </c>
      <c r="K264" s="182">
        <f t="shared" si="5"/>
        <v>1801683.9600000009</v>
      </c>
      <c r="L264" s="215"/>
    </row>
    <row r="265" spans="1:13" ht="15.95" customHeight="1" x14ac:dyDescent="0.2">
      <c r="A265" s="56" t="s">
        <v>443</v>
      </c>
      <c r="B265" s="142"/>
      <c r="C265" s="122"/>
      <c r="D265" s="122"/>
      <c r="E265" s="123"/>
      <c r="F265" s="123"/>
      <c r="G265" s="124"/>
      <c r="H265" s="124"/>
      <c r="I265" s="124"/>
      <c r="J265" s="124"/>
      <c r="K265" s="124"/>
      <c r="L265" s="215"/>
    </row>
    <row r="266" spans="1:13" ht="15.95" customHeight="1" x14ac:dyDescent="0.2">
      <c r="A266" s="56" t="s">
        <v>444</v>
      </c>
      <c r="B266" s="142"/>
      <c r="C266" s="122"/>
      <c r="D266" s="122"/>
      <c r="E266" s="123"/>
      <c r="F266" s="123"/>
      <c r="G266" s="124"/>
      <c r="H266" s="124"/>
      <c r="I266" s="124"/>
      <c r="J266" s="124"/>
      <c r="K266" s="124"/>
      <c r="L266" s="215"/>
    </row>
    <row r="267" spans="1:13" ht="15" customHeight="1" x14ac:dyDescent="0.2">
      <c r="A267" s="56" t="s">
        <v>120</v>
      </c>
      <c r="B267" s="143"/>
      <c r="C267" s="46"/>
      <c r="D267" s="46"/>
      <c r="E267" s="46"/>
      <c r="F267" s="46"/>
      <c r="G267" s="46"/>
      <c r="H267" s="46"/>
      <c r="I267" s="46"/>
      <c r="J267" s="46"/>
      <c r="K267" s="46"/>
    </row>
    <row r="268" spans="1:13" ht="22.5" customHeight="1" x14ac:dyDescent="0.2">
      <c r="A268" s="237" t="s">
        <v>445</v>
      </c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</row>
    <row r="269" spans="1:13" ht="15.95" customHeight="1" x14ac:dyDescent="0.2">
      <c r="A269" s="238" t="s">
        <v>496</v>
      </c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</row>
    <row r="270" spans="1:13" ht="17.25" customHeight="1" x14ac:dyDescent="0.2">
      <c r="A270" s="46"/>
      <c r="B270" s="143"/>
      <c r="C270" s="46"/>
      <c r="D270" s="46"/>
      <c r="E270" s="46"/>
      <c r="F270" s="46"/>
      <c r="G270" s="46"/>
      <c r="H270" s="46"/>
      <c r="I270" s="46"/>
      <c r="J270" s="46"/>
      <c r="K270" s="46"/>
    </row>
    <row r="271" spans="1:13" ht="15.95" customHeight="1" x14ac:dyDescent="0.2">
      <c r="A271" s="46"/>
      <c r="B271" s="143"/>
      <c r="C271" s="46"/>
      <c r="D271" s="46"/>
      <c r="E271" s="46"/>
      <c r="F271" s="46"/>
      <c r="G271" s="175"/>
      <c r="H271" s="175"/>
      <c r="I271" s="175"/>
      <c r="J271" s="175"/>
      <c r="K271" s="175"/>
    </row>
    <row r="272" spans="1:13" ht="15.95" customHeight="1" x14ac:dyDescent="0.2">
      <c r="A272" s="2"/>
      <c r="B272" s="143"/>
      <c r="D272" s="46"/>
      <c r="H272" s="46"/>
      <c r="I272" s="46"/>
      <c r="J272" s="46"/>
      <c r="K272" s="46"/>
    </row>
    <row r="273" spans="1:13" ht="15.95" customHeight="1" x14ac:dyDescent="0.25">
      <c r="A273" s="2"/>
      <c r="B273" s="176" t="s">
        <v>447</v>
      </c>
      <c r="C273" s="176"/>
      <c r="D273" s="176"/>
      <c r="E273" s="46"/>
      <c r="F273" s="46"/>
      <c r="G273" s="97"/>
      <c r="H273" s="98"/>
      <c r="I273" s="98"/>
      <c r="J273" s="98"/>
      <c r="K273" s="98"/>
    </row>
    <row r="274" spans="1:13" ht="14.25" customHeight="1" x14ac:dyDescent="0.25">
      <c r="A274" s="2"/>
      <c r="B274" s="234" t="s">
        <v>446</v>
      </c>
      <c r="C274" s="234"/>
      <c r="D274" s="234"/>
      <c r="E274" s="99"/>
      <c r="F274" s="99"/>
      <c r="G274" s="100"/>
      <c r="H274" s="100"/>
      <c r="I274" s="100"/>
      <c r="J274" s="100"/>
      <c r="K274" s="100"/>
    </row>
    <row r="275" spans="1:13" ht="15" x14ac:dyDescent="0.25">
      <c r="A275" s="2"/>
      <c r="B275" s="234" t="s">
        <v>518</v>
      </c>
      <c r="C275" s="234"/>
      <c r="D275" s="234"/>
    </row>
    <row r="276" spans="1:13" ht="15" x14ac:dyDescent="0.25">
      <c r="A276" s="2"/>
      <c r="B276" s="177" t="s">
        <v>118</v>
      </c>
      <c r="C276" s="46"/>
      <c r="D276" s="46"/>
    </row>
    <row r="281" spans="1:13" s="50" customFormat="1" x14ac:dyDescent="0.2">
      <c r="B281" s="143"/>
      <c r="L281" s="208"/>
      <c r="M281" s="208"/>
    </row>
    <row r="282" spans="1:13" s="50" customFormat="1" x14ac:dyDescent="0.2">
      <c r="B282" s="146"/>
      <c r="L282" s="208"/>
      <c r="M282" s="208"/>
    </row>
    <row r="283" spans="1:13" s="50" customFormat="1" x14ac:dyDescent="0.2">
      <c r="B283" s="143"/>
      <c r="L283" s="208"/>
      <c r="M283" s="208"/>
    </row>
  </sheetData>
  <autoFilter ref="A9:M269"/>
  <mergeCells count="7">
    <mergeCell ref="B275:D275"/>
    <mergeCell ref="A1:H1"/>
    <mergeCell ref="A2:H2"/>
    <mergeCell ref="A3:H3"/>
    <mergeCell ref="A268:L268"/>
    <mergeCell ref="B274:D274"/>
    <mergeCell ref="A269:L269"/>
  </mergeCells>
  <printOptions horizontalCentered="1"/>
  <pageMargins left="0.17604166666666668" right="0.13541666666666666" top="0.42656250000000001" bottom="0.27083333333333331" header="0" footer="0"/>
  <pageSetup paperSize="9" scale="65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2"/>
  <sheetViews>
    <sheetView topLeftCell="A79" zoomScale="90" zoomScaleNormal="90" workbookViewId="0">
      <selection activeCell="B96" sqref="B96"/>
    </sheetView>
  </sheetViews>
  <sheetFormatPr baseColWidth="10" defaultRowHeight="15" x14ac:dyDescent="0.25"/>
  <cols>
    <col min="1" max="1" width="11.28515625" style="6" customWidth="1"/>
    <col min="2" max="2" width="51.7109375" style="6" customWidth="1"/>
    <col min="3" max="8" width="16.5703125" style="6" customWidth="1"/>
    <col min="9" max="9" width="15.140625" style="6" customWidth="1"/>
    <col min="10" max="10" width="18.42578125" style="6" customWidth="1"/>
    <col min="11" max="11" width="13.5703125" style="6" bestFit="1" customWidth="1"/>
    <col min="12" max="12" width="12.5703125" style="6" bestFit="1" customWidth="1"/>
    <col min="13" max="16384" width="11.42578125" style="6"/>
  </cols>
  <sheetData>
    <row r="1" spans="1:12" ht="18.75" x14ac:dyDescent="0.3">
      <c r="A1" s="241" t="s">
        <v>113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2" ht="18.75" x14ac:dyDescent="0.3">
      <c r="A2" s="241" t="s">
        <v>35</v>
      </c>
      <c r="B2" s="241"/>
      <c r="C2" s="241"/>
      <c r="D2" s="241"/>
      <c r="E2" s="241"/>
      <c r="F2" s="241"/>
      <c r="G2" s="241"/>
      <c r="H2" s="241"/>
      <c r="I2" s="241"/>
      <c r="J2" s="241"/>
    </row>
    <row r="3" spans="1:12" ht="18.75" x14ac:dyDescent="0.3">
      <c r="A3" s="241" t="s">
        <v>438</v>
      </c>
      <c r="B3" s="241"/>
      <c r="C3" s="241"/>
      <c r="D3" s="241"/>
      <c r="E3" s="241"/>
      <c r="F3" s="241"/>
      <c r="G3" s="241"/>
      <c r="H3" s="241"/>
      <c r="I3" s="241"/>
      <c r="J3" s="241"/>
    </row>
    <row r="4" spans="1:12" ht="15.75" thickBot="1" x14ac:dyDescent="0.3">
      <c r="A4" s="259"/>
      <c r="B4" s="259"/>
      <c r="C4" s="259"/>
      <c r="D4" s="259"/>
      <c r="E4" s="259"/>
      <c r="F4" s="259"/>
      <c r="G4" s="259"/>
      <c r="H4" s="259"/>
      <c r="I4" s="195"/>
    </row>
    <row r="5" spans="1:12" ht="15" customHeight="1" x14ac:dyDescent="0.25">
      <c r="A5" s="260" t="s">
        <v>36</v>
      </c>
      <c r="B5" s="261"/>
      <c r="C5" s="260" t="s">
        <v>37</v>
      </c>
      <c r="D5" s="261"/>
      <c r="E5" s="264"/>
      <c r="F5" s="260" t="s">
        <v>38</v>
      </c>
      <c r="G5" s="261"/>
      <c r="H5" s="264"/>
      <c r="I5" s="196"/>
      <c r="J5" s="255" t="s">
        <v>126</v>
      </c>
    </row>
    <row r="6" spans="1:12" ht="15.75" customHeight="1" thickBot="1" x14ac:dyDescent="0.3">
      <c r="A6" s="262"/>
      <c r="B6" s="263"/>
      <c r="C6" s="262"/>
      <c r="D6" s="263"/>
      <c r="E6" s="265"/>
      <c r="F6" s="262"/>
      <c r="G6" s="263"/>
      <c r="H6" s="265"/>
      <c r="I6" s="197"/>
      <c r="J6" s="256"/>
    </row>
    <row r="7" spans="1:12" ht="32.25" customHeight="1" thickBot="1" x14ac:dyDescent="0.3">
      <c r="A7" s="7" t="s">
        <v>39</v>
      </c>
      <c r="B7" s="8" t="s">
        <v>40</v>
      </c>
      <c r="C7" s="9">
        <v>2015</v>
      </c>
      <c r="D7" s="10">
        <v>2016</v>
      </c>
      <c r="E7" s="11">
        <v>2017</v>
      </c>
      <c r="F7" s="12" t="s">
        <v>453</v>
      </c>
      <c r="G7" s="12" t="s">
        <v>454</v>
      </c>
      <c r="H7" s="13" t="s">
        <v>455</v>
      </c>
      <c r="I7" s="13" t="s">
        <v>493</v>
      </c>
      <c r="J7" s="257"/>
    </row>
    <row r="8" spans="1:12" ht="15.75" thickBot="1" x14ac:dyDescent="0.3">
      <c r="A8" s="249" t="s">
        <v>41</v>
      </c>
      <c r="B8" s="258"/>
      <c r="C8" s="173">
        <f t="shared" ref="C8:I8" si="0">+C9+C14+C19+C20+C21+C22</f>
        <v>96363.44</v>
      </c>
      <c r="D8" s="173">
        <f t="shared" si="0"/>
        <v>40401.320000000007</v>
      </c>
      <c r="E8" s="173">
        <f t="shared" si="0"/>
        <v>2878494.6399999997</v>
      </c>
      <c r="F8" s="173">
        <f t="shared" si="0"/>
        <v>3159453.3499999996</v>
      </c>
      <c r="G8" s="173">
        <f t="shared" si="0"/>
        <v>728391.16</v>
      </c>
      <c r="H8" s="173">
        <f t="shared" si="0"/>
        <v>89063.675699999993</v>
      </c>
      <c r="I8" s="173">
        <f t="shared" si="0"/>
        <v>89954.312456999993</v>
      </c>
      <c r="J8" s="14"/>
    </row>
    <row r="9" spans="1:12" x14ac:dyDescent="0.25">
      <c r="A9" s="15">
        <v>11</v>
      </c>
      <c r="B9" s="16" t="s">
        <v>42</v>
      </c>
      <c r="C9" s="17"/>
      <c r="D9" s="17"/>
      <c r="E9" s="17"/>
      <c r="F9" s="17"/>
      <c r="G9" s="17"/>
      <c r="H9" s="17"/>
      <c r="I9" s="17"/>
      <c r="J9" s="17"/>
    </row>
    <row r="10" spans="1:12" hidden="1" x14ac:dyDescent="0.25">
      <c r="A10" s="18">
        <v>1101</v>
      </c>
      <c r="B10" s="19" t="s">
        <v>43</v>
      </c>
      <c r="C10" s="17"/>
      <c r="D10" s="20"/>
      <c r="E10" s="17"/>
      <c r="F10" s="17"/>
      <c r="G10" s="17"/>
      <c r="H10" s="17"/>
      <c r="I10" s="199"/>
      <c r="J10" s="23"/>
    </row>
    <row r="11" spans="1:12" hidden="1" x14ac:dyDescent="0.25">
      <c r="A11" s="18">
        <v>1102</v>
      </c>
      <c r="B11" s="19" t="s">
        <v>44</v>
      </c>
      <c r="C11" s="17"/>
      <c r="D11" s="20"/>
      <c r="E11" s="17"/>
      <c r="F11" s="17"/>
      <c r="G11" s="17"/>
      <c r="H11" s="17"/>
      <c r="I11" s="199"/>
      <c r="J11" s="23"/>
    </row>
    <row r="12" spans="1:12" hidden="1" x14ac:dyDescent="0.25">
      <c r="A12" s="18">
        <v>1103</v>
      </c>
      <c r="B12" s="19" t="s">
        <v>45</v>
      </c>
      <c r="C12" s="17"/>
      <c r="D12" s="20"/>
      <c r="E12" s="17"/>
      <c r="F12" s="17"/>
      <c r="G12" s="17"/>
      <c r="H12" s="17"/>
      <c r="I12" s="199"/>
      <c r="J12" s="23"/>
    </row>
    <row r="13" spans="1:12" hidden="1" x14ac:dyDescent="0.25">
      <c r="A13" s="18">
        <v>1107</v>
      </c>
      <c r="B13" s="19" t="s">
        <v>46</v>
      </c>
      <c r="C13" s="17"/>
      <c r="D13" s="20"/>
      <c r="E13" s="17"/>
      <c r="F13" s="17"/>
      <c r="G13" s="17"/>
      <c r="H13" s="17"/>
      <c r="I13" s="199"/>
      <c r="J13" s="23"/>
    </row>
    <row r="14" spans="1:12" x14ac:dyDescent="0.25">
      <c r="A14" s="15">
        <v>13</v>
      </c>
      <c r="B14" s="24" t="s">
        <v>47</v>
      </c>
      <c r="C14" s="172">
        <f>SUM(C15:C18)</f>
        <v>2300</v>
      </c>
      <c r="D14" s="172">
        <f t="shared" ref="D14:G14" si="1">SUM(D15:D18)</f>
        <v>2100</v>
      </c>
      <c r="E14" s="172">
        <f t="shared" si="1"/>
        <v>2050</v>
      </c>
      <c r="F14" s="172">
        <f t="shared" si="1"/>
        <v>4758</v>
      </c>
      <c r="G14" s="172">
        <f t="shared" si="1"/>
        <v>2415.4299999999998</v>
      </c>
      <c r="H14" s="172">
        <f t="shared" ref="H14" si="2">SUM(H15:H18)</f>
        <v>2451.6614499999996</v>
      </c>
      <c r="I14" s="172">
        <v>2476.1780644999994</v>
      </c>
      <c r="J14" s="23"/>
      <c r="L14" s="205"/>
    </row>
    <row r="15" spans="1:12" x14ac:dyDescent="0.25">
      <c r="A15" s="18">
        <v>1301</v>
      </c>
      <c r="B15" s="19" t="s">
        <v>48</v>
      </c>
      <c r="C15" s="154">
        <v>2300</v>
      </c>
      <c r="D15" s="154">
        <v>2100</v>
      </c>
      <c r="E15" s="154">
        <v>2050</v>
      </c>
      <c r="F15" s="154">
        <v>4758</v>
      </c>
      <c r="G15" s="154">
        <v>2415.4299999999998</v>
      </c>
      <c r="H15" s="154">
        <v>2451.6614499999996</v>
      </c>
      <c r="I15" s="201">
        <v>2476.1780644999994</v>
      </c>
      <c r="J15" s="23"/>
      <c r="L15" s="205"/>
    </row>
    <row r="16" spans="1:12" hidden="1" x14ac:dyDescent="0.25">
      <c r="A16" s="18">
        <v>1302</v>
      </c>
      <c r="B16" s="19" t="s">
        <v>49</v>
      </c>
      <c r="C16" s="22"/>
      <c r="D16" s="154"/>
      <c r="E16" s="154"/>
      <c r="F16" s="154"/>
      <c r="G16" s="154"/>
      <c r="H16" s="154">
        <v>0</v>
      </c>
      <c r="I16" s="201">
        <v>0</v>
      </c>
      <c r="J16" s="23"/>
      <c r="L16" s="205"/>
    </row>
    <row r="17" spans="1:12" hidden="1" x14ac:dyDescent="0.25">
      <c r="A17" s="18">
        <v>1303</v>
      </c>
      <c r="B17" s="19" t="s">
        <v>50</v>
      </c>
      <c r="C17" s="22"/>
      <c r="D17" s="154"/>
      <c r="E17" s="154"/>
      <c r="F17" s="154"/>
      <c r="G17" s="154"/>
      <c r="H17" s="154">
        <v>0</v>
      </c>
      <c r="I17" s="201">
        <v>0</v>
      </c>
      <c r="J17" s="23"/>
      <c r="L17" s="205"/>
    </row>
    <row r="18" spans="1:12" hidden="1" x14ac:dyDescent="0.25">
      <c r="A18" s="18">
        <v>1304</v>
      </c>
      <c r="B18" s="19" t="s">
        <v>51</v>
      </c>
      <c r="C18" s="22"/>
      <c r="D18" s="154"/>
      <c r="E18" s="154"/>
      <c r="F18" s="154"/>
      <c r="G18" s="154"/>
      <c r="H18" s="154">
        <v>0</v>
      </c>
      <c r="I18" s="201">
        <v>0</v>
      </c>
      <c r="J18" s="23"/>
      <c r="L18" s="205"/>
    </row>
    <row r="19" spans="1:12" x14ac:dyDescent="0.25">
      <c r="A19" s="15">
        <v>14</v>
      </c>
      <c r="B19" s="24" t="s">
        <v>52</v>
      </c>
      <c r="C19" s="86"/>
      <c r="D19" s="154"/>
      <c r="E19" s="172">
        <v>2855303.09</v>
      </c>
      <c r="F19" s="172">
        <v>3010466.23</v>
      </c>
      <c r="G19" s="172">
        <v>689904.78</v>
      </c>
      <c r="H19" s="172">
        <v>50000</v>
      </c>
      <c r="I19" s="200">
        <v>50500</v>
      </c>
      <c r="J19" s="23"/>
      <c r="L19" s="205"/>
    </row>
    <row r="20" spans="1:12" x14ac:dyDescent="0.25">
      <c r="A20" s="15">
        <v>17</v>
      </c>
      <c r="B20" s="24" t="s">
        <v>53</v>
      </c>
      <c r="C20" s="172">
        <v>1696.9</v>
      </c>
      <c r="D20" s="172">
        <v>4332.2700000000004</v>
      </c>
      <c r="E20" s="172">
        <v>1225.8</v>
      </c>
      <c r="F20" s="172">
        <v>11010.78</v>
      </c>
      <c r="G20" s="172">
        <v>14811.08</v>
      </c>
      <c r="H20" s="172">
        <v>15033.2462</v>
      </c>
      <c r="I20" s="200">
        <v>15183.578662</v>
      </c>
      <c r="J20" s="23"/>
      <c r="L20" s="205"/>
    </row>
    <row r="21" spans="1:12" x14ac:dyDescent="0.25">
      <c r="A21" s="15">
        <v>18</v>
      </c>
      <c r="B21" s="24" t="s">
        <v>54</v>
      </c>
      <c r="C21" s="154"/>
      <c r="D21" s="86"/>
      <c r="E21" s="17"/>
      <c r="F21" s="17"/>
      <c r="G21" s="17"/>
      <c r="H21" s="17"/>
      <c r="I21" s="199"/>
      <c r="J21" s="23"/>
      <c r="L21" s="205"/>
    </row>
    <row r="22" spans="1:12" x14ac:dyDescent="0.25">
      <c r="A22" s="15">
        <v>19</v>
      </c>
      <c r="B22" s="24" t="s">
        <v>55</v>
      </c>
      <c r="C22" s="172">
        <f>SUM(C23:C25)</f>
        <v>92366.540000000008</v>
      </c>
      <c r="D22" s="172">
        <f t="shared" ref="D22:F22" si="3">SUM(D23:D25)</f>
        <v>33969.050000000003</v>
      </c>
      <c r="E22" s="172">
        <f t="shared" si="3"/>
        <v>19915.75</v>
      </c>
      <c r="F22" s="172">
        <f t="shared" si="3"/>
        <v>133218.34</v>
      </c>
      <c r="G22" s="172">
        <v>21259.87</v>
      </c>
      <c r="H22" s="172">
        <v>21578.768049999999</v>
      </c>
      <c r="I22" s="200">
        <v>21794.5557305</v>
      </c>
      <c r="J22" s="23"/>
      <c r="L22" s="205"/>
    </row>
    <row r="23" spans="1:12" hidden="1" x14ac:dyDescent="0.25">
      <c r="A23" s="18">
        <v>1901</v>
      </c>
      <c r="B23" s="19" t="s">
        <v>56</v>
      </c>
      <c r="C23" s="154"/>
      <c r="D23" s="86"/>
      <c r="E23" s="17"/>
      <c r="F23" s="17"/>
      <c r="G23" s="17"/>
      <c r="H23" s="17"/>
      <c r="I23" s="199">
        <v>0</v>
      </c>
      <c r="J23" s="23"/>
      <c r="L23" s="205"/>
    </row>
    <row r="24" spans="1:12" x14ac:dyDescent="0.25">
      <c r="A24" s="18">
        <v>1902</v>
      </c>
      <c r="B24" s="19" t="s">
        <v>57</v>
      </c>
      <c r="C24" s="154">
        <v>61492.62</v>
      </c>
      <c r="D24" s="154">
        <v>5070.34</v>
      </c>
      <c r="E24" s="154">
        <v>0</v>
      </c>
      <c r="F24" s="154">
        <v>85756.77</v>
      </c>
      <c r="G24" s="154">
        <v>0</v>
      </c>
      <c r="H24" s="154">
        <v>0</v>
      </c>
      <c r="I24" s="201">
        <v>0</v>
      </c>
      <c r="J24" s="23"/>
      <c r="L24" s="205"/>
    </row>
    <row r="25" spans="1:12" ht="15.75" thickBot="1" x14ac:dyDescent="0.3">
      <c r="A25" s="18">
        <v>1904</v>
      </c>
      <c r="B25" s="25" t="s">
        <v>58</v>
      </c>
      <c r="C25" s="154">
        <v>30873.919999999998</v>
      </c>
      <c r="D25" s="154">
        <v>28898.71</v>
      </c>
      <c r="E25" s="154">
        <v>19915.75</v>
      </c>
      <c r="F25" s="154">
        <v>47461.57</v>
      </c>
      <c r="G25" s="154">
        <v>21259.87</v>
      </c>
      <c r="H25" s="154">
        <v>21578.768049999999</v>
      </c>
      <c r="I25" s="201">
        <v>21794.5557305</v>
      </c>
      <c r="J25" s="23"/>
      <c r="L25" s="205"/>
    </row>
    <row r="26" spans="1:12" x14ac:dyDescent="0.25">
      <c r="A26" s="249" t="s">
        <v>59</v>
      </c>
      <c r="B26" s="258"/>
      <c r="C26" s="173">
        <f t="shared" ref="C26:G26" si="4">+C27+C36+C37+C38+C39+C40</f>
        <v>31020</v>
      </c>
      <c r="D26" s="173">
        <f t="shared" si="4"/>
        <v>33951.760000000002</v>
      </c>
      <c r="E26" s="173">
        <f t="shared" si="4"/>
        <v>11748.84</v>
      </c>
      <c r="F26" s="173">
        <f t="shared" si="4"/>
        <v>75173.680000000008</v>
      </c>
      <c r="G26" s="173">
        <f t="shared" si="4"/>
        <v>3019.31</v>
      </c>
      <c r="H26" s="173">
        <v>2547.8022500000002</v>
      </c>
      <c r="I26" s="173">
        <v>2573.2802725000001</v>
      </c>
      <c r="J26" s="162"/>
      <c r="L26" s="205"/>
    </row>
    <row r="27" spans="1:12" hidden="1" x14ac:dyDescent="0.25">
      <c r="A27" s="15">
        <v>51</v>
      </c>
      <c r="B27" s="16" t="s">
        <v>60</v>
      </c>
      <c r="C27" s="154"/>
      <c r="D27" s="154"/>
      <c r="E27" s="154"/>
      <c r="F27" s="154"/>
      <c r="G27" s="154"/>
      <c r="H27" s="154">
        <v>0</v>
      </c>
      <c r="I27" s="154">
        <v>0</v>
      </c>
      <c r="J27" s="154"/>
      <c r="L27" s="205"/>
    </row>
    <row r="28" spans="1:12" hidden="1" x14ac:dyDescent="0.25">
      <c r="A28" s="18">
        <v>5101</v>
      </c>
      <c r="B28" s="19" t="s">
        <v>61</v>
      </c>
      <c r="C28" s="154"/>
      <c r="D28" s="154"/>
      <c r="E28" s="154"/>
      <c r="F28" s="154"/>
      <c r="G28" s="154"/>
      <c r="H28" s="154">
        <v>0</v>
      </c>
      <c r="I28" s="154">
        <v>0</v>
      </c>
      <c r="J28" s="154"/>
      <c r="L28" s="205"/>
    </row>
    <row r="29" spans="1:12" hidden="1" x14ac:dyDescent="0.25">
      <c r="A29" s="18">
        <v>5102</v>
      </c>
      <c r="B29" s="19" t="s">
        <v>62</v>
      </c>
      <c r="C29" s="154"/>
      <c r="D29" s="154"/>
      <c r="E29" s="154"/>
      <c r="F29" s="154"/>
      <c r="G29" s="154"/>
      <c r="H29" s="154">
        <v>0</v>
      </c>
      <c r="I29" s="154">
        <v>0</v>
      </c>
      <c r="J29" s="154"/>
      <c r="L29" s="205"/>
    </row>
    <row r="30" spans="1:12" hidden="1" x14ac:dyDescent="0.25">
      <c r="A30" s="18">
        <v>5103</v>
      </c>
      <c r="B30" s="19" t="s">
        <v>63</v>
      </c>
      <c r="C30" s="154"/>
      <c r="D30" s="154"/>
      <c r="E30" s="154"/>
      <c r="F30" s="154"/>
      <c r="G30" s="154"/>
      <c r="H30" s="154">
        <v>0</v>
      </c>
      <c r="I30" s="154">
        <v>0</v>
      </c>
      <c r="J30" s="154"/>
      <c r="L30" s="205"/>
    </row>
    <row r="31" spans="1:12" hidden="1" x14ac:dyDescent="0.25">
      <c r="A31" s="18">
        <v>5104</v>
      </c>
      <c r="B31" s="19" t="s">
        <v>64</v>
      </c>
      <c r="C31" s="154"/>
      <c r="D31" s="154"/>
      <c r="E31" s="154"/>
      <c r="F31" s="154"/>
      <c r="G31" s="154"/>
      <c r="H31" s="154">
        <v>0</v>
      </c>
      <c r="I31" s="154">
        <v>0</v>
      </c>
      <c r="J31" s="154"/>
      <c r="L31" s="205"/>
    </row>
    <row r="32" spans="1:12" hidden="1" x14ac:dyDescent="0.25">
      <c r="A32" s="18">
        <v>5105</v>
      </c>
      <c r="B32" s="19" t="s">
        <v>65</v>
      </c>
      <c r="C32" s="154"/>
      <c r="D32" s="154"/>
      <c r="E32" s="154"/>
      <c r="F32" s="154"/>
      <c r="G32" s="154"/>
      <c r="H32" s="154">
        <v>0</v>
      </c>
      <c r="I32" s="154">
        <v>0</v>
      </c>
      <c r="J32" s="154"/>
      <c r="L32" s="205"/>
    </row>
    <row r="33" spans="1:12" hidden="1" x14ac:dyDescent="0.25">
      <c r="A33" s="18">
        <v>5106</v>
      </c>
      <c r="B33" s="19" t="s">
        <v>66</v>
      </c>
      <c r="C33" s="154"/>
      <c r="D33" s="154"/>
      <c r="E33" s="154"/>
      <c r="F33" s="154"/>
      <c r="G33" s="154"/>
      <c r="H33" s="154">
        <v>0</v>
      </c>
      <c r="I33" s="154">
        <v>0</v>
      </c>
      <c r="J33" s="154"/>
      <c r="L33" s="205"/>
    </row>
    <row r="34" spans="1:12" hidden="1" x14ac:dyDescent="0.25">
      <c r="A34" s="18">
        <v>5107</v>
      </c>
      <c r="B34" s="19" t="s">
        <v>67</v>
      </c>
      <c r="C34" s="154"/>
      <c r="D34" s="154"/>
      <c r="E34" s="154"/>
      <c r="F34" s="154"/>
      <c r="G34" s="154"/>
      <c r="H34" s="154">
        <v>0</v>
      </c>
      <c r="I34" s="154">
        <v>0</v>
      </c>
      <c r="J34" s="154"/>
      <c r="L34" s="205"/>
    </row>
    <row r="35" spans="1:12" hidden="1" x14ac:dyDescent="0.25">
      <c r="A35" s="18">
        <v>5199</v>
      </c>
      <c r="B35" s="19" t="s">
        <v>68</v>
      </c>
      <c r="C35" s="154"/>
      <c r="D35" s="154"/>
      <c r="E35" s="154"/>
      <c r="F35" s="154"/>
      <c r="G35" s="154"/>
      <c r="H35" s="154">
        <v>0</v>
      </c>
      <c r="I35" s="154">
        <v>0</v>
      </c>
      <c r="J35" s="154"/>
      <c r="L35" s="205"/>
    </row>
    <row r="36" spans="1:12" hidden="1" x14ac:dyDescent="0.25">
      <c r="A36" s="15">
        <v>53</v>
      </c>
      <c r="B36" s="24" t="s">
        <v>69</v>
      </c>
      <c r="C36" s="154"/>
      <c r="D36" s="154"/>
      <c r="E36" s="154"/>
      <c r="F36" s="154"/>
      <c r="G36" s="154"/>
      <c r="H36" s="154">
        <v>0</v>
      </c>
      <c r="I36" s="154">
        <v>0</v>
      </c>
      <c r="J36" s="154"/>
      <c r="L36" s="205"/>
    </row>
    <row r="37" spans="1:12" hidden="1" x14ac:dyDescent="0.25">
      <c r="A37" s="15">
        <v>56</v>
      </c>
      <c r="B37" s="24" t="s">
        <v>70</v>
      </c>
      <c r="C37" s="154"/>
      <c r="D37" s="154"/>
      <c r="E37" s="154"/>
      <c r="F37" s="154"/>
      <c r="G37" s="154"/>
      <c r="H37" s="154">
        <v>0</v>
      </c>
      <c r="I37" s="154">
        <v>0</v>
      </c>
      <c r="J37" s="154"/>
      <c r="L37" s="205"/>
    </row>
    <row r="38" spans="1:12" x14ac:dyDescent="0.25">
      <c r="A38" s="15">
        <v>57</v>
      </c>
      <c r="B38" s="24" t="s">
        <v>71</v>
      </c>
      <c r="C38" s="154"/>
      <c r="D38" s="154"/>
      <c r="E38" s="154"/>
      <c r="F38" s="154">
        <v>71658.66</v>
      </c>
      <c r="G38" s="154"/>
      <c r="H38" s="154">
        <v>0</v>
      </c>
      <c r="I38" s="154">
        <v>0</v>
      </c>
      <c r="J38" s="154"/>
      <c r="L38" s="205"/>
    </row>
    <row r="39" spans="1:12" x14ac:dyDescent="0.25">
      <c r="A39" s="15">
        <v>58</v>
      </c>
      <c r="B39" s="24" t="s">
        <v>72</v>
      </c>
      <c r="C39" s="154">
        <v>31020</v>
      </c>
      <c r="D39" s="154">
        <v>33951.760000000002</v>
      </c>
      <c r="E39" s="154">
        <v>11748.84</v>
      </c>
      <c r="F39" s="154">
        <v>3515.02</v>
      </c>
      <c r="G39" s="154">
        <v>3019.31</v>
      </c>
      <c r="H39" s="154">
        <v>12219.84</v>
      </c>
      <c r="I39" s="154">
        <v>12342.038399999999</v>
      </c>
      <c r="J39" s="154"/>
      <c r="L39" s="205"/>
    </row>
    <row r="40" spans="1:12" ht="15.75" hidden="1" thickBot="1" x14ac:dyDescent="0.3">
      <c r="A40" s="15">
        <v>59</v>
      </c>
      <c r="B40" s="26" t="s">
        <v>73</v>
      </c>
      <c r="C40" s="154"/>
      <c r="D40" s="154"/>
      <c r="E40" s="154"/>
      <c r="F40" s="154"/>
      <c r="G40" s="154"/>
      <c r="H40" s="154"/>
      <c r="I40" s="154"/>
      <c r="J40" s="154"/>
      <c r="K40" s="6">
        <f t="shared" ref="K40" si="5">+H40*1/100</f>
        <v>0</v>
      </c>
    </row>
    <row r="41" spans="1:12" x14ac:dyDescent="0.25">
      <c r="A41" s="243" t="s">
        <v>74</v>
      </c>
      <c r="B41" s="244"/>
      <c r="C41" s="174">
        <f t="shared" ref="C41:I41" si="6">+C8-C26</f>
        <v>65343.44</v>
      </c>
      <c r="D41" s="174">
        <f t="shared" si="6"/>
        <v>6449.5600000000049</v>
      </c>
      <c r="E41" s="174">
        <f t="shared" si="6"/>
        <v>2866745.8</v>
      </c>
      <c r="F41" s="174">
        <f t="shared" si="6"/>
        <v>3084279.6699999995</v>
      </c>
      <c r="G41" s="174">
        <f t="shared" si="6"/>
        <v>725371.85</v>
      </c>
      <c r="H41" s="174">
        <f t="shared" si="6"/>
        <v>86515.873449999999</v>
      </c>
      <c r="I41" s="174">
        <f t="shared" si="6"/>
        <v>87381.032184499985</v>
      </c>
      <c r="J41" s="27"/>
    </row>
    <row r="42" spans="1:12" x14ac:dyDescent="0.25">
      <c r="A42" s="249" t="s">
        <v>75</v>
      </c>
      <c r="B42" s="250"/>
      <c r="C42" s="173">
        <f>+C44</f>
        <v>7425936.0899999999</v>
      </c>
      <c r="D42" s="173">
        <f>SUM(D43:D44)</f>
        <v>10247253.620000001</v>
      </c>
      <c r="E42" s="173">
        <f t="shared" ref="E42:I42" si="7">SUM(E43:E44)</f>
        <v>7130371.3399999999</v>
      </c>
      <c r="F42" s="173">
        <f t="shared" si="7"/>
        <v>8097694.0700000003</v>
      </c>
      <c r="G42" s="173">
        <f t="shared" si="7"/>
        <v>6927446.8308845656</v>
      </c>
      <c r="H42" s="173">
        <f t="shared" si="7"/>
        <v>6325710.71</v>
      </c>
      <c r="I42" s="173">
        <f t="shared" si="7"/>
        <v>6388967.8170999996</v>
      </c>
      <c r="J42" s="28"/>
    </row>
    <row r="43" spans="1:12" x14ac:dyDescent="0.25">
      <c r="A43" s="29">
        <v>24</v>
      </c>
      <c r="B43" s="30" t="s">
        <v>76</v>
      </c>
      <c r="C43" s="17"/>
      <c r="D43" s="154">
        <v>123176.55</v>
      </c>
      <c r="E43" s="21"/>
      <c r="F43" s="86"/>
      <c r="G43" s="86"/>
      <c r="H43" s="157"/>
      <c r="I43" s="157"/>
      <c r="J43" s="156"/>
    </row>
    <row r="44" spans="1:12" x14ac:dyDescent="0.25">
      <c r="A44" s="29">
        <v>28</v>
      </c>
      <c r="B44" s="30" t="s">
        <v>77</v>
      </c>
      <c r="C44" s="154">
        <f>7381304.34+9793.24+34838.51</f>
        <v>7425936.0899999999</v>
      </c>
      <c r="D44" s="154">
        <v>10124077.07</v>
      </c>
      <c r="E44" s="154">
        <v>7130371.3399999999</v>
      </c>
      <c r="F44" s="154">
        <v>8097694.0700000003</v>
      </c>
      <c r="G44" s="154">
        <v>6927446.8308845656</v>
      </c>
      <c r="H44" s="154">
        <v>6325710.71</v>
      </c>
      <c r="I44" s="154">
        <v>6388967.8170999996</v>
      </c>
      <c r="J44" s="156"/>
      <c r="L44" s="205"/>
    </row>
    <row r="45" spans="1:12" x14ac:dyDescent="0.25">
      <c r="A45" s="249" t="s">
        <v>78</v>
      </c>
      <c r="B45" s="248"/>
      <c r="C45" s="173">
        <f>+C49+C58+C59+C66+C68</f>
        <v>8052389.3199999994</v>
      </c>
      <c r="D45" s="173">
        <f t="shared" ref="D45:G45" si="8">+D49+D58+D59+D66+D68</f>
        <v>8101471.6000000006</v>
      </c>
      <c r="E45" s="173">
        <f t="shared" si="8"/>
        <v>10566461.840000002</v>
      </c>
      <c r="F45" s="173">
        <f t="shared" si="8"/>
        <v>10898825.599999998</v>
      </c>
      <c r="G45" s="173">
        <f t="shared" si="8"/>
        <v>6927446.8300000001</v>
      </c>
      <c r="H45" s="173">
        <f>+H49+H58+H59+H66+H68</f>
        <v>6291577.6100000003</v>
      </c>
      <c r="I45" s="202">
        <v>6354493.3861000007</v>
      </c>
      <c r="J45" s="28"/>
      <c r="L45" s="205"/>
    </row>
    <row r="46" spans="1:12" hidden="1" x14ac:dyDescent="0.25">
      <c r="A46" s="15" t="s">
        <v>79</v>
      </c>
      <c r="B46" s="16" t="s">
        <v>80</v>
      </c>
      <c r="C46" s="154"/>
      <c r="D46" s="154"/>
      <c r="E46" s="154"/>
      <c r="F46" s="154"/>
      <c r="G46" s="154"/>
      <c r="H46" s="154"/>
      <c r="I46" s="154">
        <v>0</v>
      </c>
      <c r="J46" s="17"/>
      <c r="L46" s="205"/>
    </row>
    <row r="47" spans="1:12" hidden="1" x14ac:dyDescent="0.25">
      <c r="A47" s="15" t="s">
        <v>81</v>
      </c>
      <c r="B47" s="24" t="s">
        <v>82</v>
      </c>
      <c r="C47" s="154"/>
      <c r="D47" s="154"/>
      <c r="E47" s="154"/>
      <c r="F47" s="154"/>
      <c r="G47" s="154"/>
      <c r="H47" s="154"/>
      <c r="I47" s="154">
        <v>0</v>
      </c>
      <c r="J47" s="156"/>
      <c r="L47" s="205"/>
    </row>
    <row r="48" spans="1:12" hidden="1" x14ac:dyDescent="0.25">
      <c r="A48" s="15" t="s">
        <v>83</v>
      </c>
      <c r="B48" s="24" t="s">
        <v>84</v>
      </c>
      <c r="C48" s="154"/>
      <c r="D48" s="154"/>
      <c r="E48" s="154"/>
      <c r="F48" s="154"/>
      <c r="G48" s="154"/>
      <c r="H48" s="154"/>
      <c r="I48" s="154">
        <v>0</v>
      </c>
      <c r="J48" s="17"/>
      <c r="L48" s="205"/>
    </row>
    <row r="49" spans="1:12" x14ac:dyDescent="0.25">
      <c r="A49" s="15">
        <v>71</v>
      </c>
      <c r="B49" s="24" t="s">
        <v>85</v>
      </c>
      <c r="C49" s="172">
        <f>SUM(C50:C56)</f>
        <v>4889679.8899999997</v>
      </c>
      <c r="D49" s="172">
        <f t="shared" ref="D49:G49" si="9">SUM(D50:D56)</f>
        <v>4409021.9700000007</v>
      </c>
      <c r="E49" s="172">
        <f t="shared" si="9"/>
        <v>4509078.1400000006</v>
      </c>
      <c r="F49" s="172">
        <f t="shared" si="9"/>
        <v>4619076.72</v>
      </c>
      <c r="G49" s="172">
        <f t="shared" si="9"/>
        <v>5241406.04</v>
      </c>
      <c r="H49" s="172">
        <f>SUM(H50:H56)</f>
        <v>4801174.72</v>
      </c>
      <c r="I49" s="172">
        <v>4849186.4671999998</v>
      </c>
      <c r="J49" s="198"/>
      <c r="L49" s="205"/>
    </row>
    <row r="50" spans="1:12" x14ac:dyDescent="0.25">
      <c r="A50" s="18">
        <v>7101</v>
      </c>
      <c r="B50" s="19" t="s">
        <v>61</v>
      </c>
      <c r="C50" s="154">
        <v>2341830.5299999998</v>
      </c>
      <c r="D50" s="154">
        <v>2359670.2000000002</v>
      </c>
      <c r="E50" s="154">
        <v>2472831.29</v>
      </c>
      <c r="F50" s="154">
        <v>2510998.7799999998</v>
      </c>
      <c r="G50" s="154">
        <v>2761957.32</v>
      </c>
      <c r="H50" s="154">
        <v>2580486.36</v>
      </c>
      <c r="I50" s="154">
        <v>2606291.2235999997</v>
      </c>
      <c r="J50" s="198"/>
      <c r="L50" s="205"/>
    </row>
    <row r="51" spans="1:12" x14ac:dyDescent="0.25">
      <c r="A51" s="18">
        <v>7102</v>
      </c>
      <c r="B51" s="19" t="s">
        <v>62</v>
      </c>
      <c r="C51" s="154">
        <v>460752.72</v>
      </c>
      <c r="D51" s="154">
        <v>372884.28</v>
      </c>
      <c r="E51" s="154">
        <v>402354.39</v>
      </c>
      <c r="F51" s="154">
        <v>403552.13</v>
      </c>
      <c r="G51" s="154">
        <v>431628.28</v>
      </c>
      <c r="H51" s="154">
        <v>377127.53</v>
      </c>
      <c r="I51" s="154">
        <v>380898.80530000001</v>
      </c>
      <c r="J51" s="198"/>
      <c r="L51" s="205"/>
    </row>
    <row r="52" spans="1:12" x14ac:dyDescent="0.25">
      <c r="A52" s="18">
        <v>7103</v>
      </c>
      <c r="B52" s="19" t="s">
        <v>63</v>
      </c>
      <c r="C52" s="154">
        <v>271586.90000000002</v>
      </c>
      <c r="D52" s="154">
        <v>285985.5</v>
      </c>
      <c r="E52" s="154">
        <v>258505.52</v>
      </c>
      <c r="F52" s="154">
        <v>242518.5</v>
      </c>
      <c r="G52" s="154">
        <v>294624</v>
      </c>
      <c r="H52" s="154">
        <v>274428</v>
      </c>
      <c r="I52" s="154">
        <v>277172.28000000003</v>
      </c>
      <c r="J52" s="198"/>
      <c r="L52" s="205"/>
    </row>
    <row r="53" spans="1:12" x14ac:dyDescent="0.25">
      <c r="A53" s="18">
        <v>7104</v>
      </c>
      <c r="B53" s="19" t="s">
        <v>64</v>
      </c>
      <c r="C53" s="154">
        <v>25809.61</v>
      </c>
      <c r="D53" s="154">
        <v>55790.16</v>
      </c>
      <c r="E53" s="154">
        <v>43818.87</v>
      </c>
      <c r="F53" s="154">
        <v>47279.72</v>
      </c>
      <c r="G53" s="154">
        <v>52389.29</v>
      </c>
      <c r="H53" s="154">
        <v>48388.22</v>
      </c>
      <c r="I53" s="154">
        <v>48872.102200000001</v>
      </c>
      <c r="J53" s="198"/>
      <c r="L53" s="205"/>
    </row>
    <row r="54" spans="1:12" x14ac:dyDescent="0.25">
      <c r="A54" s="18">
        <v>7105</v>
      </c>
      <c r="B54" s="19" t="s">
        <v>65</v>
      </c>
      <c r="C54" s="154">
        <v>1071893.08</v>
      </c>
      <c r="D54" s="154">
        <v>655757.04</v>
      </c>
      <c r="E54" s="154">
        <v>667919.63</v>
      </c>
      <c r="F54" s="154">
        <v>652585.01</v>
      </c>
      <c r="G54" s="154">
        <v>600695</v>
      </c>
      <c r="H54" s="154">
        <v>359820</v>
      </c>
      <c r="I54" s="154">
        <v>363418.2</v>
      </c>
      <c r="J54" s="198"/>
      <c r="L54" s="205"/>
    </row>
    <row r="55" spans="1:12" x14ac:dyDescent="0.25">
      <c r="A55" s="18">
        <v>7106</v>
      </c>
      <c r="B55" s="19" t="s">
        <v>66</v>
      </c>
      <c r="C55" s="154">
        <v>633374.64</v>
      </c>
      <c r="D55" s="154">
        <v>591846.64</v>
      </c>
      <c r="E55" s="154">
        <v>615279.93999999994</v>
      </c>
      <c r="F55" s="154">
        <v>626262.54</v>
      </c>
      <c r="G55" s="154">
        <v>681675.86</v>
      </c>
      <c r="H55" s="154">
        <v>596529.22</v>
      </c>
      <c r="I55" s="154">
        <v>602494.5122</v>
      </c>
      <c r="J55" s="198"/>
      <c r="L55" s="205"/>
    </row>
    <row r="56" spans="1:12" x14ac:dyDescent="0.25">
      <c r="A56" s="18">
        <v>7107</v>
      </c>
      <c r="B56" s="19" t="s">
        <v>67</v>
      </c>
      <c r="C56" s="154">
        <v>84432.41</v>
      </c>
      <c r="D56" s="154">
        <v>87088.15</v>
      </c>
      <c r="E56" s="154">
        <v>48368.5</v>
      </c>
      <c r="F56" s="154">
        <v>135880.04</v>
      </c>
      <c r="G56" s="154">
        <v>418436.29</v>
      </c>
      <c r="H56" s="154">
        <v>564395.39</v>
      </c>
      <c r="I56" s="154">
        <v>570039.34389999998</v>
      </c>
      <c r="J56" s="198"/>
      <c r="L56" s="205"/>
    </row>
    <row r="57" spans="1:12" x14ac:dyDescent="0.25">
      <c r="A57" s="18">
        <v>7199</v>
      </c>
      <c r="B57" s="19" t="s">
        <v>68</v>
      </c>
      <c r="C57" s="154"/>
      <c r="D57" s="154"/>
      <c r="E57" s="154"/>
      <c r="F57" s="154"/>
      <c r="G57" s="154"/>
      <c r="H57" s="154"/>
      <c r="I57" s="154">
        <v>0</v>
      </c>
      <c r="J57" s="198"/>
      <c r="L57" s="205"/>
    </row>
    <row r="58" spans="1:12" x14ac:dyDescent="0.25">
      <c r="A58" s="15">
        <v>73</v>
      </c>
      <c r="B58" s="24" t="s">
        <v>86</v>
      </c>
      <c r="C58" s="172">
        <v>2116076.2599999998</v>
      </c>
      <c r="D58" s="172">
        <v>3164798.3</v>
      </c>
      <c r="E58" s="172">
        <v>5609480.2400000002</v>
      </c>
      <c r="F58" s="172">
        <v>4785743.57</v>
      </c>
      <c r="G58" s="172">
        <v>1492691.64</v>
      </c>
      <c r="H58" s="172">
        <v>1336241.03</v>
      </c>
      <c r="I58" s="172">
        <v>1349603.4403000001</v>
      </c>
      <c r="J58" s="198"/>
      <c r="L58" s="205"/>
    </row>
    <row r="59" spans="1:12" x14ac:dyDescent="0.25">
      <c r="A59" s="15">
        <v>75</v>
      </c>
      <c r="B59" s="24" t="s">
        <v>87</v>
      </c>
      <c r="C59" s="172">
        <f>+C60</f>
        <v>645409.84</v>
      </c>
      <c r="D59" s="172">
        <f t="shared" ref="D59:F59" si="10">+D60</f>
        <v>216577.61</v>
      </c>
      <c r="E59" s="172">
        <f t="shared" si="10"/>
        <v>159572.84</v>
      </c>
      <c r="F59" s="172">
        <f t="shared" si="10"/>
        <v>1265077.8400000001</v>
      </c>
      <c r="G59" s="172">
        <v>0</v>
      </c>
      <c r="H59" s="172">
        <v>0</v>
      </c>
      <c r="I59" s="172">
        <v>0</v>
      </c>
      <c r="J59" s="198"/>
      <c r="L59" s="205"/>
    </row>
    <row r="60" spans="1:12" x14ac:dyDescent="0.25">
      <c r="A60" s="18">
        <v>7501</v>
      </c>
      <c r="B60" s="19" t="s">
        <v>88</v>
      </c>
      <c r="C60" s="154">
        <v>645409.84</v>
      </c>
      <c r="D60" s="154">
        <v>216577.61</v>
      </c>
      <c r="E60" s="154">
        <v>159572.84</v>
      </c>
      <c r="F60" s="154">
        <v>1265077.8400000001</v>
      </c>
      <c r="G60" s="154">
        <v>0</v>
      </c>
      <c r="H60" s="154">
        <v>0</v>
      </c>
      <c r="I60" s="154">
        <v>0</v>
      </c>
      <c r="J60" s="198"/>
      <c r="L60" s="205"/>
    </row>
    <row r="61" spans="1:12" hidden="1" x14ac:dyDescent="0.25">
      <c r="A61" s="18">
        <v>7502</v>
      </c>
      <c r="B61" s="19" t="s">
        <v>89</v>
      </c>
      <c r="C61" s="154"/>
      <c r="D61" s="154"/>
      <c r="E61" s="154"/>
      <c r="F61" s="154"/>
      <c r="G61" s="154"/>
      <c r="H61" s="154">
        <v>0</v>
      </c>
      <c r="I61" s="154">
        <v>0</v>
      </c>
      <c r="J61" s="198"/>
      <c r="L61" s="205"/>
    </row>
    <row r="62" spans="1:12" hidden="1" x14ac:dyDescent="0.25">
      <c r="A62" s="18">
        <v>7503</v>
      </c>
      <c r="B62" s="19" t="s">
        <v>90</v>
      </c>
      <c r="C62" s="154"/>
      <c r="D62" s="154"/>
      <c r="E62" s="154"/>
      <c r="F62" s="154"/>
      <c r="G62" s="154"/>
      <c r="H62" s="154">
        <v>0</v>
      </c>
      <c r="I62" s="154">
        <v>0</v>
      </c>
      <c r="J62" s="198"/>
      <c r="L62" s="205"/>
    </row>
    <row r="63" spans="1:12" ht="23.25" hidden="1" x14ac:dyDescent="0.25">
      <c r="A63" s="18">
        <v>7504</v>
      </c>
      <c r="B63" s="163" t="s">
        <v>91</v>
      </c>
      <c r="C63" s="154"/>
      <c r="D63" s="154"/>
      <c r="E63" s="154"/>
      <c r="F63" s="154"/>
      <c r="G63" s="154"/>
      <c r="H63" s="154">
        <v>0</v>
      </c>
      <c r="I63" s="154">
        <v>0</v>
      </c>
      <c r="J63" s="198"/>
      <c r="L63" s="205"/>
    </row>
    <row r="64" spans="1:12" hidden="1" x14ac:dyDescent="0.25">
      <c r="A64" s="18">
        <v>7505</v>
      </c>
      <c r="B64" s="19" t="s">
        <v>92</v>
      </c>
      <c r="C64" s="154"/>
      <c r="D64" s="154"/>
      <c r="E64" s="154"/>
      <c r="F64" s="154"/>
      <c r="G64" s="154"/>
      <c r="H64" s="154">
        <v>0</v>
      </c>
      <c r="I64" s="154">
        <v>0</v>
      </c>
      <c r="J64" s="198"/>
      <c r="L64" s="205"/>
    </row>
    <row r="65" spans="1:12" hidden="1" x14ac:dyDescent="0.25">
      <c r="A65" s="18">
        <v>7599</v>
      </c>
      <c r="B65" s="19" t="s">
        <v>68</v>
      </c>
      <c r="C65" s="154"/>
      <c r="D65" s="154"/>
      <c r="E65" s="154"/>
      <c r="F65" s="154"/>
      <c r="G65" s="154"/>
      <c r="H65" s="154">
        <v>0</v>
      </c>
      <c r="I65" s="154">
        <v>0</v>
      </c>
      <c r="J65" s="198"/>
      <c r="L65" s="205"/>
    </row>
    <row r="66" spans="1:12" x14ac:dyDescent="0.25">
      <c r="A66" s="15">
        <v>77</v>
      </c>
      <c r="B66" s="31" t="s">
        <v>93</v>
      </c>
      <c r="C66" s="172">
        <v>262664.44</v>
      </c>
      <c r="D66" s="172">
        <v>280514.59999999998</v>
      </c>
      <c r="E66" s="172">
        <v>236140.96</v>
      </c>
      <c r="F66" s="172">
        <v>197269.45</v>
      </c>
      <c r="G66" s="172">
        <v>186949.15</v>
      </c>
      <c r="H66" s="172">
        <v>147161.85999999999</v>
      </c>
      <c r="I66" s="172">
        <v>148633.47859999997</v>
      </c>
      <c r="J66" s="198"/>
      <c r="L66" s="205"/>
    </row>
    <row r="67" spans="1:12" x14ac:dyDescent="0.25">
      <c r="A67" s="15">
        <v>78</v>
      </c>
      <c r="B67" s="24" t="s">
        <v>94</v>
      </c>
      <c r="C67" s="154"/>
      <c r="D67" s="154"/>
      <c r="E67" s="154"/>
      <c r="F67" s="154"/>
      <c r="G67" s="154"/>
      <c r="H67" s="154">
        <v>0</v>
      </c>
      <c r="I67" s="154">
        <v>0</v>
      </c>
      <c r="J67" s="198"/>
      <c r="L67" s="205"/>
    </row>
    <row r="68" spans="1:12" x14ac:dyDescent="0.25">
      <c r="A68" s="15">
        <v>84</v>
      </c>
      <c r="B68" s="24" t="s">
        <v>95</v>
      </c>
      <c r="C68" s="172">
        <v>138558.89000000001</v>
      </c>
      <c r="D68" s="172">
        <v>30559.119999999999</v>
      </c>
      <c r="E68" s="172">
        <v>52189.66</v>
      </c>
      <c r="F68" s="172">
        <v>31658.02</v>
      </c>
      <c r="G68" s="172">
        <v>6400</v>
      </c>
      <c r="H68" s="172">
        <v>7000</v>
      </c>
      <c r="I68" s="172">
        <v>7070</v>
      </c>
      <c r="J68" s="198"/>
      <c r="L68" s="205"/>
    </row>
    <row r="69" spans="1:12" ht="15.75" thickBot="1" x14ac:dyDescent="0.3">
      <c r="A69" s="15">
        <v>88</v>
      </c>
      <c r="B69" s="26" t="s">
        <v>96</v>
      </c>
      <c r="C69" s="154" t="s">
        <v>430</v>
      </c>
      <c r="D69" s="154"/>
      <c r="E69" s="154"/>
      <c r="F69" s="154"/>
      <c r="G69" s="154"/>
      <c r="H69" s="154"/>
      <c r="I69" s="154">
        <v>0</v>
      </c>
      <c r="J69" s="156"/>
      <c r="L69" s="205"/>
    </row>
    <row r="70" spans="1:12" x14ac:dyDescent="0.25">
      <c r="A70" s="243" t="s">
        <v>97</v>
      </c>
      <c r="B70" s="244"/>
      <c r="C70" s="174">
        <f>+C42-C45</f>
        <v>-626453.22999999952</v>
      </c>
      <c r="D70" s="174">
        <f>+D42-D45</f>
        <v>2145782.0200000005</v>
      </c>
      <c r="E70" s="174">
        <f t="shared" ref="E70:H70" si="11">+E42-E45</f>
        <v>-3436090.5000000019</v>
      </c>
      <c r="F70" s="174">
        <f t="shared" si="11"/>
        <v>-2801131.5299999975</v>
      </c>
      <c r="G70" s="174">
        <f t="shared" si="11"/>
        <v>8.8456552475690842E-4</v>
      </c>
      <c r="H70" s="174">
        <f t="shared" si="11"/>
        <v>34133.099999999627</v>
      </c>
      <c r="I70" s="203">
        <v>34474.430999999626</v>
      </c>
      <c r="J70" s="171"/>
      <c r="L70" s="205"/>
    </row>
    <row r="71" spans="1:12" x14ac:dyDescent="0.25">
      <c r="A71" s="245" t="s">
        <v>98</v>
      </c>
      <c r="B71" s="246"/>
      <c r="C71" s="164">
        <f t="shared" ref="C71:H71" si="12">+C41+C70</f>
        <v>-561109.78999999957</v>
      </c>
      <c r="D71" s="164">
        <f t="shared" si="12"/>
        <v>2152231.5800000005</v>
      </c>
      <c r="E71" s="164">
        <f t="shared" si="12"/>
        <v>-569344.70000000205</v>
      </c>
      <c r="F71" s="164">
        <f t="shared" si="12"/>
        <v>283148.14000000199</v>
      </c>
      <c r="G71" s="164">
        <f t="shared" si="12"/>
        <v>725371.8508845655</v>
      </c>
      <c r="H71" s="164">
        <f t="shared" si="12"/>
        <v>120648.97344999963</v>
      </c>
      <c r="I71" s="164">
        <v>121855.46318449962</v>
      </c>
      <c r="J71" s="32"/>
      <c r="L71" s="205"/>
    </row>
    <row r="72" spans="1:12" x14ac:dyDescent="0.25">
      <c r="A72" s="247" t="s">
        <v>99</v>
      </c>
      <c r="B72" s="248"/>
      <c r="C72" s="173">
        <f>SUM(C73:C76)</f>
        <v>2548941.7199999997</v>
      </c>
      <c r="D72" s="173">
        <f t="shared" ref="D72:H72" si="13">SUM(D73:D76)</f>
        <v>1640068.72</v>
      </c>
      <c r="E72" s="173">
        <f t="shared" si="13"/>
        <v>3321633.52</v>
      </c>
      <c r="F72" s="173">
        <f t="shared" si="13"/>
        <v>1722584.28</v>
      </c>
      <c r="G72" s="173">
        <f t="shared" si="13"/>
        <v>587246.64999999991</v>
      </c>
      <c r="H72" s="173">
        <f t="shared" si="13"/>
        <v>596055.34974999994</v>
      </c>
      <c r="I72" s="202">
        <v>602015.90324749995</v>
      </c>
      <c r="J72" s="28"/>
      <c r="L72" s="205"/>
    </row>
    <row r="73" spans="1:12" x14ac:dyDescent="0.25">
      <c r="A73" s="33">
        <v>27</v>
      </c>
      <c r="B73" s="30" t="s">
        <v>100</v>
      </c>
      <c r="C73" s="17"/>
      <c r="D73" s="194"/>
      <c r="E73" s="17"/>
      <c r="F73" s="22"/>
      <c r="G73" s="157"/>
      <c r="H73" s="156"/>
      <c r="I73" s="204"/>
      <c r="J73" s="23"/>
      <c r="L73" s="205"/>
    </row>
    <row r="74" spans="1:12" x14ac:dyDescent="0.25">
      <c r="A74" s="34">
        <v>36</v>
      </c>
      <c r="B74" s="35" t="s">
        <v>101</v>
      </c>
      <c r="C74" s="17"/>
      <c r="D74" s="194"/>
      <c r="E74" s="17"/>
      <c r="F74" s="22"/>
      <c r="G74" s="157"/>
      <c r="H74" s="156"/>
      <c r="I74" s="204"/>
      <c r="J74" s="23"/>
      <c r="L74" s="205"/>
    </row>
    <row r="75" spans="1:12" x14ac:dyDescent="0.25">
      <c r="A75" s="29">
        <v>37</v>
      </c>
      <c r="B75" s="30" t="s">
        <v>102</v>
      </c>
      <c r="C75" s="154">
        <v>2487823.21</v>
      </c>
      <c r="D75" s="154">
        <v>656168.35</v>
      </c>
      <c r="E75" s="154">
        <v>2065394.22</v>
      </c>
      <c r="F75" s="154">
        <v>417194.84</v>
      </c>
      <c r="G75" s="178">
        <v>255805.55</v>
      </c>
      <c r="H75" s="154">
        <f>+G75*1.5/100+G75</f>
        <v>259642.63324999998</v>
      </c>
      <c r="I75" s="201">
        <v>262239.05958249996</v>
      </c>
      <c r="J75" s="23"/>
      <c r="L75" s="205"/>
    </row>
    <row r="76" spans="1:12" x14ac:dyDescent="0.25">
      <c r="A76" s="29">
        <v>38</v>
      </c>
      <c r="B76" s="30" t="s">
        <v>103</v>
      </c>
      <c r="C76" s="154">
        <v>61118.51</v>
      </c>
      <c r="D76" s="154">
        <v>983900.37</v>
      </c>
      <c r="E76" s="154">
        <f>593367.18+662872.12</f>
        <v>1256239.3</v>
      </c>
      <c r="F76" s="154">
        <f>190774.27+1114615.17</f>
        <v>1305389.44</v>
      </c>
      <c r="G76" s="178">
        <v>331441.09999999998</v>
      </c>
      <c r="H76" s="154">
        <f>+G76*1.5/100+G76</f>
        <v>336412.71649999998</v>
      </c>
      <c r="I76" s="201">
        <v>339776.84366499999</v>
      </c>
      <c r="J76" s="23"/>
      <c r="L76" s="205"/>
    </row>
    <row r="77" spans="1:12" x14ac:dyDescent="0.25">
      <c r="A77" s="249" t="s">
        <v>104</v>
      </c>
      <c r="B77" s="250"/>
      <c r="C77" s="192"/>
      <c r="D77" s="192"/>
      <c r="E77" s="192"/>
      <c r="F77" s="173">
        <f>+F80</f>
        <v>1162793.0900000001</v>
      </c>
      <c r="G77" s="173">
        <f>+G80</f>
        <v>78266.97</v>
      </c>
      <c r="H77" s="173">
        <f>+H80</f>
        <v>0</v>
      </c>
      <c r="I77" s="173">
        <f>+I80</f>
        <v>0</v>
      </c>
      <c r="J77" s="193"/>
      <c r="L77" s="205"/>
    </row>
    <row r="78" spans="1:12" hidden="1" x14ac:dyDescent="0.25">
      <c r="A78" s="29">
        <v>87</v>
      </c>
      <c r="B78" s="30" t="s">
        <v>105</v>
      </c>
      <c r="C78" s="17"/>
      <c r="D78" s="20"/>
      <c r="E78" s="21"/>
      <c r="F78" s="17"/>
      <c r="G78" s="17"/>
      <c r="H78" s="17"/>
      <c r="I78" s="199"/>
      <c r="J78" s="23"/>
    </row>
    <row r="79" spans="1:12" x14ac:dyDescent="0.25">
      <c r="A79" s="29">
        <v>96</v>
      </c>
      <c r="B79" s="30" t="s">
        <v>106</v>
      </c>
      <c r="C79" s="221"/>
      <c r="D79" s="222"/>
      <c r="E79" s="221"/>
      <c r="F79" s="17"/>
      <c r="G79" s="17"/>
      <c r="H79" s="17"/>
      <c r="I79" s="199"/>
      <c r="J79" s="23"/>
    </row>
    <row r="80" spans="1:12" x14ac:dyDescent="0.25">
      <c r="A80" s="29">
        <v>97</v>
      </c>
      <c r="B80" s="30" t="s">
        <v>107</v>
      </c>
      <c r="C80" s="221"/>
      <c r="D80" s="222"/>
      <c r="E80" s="221"/>
      <c r="F80" s="154">
        <v>1162793.0900000001</v>
      </c>
      <c r="G80" s="154">
        <v>78266.97</v>
      </c>
      <c r="H80" s="154">
        <v>0</v>
      </c>
      <c r="I80" s="154">
        <v>0</v>
      </c>
      <c r="J80" s="23"/>
    </row>
    <row r="81" spans="1:10" ht="15.75" thickBot="1" x14ac:dyDescent="0.3">
      <c r="A81" s="36">
        <v>99</v>
      </c>
      <c r="B81" s="37" t="s">
        <v>108</v>
      </c>
      <c r="C81" s="221"/>
      <c r="D81" s="222"/>
      <c r="E81" s="221"/>
      <c r="F81" s="17"/>
      <c r="G81" s="17"/>
      <c r="H81" s="17"/>
      <c r="I81" s="199"/>
      <c r="J81" s="23"/>
    </row>
    <row r="82" spans="1:10" ht="15.75" thickBot="1" x14ac:dyDescent="0.3">
      <c r="A82" s="251" t="s">
        <v>109</v>
      </c>
      <c r="B82" s="252"/>
      <c r="C82" s="164">
        <f t="shared" ref="C82:I82" si="14">+C72-C77</f>
        <v>2548941.7199999997</v>
      </c>
      <c r="D82" s="164">
        <f t="shared" si="14"/>
        <v>1640068.72</v>
      </c>
      <c r="E82" s="164">
        <f t="shared" si="14"/>
        <v>3321633.52</v>
      </c>
      <c r="F82" s="164">
        <f t="shared" si="14"/>
        <v>559791.18999999994</v>
      </c>
      <c r="G82" s="164">
        <f t="shared" si="14"/>
        <v>508979.67999999993</v>
      </c>
      <c r="H82" s="164">
        <f t="shared" si="14"/>
        <v>596055.34974999994</v>
      </c>
      <c r="I82" s="164">
        <f t="shared" si="14"/>
        <v>602015.90324749995</v>
      </c>
      <c r="J82" s="38"/>
    </row>
    <row r="83" spans="1:10" s="41" customFormat="1" x14ac:dyDescent="0.25">
      <c r="A83" s="39"/>
      <c r="B83" s="39"/>
      <c r="C83" s="40"/>
      <c r="D83" s="40"/>
      <c r="E83" s="40"/>
      <c r="F83" s="40"/>
      <c r="G83" s="40"/>
      <c r="H83" s="40"/>
      <c r="I83" s="40"/>
    </row>
    <row r="84" spans="1:10" s="41" customFormat="1" x14ac:dyDescent="0.25">
      <c r="A84" s="39"/>
      <c r="B84" s="39"/>
      <c r="C84" s="40"/>
      <c r="D84" s="40"/>
      <c r="E84" s="40"/>
      <c r="F84" s="40"/>
      <c r="G84" s="40"/>
      <c r="H84" s="40"/>
      <c r="I84" s="40"/>
    </row>
    <row r="85" spans="1:10" s="41" customFormat="1" ht="15.75" thickBot="1" x14ac:dyDescent="0.3">
      <c r="A85" s="84" t="s">
        <v>110</v>
      </c>
      <c r="B85" s="85"/>
      <c r="C85" s="85"/>
      <c r="D85" s="85"/>
      <c r="E85" s="85"/>
      <c r="F85" s="85"/>
      <c r="G85" s="85"/>
      <c r="H85" s="85"/>
      <c r="I85" s="85"/>
      <c r="J85" s="85"/>
    </row>
    <row r="86" spans="1:10" s="41" customFormat="1" ht="15.75" thickBot="1" x14ac:dyDescent="0.3">
      <c r="A86" s="242" t="s">
        <v>457</v>
      </c>
      <c r="B86" s="239"/>
      <c r="C86" s="239"/>
      <c r="D86" s="239"/>
      <c r="E86" s="239"/>
      <c r="F86" s="239"/>
      <c r="G86" s="239"/>
      <c r="H86" s="239"/>
      <c r="I86" s="219"/>
      <c r="J86" s="220"/>
    </row>
    <row r="87" spans="1:10" s="41" customFormat="1" ht="15.75" thickBot="1" x14ac:dyDescent="0.3">
      <c r="A87" s="253" t="s">
        <v>515</v>
      </c>
      <c r="B87" s="254"/>
      <c r="C87" s="254"/>
      <c r="D87" s="254"/>
      <c r="E87" s="254"/>
      <c r="F87" s="254"/>
      <c r="G87" s="254"/>
      <c r="H87" s="254"/>
      <c r="I87" s="239"/>
      <c r="J87" s="240"/>
    </row>
    <row r="88" spans="1:10" s="41" customFormat="1" x14ac:dyDescent="0.25">
      <c r="A88" s="39"/>
      <c r="B88" s="39"/>
      <c r="C88" s="40"/>
      <c r="D88" s="40"/>
      <c r="E88" s="40"/>
      <c r="F88" s="40"/>
      <c r="G88" s="40"/>
      <c r="H88" s="40"/>
      <c r="I88" s="40"/>
    </row>
    <row r="89" spans="1:10" x14ac:dyDescent="0.25">
      <c r="A89" s="42" t="s">
        <v>121</v>
      </c>
    </row>
    <row r="90" spans="1:10" x14ac:dyDescent="0.25">
      <c r="A90" s="42" t="s">
        <v>111</v>
      </c>
    </row>
    <row r="91" spans="1:10" x14ac:dyDescent="0.25">
      <c r="A91" s="42" t="s">
        <v>127</v>
      </c>
    </row>
    <row r="92" spans="1:10" x14ac:dyDescent="0.25">
      <c r="A92" s="42" t="s">
        <v>120</v>
      </c>
    </row>
    <row r="93" spans="1:10" x14ac:dyDescent="0.25">
      <c r="A93" s="42"/>
    </row>
    <row r="94" spans="1:10" x14ac:dyDescent="0.25">
      <c r="A94" s="42"/>
    </row>
    <row r="98" spans="1:7" x14ac:dyDescent="0.25">
      <c r="A98" s="230" t="s">
        <v>437</v>
      </c>
      <c r="B98" s="230"/>
      <c r="C98" s="230"/>
      <c r="E98" s="230" t="s">
        <v>436</v>
      </c>
      <c r="F98" s="230"/>
      <c r="G98" s="230"/>
    </row>
    <row r="99" spans="1:7" x14ac:dyDescent="0.25">
      <c r="A99" s="43" t="s">
        <v>128</v>
      </c>
      <c r="B99" s="43" t="s">
        <v>494</v>
      </c>
      <c r="E99" s="43" t="s">
        <v>452</v>
      </c>
    </row>
    <row r="101" spans="1:7" x14ac:dyDescent="0.25">
      <c r="A101" s="43" t="s">
        <v>516</v>
      </c>
    </row>
    <row r="102" spans="1:7" x14ac:dyDescent="0.25">
      <c r="A102" s="43" t="s">
        <v>118</v>
      </c>
    </row>
  </sheetData>
  <mergeCells count="23">
    <mergeCell ref="A41:B41"/>
    <mergeCell ref="A42:B42"/>
    <mergeCell ref="A45:B45"/>
    <mergeCell ref="A4:H4"/>
    <mergeCell ref="A5:B6"/>
    <mergeCell ref="C5:E6"/>
    <mergeCell ref="F5:H6"/>
    <mergeCell ref="I87:J87"/>
    <mergeCell ref="A1:J1"/>
    <mergeCell ref="A2:J2"/>
    <mergeCell ref="A3:J3"/>
    <mergeCell ref="E98:G98"/>
    <mergeCell ref="A86:H86"/>
    <mergeCell ref="A70:B70"/>
    <mergeCell ref="A71:B71"/>
    <mergeCell ref="A72:B72"/>
    <mergeCell ref="A77:B77"/>
    <mergeCell ref="A82:B82"/>
    <mergeCell ref="A98:C98"/>
    <mergeCell ref="A87:H87"/>
    <mergeCell ref="J5:J7"/>
    <mergeCell ref="A8:B8"/>
    <mergeCell ref="A26:B26"/>
  </mergeCells>
  <pageMargins left="0.25" right="0.25" top="0.62" bottom="0.75" header="0.3" footer="0.3"/>
  <pageSetup paperSize="9" scale="73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4.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carlos</cp:lastModifiedBy>
  <cp:lastPrinted>2019-11-26T21:28:20Z</cp:lastPrinted>
  <dcterms:created xsi:type="dcterms:W3CDTF">2001-11-14T15:50:59Z</dcterms:created>
  <dcterms:modified xsi:type="dcterms:W3CDTF">2019-11-27T21:32:58Z</dcterms:modified>
</cp:coreProperties>
</file>