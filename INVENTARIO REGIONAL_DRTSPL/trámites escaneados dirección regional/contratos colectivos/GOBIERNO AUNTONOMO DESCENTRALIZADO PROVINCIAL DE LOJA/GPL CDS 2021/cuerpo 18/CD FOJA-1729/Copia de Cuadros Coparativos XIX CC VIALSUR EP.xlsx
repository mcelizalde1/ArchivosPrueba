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0490" windowHeight="7065" activeTab="2"/>
  </bookViews>
  <sheets>
    <sheet name="FORMULARIO 1" sheetId="1" r:id="rId1"/>
    <sheet name="FORMULARIO 2" sheetId="2" r:id="rId2"/>
    <sheet name="FORMULARIO 3-ACTULALIZ.2019" sheetId="5" r:id="rId3"/>
    <sheet name="FORMULARIO 4" sheetId="4" r:id="rId4"/>
  </sheets>
  <definedNames>
    <definedName name="_xlnm._FilterDatabase" localSheetId="2" hidden="1">'FORMULARIO 3-ACTULALIZ.2019'!$A$8:$N$242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" l="1"/>
  <c r="H12" i="1"/>
  <c r="F12" i="1"/>
  <c r="H29" i="2"/>
  <c r="G29" i="2"/>
  <c r="F29" i="2"/>
</calcChain>
</file>

<file path=xl/sharedStrings.xml><?xml version="1.0" encoding="utf-8"?>
<sst xmlns="http://schemas.openxmlformats.org/spreadsheetml/2006/main" count="1111" uniqueCount="445">
  <si>
    <t>FORMULARIO 1: "FUENTES DE FINANCIAMIENTO DEL PROYECTO DE CONTRATO COLECTIVO"</t>
  </si>
  <si>
    <t>DETALLE DE INGRESOS</t>
  </si>
  <si>
    <t>EMPRESA PUBLICA DE VIALIDAD DEL SUR</t>
  </si>
  <si>
    <t>Nº PROYECTO CONTRATO COLECTIVO PROYECTO DECIMO NOVENO</t>
  </si>
  <si>
    <t>FUENTES DE FINANCIAMIENTO</t>
  </si>
  <si>
    <t>FINANCIAMIENTO CONTRATO COLECTIVO VIGENTE 2014</t>
  </si>
  <si>
    <t>FINANCIAMIENTO CONTRATO COLECTIVO PROPUESTO 2015</t>
  </si>
  <si>
    <t>FINANCIAMIENTO CONTRATO COLECTIVO PROPUESTO 2016</t>
  </si>
  <si>
    <t>OBSERVACIONES</t>
  </si>
  <si>
    <t>INGRESOS DE CAPITAL E INVERSION</t>
  </si>
  <si>
    <t>TRANSFERENCIAS Y DONACIONES DE CAPITAL E INVERSIÓN</t>
  </si>
  <si>
    <t>GOBIERNO PROVINCIAL DE LOJA</t>
  </si>
  <si>
    <t xml:space="preserve">TOTAL </t>
  </si>
  <si>
    <t>INCREMENTO PORCENTUAL</t>
  </si>
  <si>
    <t>Ing. Roberto Astudillo Medina</t>
  </si>
  <si>
    <t>_______________________________________________</t>
  </si>
  <si>
    <t>FIRMA DIRECTOR FINANCIERO VIALSUR EP.</t>
  </si>
  <si>
    <t>FORMULARIO 2: "COSTOS DEL PROYECTO DE CONTRATO COLECTIVO"</t>
  </si>
  <si>
    <t>Nº PROYECTO CONTRATO COLECTIVO DECIMO NOVENO</t>
  </si>
  <si>
    <t>CLASIFICADOR PRESUPUESTARIO</t>
  </si>
  <si>
    <t>GASTO DEL PERSONAL</t>
  </si>
  <si>
    <t>COSTO PROPUESTO CONTRATO COLECTIVO 2015</t>
  </si>
  <si>
    <t>COSTO PROPUESTO CONTRATO COLECTIVO 2016</t>
  </si>
  <si>
    <t>GASTO PERSONAL</t>
  </si>
  <si>
    <t>REMUNERACIONES BASICAS</t>
  </si>
  <si>
    <t>SALARIOS UNIFICADOS</t>
  </si>
  <si>
    <t xml:space="preserve">REMUNERACIONES COMPLEMENTARIAS </t>
  </si>
  <si>
    <t>DECIMOTERCER SUELDO</t>
  </si>
  <si>
    <t>DECIMOCUARTO SUELDO</t>
  </si>
  <si>
    <t>REMUNERACIONES COMPENSATORIAS</t>
  </si>
  <si>
    <t>COMPENSACION POR TRANSPORTE</t>
  </si>
  <si>
    <t>ALIMENTACION</t>
  </si>
  <si>
    <t>SUBSIDIOS</t>
  </si>
  <si>
    <t>POR CARGAS FAMILIARES</t>
  </si>
  <si>
    <t>SUBSIDIO POR ANTIGÜEDAD</t>
  </si>
  <si>
    <t>APORTES A LA SEGURIDAD SOCIAL</t>
  </si>
  <si>
    <t>710601</t>
  </si>
  <si>
    <t xml:space="preserve">APORTE PATRONAL </t>
  </si>
  <si>
    <t>710602</t>
  </si>
  <si>
    <t xml:space="preserve">FONDO DE RESERVA </t>
  </si>
  <si>
    <t>710603</t>
  </si>
  <si>
    <t>FONDO DE JUBILACION PATRONAL</t>
  </si>
  <si>
    <t xml:space="preserve">INDEMNIZACIONES </t>
  </si>
  <si>
    <t>COMPENSACION POR DESAHUCIO</t>
  </si>
  <si>
    <t xml:space="preserve">POR JUBILACIÓN </t>
  </si>
  <si>
    <t>Bienes de Uso y Consumo de Inversión</t>
  </si>
  <si>
    <t>VESTUARIO, LENCERIA Y PRENDAS DE PROTECCION</t>
  </si>
  <si>
    <t>MINISTERIO DE ECONOMIA Y FINANZAS</t>
  </si>
  <si>
    <r>
      <rPr>
        <b/>
        <sz val="10"/>
        <rFont val="Calibri"/>
        <family val="2"/>
        <scheme val="minor"/>
      </rPr>
      <t xml:space="preserve">Nota. </t>
    </r>
    <r>
      <rPr>
        <sz val="10"/>
        <rFont val="Calibri"/>
        <family val="2"/>
        <scheme val="minor"/>
      </rPr>
      <t>Para el Año 2016 no se registran rubros correspondientes a "BIENES DE USO Y CONSUMO DE INVERSION",  debido a que el GAD Provincial de Loja, adquiere directamente estos bienes y los entrega a VIALSUR EP para la respectiva entrega al personal operativo.</t>
    </r>
  </si>
  <si>
    <t>DISTRIBUTIVO DE SALARIO UNIFICADO DESAGREGADO POR TRABAJADOR</t>
  </si>
  <si>
    <t>EMPRESA PÚBLICA DE VIALIDAD DEL SUR</t>
  </si>
  <si>
    <t>Nº PROYECTO CONTRATO COLECTIVO: DECIMO NOVENO</t>
  </si>
  <si>
    <t>CEDULA</t>
  </si>
  <si>
    <t>APELLIDOS Y NOMBRES</t>
  </si>
  <si>
    <t>GRADO DEL CARGO O PUESTO</t>
  </si>
  <si>
    <t>DENOMINACIÓN DEL PUESTO O CARGO DE OCUPACIÓN</t>
  </si>
  <si>
    <t>REMUNERACIÓN UNIFICADA CONTRATO COLECTIVO VIGENTE 2014</t>
  </si>
  <si>
    <t>REMUNERACIÓN UNIFICADA CONTRATO COLECTIVO PROPUESTO 2015</t>
  </si>
  <si>
    <t>REMUNERACIÓN UNIFICADA CONTRATO COLECTIVO PROPUESTO 2016</t>
  </si>
  <si>
    <t>PROYECTO DE INVERSION</t>
  </si>
  <si>
    <t>FECHA DE INGRESO A VIALSUR E.P.</t>
  </si>
  <si>
    <t>ABRIGO DIAZ MARCO  ALBERTO</t>
  </si>
  <si>
    <t>GUARDIAN</t>
  </si>
  <si>
    <t>MANTENIMIENTO Y MEJORAMIENTO VIAL</t>
  </si>
  <si>
    <t>ABRIGO ORTEGA ANGEL BOLIVAR</t>
  </si>
  <si>
    <t>OPERADOR DE MOTONIVELADORA</t>
  </si>
  <si>
    <t>AGILA VASQUEZ JOSE ARMANDO</t>
  </si>
  <si>
    <t>AYUDANTE DE EQUIPO Y/O MAQUINARIA PESADA</t>
  </si>
  <si>
    <t>AGUIRRE GUZMAN JORGE ROLANDO</t>
  </si>
  <si>
    <t>OPERADOR DE MAQUINARIA O EQUIPO PESADO</t>
  </si>
  <si>
    <t>AGUIRRE PAZ RAMIRO GABRIEL</t>
  </si>
  <si>
    <t>AGURTO ERIQUE VICTOR VICENTE</t>
  </si>
  <si>
    <t>CHOFER DE VEHICULOS PESADOS</t>
  </si>
  <si>
    <t>0101325512</t>
  </si>
  <si>
    <t>ALARCON HUGO ANIBAL</t>
  </si>
  <si>
    <t>SUPERVISOR DE MANTENIMIENTO, EQUIPO PESADO Y AUTOMOTRIZ</t>
  </si>
  <si>
    <t>ALBERCA ARMIJOS  CESARIO AGUSTIN</t>
  </si>
  <si>
    <t>CADENERO</t>
  </si>
  <si>
    <t>1101740460</t>
  </si>
  <si>
    <t>ALVARADO ALVARADO MANUEL IGNACIO</t>
  </si>
  <si>
    <t>OPERADOR DE DISTRIBUIDOR DE AGREGADOS</t>
  </si>
  <si>
    <t>ALVARADO JARAMILLO JUAN CARLOS</t>
  </si>
  <si>
    <t>ALVARADO LEON ELEUTERIO</t>
  </si>
  <si>
    <t>OPERADOR DE EXCAVADORA</t>
  </si>
  <si>
    <t>ALVAREZ CHAVEZ JUAN PABLO</t>
  </si>
  <si>
    <t>AYUDANTE DE MECÁNICA DE EQUIPOS Y/O MAQUINARIA</t>
  </si>
  <si>
    <t>APOLO PINZA ELSA</t>
  </si>
  <si>
    <t>COCINERO</t>
  </si>
  <si>
    <t>AREVALO  SUCUNUTA VICTOR ALFREDO</t>
  </si>
  <si>
    <t>AREVALO VALDIVIESO RICHARD SONY</t>
  </si>
  <si>
    <t>AYUDANTE DE MECÁNICA</t>
  </si>
  <si>
    <t>ARIAS VIVANCO ESTEBAN MANUEL</t>
  </si>
  <si>
    <t>ARMIJOS CABRERA JUNIOR ONOFRE</t>
  </si>
  <si>
    <t>0701074031</t>
  </si>
  <si>
    <t>ARMIJOS TORO HARALDO ONOFRE</t>
  </si>
  <si>
    <t>BALLESTEROS CAIZA ALVARO RENATO</t>
  </si>
  <si>
    <t>VULCANIZADOR</t>
  </si>
  <si>
    <t>BANEGAS CARAGUAY LORGIO EDLIDER</t>
  </si>
  <si>
    <t>TECNICO DE MANTENIMIENTO</t>
  </si>
  <si>
    <t>BARBA GORDILLO ESTEBAN NOE</t>
  </si>
  <si>
    <t>BECERRA LOPEZ LUIS MIGUEL</t>
  </si>
  <si>
    <t>BECERRA SANCHEZ HECTOR GENARO</t>
  </si>
  <si>
    <t>BENALCAZAR CASTILLO WILSON PATRICIO</t>
  </si>
  <si>
    <t>SUPERVISOR DE PISOS</t>
  </si>
  <si>
    <t>BENITEZ QUEZADA VINICIO LEONARDO</t>
  </si>
  <si>
    <t>BERMEO YAGUACHE CARLOS VICENTE</t>
  </si>
  <si>
    <t>BRAVO SANMARTIN STALIN ARMANDO</t>
  </si>
  <si>
    <t>AYUDANTE DE MECANICA</t>
  </si>
  <si>
    <t>BRAVO YANANGOMEZ CRISTOBAL FERNANDO</t>
  </si>
  <si>
    <t>AUXILIAR DE LABORATORIO DE SUELOS</t>
  </si>
  <si>
    <t>BRICEÑO CALVA FREDY WILLAN</t>
  </si>
  <si>
    <t xml:space="preserve">BUSTAMANTE MOROCHO JORGE </t>
  </si>
  <si>
    <t>CABRERA MACANCHI HOLBER BERNARDO</t>
  </si>
  <si>
    <t>MAQUINISTA AUXILIAR</t>
  </si>
  <si>
    <t>CABRERA NEIRA FLORESMILO</t>
  </si>
  <si>
    <t>CANGO AGUIRRE MARIA DEL CARMEN</t>
  </si>
  <si>
    <t>CAPA CHAPA FRANGIL ALFREDO</t>
  </si>
  <si>
    <t>CARCHI FLORES CARLOS ENRIQUE</t>
  </si>
  <si>
    <t>0704099712</t>
  </si>
  <si>
    <t>CARPIO PAUTE CRISTIAN MANUEL</t>
  </si>
  <si>
    <t>OPERADOR DE CARGADORA</t>
  </si>
  <si>
    <t>CARPIO QUISHPE JOSE MAXIMILIANO</t>
  </si>
  <si>
    <t>CARRION ANGEL MELECIO</t>
  </si>
  <si>
    <t>CARRION CARRION FRANCISCO ROBERTO</t>
  </si>
  <si>
    <t>OPERADOR DE TRACTOR</t>
  </si>
  <si>
    <t>CARTUCHE MUNOZ LUIS PATRICIO</t>
  </si>
  <si>
    <t>CASTILLO TOLEDO MARCO ALBERTO</t>
  </si>
  <si>
    <t>CASTILLO VICENTE BOLIVAR</t>
  </si>
  <si>
    <t>CHALAN LIVISACA ANGEL GUILLERMO</t>
  </si>
  <si>
    <t>CHAMBA CAÑAR JOSE FABIAN</t>
  </si>
  <si>
    <t>CHAMBA TUQUERES VICTOR IVAN</t>
  </si>
  <si>
    <t>CHAMBA VEINTIMILLA MIGUEL EDUARDO</t>
  </si>
  <si>
    <t>0502422785</t>
  </si>
  <si>
    <t>CHICAIZA CHILUISA JUAN CARLOS</t>
  </si>
  <si>
    <t>AYUDANTE DE ALBAÑIL</t>
  </si>
  <si>
    <t>CHUQUIMARCA CHUQUIMARCA MARIA CARMITA</t>
  </si>
  <si>
    <t xml:space="preserve">CORDOVA PALADINES JUAN CARLOS </t>
  </si>
  <si>
    <t>CORDOVA PASACA CRISTIAN AUGUSTO</t>
  </si>
  <si>
    <t>CORDOVA SOCOLA VICTOR HERNALDO</t>
  </si>
  <si>
    <t>CORONEL CORONEL ANGEL RAMIRO</t>
  </si>
  <si>
    <t>CRIOLLO SALINAS EDWIN FABIAN</t>
  </si>
  <si>
    <t>CRUZ CUEVA DEYSI ADMIRIAN</t>
  </si>
  <si>
    <t>CUENCA BAHO HENRRY RAFAEL</t>
  </si>
  <si>
    <t xml:space="preserve">CUENCA MINGA JUAN HUMBERTO </t>
  </si>
  <si>
    <t>CUENCA TOAPANTA EDGAR EFREN</t>
  </si>
  <si>
    <t>AYUDANTE DE TOPOGRAFÍA</t>
  </si>
  <si>
    <t>1103069082</t>
  </si>
  <si>
    <t xml:space="preserve">CURIMILMA PAUTE JUAN RAMON  </t>
  </si>
  <si>
    <t>AYUDANTE DE CUADRILLA</t>
  </si>
  <si>
    <t>DELGADO CUENCA ERNESTO AMABLE</t>
  </si>
  <si>
    <t>CHOFER VEHICULOS LIVIANOS</t>
  </si>
  <si>
    <t>ERAS JIMENEZ ANGEL AUGUSTO</t>
  </si>
  <si>
    <t>ERRAEZ VEINTIMILLA JOSE RICARDO</t>
  </si>
  <si>
    <t>DESPACHADOR DE MATERIALES</t>
  </si>
  <si>
    <t>ERREYES GUALAN VICTOR ROBER</t>
  </si>
  <si>
    <t>ESPARZA SINCHIRI VICTOR HUGO</t>
  </si>
  <si>
    <t>SOLDADOR</t>
  </si>
  <si>
    <t>ESPINOZA JIMENEZ LUIS EDUARDO</t>
  </si>
  <si>
    <t>FEBRES ORDONEZ MAX  ARTURO</t>
  </si>
  <si>
    <t>FERNANDEZ FREIRE DANIEL VICTORIANO</t>
  </si>
  <si>
    <t>INSPECTOR SOBRESTANTE</t>
  </si>
  <si>
    <t>0701764672</t>
  </si>
  <si>
    <t>GALVEZ CHUQUIMARCA LUIS ALFREDO</t>
  </si>
  <si>
    <t>ALBAÑIL</t>
  </si>
  <si>
    <t>GALVEZ OCHOA MIGUEL ANGEL</t>
  </si>
  <si>
    <t>GANAZHAPA PLACENCIA MARIA CONSOLACION</t>
  </si>
  <si>
    <t>GAONA CHAMBA MILTON ESTUARDO</t>
  </si>
  <si>
    <t>GAONA JIMENEZ JOSE VICENTE</t>
  </si>
  <si>
    <t xml:space="preserve">GARCIA SALAZAR DIEGO ROBERTO </t>
  </si>
  <si>
    <t>GIRON LOAIZA JHONATAN ALEXANDER</t>
  </si>
  <si>
    <t>GONZAGA JARAMILLO CARLOS GERMAN</t>
  </si>
  <si>
    <t>GONZALEZ CORREA JULIO CESAR</t>
  </si>
  <si>
    <t>GORDILLO AREVALO YOLANDA NARCIZA</t>
  </si>
  <si>
    <t>GRANDA INIGUEZ JOSE AUGUSTO</t>
  </si>
  <si>
    <t>GRANDA PATIÑO FREDY AGUSTIN</t>
  </si>
  <si>
    <t>GUAICHA JARAMILLO JULIO CESAR</t>
  </si>
  <si>
    <t>GUAMAN ALVARADO ANGEL MODESTO</t>
  </si>
  <si>
    <t>OPERADOR DE RODILLO</t>
  </si>
  <si>
    <t>GUAMAN CABRERA SEGUNDO EMILIANO</t>
  </si>
  <si>
    <t>GUAMAN CHAMBA MANUEL ANTONIO</t>
  </si>
  <si>
    <t>GUAMAN REYES HERMÁN ANIBAL</t>
  </si>
  <si>
    <t>GUERRERO ABAD JOSE EDILBERTO</t>
  </si>
  <si>
    <t>OPERDOR DE TRACTOR</t>
  </si>
  <si>
    <t>GUERRERO BERMEO HENRY STALIN</t>
  </si>
  <si>
    <t>GUERRERO BERMO DIEGO ESTUARDO</t>
  </si>
  <si>
    <t>GUERRERO CAMPOS ROBERTO FERNANDO</t>
  </si>
  <si>
    <t>GUERRERO PILCO OSCAR WALTER</t>
  </si>
  <si>
    <t>GUERRERO PILCO PEDRO VITALIANO</t>
  </si>
  <si>
    <t>JAPON VIÑAMAGUA MIGUEL ARCENIO</t>
  </si>
  <si>
    <t>TECNICO DE EQUIPO Y MOTORES A DIESEL</t>
  </si>
  <si>
    <t>JARA SANCHEZ ALCIDES</t>
  </si>
  <si>
    <t>1102750278</t>
  </si>
  <si>
    <t>JARAMILLO BARRERA SANTOS AMABLE</t>
  </si>
  <si>
    <t>JARAMILLO ORDOÑEZ FREDDY AUGUSTO</t>
  </si>
  <si>
    <t>JARAMILLO PERALTA VICTOR HUGO</t>
  </si>
  <si>
    <t>JARAMILLO ROMERO FRANCO TULIO</t>
  </si>
  <si>
    <t>JARAMILLO SIZALIMA JOSE ALBERTO</t>
  </si>
  <si>
    <t>1102228838</t>
  </si>
  <si>
    <t>JIMENEZ JIMENEZ MELECIO</t>
  </si>
  <si>
    <t>JIMENEZ MANUEL DE JESUS</t>
  </si>
  <si>
    <t>JIMENEZ TORRES WILSON ALEJANDRO</t>
  </si>
  <si>
    <t>1900451764</t>
  </si>
  <si>
    <t>JUMBO JIMENEZ SERGIO ADALBERTO</t>
  </si>
  <si>
    <t>JUMBO PASICHE JOSE SERVILIO</t>
  </si>
  <si>
    <t>JUNCAY AMAY CRISTOBAL</t>
  </si>
  <si>
    <t>LAFEBRE CORDOVA MILTON ERWIN</t>
  </si>
  <si>
    <t>LANCHE LANCHE EDGAR LEONARDO</t>
  </si>
  <si>
    <t>LANCHE TANDAZO OSCAR ALBERTANO</t>
  </si>
  <si>
    <t>LARA OCHOA ANGEL ERNESTO EDMUNDO</t>
  </si>
  <si>
    <t>LEON OCHOA LUIS ANTONIO</t>
  </si>
  <si>
    <t>LEON PEREZ WASHINGTON ROBERTO</t>
  </si>
  <si>
    <t>LIMA MIRANDA JOSE MARIA</t>
  </si>
  <si>
    <t>1103807986</t>
  </si>
  <si>
    <t>LIVISACA LOJAN HOLGER MANOLO</t>
  </si>
  <si>
    <t>LOAIZA HERRERA BYRON EFRAIN</t>
  </si>
  <si>
    <t>LOJAN CALLE FERNANDO PATRICIO</t>
  </si>
  <si>
    <t>ELECTRICISTA</t>
  </si>
  <si>
    <t>LOPEZ POMA BAYRON ANIBAL</t>
  </si>
  <si>
    <t>MACANCHI PEÑA JULIO ROBIN</t>
  </si>
  <si>
    <t>MALDONADO JULIO EDUARDO</t>
  </si>
  <si>
    <t>OPERADOR DE RETROEXCAVADORA</t>
  </si>
  <si>
    <t>MALDONADO ROJAS MARLENIY CUMANDA</t>
  </si>
  <si>
    <t>MALDONADO ROJAS VICENTE</t>
  </si>
  <si>
    <t>MAYO PATINO PEDRO</t>
  </si>
  <si>
    <t>1102641733</t>
  </si>
  <si>
    <t>MAZA JOSE VINICIO</t>
  </si>
  <si>
    <t>MEDINA ARMIJOS MIGUEL ANGEL</t>
  </si>
  <si>
    <t>MEDINA MEDINA LUZ EDELMIRA</t>
  </si>
  <si>
    <t>MEDINA MEDINA MERCY OLIVIA</t>
  </si>
  <si>
    <t>CONSERJE EXTERNO</t>
  </si>
  <si>
    <t>MENDIETA LUDEÑA HENRY ARTURO</t>
  </si>
  <si>
    <t>MENDOZA TORRES WALTER HUGO</t>
  </si>
  <si>
    <t>MERINO GUARNIZO JORGE WASHINGTON</t>
  </si>
  <si>
    <t>AYUDANTE DE SOLDADOR</t>
  </si>
  <si>
    <t>MERINO HEREDIA GONZALO</t>
  </si>
  <si>
    <t>MERINO JIMENEZ MIGUEL FRANCO</t>
  </si>
  <si>
    <t>MERINO ROSILLO ALBERTO</t>
  </si>
  <si>
    <t>MICHAY GUAYA LUIS ALBERTO</t>
  </si>
  <si>
    <t>MINGA DIAZ HERIBERTO</t>
  </si>
  <si>
    <t>MIRANDA ZAPATA JORGE EDUARDO</t>
  </si>
  <si>
    <t>MONTAÑO LABANDA ANGEL MEDARDO</t>
  </si>
  <si>
    <t>MONTOYA PUCHAICELA MANUEL DE JESUS</t>
  </si>
  <si>
    <t>MOROCHO CARCHI MANUEL EFRAIN</t>
  </si>
  <si>
    <t>MOROCHO JARAMILLO WILMER LEONARDO</t>
  </si>
  <si>
    <t>0101291227</t>
  </si>
  <si>
    <t>MOROCHO JOSE DARIO</t>
  </si>
  <si>
    <t>MOROCHO LITUMA ROSA MARGARITA</t>
  </si>
  <si>
    <t>MOROCHO QUEZADA YODER LUIS</t>
  </si>
  <si>
    <t>NAMICELA GUALAN JOSE HUMBERTO</t>
  </si>
  <si>
    <t>NEIRA SOLANO OSMAR</t>
  </si>
  <si>
    <t>NIVELO MARTINEZ LUIS  ENRIQUE</t>
  </si>
  <si>
    <t>OCHOA VALDIVIESO IGNACIO TARQUINO</t>
  </si>
  <si>
    <t>OCHOA VILLA MANUEL MARIN</t>
  </si>
  <si>
    <t>ORDOÑEZ CRUZ MARIA JANETH</t>
  </si>
  <si>
    <t>ORDOÑEZ GORDILLO ANGEL ALFONSO</t>
  </si>
  <si>
    <t>ORDOÑEZ JUMBO WILMAN ADAN</t>
  </si>
  <si>
    <t>1103561260</t>
  </si>
  <si>
    <t>ORDOÑEZ RAMON NELSON VICENTE</t>
  </si>
  <si>
    <t>ORTEGA CAPA JOSE ORLANDO</t>
  </si>
  <si>
    <t>0701902173</t>
  </si>
  <si>
    <t>ORTEGA CASTRO JUAN FRANCISCO</t>
  </si>
  <si>
    <t>ORTIZ OCAMPO ANGEL BENIGNO</t>
  </si>
  <si>
    <t xml:space="preserve">ORTIZ OCAMPO HECTOR HUGO </t>
  </si>
  <si>
    <t>ORTIZ SILVA CRISTIAN ISRAEL</t>
  </si>
  <si>
    <t>0703707091</t>
  </si>
  <si>
    <t>OVIEDO OCHOA CLAUDIO ANTERO</t>
  </si>
  <si>
    <t>0703708248</t>
  </si>
  <si>
    <t>OVIEDO OCHOA PABLO YHOVANY</t>
  </si>
  <si>
    <t>OVIEDO VALDEZ SANTOS MARINO</t>
  </si>
  <si>
    <t>PACCHA VIÑAMAGUA FELIPE</t>
  </si>
  <si>
    <t>PACHECO CARPIO LEONIDAS HUMBERTO</t>
  </si>
  <si>
    <t>PALACIOS JIMENEZ VICTOR EDUARDO</t>
  </si>
  <si>
    <t>PALADINES BRAVO GILBERTH GEOVANY</t>
  </si>
  <si>
    <t>0704004514</t>
  </si>
  <si>
    <t>PALADINES BRAVO JIOVER RAMIRO</t>
  </si>
  <si>
    <t>1102951496</t>
  </si>
  <si>
    <t>PALADINES MEDINA FRANKLIN ORLANDO</t>
  </si>
  <si>
    <t>PAUTE MALLA JOSE ONIAS</t>
  </si>
  <si>
    <t>PAUTE PUCHAICELA CARLOS ENRIQUE</t>
  </si>
  <si>
    <t>PESANTEZ LEON PATRICIO GEOVANNY</t>
  </si>
  <si>
    <t>PICOITA OCHOA LEONCIO</t>
  </si>
  <si>
    <t>PICUITA ABRIGO JULIO CESAR</t>
  </si>
  <si>
    <t>PINEDA LUDEÑA ANGEL EDUARDO</t>
  </si>
  <si>
    <t>PINTADO CUMBICUS CARLOS ANTONIO</t>
  </si>
  <si>
    <t>PINTADO GAONA JOSE DANILO</t>
  </si>
  <si>
    <t>POGO SARANGO BAYRON VINICIO</t>
  </si>
  <si>
    <t>POMA BERMEO MARIA ESPERANZA</t>
  </si>
  <si>
    <t>POMA VALVERDE VICTOR MANUEL</t>
  </si>
  <si>
    <t xml:space="preserve">OPERADOR DE EXCAVADORA </t>
  </si>
  <si>
    <t>PONTON QUEVEDO SIMON BOLIVAR</t>
  </si>
  <si>
    <t>1103146724</t>
  </si>
  <si>
    <t>PUCHAICELA ARMIJOS SEGUNDO MANUEL</t>
  </si>
  <si>
    <t xml:space="preserve">QUEZADA GONZALEZ ROBERTO SEGUNDO </t>
  </si>
  <si>
    <t xml:space="preserve">QUEZADA GORDILLO JUAN CARLOS </t>
  </si>
  <si>
    <t>QUEZADA ORDOÑEZ MARCO VINICIO</t>
  </si>
  <si>
    <t>QUEZADA VICENTE GERARDO</t>
  </si>
  <si>
    <t>0702572330</t>
  </si>
  <si>
    <t>QUISHPE CUEVA PEDRO ECUADOR</t>
  </si>
  <si>
    <t>0916657463</t>
  </si>
  <si>
    <t>QUITUISACA URGILES JACINTO PATRICIO</t>
  </si>
  <si>
    <t xml:space="preserve">OPERADOR DE RETROEXCAVADORA </t>
  </si>
  <si>
    <t>RAMIREZ MATAILO TANYA ELIZABETH</t>
  </si>
  <si>
    <t>RAMIREZ PERALTA CARLOS NIVARDO</t>
  </si>
  <si>
    <t>AUXILIAR DE ELECTRICIDAD</t>
  </si>
  <si>
    <t>RAMON PICOITA VICTOR ALFREDO</t>
  </si>
  <si>
    <t>REBILLA SINCHE TULIO CLOTARIO</t>
  </si>
  <si>
    <t>REYES MERINO ANGEL GABRIEL</t>
  </si>
  <si>
    <t>RIOFRIO MARIN STALIN VICENTE</t>
  </si>
  <si>
    <t>1101751442</t>
  </si>
  <si>
    <t>RIOS SANCHEZ CARLOS MARIA</t>
  </si>
  <si>
    <t>RIVERA CUEVA  JOSE AMABLE</t>
  </si>
  <si>
    <t>RIVERA ORELLANA CELSO RAUL</t>
  </si>
  <si>
    <t>ROGEL CASTILLO JOSÉ MANUEL</t>
  </si>
  <si>
    <t>ROHODEN PUGLLA WILSON YOVANNI</t>
  </si>
  <si>
    <t>1703662674</t>
  </si>
  <si>
    <t>ROJAS ANDRADE FREDIN EDUARDO</t>
  </si>
  <si>
    <t>1104396658</t>
  </si>
  <si>
    <t>ROJAS MEJIA ANGEL GONZALO</t>
  </si>
  <si>
    <t>1104168453</t>
  </si>
  <si>
    <t>ROMAN CASTILLO EDWIN FABIAN</t>
  </si>
  <si>
    <t>ROMAN ELVIA MARIA</t>
  </si>
  <si>
    <t>ROMAN HIDALGO ROQUE ANTONIO</t>
  </si>
  <si>
    <t>TECNICO DE ELECTRICIDAD</t>
  </si>
  <si>
    <t>ROMAN ROMAN PAQUITO MELO</t>
  </si>
  <si>
    <t>ROMERO AVILA MOISES AGUSTIN</t>
  </si>
  <si>
    <t>ROMERO CORDOVA JOSE LUIS</t>
  </si>
  <si>
    <t>ROMERO TAPIA KLEVER AUGUSTO</t>
  </si>
  <si>
    <t>RUIZ JOSE MARCOLINO</t>
  </si>
  <si>
    <t>RUIZ JUELA JULIO RIGOBERTO</t>
  </si>
  <si>
    <t>RUIZ SALINAS SEGUNDO ALBERTO</t>
  </si>
  <si>
    <t>PINTOR</t>
  </si>
  <si>
    <t>RUIZ SARMIENTO MARCO PATRICIO</t>
  </si>
  <si>
    <t>RUQUE MOROCHO EDWIN MARCONI</t>
  </si>
  <si>
    <t>SALINAS GUTIERREZ JOSE ENRIQUE</t>
  </si>
  <si>
    <t>SALINAS PEREZ MANUEL AGUSTIN</t>
  </si>
  <si>
    <t>SAMANIEGO CABRERA LUIS ALBERTO</t>
  </si>
  <si>
    <t>SANCHEZ CUEVA MARLON ESTUARDO</t>
  </si>
  <si>
    <t>SANCHEZ HIDALGO CARLOS EDUARDO</t>
  </si>
  <si>
    <t>SANCHEZ NORGE ANTONIO</t>
  </si>
  <si>
    <t xml:space="preserve">OPERADOR DE CARGADORA </t>
  </si>
  <si>
    <t>SANTIN BEJARANO MODESTO AGUSTIN</t>
  </si>
  <si>
    <t>SANTIN CARRION RODRIGO</t>
  </si>
  <si>
    <t>SARMIENTO ORTIZ LEONARDO MAURICIO</t>
  </si>
  <si>
    <t>SISALIMA ARIAS WALTER RODRIGO</t>
  </si>
  <si>
    <t>SISALIMA ORELLANA HECTOR HUGO</t>
  </si>
  <si>
    <t>SOLORZANO AREVALO FREDY AGUSTIN</t>
  </si>
  <si>
    <t>SOTO TACURI VICTOR MANUEL</t>
  </si>
  <si>
    <t>1101509634</t>
  </si>
  <si>
    <t>SOTOMAYOR CASTRO GALO EDILGIO</t>
  </si>
  <si>
    <t>SUAREZ ADOLFO DE JESUS</t>
  </si>
  <si>
    <t>1104020308</t>
  </si>
  <si>
    <t>SUQUILANDA PINEDA  WILMAN  OSWALDO</t>
  </si>
  <si>
    <t>TORRES CAMPOVERDE JORGE VICENTE</t>
  </si>
  <si>
    <t>TORRES GUARNIZO VICTOR MANUEL</t>
  </si>
  <si>
    <t>VALDIVIESO JIMENEZ CARLOS YOVANY</t>
  </si>
  <si>
    <t>VALDIVIESO JIMENEZ VICTOR</t>
  </si>
  <si>
    <t>VERDUGA FARFÁN JORGE HEXMAN ANTONIO</t>
  </si>
  <si>
    <t>VILLALBA MORALES MANUEL MESIAS</t>
  </si>
  <si>
    <t>VILLALTA CRUZ</t>
  </si>
  <si>
    <t>VILLAVICENCIO GUAMAN GORKI DUMAN</t>
  </si>
  <si>
    <t>VILLAVICENCIO OJEDA VICENTE OSWALDO</t>
  </si>
  <si>
    <t>VIVANCO CORDOVA ANGEL SALVADOR</t>
  </si>
  <si>
    <t>ZHUNAULA CASTRO EDGAR PATRICIO</t>
  </si>
  <si>
    <t>TOTAL RMU</t>
  </si>
  <si>
    <t>TOTAL RAU</t>
  </si>
  <si>
    <r>
      <t>FORMULARIO 3: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 xml:space="preserve">"COMPARATIVO ENTRE REMUNERACIÓN UNIFICADA Y PROPUESTA" </t>
    </r>
  </si>
  <si>
    <t>No. TRABAJ</t>
  </si>
  <si>
    <t>COSTO CONTRATO COLECTIVO VIGENTE 2014</t>
  </si>
  <si>
    <t>_____________________________________________________</t>
  </si>
  <si>
    <t>DIRECTORA TALENTO HUMANO VIALSUR EP.</t>
  </si>
  <si>
    <t>Lic. Viviana Macas Toledo</t>
  </si>
  <si>
    <t>____________________________________________</t>
  </si>
  <si>
    <t>FORMULARIO 4</t>
  </si>
  <si>
    <t>FLUJO PRESUPUESTARIO DE INGRESOS Y GASTOS</t>
  </si>
  <si>
    <t>DETALLE DE GRUPOS Y SUBGRUPOS</t>
  </si>
  <si>
    <t>FLUJO HISTÓRICO (USD)</t>
  </si>
  <si>
    <t>FLUJO PROYECTADO (USD)</t>
  </si>
  <si>
    <t>Grupo y Subgrupo</t>
  </si>
  <si>
    <t xml:space="preserve">Descripción </t>
  </si>
  <si>
    <t>TOTAL INGRESOS CORRIENTES (1)</t>
  </si>
  <si>
    <t xml:space="preserve">Tasas y contribuciones </t>
  </si>
  <si>
    <t>Tasas generales</t>
  </si>
  <si>
    <t>Venta de Bienes y Servicios</t>
  </si>
  <si>
    <t>Rentas de Invesiones y Multas</t>
  </si>
  <si>
    <t>Transferencias y Donaciones Corrientes</t>
  </si>
  <si>
    <t>Otros ingresos</t>
  </si>
  <si>
    <t>Garantías y Fianzas</t>
  </si>
  <si>
    <t>Indemnizaciones y valores no reclamados</t>
  </si>
  <si>
    <t>Otros no Operacionales</t>
  </si>
  <si>
    <t>TOTAL GASTOS CORRIENTES (2)</t>
  </si>
  <si>
    <t>Gastos Financieros</t>
  </si>
  <si>
    <t>Otros gastos corrientes</t>
  </si>
  <si>
    <t>Transferencias y donaciones corrientes</t>
  </si>
  <si>
    <t>SUPERAVIT/DEFICIT CORRIENTE (1) - (2) = (3)</t>
  </si>
  <si>
    <t>INGRESOS DE CAPITAL E INVERSIÓN (4)</t>
  </si>
  <si>
    <t>Venta de activos no financieros</t>
  </si>
  <si>
    <t>Transferencias y donaciones de capital e inversión</t>
  </si>
  <si>
    <t>GASTOS DE CAPITAL E INVERSIÓN (5)</t>
  </si>
  <si>
    <t>Gastos en personal para Inversión</t>
  </si>
  <si>
    <t>Remuneraciones Básicas</t>
  </si>
  <si>
    <t>Remuneraciones Complementarias</t>
  </si>
  <si>
    <t>Remuneraciones Compensatorias</t>
  </si>
  <si>
    <t>Subsidios</t>
  </si>
  <si>
    <t>Remuneraciones Temporales</t>
  </si>
  <si>
    <t>Aportes Patronales a la Seguridad Social</t>
  </si>
  <si>
    <t>Indemnizaciones</t>
  </si>
  <si>
    <t>Bienes y servicios para inversión</t>
  </si>
  <si>
    <t>Obras públicas</t>
  </si>
  <si>
    <t>Otros Gastos de Inversión</t>
  </si>
  <si>
    <t>Transferencias y donaciones para inversión</t>
  </si>
  <si>
    <t>Bienes de larga duración</t>
  </si>
  <si>
    <t>Transferencias y donaciones de capital</t>
  </si>
  <si>
    <t>SUPERAVIT/DEFICIT DE CAPITAL E INVERSIÓN (4) - (5) = (6)</t>
  </si>
  <si>
    <t>SUPERAVIT/DEFICIT FISCAL  (3) + (6)</t>
  </si>
  <si>
    <t>FUENTES FINANCIERAS (7)</t>
  </si>
  <si>
    <t>Financiamiento Público</t>
  </si>
  <si>
    <t>Saldos disponibles</t>
  </si>
  <si>
    <t>Cuenta Pendientes por Cobrar</t>
  </si>
  <si>
    <t>USOS FINANCIEROS (8)</t>
  </si>
  <si>
    <t>Amortización de la deuda</t>
  </si>
  <si>
    <t>Pasivo Circulante</t>
  </si>
  <si>
    <t>SUPERAVIT/DEFICIT DE FINANCIAMIENTO (7) - (8)</t>
  </si>
  <si>
    <t>SUPERAVIT/DEFICIT DE PRESUPUESTARIO</t>
  </si>
  <si>
    <t xml:space="preserve">LÍMITES DE ENDEUDAMIENTO </t>
  </si>
  <si>
    <t>DEUDA PUBLICA</t>
  </si>
  <si>
    <t>SERVICIO DE DEUDA</t>
  </si>
  <si>
    <t>GERENTE GENERAL DE VIALSUR EP.</t>
  </si>
  <si>
    <t>DIRECTOR FINANCIERO DE VIALSUR EP.</t>
  </si>
  <si>
    <t>Ing. Fabian Villamagua Aguirre</t>
  </si>
  <si>
    <r>
      <rPr>
        <b/>
        <sz val="10"/>
        <color theme="1"/>
        <rFont val="Calibri"/>
        <family val="2"/>
        <scheme val="minor"/>
      </rPr>
      <t>Nota:</t>
    </r>
    <r>
      <rPr>
        <sz val="10"/>
        <color theme="1"/>
        <rFont val="Calibri"/>
        <family val="2"/>
        <scheme val="minor"/>
      </rPr>
      <t xml:space="preserve"> Las proyecciones del flujos se realizaron tomando el indicide inflacion del 2,50%</t>
    </r>
  </si>
  <si>
    <t>___________________________________________</t>
  </si>
  <si>
    <t>FINANCIAMIENTO CONTRATO COLECTIVO PROPUESTO 2017</t>
  </si>
  <si>
    <t>FINANCIAMIENTO CONTRATO COLECTIVO PROPUESTO 2018</t>
  </si>
  <si>
    <t>FINANCIAMIENTO CONTRATO COLECTIVO PROPUESTO 2019</t>
  </si>
  <si>
    <t>COSTO PROPUESTO CONTRATO COLECTIVO 2017</t>
  </si>
  <si>
    <t>COSTO PROPUESTO CONTRATO COLECTIVO 2018</t>
  </si>
  <si>
    <t>COSTO PROPUESTO CONTRATO COLECTIVO 2019</t>
  </si>
  <si>
    <t>REMUNERACIÓN UNIFICADA CONTRATO COLECTIVO PROPUESTO 2017</t>
  </si>
  <si>
    <t>REMUNERACIÓN UNIFICADA CONTRATO COLECTIVO PROPUESTO 2018</t>
  </si>
  <si>
    <t>REMUNERACIÓN UNIFICADA CONTRATO COLECTIVO PROPUESTO 2019</t>
  </si>
  <si>
    <t>SOBREVALORADO</t>
  </si>
  <si>
    <t>TOPOGRAFO</t>
  </si>
  <si>
    <t>Loja, 24 de enero de 2019</t>
  </si>
  <si>
    <t>Loja,24 enero de 2019</t>
  </si>
  <si>
    <t>Loja, 24 enero de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</si>
</sst>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 * #,##0.00_ ;_ * \-#,##0.00_ ;_ * &quot;-&quot;??_ ;_ @_ "/>
    <numFmt numFmtId="165" formatCode="_-* #,##0.00\ &quot;€&quot;_-;\-* #,##0.00\ &quot;€&quot;_-;_-* &quot;-&quot;??\ &quot;€&quot;_-;_-@_-"/>
    <numFmt numFmtId="183" formatCode="#,##0.00000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8"/>
      <name val="Calibri"/>
      <family val="2"/>
    </font>
    <font>
      <sz val="11"/>
      <color indexed="8"/>
      <name val="Calibri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20" fillId="0" borderId="0" applyFont="0" applyFill="0" applyBorder="0" applyAlignment="0" applyProtection="0"/>
    <xf numFmtId="0" fontId="20" fillId="0" borderId="0"/>
    <xf numFmtId="0" fontId="11" fillId="0" borderId="0"/>
    <xf numFmtId="0" fontId="23" fillId="0" borderId="0"/>
    <xf numFmtId="0" fontId="23" fillId="0" borderId="0"/>
    <xf numFmtId="164" fontId="20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48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/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4" fontId="15" fillId="0" borderId="1" xfId="0" applyNumberFormat="1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6" fillId="0" borderId="1" xfId="3" applyFont="1" applyBorder="1" applyAlignment="1">
      <alignment horizontal="left" vertical="center"/>
    </xf>
    <xf numFmtId="4" fontId="17" fillId="0" borderId="1" xfId="1" applyNumberFormat="1" applyFont="1" applyBorder="1" applyAlignment="1">
      <alignment horizontal="right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vertical="center"/>
    </xf>
    <xf numFmtId="10" fontId="18" fillId="5" borderId="1" xfId="2" applyNumberFormat="1" applyFont="1" applyFill="1" applyBorder="1" applyAlignment="1">
      <alignment vertical="center"/>
    </xf>
    <xf numFmtId="4" fontId="14" fillId="6" borderId="1" xfId="1" applyNumberFormat="1" applyFont="1" applyFill="1" applyBorder="1" applyAlignment="1">
      <alignment horizontal="right" vertical="center"/>
    </xf>
    <xf numFmtId="0" fontId="15" fillId="6" borderId="1" xfId="0" applyFont="1" applyFill="1" applyBorder="1" applyAlignment="1">
      <alignment vertical="center"/>
    </xf>
    <xf numFmtId="2" fontId="6" fillId="0" borderId="1" xfId="0" applyNumberFormat="1" applyFont="1" applyFill="1" applyBorder="1" applyAlignment="1">
      <alignment horizontal="right" vertical="center"/>
    </xf>
    <xf numFmtId="2" fontId="6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4" fontId="8" fillId="0" borderId="1" xfId="4" applyNumberFormat="1" applyFont="1" applyFill="1" applyBorder="1" applyAlignment="1">
      <alignment horizontal="right" vertical="center"/>
    </xf>
    <xf numFmtId="4" fontId="8" fillId="0" borderId="1" xfId="4" applyNumberFormat="1" applyFont="1" applyFill="1" applyBorder="1" applyAlignment="1">
      <alignment vertical="center" wrapText="1"/>
    </xf>
    <xf numFmtId="49" fontId="8" fillId="0" borderId="1" xfId="0" applyNumberFormat="1" applyFont="1" applyBorder="1" applyAlignment="1">
      <alignment horizontal="center" vertical="center"/>
    </xf>
    <xf numFmtId="4" fontId="8" fillId="0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 wrapText="1"/>
    </xf>
    <xf numFmtId="4" fontId="6" fillId="5" borderId="1" xfId="4" applyNumberFormat="1" applyFont="1" applyFill="1" applyBorder="1" applyAlignment="1">
      <alignment horizontal="right" vertical="center"/>
    </xf>
    <xf numFmtId="10" fontId="6" fillId="5" borderId="1" xfId="2" applyNumberFormat="1" applyFont="1" applyFill="1" applyBorder="1" applyAlignment="1">
      <alignment horizontal="right" vertical="center"/>
    </xf>
    <xf numFmtId="4" fontId="6" fillId="5" borderId="1" xfId="4" applyNumberFormat="1" applyFont="1" applyFill="1" applyBorder="1" applyAlignment="1">
      <alignment horizontal="center" vertical="center"/>
    </xf>
    <xf numFmtId="4" fontId="6" fillId="6" borderId="1" xfId="4" applyNumberFormat="1" applyFont="1" applyFill="1" applyBorder="1" applyAlignment="1">
      <alignment horizontal="right" vertical="center"/>
    </xf>
    <xf numFmtId="4" fontId="6" fillId="6" borderId="1" xfId="4" applyNumberFormat="1" applyFont="1" applyFill="1" applyBorder="1" applyAlignment="1">
      <alignment horizontal="center" vertical="center"/>
    </xf>
    <xf numFmtId="1" fontId="22" fillId="7" borderId="1" xfId="5" applyNumberFormat="1" applyFont="1" applyFill="1" applyBorder="1" applyAlignment="1">
      <alignment horizontal="right" vertical="center" wrapText="1"/>
    </xf>
    <xf numFmtId="49" fontId="15" fillId="7" borderId="1" xfId="5" applyNumberFormat="1" applyFont="1" applyFill="1" applyBorder="1" applyAlignment="1">
      <alignment vertical="center" wrapText="1"/>
    </xf>
    <xf numFmtId="0" fontId="17" fillId="7" borderId="1" xfId="0" applyFont="1" applyFill="1" applyBorder="1" applyAlignment="1">
      <alignment horizontal="center" vertical="center"/>
    </xf>
    <xf numFmtId="1" fontId="15" fillId="7" borderId="1" xfId="6" applyNumberFormat="1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2" fontId="15" fillId="7" borderId="1" xfId="7" applyNumberFormat="1" applyFont="1" applyFill="1" applyBorder="1" applyAlignment="1">
      <alignment horizontal="right" vertical="center"/>
    </xf>
    <xf numFmtId="4" fontId="17" fillId="7" borderId="1" xfId="0" applyNumberFormat="1" applyFont="1" applyFill="1" applyBorder="1" applyAlignment="1">
      <alignment horizontal="left" vertical="center"/>
    </xf>
    <xf numFmtId="14" fontId="24" fillId="7" borderId="1" xfId="0" applyNumberFormat="1" applyFont="1" applyFill="1" applyBorder="1" applyAlignment="1">
      <alignment vertical="center"/>
    </xf>
    <xf numFmtId="1" fontId="15" fillId="7" borderId="1" xfId="5" applyNumberFormat="1" applyFont="1" applyFill="1" applyBorder="1" applyAlignment="1">
      <alignment horizontal="right" vertical="center" wrapText="1"/>
    </xf>
    <xf numFmtId="2" fontId="15" fillId="7" borderId="1" xfId="5" applyNumberFormat="1" applyFont="1" applyFill="1" applyBorder="1" applyAlignment="1">
      <alignment horizontal="right" vertical="center"/>
    </xf>
    <xf numFmtId="0" fontId="22" fillId="7" borderId="1" xfId="8" applyFont="1" applyFill="1" applyBorder="1" applyAlignment="1">
      <alignment horizontal="right" vertical="center"/>
    </xf>
    <xf numFmtId="0" fontId="22" fillId="7" borderId="1" xfId="5" applyFont="1" applyFill="1" applyBorder="1" applyAlignment="1">
      <alignment horizontal="right" vertical="center"/>
    </xf>
    <xf numFmtId="1" fontId="22" fillId="7" borderId="1" xfId="5" applyNumberFormat="1" applyFont="1" applyFill="1" applyBorder="1" applyAlignment="1">
      <alignment horizontal="right" vertical="center"/>
    </xf>
    <xf numFmtId="0" fontId="15" fillId="7" borderId="1" xfId="8" applyFont="1" applyFill="1" applyBorder="1" applyAlignment="1">
      <alignment horizontal="right" vertical="center"/>
    </xf>
    <xf numFmtId="2" fontId="15" fillId="7" borderId="1" xfId="9" applyNumberFormat="1" applyFont="1" applyFill="1" applyBorder="1" applyAlignment="1">
      <alignment horizontal="right" vertical="center"/>
    </xf>
    <xf numFmtId="2" fontId="15" fillId="0" borderId="1" xfId="7" applyNumberFormat="1" applyFont="1" applyFill="1" applyBorder="1" applyAlignment="1">
      <alignment horizontal="right" vertical="center"/>
    </xf>
    <xf numFmtId="4" fontId="17" fillId="0" borderId="1" xfId="0" applyNumberFormat="1" applyFont="1" applyFill="1" applyBorder="1" applyAlignment="1">
      <alignment horizontal="left" vertical="center"/>
    </xf>
    <xf numFmtId="14" fontId="24" fillId="0" borderId="1" xfId="0" applyNumberFormat="1" applyFont="1" applyFill="1" applyBorder="1" applyAlignment="1">
      <alignment vertical="center"/>
    </xf>
    <xf numFmtId="2" fontId="15" fillId="0" borderId="1" xfId="9" applyNumberFormat="1" applyFont="1" applyFill="1" applyBorder="1" applyAlignment="1">
      <alignment horizontal="right" vertical="center"/>
    </xf>
    <xf numFmtId="1" fontId="22" fillId="7" borderId="1" xfId="8" applyNumberFormat="1" applyFont="1" applyFill="1" applyBorder="1" applyAlignment="1">
      <alignment horizontal="right" vertical="center"/>
    </xf>
    <xf numFmtId="0" fontId="22" fillId="7" borderId="1" xfId="5" applyNumberFormat="1" applyFont="1" applyFill="1" applyBorder="1" applyAlignment="1">
      <alignment horizontal="right" vertical="center" wrapText="1"/>
    </xf>
    <xf numFmtId="0" fontId="22" fillId="7" borderId="1" xfId="5" applyFont="1" applyFill="1" applyBorder="1" applyAlignment="1">
      <alignment horizontal="right" vertical="center" wrapText="1"/>
    </xf>
    <xf numFmtId="1" fontId="15" fillId="7" borderId="1" xfId="5" applyNumberFormat="1" applyFont="1" applyFill="1" applyBorder="1" applyAlignment="1">
      <alignment horizontal="right" vertical="center"/>
    </xf>
    <xf numFmtId="2" fontId="15" fillId="7" borderId="1" xfId="6" applyNumberFormat="1" applyFont="1" applyFill="1" applyBorder="1" applyAlignment="1">
      <alignment horizontal="right" vertical="center"/>
    </xf>
    <xf numFmtId="1" fontId="15" fillId="7" borderId="1" xfId="8" applyNumberFormat="1" applyFont="1" applyFill="1" applyBorder="1" applyAlignment="1">
      <alignment horizontal="right" vertical="center"/>
    </xf>
    <xf numFmtId="2" fontId="15" fillId="0" borderId="1" xfId="5" applyNumberFormat="1" applyFont="1" applyFill="1" applyBorder="1" applyAlignment="1">
      <alignment horizontal="right" vertical="center"/>
    </xf>
    <xf numFmtId="0" fontId="28" fillId="0" borderId="0" xfId="0" applyFont="1"/>
    <xf numFmtId="0" fontId="15" fillId="7" borderId="1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 wrapText="1"/>
    </xf>
    <xf numFmtId="4" fontId="18" fillId="5" borderId="1" xfId="0" applyNumberFormat="1" applyFont="1" applyFill="1" applyBorder="1" applyAlignment="1">
      <alignment horizontal="right" vertical="center" wrapText="1"/>
    </xf>
    <xf numFmtId="0" fontId="25" fillId="5" borderId="1" xfId="0" applyFont="1" applyFill="1" applyBorder="1" applyAlignment="1">
      <alignment vertical="center"/>
    </xf>
    <xf numFmtId="0" fontId="18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 wrapText="1"/>
    </xf>
    <xf numFmtId="4" fontId="18" fillId="6" borderId="1" xfId="0" applyNumberFormat="1" applyFont="1" applyFill="1" applyBorder="1" applyAlignment="1">
      <alignment horizontal="right" vertical="center" wrapText="1"/>
    </xf>
    <xf numFmtId="0" fontId="25" fillId="6" borderId="1" xfId="0" applyFont="1" applyFill="1" applyBorder="1" applyAlignment="1">
      <alignment vertical="center"/>
    </xf>
    <xf numFmtId="0" fontId="13" fillId="0" borderId="0" xfId="0" applyFont="1"/>
    <xf numFmtId="0" fontId="30" fillId="0" borderId="1" xfId="3" applyFont="1" applyBorder="1" applyAlignment="1">
      <alignment vertical="center"/>
    </xf>
    <xf numFmtId="4" fontId="30" fillId="0" borderId="1" xfId="3" applyNumberFormat="1" applyFont="1" applyBorder="1" applyAlignment="1">
      <alignment vertical="center"/>
    </xf>
    <xf numFmtId="0" fontId="16" fillId="0" borderId="1" xfId="3" applyFont="1" applyBorder="1" applyAlignment="1">
      <alignment vertical="center"/>
    </xf>
    <xf numFmtId="4" fontId="16" fillId="0" borderId="1" xfId="3" applyNumberFormat="1" applyFont="1" applyBorder="1" applyAlignment="1">
      <alignment vertical="center"/>
    </xf>
    <xf numFmtId="4" fontId="18" fillId="0" borderId="1" xfId="0" applyNumberFormat="1" applyFont="1" applyBorder="1" applyAlignment="1">
      <alignment vertical="center"/>
    </xf>
    <xf numFmtId="4" fontId="15" fillId="7" borderId="1" xfId="0" applyNumberFormat="1" applyFont="1" applyFill="1" applyBorder="1" applyAlignment="1">
      <alignment vertical="center"/>
    </xf>
    <xf numFmtId="4" fontId="18" fillId="0" borderId="1" xfId="0" applyNumberFormat="1" applyFont="1" applyBorder="1" applyAlignment="1">
      <alignment horizontal="right" vertical="center"/>
    </xf>
    <xf numFmtId="4" fontId="30" fillId="8" borderId="1" xfId="3" applyNumberFormat="1" applyFont="1" applyFill="1" applyBorder="1" applyAlignment="1">
      <alignment vertical="center"/>
    </xf>
    <xf numFmtId="0" fontId="16" fillId="8" borderId="1" xfId="3" applyFont="1" applyFill="1" applyBorder="1" applyAlignment="1">
      <alignment vertical="center"/>
    </xf>
    <xf numFmtId="4" fontId="18" fillId="8" borderId="1" xfId="3" applyNumberFormat="1" applyFont="1" applyFill="1" applyBorder="1" applyAlignment="1">
      <alignment vertical="center"/>
    </xf>
    <xf numFmtId="0" fontId="15" fillId="8" borderId="1" xfId="3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9" fillId="0" borderId="0" xfId="3" applyFont="1" applyFill="1" applyAlignment="1">
      <alignment vertical="center"/>
    </xf>
    <xf numFmtId="10" fontId="18" fillId="0" borderId="1" xfId="2" applyNumberFormat="1" applyFont="1" applyFill="1" applyBorder="1" applyAlignment="1">
      <alignment horizontal="center" vertical="center"/>
    </xf>
    <xf numFmtId="9" fontId="16" fillId="0" borderId="0" xfId="3" applyNumberFormat="1" applyFont="1" applyFill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3" applyFont="1" applyAlignment="1">
      <alignment vertical="center"/>
    </xf>
    <xf numFmtId="0" fontId="5" fillId="2" borderId="1" xfId="3" applyFont="1" applyFill="1" applyBorder="1" applyAlignment="1">
      <alignment vertical="center" wrapText="1"/>
    </xf>
    <xf numFmtId="0" fontId="19" fillId="3" borderId="1" xfId="3" applyFont="1" applyFill="1" applyBorder="1" applyAlignment="1">
      <alignment horizontal="center" vertical="center" wrapText="1"/>
    </xf>
    <xf numFmtId="0" fontId="19" fillId="3" borderId="1" xfId="3" applyFont="1" applyFill="1" applyBorder="1" applyAlignment="1">
      <alignment horizontal="center" vertical="center"/>
    </xf>
    <xf numFmtId="0" fontId="19" fillId="3" borderId="1" xfId="3" applyFont="1" applyFill="1" applyBorder="1" applyAlignment="1">
      <alignment vertical="center" wrapText="1"/>
    </xf>
    <xf numFmtId="4" fontId="30" fillId="4" borderId="1" xfId="3" applyNumberFormat="1" applyFont="1" applyFill="1" applyBorder="1" applyAlignment="1">
      <alignment vertical="center"/>
    </xf>
    <xf numFmtId="0" fontId="16" fillId="4" borderId="1" xfId="3" applyFont="1" applyFill="1" applyBorder="1" applyAlignment="1">
      <alignment vertical="center"/>
    </xf>
    <xf numFmtId="4" fontId="18" fillId="6" borderId="1" xfId="3" applyNumberFormat="1" applyFont="1" applyFill="1" applyBorder="1" applyAlignment="1">
      <alignment vertical="center"/>
    </xf>
    <xf numFmtId="0" fontId="18" fillId="6" borderId="1" xfId="3" applyFont="1" applyFill="1" applyBorder="1" applyAlignment="1">
      <alignment vertical="center"/>
    </xf>
    <xf numFmtId="4" fontId="18" fillId="5" borderId="1" xfId="3" applyNumberFormat="1" applyFont="1" applyFill="1" applyBorder="1" applyAlignment="1">
      <alignment vertical="center"/>
    </xf>
    <xf numFmtId="0" fontId="18" fillId="5" borderId="1" xfId="3" applyFont="1" applyFill="1" applyBorder="1" applyAlignment="1">
      <alignment vertical="center"/>
    </xf>
    <xf numFmtId="0" fontId="5" fillId="2" borderId="1" xfId="3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21" fillId="0" borderId="0" xfId="3" applyFont="1" applyBorder="1" applyAlignment="1">
      <alignment horizontal="center" vertical="center"/>
    </xf>
    <xf numFmtId="0" fontId="21" fillId="0" borderId="0" xfId="3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1" fillId="0" borderId="0" xfId="3" applyFont="1" applyFill="1" applyBorder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31" fillId="0" borderId="0" xfId="3" applyFont="1" applyFill="1" applyBorder="1" applyAlignment="1">
      <alignment horizontal="center" vertical="center"/>
    </xf>
    <xf numFmtId="0" fontId="9" fillId="0" borderId="0" xfId="3" applyFont="1" applyFill="1" applyBorder="1" applyAlignment="1">
      <alignment horizontal="left" vertical="center"/>
    </xf>
    <xf numFmtId="0" fontId="5" fillId="2" borderId="1" xfId="3" applyFont="1" applyFill="1" applyBorder="1" applyAlignment="1">
      <alignment horizontal="center" vertical="center"/>
    </xf>
    <xf numFmtId="0" fontId="30" fillId="0" borderId="1" xfId="3" applyFont="1" applyFill="1" applyBorder="1" applyAlignment="1">
      <alignment horizontal="center" vertical="center"/>
    </xf>
    <xf numFmtId="0" fontId="18" fillId="6" borderId="1" xfId="3" applyFont="1" applyFill="1" applyBorder="1" applyAlignment="1">
      <alignment vertical="center"/>
    </xf>
    <xf numFmtId="0" fontId="30" fillId="4" borderId="1" xfId="3" applyFont="1" applyFill="1" applyBorder="1" applyAlignment="1">
      <alignment vertical="center"/>
    </xf>
    <xf numFmtId="0" fontId="18" fillId="5" borderId="1" xfId="3" applyFont="1" applyFill="1" applyBorder="1" applyAlignment="1">
      <alignment vertical="center"/>
    </xf>
    <xf numFmtId="0" fontId="31" fillId="0" borderId="2" xfId="3" applyFont="1" applyFill="1" applyBorder="1" applyAlignment="1">
      <alignment horizontal="center" vertical="center"/>
    </xf>
    <xf numFmtId="0" fontId="30" fillId="8" borderId="1" xfId="3" applyFont="1" applyFill="1" applyBorder="1" applyAlignment="1">
      <alignment vertical="center"/>
    </xf>
    <xf numFmtId="0" fontId="12" fillId="0" borderId="0" xfId="3" applyFont="1" applyAlignment="1">
      <alignment horizontal="center" vertical="center"/>
    </xf>
    <xf numFmtId="0" fontId="21" fillId="0" borderId="0" xfId="3" applyFont="1" applyAlignment="1">
      <alignment horizontal="left" vertical="center"/>
    </xf>
    <xf numFmtId="0" fontId="21" fillId="0" borderId="3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43" fontId="32" fillId="0" borderId="6" xfId="1" applyFont="1" applyFill="1" applyBorder="1" applyAlignment="1">
      <alignment vertical="center"/>
    </xf>
    <xf numFmtId="4" fontId="8" fillId="7" borderId="7" xfId="0" applyNumberFormat="1" applyFont="1" applyFill="1" applyBorder="1" applyAlignment="1">
      <alignment horizontal="left"/>
    </xf>
    <xf numFmtId="9" fontId="9" fillId="0" borderId="0" xfId="2" applyFont="1" applyAlignment="1">
      <alignment vertical="center"/>
    </xf>
    <xf numFmtId="183" fontId="9" fillId="0" borderId="0" xfId="0" applyNumberFormat="1" applyFont="1" applyAlignment="1">
      <alignment vertical="center"/>
    </xf>
  </cellXfs>
  <cellStyles count="11">
    <cellStyle name="Millares" xfId="1" builtinId="3"/>
    <cellStyle name="Millares 2" xfId="4"/>
    <cellStyle name="Millares 2_INCIDENCIA RMU. RESOL.MRL.2012" xfId="9"/>
    <cellStyle name="Moneda 3 2" xfId="10"/>
    <cellStyle name="Normal" xfId="0" builtinId="0"/>
    <cellStyle name="Normal 2" xfId="3"/>
    <cellStyle name="Normal 4 4" xfId="7"/>
    <cellStyle name="Normal 8 2" xfId="8"/>
    <cellStyle name="Normal_CUADRO MARITZA ultimo" xfId="5"/>
    <cellStyle name="Normal_DISTRIB.SUELDOS Y SALARIOS P' Presup. 2007-ENERO-07" xfId="6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3"/>
  <sheetViews>
    <sheetView topLeftCell="A4" workbookViewId="0">
      <selection activeCell="A18" sqref="A18:I18"/>
    </sheetView>
  </sheetViews>
  <sheetFormatPr baseColWidth="10" defaultRowHeight="15" x14ac:dyDescent="0.25"/>
  <cols>
    <col min="1" max="1" width="3" style="79" bestFit="1" customWidth="1"/>
    <col min="2" max="2" width="39.42578125" style="79" customWidth="1"/>
    <col min="3" max="3" width="14.5703125" style="79" customWidth="1"/>
    <col min="4" max="5" width="14.85546875" style="79" bestFit="1" customWidth="1"/>
    <col min="6" max="8" width="14.85546875" style="79" customWidth="1"/>
    <col min="9" max="9" width="14" style="79" bestFit="1" customWidth="1"/>
    <col min="10" max="10" width="11.42578125" style="79"/>
    <col min="11" max="11" width="18" style="79" bestFit="1" customWidth="1"/>
    <col min="12" max="16384" width="11.42578125" style="79"/>
  </cols>
  <sheetData>
    <row r="1" spans="1:11" ht="21" x14ac:dyDescent="0.25">
      <c r="A1" s="104" t="s">
        <v>47</v>
      </c>
      <c r="B1" s="104"/>
      <c r="C1" s="104"/>
      <c r="D1" s="104"/>
      <c r="E1" s="104"/>
      <c r="F1" s="104"/>
      <c r="G1" s="104"/>
      <c r="H1" s="104"/>
      <c r="I1" s="104"/>
    </row>
    <row r="2" spans="1:11" ht="15.75" x14ac:dyDescent="0.25">
      <c r="A2" s="105" t="s">
        <v>0</v>
      </c>
      <c r="B2" s="105"/>
      <c r="C2" s="105"/>
      <c r="D2" s="105"/>
      <c r="E2" s="105"/>
      <c r="F2" s="105"/>
      <c r="G2" s="105"/>
      <c r="H2" s="105"/>
      <c r="I2" s="105"/>
    </row>
    <row r="3" spans="1:11" ht="15.75" x14ac:dyDescent="0.25">
      <c r="A3" s="105" t="s">
        <v>1</v>
      </c>
      <c r="B3" s="105"/>
      <c r="C3" s="105"/>
      <c r="D3" s="105"/>
      <c r="E3" s="105"/>
      <c r="F3" s="105"/>
      <c r="G3" s="105"/>
      <c r="H3" s="105"/>
      <c r="I3" s="105"/>
    </row>
    <row r="4" spans="1:11" s="80" customFormat="1" ht="12.75" x14ac:dyDescent="0.25">
      <c r="A4" s="106"/>
      <c r="B4" s="106"/>
      <c r="C4" s="106"/>
      <c r="D4" s="106"/>
      <c r="E4" s="106"/>
      <c r="F4" s="106"/>
      <c r="G4" s="106"/>
      <c r="H4" s="106"/>
      <c r="I4" s="106"/>
    </row>
    <row r="5" spans="1:11" s="80" customFormat="1" ht="12.75" x14ac:dyDescent="0.25">
      <c r="A5" s="101" t="s">
        <v>2</v>
      </c>
      <c r="B5" s="101"/>
      <c r="C5" s="101"/>
      <c r="D5" s="101"/>
      <c r="E5" s="101"/>
      <c r="F5" s="101"/>
      <c r="G5" s="101"/>
      <c r="H5" s="101"/>
      <c r="I5" s="101"/>
    </row>
    <row r="6" spans="1:11" s="80" customFormat="1" ht="12.75" x14ac:dyDescent="0.25">
      <c r="A6" s="101" t="s">
        <v>3</v>
      </c>
      <c r="B6" s="101"/>
      <c r="C6" s="101"/>
      <c r="D6" s="101"/>
      <c r="E6" s="101"/>
      <c r="F6" s="101"/>
      <c r="G6" s="101"/>
      <c r="H6" s="101"/>
      <c r="I6" s="101"/>
    </row>
    <row r="7" spans="1:11" s="80" customFormat="1" ht="13.5" thickBot="1" x14ac:dyDescent="0.3">
      <c r="A7" s="109"/>
      <c r="B7" s="109"/>
      <c r="C7" s="109"/>
      <c r="D7" s="109"/>
      <c r="E7" s="109"/>
      <c r="F7" s="109"/>
      <c r="G7" s="109"/>
      <c r="H7" s="109"/>
      <c r="I7" s="109"/>
    </row>
    <row r="8" spans="1:11" s="80" customFormat="1" ht="51.75" thickBot="1" x14ac:dyDescent="0.3">
      <c r="A8" s="110" t="s">
        <v>4</v>
      </c>
      <c r="B8" s="110"/>
      <c r="C8" s="12" t="s">
        <v>5</v>
      </c>
      <c r="D8" s="12" t="s">
        <v>6</v>
      </c>
      <c r="E8" s="12" t="s">
        <v>7</v>
      </c>
      <c r="F8" s="12" t="s">
        <v>431</v>
      </c>
      <c r="G8" s="12" t="s">
        <v>432</v>
      </c>
      <c r="H8" s="12" t="s">
        <v>433</v>
      </c>
      <c r="I8" s="12" t="s">
        <v>8</v>
      </c>
    </row>
    <row r="9" spans="1:11" s="80" customFormat="1" ht="13.5" thickBot="1" x14ac:dyDescent="0.3">
      <c r="A9" s="111" t="s">
        <v>9</v>
      </c>
      <c r="B9" s="111"/>
      <c r="C9" s="111"/>
      <c r="D9" s="111"/>
      <c r="E9" s="111"/>
      <c r="F9" s="111"/>
      <c r="G9" s="111"/>
      <c r="H9" s="111"/>
      <c r="I9" s="111"/>
    </row>
    <row r="10" spans="1:11" s="81" customFormat="1" ht="12" thickBot="1" x14ac:dyDescent="0.3">
      <c r="A10" s="5">
        <v>28</v>
      </c>
      <c r="B10" s="6" t="s">
        <v>10</v>
      </c>
      <c r="C10" s="7"/>
      <c r="D10" s="7"/>
      <c r="E10" s="8"/>
      <c r="F10" s="8"/>
      <c r="G10" s="8"/>
      <c r="H10" s="8"/>
      <c r="I10" s="8"/>
    </row>
    <row r="11" spans="1:11" s="81" customFormat="1" ht="12" thickBot="1" x14ac:dyDescent="0.3">
      <c r="A11" s="9"/>
      <c r="B11" s="10" t="s">
        <v>11</v>
      </c>
      <c r="C11" s="11">
        <v>2697554.4118000022</v>
      </c>
      <c r="D11" s="11">
        <v>2840529.2418000009</v>
      </c>
      <c r="E11" s="11">
        <v>2788252.9038000009</v>
      </c>
      <c r="F11" s="11">
        <v>3081569.0515964362</v>
      </c>
      <c r="G11" s="11">
        <v>3121270.5035614101</v>
      </c>
      <c r="H11" s="11">
        <v>3121270.5035614101</v>
      </c>
      <c r="I11" s="8"/>
    </row>
    <row r="12" spans="1:11" s="81" customFormat="1" ht="12" thickBot="1" x14ac:dyDescent="0.3">
      <c r="A12" s="112" t="s">
        <v>12</v>
      </c>
      <c r="B12" s="112"/>
      <c r="C12" s="15">
        <v>2697554.4118000022</v>
      </c>
      <c r="D12" s="15">
        <v>2840529.2418000009</v>
      </c>
      <c r="E12" s="15">
        <v>2788252.9038000009</v>
      </c>
      <c r="F12" s="15">
        <f>SUM(F11)</f>
        <v>3081569.0515964362</v>
      </c>
      <c r="G12" s="15">
        <f>SUM(G11)</f>
        <v>3121270.5035614101</v>
      </c>
      <c r="H12" s="15">
        <f>SUM(H11)</f>
        <v>3121270.5035614101</v>
      </c>
      <c r="I12" s="16"/>
    </row>
    <row r="13" spans="1:11" s="81" customFormat="1" ht="12" thickBot="1" x14ac:dyDescent="0.3">
      <c r="A13" s="113" t="s">
        <v>13</v>
      </c>
      <c r="B13" s="113"/>
      <c r="C13" s="13"/>
      <c r="D13" s="14">
        <v>5.3001648224250575E-2</v>
      </c>
      <c r="E13" s="14">
        <v>3.3622488429984276E-2</v>
      </c>
      <c r="F13" s="14">
        <v>0.1246</v>
      </c>
      <c r="G13" s="14">
        <v>0.1358</v>
      </c>
      <c r="H13" s="14">
        <v>0.1358</v>
      </c>
      <c r="I13" s="13"/>
    </row>
    <row r="14" spans="1:11" x14ac:dyDescent="0.25">
      <c r="A14" s="102"/>
      <c r="B14" s="102"/>
      <c r="C14" s="102"/>
      <c r="D14" s="102"/>
      <c r="E14" s="102"/>
      <c r="F14" s="102"/>
      <c r="G14" s="102"/>
      <c r="H14" s="102"/>
      <c r="I14" s="102"/>
    </row>
    <row r="15" spans="1:11" s="80" customFormat="1" ht="12.75" x14ac:dyDescent="0.25">
      <c r="A15" s="103"/>
      <c r="B15" s="103"/>
      <c r="C15" s="103"/>
      <c r="D15" s="103"/>
      <c r="E15" s="103"/>
      <c r="F15" s="103"/>
      <c r="G15" s="103"/>
      <c r="H15" s="103"/>
      <c r="I15" s="103"/>
    </row>
    <row r="16" spans="1:11" s="80" customFormat="1" ht="12.75" x14ac:dyDescent="0.25">
      <c r="A16" s="103"/>
      <c r="B16" s="103"/>
      <c r="C16" s="103"/>
      <c r="D16" s="103"/>
      <c r="E16" s="103"/>
      <c r="F16" s="103"/>
      <c r="G16" s="103"/>
      <c r="H16" s="103"/>
      <c r="I16" s="103"/>
      <c r="K16" s="147"/>
    </row>
    <row r="17" spans="1:11" s="80" customFormat="1" ht="12.75" x14ac:dyDescent="0.25">
      <c r="A17" s="103"/>
      <c r="B17" s="103"/>
      <c r="C17" s="103"/>
      <c r="D17" s="103"/>
      <c r="E17" s="103"/>
      <c r="F17" s="103"/>
      <c r="G17" s="103"/>
      <c r="H17" s="103"/>
      <c r="I17" s="103"/>
      <c r="K17" s="146"/>
    </row>
    <row r="18" spans="1:11" s="80" customFormat="1" ht="12.75" x14ac:dyDescent="0.25">
      <c r="A18" s="103"/>
      <c r="B18" s="103"/>
      <c r="C18" s="103"/>
      <c r="D18" s="103"/>
      <c r="E18" s="103"/>
      <c r="F18" s="103"/>
      <c r="G18" s="103"/>
      <c r="H18" s="103"/>
      <c r="I18" s="103"/>
    </row>
    <row r="19" spans="1:11" s="80" customFormat="1" ht="12.75" x14ac:dyDescent="0.25">
      <c r="A19" s="103" t="s">
        <v>15</v>
      </c>
      <c r="B19" s="103"/>
      <c r="C19" s="103"/>
      <c r="D19" s="103"/>
      <c r="E19" s="103"/>
      <c r="F19" s="103"/>
      <c r="G19" s="103"/>
      <c r="H19" s="103"/>
      <c r="I19" s="103"/>
    </row>
    <row r="20" spans="1:11" s="80" customFormat="1" ht="12.75" x14ac:dyDescent="0.25">
      <c r="A20" s="107" t="s">
        <v>16</v>
      </c>
      <c r="B20" s="107"/>
      <c r="C20" s="107"/>
      <c r="D20" s="107"/>
      <c r="E20" s="107"/>
      <c r="F20" s="107"/>
      <c r="G20" s="107"/>
      <c r="H20" s="107"/>
      <c r="I20" s="107"/>
    </row>
    <row r="21" spans="1:11" s="80" customFormat="1" ht="12.75" x14ac:dyDescent="0.25">
      <c r="A21" s="107" t="s">
        <v>14</v>
      </c>
      <c r="B21" s="107"/>
      <c r="C21" s="107"/>
      <c r="D21" s="107"/>
      <c r="E21" s="107"/>
      <c r="F21" s="107"/>
      <c r="G21" s="107"/>
      <c r="H21" s="107"/>
      <c r="I21" s="107"/>
    </row>
    <row r="22" spans="1:11" s="80" customFormat="1" ht="12.75" x14ac:dyDescent="0.25">
      <c r="A22" s="114"/>
      <c r="B22" s="114"/>
      <c r="C22" s="114"/>
      <c r="D22" s="114"/>
      <c r="E22" s="114"/>
      <c r="F22" s="114"/>
      <c r="G22" s="114"/>
      <c r="H22" s="114"/>
      <c r="I22" s="114"/>
    </row>
    <row r="23" spans="1:11" s="80" customFormat="1" ht="12.75" x14ac:dyDescent="0.25">
      <c r="A23" s="108" t="s">
        <v>442</v>
      </c>
      <c r="B23" s="108"/>
      <c r="C23" s="108"/>
      <c r="D23" s="108"/>
      <c r="E23" s="108"/>
      <c r="F23" s="108"/>
      <c r="G23" s="108"/>
      <c r="H23" s="108"/>
      <c r="I23" s="108"/>
    </row>
  </sheetData>
  <mergeCells count="21">
    <mergeCell ref="A21:I21"/>
    <mergeCell ref="A23:I23"/>
    <mergeCell ref="A7:I7"/>
    <mergeCell ref="A8:B8"/>
    <mergeCell ref="A9:I9"/>
    <mergeCell ref="A12:B12"/>
    <mergeCell ref="A13:B13"/>
    <mergeCell ref="A20:I20"/>
    <mergeCell ref="A19:I19"/>
    <mergeCell ref="A22:I22"/>
    <mergeCell ref="A1:I1"/>
    <mergeCell ref="A2:I2"/>
    <mergeCell ref="A3:I3"/>
    <mergeCell ref="A4:I4"/>
    <mergeCell ref="A5:I5"/>
    <mergeCell ref="A6:I6"/>
    <mergeCell ref="A14:I14"/>
    <mergeCell ref="A15:I15"/>
    <mergeCell ref="A16:I16"/>
    <mergeCell ref="A18:I18"/>
    <mergeCell ref="A17:I17"/>
  </mergeCells>
  <pageMargins left="0.7" right="0.7" top="0.75" bottom="0.75" header="0.3" footer="0.3"/>
  <pageSetup scale="6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2"/>
  <sheetViews>
    <sheetView topLeftCell="A25" workbookViewId="0">
      <selection activeCell="A36" sqref="A36:I36"/>
    </sheetView>
  </sheetViews>
  <sheetFormatPr baseColWidth="10" defaultRowHeight="15" x14ac:dyDescent="0.25"/>
  <cols>
    <col min="1" max="1" width="14.5703125" style="79" customWidth="1"/>
    <col min="2" max="2" width="39.85546875" style="79" bestFit="1" customWidth="1"/>
    <col min="3" max="3" width="12.85546875" style="79" customWidth="1"/>
    <col min="4" max="4" width="14.140625" style="79" customWidth="1"/>
    <col min="5" max="8" width="14.42578125" style="79" customWidth="1"/>
    <col min="9" max="9" width="14.28515625" style="79" customWidth="1"/>
    <col min="10" max="16384" width="11.42578125" style="79"/>
  </cols>
  <sheetData>
    <row r="1" spans="1:9" ht="18.75" x14ac:dyDescent="0.25">
      <c r="A1" s="122" t="s">
        <v>47</v>
      </c>
      <c r="B1" s="122"/>
      <c r="C1" s="122"/>
      <c r="D1" s="122"/>
      <c r="E1" s="122"/>
      <c r="F1" s="122"/>
      <c r="G1" s="122"/>
      <c r="H1" s="122"/>
      <c r="I1" s="122"/>
    </row>
    <row r="2" spans="1:9" ht="15.75" x14ac:dyDescent="0.25">
      <c r="A2" s="105" t="s">
        <v>17</v>
      </c>
      <c r="B2" s="105"/>
      <c r="C2" s="105"/>
      <c r="D2" s="105"/>
      <c r="E2" s="105"/>
      <c r="F2" s="105"/>
      <c r="G2" s="105"/>
      <c r="H2" s="105"/>
      <c r="I2" s="105"/>
    </row>
    <row r="3" spans="1:9" ht="15.75" x14ac:dyDescent="0.25">
      <c r="A3" s="105"/>
      <c r="B3" s="105"/>
      <c r="C3" s="105"/>
      <c r="D3" s="105"/>
      <c r="E3" s="105"/>
      <c r="F3" s="105"/>
      <c r="G3" s="105"/>
      <c r="H3" s="105"/>
      <c r="I3" s="105"/>
    </row>
    <row r="4" spans="1:9" s="80" customFormat="1" ht="12.75" x14ac:dyDescent="0.25">
      <c r="A4" s="101" t="s">
        <v>2</v>
      </c>
      <c r="B4" s="101"/>
      <c r="C4" s="101"/>
      <c r="D4" s="101"/>
      <c r="E4" s="101"/>
      <c r="F4" s="101"/>
      <c r="G4" s="101"/>
      <c r="H4" s="101"/>
      <c r="I4" s="101"/>
    </row>
    <row r="5" spans="1:9" s="80" customFormat="1" ht="12.75" x14ac:dyDescent="0.25">
      <c r="A5" s="101" t="s">
        <v>18</v>
      </c>
      <c r="B5" s="101"/>
      <c r="C5" s="101"/>
      <c r="D5" s="101"/>
      <c r="E5" s="101"/>
      <c r="F5" s="101"/>
      <c r="G5" s="101"/>
      <c r="H5" s="101"/>
      <c r="I5" s="101"/>
    </row>
    <row r="6" spans="1:9" s="80" customFormat="1" ht="13.5" thickBot="1" x14ac:dyDescent="0.3">
      <c r="A6" s="123"/>
      <c r="B6" s="123"/>
      <c r="C6" s="123"/>
      <c r="D6" s="123"/>
      <c r="E6" s="123"/>
      <c r="F6" s="123"/>
      <c r="G6" s="123"/>
      <c r="H6" s="123"/>
      <c r="I6" s="123"/>
    </row>
    <row r="7" spans="1:9" s="80" customFormat="1" ht="64.5" thickBot="1" x14ac:dyDescent="0.3">
      <c r="A7" s="12" t="s">
        <v>19</v>
      </c>
      <c r="B7" s="12" t="s">
        <v>20</v>
      </c>
      <c r="C7" s="24" t="s">
        <v>367</v>
      </c>
      <c r="D7" s="24" t="s">
        <v>21</v>
      </c>
      <c r="E7" s="24" t="s">
        <v>22</v>
      </c>
      <c r="F7" s="24" t="s">
        <v>434</v>
      </c>
      <c r="G7" s="24" t="s">
        <v>435</v>
      </c>
      <c r="H7" s="24" t="s">
        <v>436</v>
      </c>
      <c r="I7" s="24" t="s">
        <v>8</v>
      </c>
    </row>
    <row r="8" spans="1:9" s="80" customFormat="1" ht="13.5" thickBot="1" x14ac:dyDescent="0.3">
      <c r="A8" s="111" t="s">
        <v>23</v>
      </c>
      <c r="B8" s="111"/>
      <c r="C8" s="111"/>
      <c r="D8" s="111"/>
      <c r="E8" s="111"/>
      <c r="F8" s="111"/>
      <c r="G8" s="111"/>
      <c r="H8" s="111"/>
      <c r="I8" s="111"/>
    </row>
    <row r="9" spans="1:9" s="80" customFormat="1" ht="13.5" thickBot="1" x14ac:dyDescent="0.3">
      <c r="A9" s="1">
        <v>7101</v>
      </c>
      <c r="B9" s="2" t="s">
        <v>24</v>
      </c>
      <c r="C9" s="17"/>
      <c r="D9" s="17"/>
      <c r="E9" s="17"/>
      <c r="F9" s="17"/>
      <c r="G9" s="17"/>
      <c r="H9" s="17"/>
      <c r="I9" s="18"/>
    </row>
    <row r="10" spans="1:9" s="80" customFormat="1" ht="13.5" thickBot="1" x14ac:dyDescent="0.3">
      <c r="A10" s="3">
        <v>710106</v>
      </c>
      <c r="B10" s="19" t="s">
        <v>25</v>
      </c>
      <c r="C10" s="20">
        <v>1815157.3200000012</v>
      </c>
      <c r="D10" s="20">
        <v>1815157.3200000012</v>
      </c>
      <c r="E10" s="20">
        <v>1819908.120000001</v>
      </c>
      <c r="F10" s="20">
        <v>1968939.9599999934</v>
      </c>
      <c r="G10" s="20">
        <v>1961965.3199999935</v>
      </c>
      <c r="H10" s="20">
        <v>1961965.3199999935</v>
      </c>
      <c r="I10" s="21"/>
    </row>
    <row r="11" spans="1:9" s="80" customFormat="1" ht="13.5" thickBot="1" x14ac:dyDescent="0.3">
      <c r="A11" s="1">
        <v>7102</v>
      </c>
      <c r="B11" s="2" t="s">
        <v>26</v>
      </c>
      <c r="C11" s="20"/>
      <c r="D11" s="20"/>
      <c r="E11" s="20"/>
      <c r="F11" s="20"/>
      <c r="G11" s="20"/>
      <c r="H11" s="20"/>
      <c r="I11" s="21"/>
    </row>
    <row r="12" spans="1:9" s="80" customFormat="1" ht="13.5" thickBot="1" x14ac:dyDescent="0.3">
      <c r="A12" s="3">
        <v>710203</v>
      </c>
      <c r="B12" s="19" t="s">
        <v>27</v>
      </c>
      <c r="C12" s="20">
        <v>151263.1100000001</v>
      </c>
      <c r="D12" s="20">
        <v>151263.1100000001</v>
      </c>
      <c r="E12" s="20">
        <v>151659.0100000001</v>
      </c>
      <c r="F12" s="20">
        <v>164078.3300000001</v>
      </c>
      <c r="G12" s="80">
        <v>163497.11000000013</v>
      </c>
      <c r="H12" s="20">
        <v>163497.11000000013</v>
      </c>
      <c r="I12" s="21"/>
    </row>
    <row r="13" spans="1:9" s="80" customFormat="1" ht="13.5" thickBot="1" x14ac:dyDescent="0.3">
      <c r="A13" s="3">
        <v>710204</v>
      </c>
      <c r="B13" s="19" t="s">
        <v>28</v>
      </c>
      <c r="C13" s="20">
        <v>78880</v>
      </c>
      <c r="D13" s="20">
        <v>82128</v>
      </c>
      <c r="E13" s="20">
        <v>84912</v>
      </c>
      <c r="F13" s="20">
        <v>96363</v>
      </c>
      <c r="G13" s="20">
        <v>95480</v>
      </c>
      <c r="H13" s="20">
        <v>95480</v>
      </c>
      <c r="I13" s="21"/>
    </row>
    <row r="14" spans="1:9" s="80" customFormat="1" ht="13.5" thickBot="1" x14ac:dyDescent="0.3">
      <c r="A14" s="1">
        <v>7103</v>
      </c>
      <c r="B14" s="2" t="s">
        <v>29</v>
      </c>
      <c r="C14" s="20"/>
      <c r="D14" s="20"/>
      <c r="E14" s="20"/>
      <c r="F14" s="20"/>
      <c r="G14" s="20"/>
      <c r="H14" s="20"/>
      <c r="I14" s="21"/>
    </row>
    <row r="15" spans="1:9" s="80" customFormat="1" ht="13.5" thickBot="1" x14ac:dyDescent="0.3">
      <c r="A15" s="3">
        <v>710304</v>
      </c>
      <c r="B15" s="19" t="s">
        <v>30</v>
      </c>
      <c r="C15" s="20">
        <v>27673</v>
      </c>
      <c r="D15" s="20">
        <v>30324.5</v>
      </c>
      <c r="E15" s="20">
        <v>31777.5</v>
      </c>
      <c r="F15" s="20">
        <v>32868</v>
      </c>
      <c r="G15" s="20">
        <v>32736</v>
      </c>
      <c r="H15" s="20">
        <v>32736</v>
      </c>
      <c r="I15" s="21"/>
    </row>
    <row r="16" spans="1:9" s="80" customFormat="1" ht="13.5" thickBot="1" x14ac:dyDescent="0.3">
      <c r="A16" s="3">
        <v>710306</v>
      </c>
      <c r="B16" s="19" t="s">
        <v>31</v>
      </c>
      <c r="C16" s="20">
        <v>216272</v>
      </c>
      <c r="D16" s="20">
        <v>241262.4</v>
      </c>
      <c r="E16" s="20">
        <v>254208</v>
      </c>
      <c r="F16" s="20">
        <v>262944</v>
      </c>
      <c r="G16" s="20">
        <v>261888</v>
      </c>
      <c r="H16" s="20">
        <v>261888</v>
      </c>
      <c r="I16" s="21"/>
    </row>
    <row r="17" spans="1:9" s="80" customFormat="1" ht="13.5" thickBot="1" x14ac:dyDescent="0.3">
      <c r="A17" s="1">
        <v>7104</v>
      </c>
      <c r="B17" s="2" t="s">
        <v>32</v>
      </c>
      <c r="C17" s="20"/>
      <c r="D17" s="20"/>
      <c r="E17" s="20"/>
      <c r="F17" s="20"/>
      <c r="G17" s="20"/>
      <c r="H17" s="20"/>
      <c r="I17" s="21"/>
    </row>
    <row r="18" spans="1:9" s="80" customFormat="1" ht="13.5" thickBot="1" x14ac:dyDescent="0.3">
      <c r="A18" s="3">
        <v>710401</v>
      </c>
      <c r="B18" s="19" t="s">
        <v>33</v>
      </c>
      <c r="C18" s="20">
        <v>7762.2</v>
      </c>
      <c r="D18" s="20">
        <v>12422.88</v>
      </c>
      <c r="E18" s="20">
        <v>13946.4</v>
      </c>
      <c r="F18" s="20">
        <v>13606.919999999995</v>
      </c>
      <c r="G18" s="20">
        <v>13305.600000000008</v>
      </c>
      <c r="H18" s="20">
        <v>13305.600000000008</v>
      </c>
      <c r="I18" s="21"/>
    </row>
    <row r="19" spans="1:9" s="80" customFormat="1" ht="13.5" thickBot="1" x14ac:dyDescent="0.3">
      <c r="A19" s="3">
        <v>710408</v>
      </c>
      <c r="B19" s="19" t="s">
        <v>34</v>
      </c>
      <c r="C19" s="20">
        <v>12082.69</v>
      </c>
      <c r="D19" s="20">
        <v>13386.73</v>
      </c>
      <c r="E19" s="20">
        <v>41843.760000000002</v>
      </c>
      <c r="F19" s="20">
        <v>32561.529299999936</v>
      </c>
      <c r="G19" s="20">
        <v>38146.485600000029</v>
      </c>
      <c r="H19" s="20">
        <v>38146.485600000029</v>
      </c>
      <c r="I19" s="21"/>
    </row>
    <row r="20" spans="1:9" s="80" customFormat="1" ht="13.5" thickBot="1" x14ac:dyDescent="0.3">
      <c r="A20" s="1">
        <v>7106</v>
      </c>
      <c r="B20" s="2" t="s">
        <v>35</v>
      </c>
      <c r="C20" s="20"/>
      <c r="D20" s="20"/>
      <c r="E20" s="20"/>
      <c r="F20" s="20"/>
      <c r="G20" s="20"/>
      <c r="H20" s="20"/>
      <c r="I20" s="21"/>
    </row>
    <row r="21" spans="1:9" s="80" customFormat="1" ht="13.5" thickBot="1" x14ac:dyDescent="0.3">
      <c r="A21" s="22" t="s">
        <v>36</v>
      </c>
      <c r="B21" s="19" t="s">
        <v>37</v>
      </c>
      <c r="C21" s="20">
        <v>208743.09180000014</v>
      </c>
      <c r="D21" s="20">
        <v>208743.09180000014</v>
      </c>
      <c r="E21" s="20">
        <v>209289.43380000012</v>
      </c>
      <c r="F21" s="20">
        <v>239226.20513999971</v>
      </c>
      <c r="G21" s="20">
        <v>238378.78637999974</v>
      </c>
      <c r="H21" s="20">
        <v>238378.78637999974</v>
      </c>
      <c r="I21" s="21"/>
    </row>
    <row r="22" spans="1:9" s="80" customFormat="1" ht="13.5" thickBot="1" x14ac:dyDescent="0.3">
      <c r="A22" s="22" t="s">
        <v>38</v>
      </c>
      <c r="B22" s="19" t="s">
        <v>39</v>
      </c>
      <c r="C22" s="20">
        <v>151263.1100000001</v>
      </c>
      <c r="D22" s="20">
        <v>151263.1100000001</v>
      </c>
      <c r="E22" s="20">
        <v>151659.0100000001</v>
      </c>
      <c r="F22" s="20">
        <v>164012.69866800014</v>
      </c>
      <c r="G22" s="20">
        <v>163431.71115600018</v>
      </c>
      <c r="H22" s="20">
        <v>163431.71115600018</v>
      </c>
      <c r="I22" s="21"/>
    </row>
    <row r="23" spans="1:9" s="80" customFormat="1" ht="13.5" thickBot="1" x14ac:dyDescent="0.3">
      <c r="A23" s="22" t="s">
        <v>40</v>
      </c>
      <c r="B23" s="19" t="s">
        <v>41</v>
      </c>
      <c r="C23" s="20">
        <v>3192</v>
      </c>
      <c r="D23" s="20">
        <v>3358</v>
      </c>
      <c r="E23" s="20">
        <v>3504</v>
      </c>
      <c r="F23" s="20">
        <v>11828.941821776032</v>
      </c>
      <c r="G23" s="20">
        <v>11010.820425415903</v>
      </c>
      <c r="H23" s="20">
        <v>11010.820425415903</v>
      </c>
      <c r="I23" s="21"/>
    </row>
    <row r="24" spans="1:9" s="80" customFormat="1" ht="13.5" thickBot="1" x14ac:dyDescent="0.3">
      <c r="A24" s="1">
        <v>7107</v>
      </c>
      <c r="B24" s="2" t="s">
        <v>42</v>
      </c>
      <c r="C24" s="20"/>
      <c r="D24" s="20"/>
      <c r="E24" s="20"/>
      <c r="F24" s="20"/>
      <c r="G24" s="20"/>
      <c r="H24" s="20"/>
      <c r="I24" s="21"/>
    </row>
    <row r="25" spans="1:9" s="80" customFormat="1" ht="13.5" thickBot="1" x14ac:dyDescent="0.3">
      <c r="A25" s="3">
        <v>710704</v>
      </c>
      <c r="B25" s="19" t="s">
        <v>43</v>
      </c>
      <c r="C25" s="20">
        <v>0</v>
      </c>
      <c r="D25" s="20">
        <v>15369.09</v>
      </c>
      <c r="E25" s="20">
        <v>935</v>
      </c>
      <c r="F25" s="20"/>
      <c r="G25" s="20"/>
      <c r="H25" s="20"/>
      <c r="I25" s="21"/>
    </row>
    <row r="26" spans="1:9" s="80" customFormat="1" ht="13.5" thickBot="1" x14ac:dyDescent="0.3">
      <c r="A26" s="3">
        <v>710706</v>
      </c>
      <c r="B26" s="19" t="s">
        <v>44</v>
      </c>
      <c r="C26" s="20">
        <v>0</v>
      </c>
      <c r="D26" s="20">
        <v>146</v>
      </c>
      <c r="E26" s="20">
        <v>24610.67</v>
      </c>
      <c r="F26" s="20">
        <v>95139.466666666674</v>
      </c>
      <c r="G26" s="144">
        <v>141430.67000000001</v>
      </c>
      <c r="H26" s="144">
        <v>141430.67000000001</v>
      </c>
      <c r="I26" s="21"/>
    </row>
    <row r="27" spans="1:9" s="80" customFormat="1" ht="13.5" thickBot="1" x14ac:dyDescent="0.3">
      <c r="A27" s="1">
        <v>7308</v>
      </c>
      <c r="B27" s="2" t="s">
        <v>45</v>
      </c>
      <c r="C27" s="20"/>
      <c r="D27" s="20"/>
      <c r="E27" s="20"/>
      <c r="F27" s="20"/>
      <c r="G27" s="20"/>
      <c r="H27" s="20"/>
      <c r="I27" s="21"/>
    </row>
    <row r="28" spans="1:9" s="80" customFormat="1" ht="13.5" thickBot="1" x14ac:dyDescent="0.3">
      <c r="A28" s="3">
        <v>730802</v>
      </c>
      <c r="B28" s="19" t="s">
        <v>46</v>
      </c>
      <c r="C28" s="23">
        <v>25265.89</v>
      </c>
      <c r="D28" s="23">
        <v>115705.01</v>
      </c>
      <c r="E28" s="23">
        <v>0</v>
      </c>
      <c r="F28" s="23">
        <v>0</v>
      </c>
      <c r="G28" s="23">
        <v>0</v>
      </c>
      <c r="H28" s="23">
        <v>0</v>
      </c>
      <c r="I28" s="21"/>
    </row>
    <row r="29" spans="1:9" s="80" customFormat="1" ht="13.5" thickBot="1" x14ac:dyDescent="0.3">
      <c r="A29" s="116" t="s">
        <v>12</v>
      </c>
      <c r="B29" s="117"/>
      <c r="C29" s="28">
        <v>2697554.4118000022</v>
      </c>
      <c r="D29" s="28">
        <v>2840529.2418000009</v>
      </c>
      <c r="E29" s="28">
        <v>2788252.9038000009</v>
      </c>
      <c r="F29" s="28">
        <f>SUM(F10:F28)</f>
        <v>3081569.0515964362</v>
      </c>
      <c r="G29" s="28">
        <f>SUM(G10:G28)</f>
        <v>3121270.5035614101</v>
      </c>
      <c r="H29" s="28">
        <f>SUM(H10:H28)</f>
        <v>3121270.5035614101</v>
      </c>
      <c r="I29" s="29"/>
    </row>
    <row r="30" spans="1:9" s="80" customFormat="1" ht="13.5" thickBot="1" x14ac:dyDescent="0.3">
      <c r="A30" s="118" t="s">
        <v>13</v>
      </c>
      <c r="B30" s="119"/>
      <c r="C30" s="25"/>
      <c r="D30" s="26">
        <v>5.3001648224250575E-2</v>
      </c>
      <c r="E30" s="26">
        <v>3.3622488429984276E-2</v>
      </c>
      <c r="F30" s="26">
        <v>0.1246</v>
      </c>
      <c r="G30" s="26">
        <v>0.1358</v>
      </c>
      <c r="H30" s="26">
        <v>0.1358</v>
      </c>
      <c r="I30" s="27"/>
    </row>
    <row r="31" spans="1:9" s="80" customFormat="1" ht="12.75" x14ac:dyDescent="0.25">
      <c r="A31" s="120" t="s">
        <v>48</v>
      </c>
      <c r="B31" s="120"/>
      <c r="C31" s="120"/>
      <c r="D31" s="120"/>
      <c r="E31" s="120"/>
      <c r="F31" s="120"/>
      <c r="G31" s="120"/>
      <c r="H31" s="120"/>
      <c r="I31" s="120"/>
    </row>
    <row r="32" spans="1:9" s="80" customFormat="1" ht="12.75" x14ac:dyDescent="0.25">
      <c r="A32" s="121"/>
      <c r="B32" s="121"/>
      <c r="C32" s="121"/>
      <c r="D32" s="121"/>
      <c r="E32" s="121"/>
      <c r="F32" s="121"/>
      <c r="G32" s="121"/>
      <c r="H32" s="121"/>
      <c r="I32" s="121"/>
    </row>
    <row r="33" spans="1:10" s="80" customFormat="1" ht="12.75" x14ac:dyDescent="0.25">
      <c r="A33" s="115"/>
      <c r="B33" s="115"/>
      <c r="C33" s="115"/>
      <c r="D33" s="115"/>
      <c r="E33" s="115"/>
      <c r="F33" s="115"/>
      <c r="G33" s="115"/>
      <c r="H33" s="115"/>
      <c r="I33" s="115"/>
      <c r="J33" s="146"/>
    </row>
    <row r="34" spans="1:10" s="80" customFormat="1" ht="12.75" x14ac:dyDescent="0.25">
      <c r="A34" s="103"/>
      <c r="B34" s="103"/>
      <c r="C34" s="103"/>
      <c r="D34" s="103"/>
      <c r="E34" s="103"/>
      <c r="F34" s="103"/>
      <c r="G34" s="103"/>
      <c r="H34" s="103"/>
      <c r="I34" s="103"/>
    </row>
    <row r="35" spans="1:10" s="80" customFormat="1" ht="11.25" customHeight="1" x14ac:dyDescent="0.25">
      <c r="A35" s="103"/>
      <c r="B35" s="103"/>
      <c r="C35" s="103"/>
      <c r="D35" s="103"/>
      <c r="E35" s="103"/>
      <c r="F35" s="103"/>
      <c r="G35" s="103"/>
      <c r="H35" s="103"/>
      <c r="I35" s="103"/>
    </row>
    <row r="36" spans="1:10" s="80" customFormat="1" ht="12.75" x14ac:dyDescent="0.25">
      <c r="A36" s="103"/>
      <c r="B36" s="103"/>
      <c r="C36" s="103"/>
      <c r="D36" s="103"/>
      <c r="E36" s="103"/>
      <c r="F36" s="103"/>
      <c r="G36" s="103"/>
      <c r="H36" s="103"/>
      <c r="I36" s="103"/>
    </row>
    <row r="37" spans="1:10" s="80" customFormat="1" ht="12.75" x14ac:dyDescent="0.25">
      <c r="A37" s="103"/>
      <c r="B37" s="103"/>
      <c r="C37" s="103"/>
      <c r="D37" s="103"/>
      <c r="E37" s="103"/>
      <c r="F37" s="103"/>
      <c r="G37" s="103"/>
      <c r="H37" s="103"/>
      <c r="I37" s="103"/>
    </row>
    <row r="38" spans="1:10" s="80" customFormat="1" ht="12.75" x14ac:dyDescent="0.25">
      <c r="A38" s="103" t="s">
        <v>15</v>
      </c>
      <c r="B38" s="103"/>
      <c r="C38" s="103"/>
      <c r="D38" s="103"/>
      <c r="E38" s="103"/>
      <c r="F38" s="103"/>
      <c r="G38" s="103"/>
      <c r="H38" s="103"/>
      <c r="I38" s="103"/>
    </row>
    <row r="39" spans="1:10" s="80" customFormat="1" ht="12.75" x14ac:dyDescent="0.25">
      <c r="A39" s="107" t="s">
        <v>16</v>
      </c>
      <c r="B39" s="107"/>
      <c r="C39" s="107"/>
      <c r="D39" s="107"/>
      <c r="E39" s="107"/>
      <c r="F39" s="107"/>
      <c r="G39" s="107"/>
      <c r="H39" s="107"/>
      <c r="I39" s="107"/>
    </row>
    <row r="40" spans="1:10" s="80" customFormat="1" ht="12.75" x14ac:dyDescent="0.25">
      <c r="A40" s="107" t="s">
        <v>14</v>
      </c>
      <c r="B40" s="107"/>
      <c r="C40" s="107"/>
      <c r="D40" s="107"/>
      <c r="E40" s="107"/>
      <c r="F40" s="107"/>
      <c r="G40" s="107"/>
      <c r="H40" s="107"/>
      <c r="I40" s="107"/>
    </row>
    <row r="41" spans="1:10" s="80" customFormat="1" ht="12.75" x14ac:dyDescent="0.25">
      <c r="A41" s="114"/>
      <c r="B41" s="114"/>
      <c r="C41" s="114"/>
      <c r="D41" s="114"/>
      <c r="E41" s="114"/>
      <c r="F41" s="114"/>
      <c r="G41" s="114"/>
      <c r="H41" s="114"/>
      <c r="I41" s="114"/>
    </row>
    <row r="42" spans="1:10" s="80" customFormat="1" ht="12.75" x14ac:dyDescent="0.25">
      <c r="A42" s="108" t="s">
        <v>443</v>
      </c>
      <c r="B42" s="108"/>
      <c r="C42" s="108"/>
      <c r="D42" s="108"/>
      <c r="E42" s="108"/>
      <c r="F42" s="108"/>
      <c r="G42" s="108"/>
      <c r="H42" s="108"/>
      <c r="I42" s="108"/>
    </row>
  </sheetData>
  <mergeCells count="20">
    <mergeCell ref="A6:I6"/>
    <mergeCell ref="A1:I1"/>
    <mergeCell ref="A2:I2"/>
    <mergeCell ref="A3:I3"/>
    <mergeCell ref="A4:I4"/>
    <mergeCell ref="A5:I5"/>
    <mergeCell ref="A8:I8"/>
    <mergeCell ref="A29:B29"/>
    <mergeCell ref="A30:B30"/>
    <mergeCell ref="A31:I32"/>
    <mergeCell ref="A34:I34"/>
    <mergeCell ref="A42:I42"/>
    <mergeCell ref="A33:I33"/>
    <mergeCell ref="A36:I36"/>
    <mergeCell ref="A37:I37"/>
    <mergeCell ref="A38:I38"/>
    <mergeCell ref="A39:I39"/>
    <mergeCell ref="A40:I40"/>
    <mergeCell ref="A41:I41"/>
    <mergeCell ref="A35:I35"/>
  </mergeCells>
  <pageMargins left="0.7" right="0.7" top="0.75" bottom="0.75" header="0.3" footer="0.3"/>
  <pageSetup scale="5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53"/>
  <sheetViews>
    <sheetView tabSelected="1" zoomScale="85" zoomScaleNormal="85" workbookViewId="0">
      <selection activeCell="B19" sqref="B19"/>
    </sheetView>
  </sheetViews>
  <sheetFormatPr baseColWidth="10" defaultRowHeight="15" x14ac:dyDescent="0.25"/>
  <cols>
    <col min="1" max="1" width="9.5703125" bestFit="1" customWidth="1"/>
    <col min="2" max="2" width="40.140625" bestFit="1" customWidth="1"/>
    <col min="3" max="3" width="9.85546875" bestFit="1" customWidth="1"/>
    <col min="4" max="4" width="10" bestFit="1" customWidth="1"/>
    <col min="5" max="5" width="55" bestFit="1" customWidth="1"/>
    <col min="6" max="11" width="18.42578125" customWidth="1"/>
    <col min="12" max="12" width="27.42578125" bestFit="1" customWidth="1"/>
    <col min="13" max="13" width="10.7109375" bestFit="1" customWidth="1"/>
    <col min="14" max="14" width="17.140625" customWidth="1"/>
  </cols>
  <sheetData>
    <row r="1" spans="1:14" ht="21" x14ac:dyDescent="0.25">
      <c r="A1" s="104" t="s">
        <v>47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</row>
    <row r="2" spans="1:14" s="56" customFormat="1" ht="15.75" x14ac:dyDescent="0.25">
      <c r="A2" s="105" t="s">
        <v>365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</row>
    <row r="3" spans="1:14" s="56" customFormat="1" ht="15.75" x14ac:dyDescent="0.25">
      <c r="A3" s="105" t="s">
        <v>49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</row>
    <row r="4" spans="1:14" ht="15.75" x14ac:dyDescent="0.25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</row>
    <row r="5" spans="1:14" s="4" customFormat="1" ht="12.75" x14ac:dyDescent="0.2">
      <c r="A5" s="101" t="s">
        <v>50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</row>
    <row r="6" spans="1:14" s="4" customFormat="1" ht="12.75" x14ac:dyDescent="0.2">
      <c r="A6" s="101" t="s">
        <v>51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</row>
    <row r="7" spans="1:14" s="4" customFormat="1" ht="13.5" thickBot="1" x14ac:dyDescent="0.25">
      <c r="A7" s="123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</row>
    <row r="8" spans="1:14" s="4" customFormat="1" ht="64.5" thickBot="1" x14ac:dyDescent="0.25">
      <c r="A8" s="24" t="s">
        <v>52</v>
      </c>
      <c r="B8" s="24" t="s">
        <v>53</v>
      </c>
      <c r="C8" s="24" t="s">
        <v>366</v>
      </c>
      <c r="D8" s="24" t="s">
        <v>54</v>
      </c>
      <c r="E8" s="24" t="s">
        <v>55</v>
      </c>
      <c r="F8" s="24" t="s">
        <v>56</v>
      </c>
      <c r="G8" s="24" t="s">
        <v>57</v>
      </c>
      <c r="H8" s="24" t="s">
        <v>58</v>
      </c>
      <c r="I8" s="24" t="s">
        <v>437</v>
      </c>
      <c r="J8" s="24" t="s">
        <v>438</v>
      </c>
      <c r="K8" s="24" t="s">
        <v>439</v>
      </c>
      <c r="L8" s="24" t="s">
        <v>59</v>
      </c>
      <c r="M8" s="24" t="s">
        <v>60</v>
      </c>
      <c r="N8" s="24" t="s">
        <v>8</v>
      </c>
    </row>
    <row r="9" spans="1:14" ht="15.75" thickBot="1" x14ac:dyDescent="0.3">
      <c r="A9" s="30">
        <v>1101414793</v>
      </c>
      <c r="B9" s="31" t="s">
        <v>61</v>
      </c>
      <c r="C9" s="32">
        <v>1</v>
      </c>
      <c r="D9" s="33">
        <v>1</v>
      </c>
      <c r="E9" s="57" t="s">
        <v>62</v>
      </c>
      <c r="F9" s="35">
        <v>565.22</v>
      </c>
      <c r="G9" s="35">
        <v>565.22</v>
      </c>
      <c r="H9" s="35">
        <v>565.22</v>
      </c>
      <c r="I9" s="35">
        <v>565.22</v>
      </c>
      <c r="J9" s="35">
        <v>565.22</v>
      </c>
      <c r="K9" s="35">
        <v>565.22</v>
      </c>
      <c r="L9" s="36" t="s">
        <v>63</v>
      </c>
      <c r="M9" s="37">
        <v>40909</v>
      </c>
      <c r="N9" s="145" t="s">
        <v>440</v>
      </c>
    </row>
    <row r="10" spans="1:14" ht="15.75" thickBot="1" x14ac:dyDescent="0.3">
      <c r="A10" s="38">
        <v>1101891743</v>
      </c>
      <c r="B10" s="31" t="s">
        <v>64</v>
      </c>
      <c r="C10" s="32">
        <v>2</v>
      </c>
      <c r="D10" s="33">
        <v>5</v>
      </c>
      <c r="E10" s="57" t="s">
        <v>65</v>
      </c>
      <c r="F10" s="39">
        <v>889.33</v>
      </c>
      <c r="G10" s="39">
        <v>889.33</v>
      </c>
      <c r="H10" s="39">
        <v>889.33</v>
      </c>
      <c r="I10" s="39">
        <v>889.33</v>
      </c>
      <c r="J10" s="39">
        <v>889.33</v>
      </c>
      <c r="K10" s="39">
        <v>889.33</v>
      </c>
      <c r="L10" s="36" t="s">
        <v>63</v>
      </c>
      <c r="M10" s="37">
        <v>40909</v>
      </c>
      <c r="N10" s="145" t="s">
        <v>440</v>
      </c>
    </row>
    <row r="11" spans="1:14" ht="15.75" thickBot="1" x14ac:dyDescent="0.3">
      <c r="A11" s="30">
        <v>1102409362</v>
      </c>
      <c r="B11" s="31" t="s">
        <v>66</v>
      </c>
      <c r="C11" s="32">
        <v>3</v>
      </c>
      <c r="D11" s="33">
        <v>1</v>
      </c>
      <c r="E11" s="57" t="s">
        <v>67</v>
      </c>
      <c r="F11" s="35">
        <v>565.22</v>
      </c>
      <c r="G11" s="35">
        <v>565.22</v>
      </c>
      <c r="H11" s="35">
        <v>565.22</v>
      </c>
      <c r="I11" s="35">
        <v>565.22</v>
      </c>
      <c r="J11" s="35">
        <v>565.22</v>
      </c>
      <c r="K11" s="35">
        <v>565.22</v>
      </c>
      <c r="L11" s="36" t="s">
        <v>63</v>
      </c>
      <c r="M11" s="37">
        <v>40909</v>
      </c>
      <c r="N11" s="145" t="s">
        <v>440</v>
      </c>
    </row>
    <row r="12" spans="1:14" ht="15.75" thickBot="1" x14ac:dyDescent="0.3">
      <c r="A12" s="40">
        <v>1102462072</v>
      </c>
      <c r="B12" s="31" t="s">
        <v>68</v>
      </c>
      <c r="C12" s="32">
        <v>4</v>
      </c>
      <c r="D12" s="33">
        <v>5</v>
      </c>
      <c r="E12" s="57" t="s">
        <v>69</v>
      </c>
      <c r="F12" s="39">
        <v>733</v>
      </c>
      <c r="G12" s="39">
        <v>733</v>
      </c>
      <c r="H12" s="39">
        <v>733</v>
      </c>
      <c r="I12" s="39">
        <v>733</v>
      </c>
      <c r="J12" s="39">
        <v>733</v>
      </c>
      <c r="K12" s="39">
        <v>733</v>
      </c>
      <c r="L12" s="36" t="s">
        <v>63</v>
      </c>
      <c r="M12" s="37">
        <v>41640</v>
      </c>
      <c r="N12" s="145" t="s">
        <v>440</v>
      </c>
    </row>
    <row r="13" spans="1:14" ht="15.75" thickBot="1" x14ac:dyDescent="0.3">
      <c r="A13" s="41">
        <v>1104225295</v>
      </c>
      <c r="B13" s="31" t="s">
        <v>70</v>
      </c>
      <c r="C13" s="32">
        <v>5</v>
      </c>
      <c r="D13" s="33">
        <v>1</v>
      </c>
      <c r="E13" s="57" t="s">
        <v>67</v>
      </c>
      <c r="F13" s="35">
        <v>565.22</v>
      </c>
      <c r="G13" s="35">
        <v>565.22</v>
      </c>
      <c r="H13" s="35">
        <v>565.22</v>
      </c>
      <c r="I13" s="35">
        <v>565.22</v>
      </c>
      <c r="J13" s="35">
        <v>565.22</v>
      </c>
      <c r="K13" s="35">
        <v>565.22</v>
      </c>
      <c r="L13" s="36" t="s">
        <v>63</v>
      </c>
      <c r="M13" s="37">
        <v>40909</v>
      </c>
      <c r="N13" s="145" t="s">
        <v>440</v>
      </c>
    </row>
    <row r="14" spans="1:14" ht="15.75" thickBot="1" x14ac:dyDescent="0.3">
      <c r="A14" s="42">
        <v>1101977617</v>
      </c>
      <c r="B14" s="31" t="s">
        <v>71</v>
      </c>
      <c r="C14" s="32">
        <v>6</v>
      </c>
      <c r="D14" s="33">
        <v>4</v>
      </c>
      <c r="E14" s="57" t="s">
        <v>72</v>
      </c>
      <c r="F14" s="35">
        <v>615.22</v>
      </c>
      <c r="G14" s="35">
        <v>615.22</v>
      </c>
      <c r="H14" s="35">
        <v>615.22</v>
      </c>
      <c r="I14" s="35">
        <v>615.22</v>
      </c>
      <c r="J14" s="35">
        <v>615.22</v>
      </c>
      <c r="K14" s="35">
        <v>615.22</v>
      </c>
      <c r="L14" s="36" t="s">
        <v>63</v>
      </c>
      <c r="M14" s="37">
        <v>40909</v>
      </c>
      <c r="N14" s="145" t="s">
        <v>440</v>
      </c>
    </row>
    <row r="15" spans="1:14" ht="15.75" thickBot="1" x14ac:dyDescent="0.3">
      <c r="A15" s="42" t="s">
        <v>73</v>
      </c>
      <c r="B15" s="31" t="s">
        <v>74</v>
      </c>
      <c r="C15" s="32">
        <v>7</v>
      </c>
      <c r="D15" s="33">
        <v>9</v>
      </c>
      <c r="E15" s="57" t="s">
        <v>75</v>
      </c>
      <c r="F15" s="39">
        <v>1067.8599999999999</v>
      </c>
      <c r="G15" s="39">
        <v>1067.8599999999999</v>
      </c>
      <c r="H15" s="39">
        <v>1067.8599999999999</v>
      </c>
      <c r="I15" s="39">
        <v>1067.8599999999999</v>
      </c>
      <c r="J15" s="39">
        <v>1067.8599999999999</v>
      </c>
      <c r="K15" s="39">
        <v>1067.8599999999999</v>
      </c>
      <c r="L15" s="36" t="s">
        <v>63</v>
      </c>
      <c r="M15" s="37">
        <v>40909</v>
      </c>
      <c r="N15" s="145" t="s">
        <v>440</v>
      </c>
    </row>
    <row r="16" spans="1:14" ht="15.75" thickBot="1" x14ac:dyDescent="0.3">
      <c r="A16" s="42">
        <v>1101705117</v>
      </c>
      <c r="B16" s="31" t="s">
        <v>76</v>
      </c>
      <c r="C16" s="32">
        <v>8</v>
      </c>
      <c r="D16" s="33">
        <v>1</v>
      </c>
      <c r="E16" s="57" t="s">
        <v>77</v>
      </c>
      <c r="F16" s="35">
        <v>565.22</v>
      </c>
      <c r="G16" s="35">
        <v>565.22</v>
      </c>
      <c r="H16" s="35">
        <v>565.22</v>
      </c>
      <c r="I16" s="35">
        <v>565.22</v>
      </c>
      <c r="J16" s="35">
        <v>565.22</v>
      </c>
      <c r="K16" s="35">
        <v>565.22</v>
      </c>
      <c r="L16" s="36" t="s">
        <v>63</v>
      </c>
      <c r="M16" s="37">
        <v>40909</v>
      </c>
      <c r="N16" s="145" t="s">
        <v>440</v>
      </c>
    </row>
    <row r="17" spans="1:14" ht="15.75" thickBot="1" x14ac:dyDescent="0.3">
      <c r="A17" s="42" t="s">
        <v>78</v>
      </c>
      <c r="B17" s="31" t="s">
        <v>79</v>
      </c>
      <c r="C17" s="32">
        <v>9</v>
      </c>
      <c r="D17" s="33">
        <v>5</v>
      </c>
      <c r="E17" s="57" t="s">
        <v>80</v>
      </c>
      <c r="F17" s="35">
        <v>733.22</v>
      </c>
      <c r="G17" s="35">
        <v>733.22</v>
      </c>
      <c r="H17" s="35">
        <v>733.22</v>
      </c>
      <c r="I17" s="35">
        <v>733.22</v>
      </c>
      <c r="J17" s="35">
        <v>733.22</v>
      </c>
      <c r="K17" s="35">
        <v>733.22</v>
      </c>
      <c r="L17" s="36" t="s">
        <v>63</v>
      </c>
      <c r="M17" s="37">
        <v>40909</v>
      </c>
      <c r="N17" s="145" t="s">
        <v>440</v>
      </c>
    </row>
    <row r="18" spans="1:14" ht="15.75" thickBot="1" x14ac:dyDescent="0.3">
      <c r="A18" s="42">
        <v>1102957576</v>
      </c>
      <c r="B18" s="31" t="s">
        <v>81</v>
      </c>
      <c r="C18" s="32">
        <v>10</v>
      </c>
      <c r="D18" s="33">
        <v>1</v>
      </c>
      <c r="E18" s="57" t="s">
        <v>62</v>
      </c>
      <c r="F18" s="35">
        <v>565.22</v>
      </c>
      <c r="G18" s="35">
        <v>565.22</v>
      </c>
      <c r="H18" s="35">
        <v>565.22</v>
      </c>
      <c r="I18" s="35">
        <v>565.22</v>
      </c>
      <c r="J18" s="35">
        <v>565.22</v>
      </c>
      <c r="K18" s="35">
        <v>565.22</v>
      </c>
      <c r="L18" s="36" t="s">
        <v>63</v>
      </c>
      <c r="M18" s="37">
        <v>40909</v>
      </c>
      <c r="N18" s="145" t="s">
        <v>440</v>
      </c>
    </row>
    <row r="19" spans="1:14" ht="15.75" thickBot="1" x14ac:dyDescent="0.3">
      <c r="A19" s="42">
        <v>1100202439</v>
      </c>
      <c r="B19" s="31" t="s">
        <v>82</v>
      </c>
      <c r="C19" s="32">
        <v>11</v>
      </c>
      <c r="D19" s="33">
        <v>5</v>
      </c>
      <c r="E19" s="57" t="s">
        <v>83</v>
      </c>
      <c r="F19" s="35">
        <v>733.22</v>
      </c>
      <c r="G19" s="35">
        <v>733.22</v>
      </c>
      <c r="H19" s="35">
        <v>733.22</v>
      </c>
      <c r="I19" s="35">
        <v>733.22</v>
      </c>
      <c r="J19" s="35">
        <v>733.22</v>
      </c>
      <c r="K19" s="35">
        <v>733.22</v>
      </c>
      <c r="L19" s="36" t="s">
        <v>63</v>
      </c>
      <c r="M19" s="37">
        <v>40909</v>
      </c>
      <c r="N19" s="145" t="s">
        <v>440</v>
      </c>
    </row>
    <row r="20" spans="1:14" ht="15.75" thickBot="1" x14ac:dyDescent="0.3">
      <c r="A20" s="42">
        <v>1104163082</v>
      </c>
      <c r="B20" s="31" t="s">
        <v>84</v>
      </c>
      <c r="C20" s="32">
        <v>12</v>
      </c>
      <c r="D20" s="33">
        <v>1</v>
      </c>
      <c r="E20" s="57" t="s">
        <v>85</v>
      </c>
      <c r="F20" s="35">
        <v>565.22</v>
      </c>
      <c r="G20" s="35">
        <v>565.22</v>
      </c>
      <c r="H20" s="35">
        <v>565.22</v>
      </c>
      <c r="I20" s="35">
        <v>565.22</v>
      </c>
      <c r="J20" s="35">
        <v>565.22</v>
      </c>
      <c r="K20" s="35">
        <v>565.22</v>
      </c>
      <c r="L20" s="36" t="s">
        <v>63</v>
      </c>
      <c r="M20" s="37">
        <v>40909</v>
      </c>
      <c r="N20" s="145" t="s">
        <v>440</v>
      </c>
    </row>
    <row r="21" spans="1:14" ht="15.75" thickBot="1" x14ac:dyDescent="0.3">
      <c r="A21" s="42">
        <v>1102165659</v>
      </c>
      <c r="B21" s="31" t="s">
        <v>86</v>
      </c>
      <c r="C21" s="32">
        <v>13</v>
      </c>
      <c r="D21" s="33">
        <v>2</v>
      </c>
      <c r="E21" s="57" t="s">
        <v>87</v>
      </c>
      <c r="F21" s="35">
        <v>581.22</v>
      </c>
      <c r="G21" s="35">
        <v>581.22</v>
      </c>
      <c r="H21" s="35">
        <v>581.22</v>
      </c>
      <c r="I21" s="35">
        <v>581.22</v>
      </c>
      <c r="J21" s="35">
        <v>581.22</v>
      </c>
      <c r="K21" s="35">
        <v>581.22</v>
      </c>
      <c r="L21" s="36" t="s">
        <v>63</v>
      </c>
      <c r="M21" s="37">
        <v>40909</v>
      </c>
      <c r="N21" s="145" t="s">
        <v>440</v>
      </c>
    </row>
    <row r="22" spans="1:14" ht="15.75" thickBot="1" x14ac:dyDescent="0.3">
      <c r="A22" s="42">
        <v>1102863857</v>
      </c>
      <c r="B22" s="31" t="s">
        <v>88</v>
      </c>
      <c r="C22" s="32">
        <v>14</v>
      </c>
      <c r="D22" s="33">
        <v>4</v>
      </c>
      <c r="E22" s="57" t="s">
        <v>72</v>
      </c>
      <c r="F22" s="35">
        <v>615.22</v>
      </c>
      <c r="G22" s="35">
        <v>615.22</v>
      </c>
      <c r="H22" s="35">
        <v>615.22</v>
      </c>
      <c r="I22" s="35">
        <v>615.22</v>
      </c>
      <c r="J22" s="35">
        <v>615.22</v>
      </c>
      <c r="K22" s="35">
        <v>615.22</v>
      </c>
      <c r="L22" s="36" t="s">
        <v>63</v>
      </c>
      <c r="M22" s="37">
        <v>40909</v>
      </c>
      <c r="N22" s="145" t="s">
        <v>440</v>
      </c>
    </row>
    <row r="23" spans="1:14" ht="15.75" thickBot="1" x14ac:dyDescent="0.3">
      <c r="A23" s="43">
        <v>1102175229</v>
      </c>
      <c r="B23" s="31" t="s">
        <v>89</v>
      </c>
      <c r="C23" s="32">
        <v>15</v>
      </c>
      <c r="D23" s="33">
        <v>1</v>
      </c>
      <c r="E23" s="57" t="s">
        <v>90</v>
      </c>
      <c r="F23" s="44">
        <v>565</v>
      </c>
      <c r="G23" s="44">
        <v>565</v>
      </c>
      <c r="H23" s="44">
        <v>565</v>
      </c>
      <c r="I23" s="44">
        <v>565</v>
      </c>
      <c r="J23" s="44">
        <v>565</v>
      </c>
      <c r="K23" s="44">
        <v>565</v>
      </c>
      <c r="L23" s="36" t="s">
        <v>63</v>
      </c>
      <c r="M23" s="37">
        <v>41640</v>
      </c>
      <c r="N23" s="145" t="s">
        <v>440</v>
      </c>
    </row>
    <row r="24" spans="1:14" ht="15.75" thickBot="1" x14ac:dyDescent="0.3">
      <c r="A24" s="42">
        <v>1103403760</v>
      </c>
      <c r="B24" s="31" t="s">
        <v>91</v>
      </c>
      <c r="C24" s="32">
        <v>16</v>
      </c>
      <c r="D24" s="33">
        <v>4</v>
      </c>
      <c r="E24" s="57" t="s">
        <v>72</v>
      </c>
      <c r="F24" s="35">
        <v>615.22</v>
      </c>
      <c r="G24" s="35">
        <v>615.22</v>
      </c>
      <c r="H24" s="35">
        <v>615.22</v>
      </c>
      <c r="I24" s="35">
        <v>615.22</v>
      </c>
      <c r="J24" s="35">
        <v>615.22</v>
      </c>
      <c r="K24" s="35">
        <v>615.22</v>
      </c>
      <c r="L24" s="36" t="s">
        <v>63</v>
      </c>
      <c r="M24" s="37">
        <v>40909</v>
      </c>
      <c r="N24" s="145" t="s">
        <v>440</v>
      </c>
    </row>
    <row r="25" spans="1:14" ht="15.75" thickBot="1" x14ac:dyDescent="0.3">
      <c r="A25" s="42">
        <v>1104398951</v>
      </c>
      <c r="B25" s="31" t="s">
        <v>92</v>
      </c>
      <c r="C25" s="32">
        <v>17</v>
      </c>
      <c r="D25" s="33">
        <v>5</v>
      </c>
      <c r="E25" s="57" t="s">
        <v>83</v>
      </c>
      <c r="F25" s="35">
        <v>733.22</v>
      </c>
      <c r="G25" s="35">
        <v>733.22</v>
      </c>
      <c r="H25" s="35">
        <v>733.22</v>
      </c>
      <c r="I25" s="35">
        <v>733.22</v>
      </c>
      <c r="J25" s="35">
        <v>733.22</v>
      </c>
      <c r="K25" s="35">
        <v>733.22</v>
      </c>
      <c r="L25" s="36" t="s">
        <v>63</v>
      </c>
      <c r="M25" s="37">
        <v>40909</v>
      </c>
      <c r="N25" s="145" t="s">
        <v>440</v>
      </c>
    </row>
    <row r="26" spans="1:14" ht="15.75" thickBot="1" x14ac:dyDescent="0.3">
      <c r="A26" s="42" t="s">
        <v>93</v>
      </c>
      <c r="B26" s="31" t="s">
        <v>94</v>
      </c>
      <c r="C26" s="32">
        <v>18</v>
      </c>
      <c r="D26" s="33">
        <v>4</v>
      </c>
      <c r="E26" s="57" t="s">
        <v>72</v>
      </c>
      <c r="F26" s="35">
        <v>615.22</v>
      </c>
      <c r="G26" s="35">
        <v>615.22</v>
      </c>
      <c r="H26" s="35">
        <v>615.22</v>
      </c>
      <c r="I26" s="35">
        <v>615.22</v>
      </c>
      <c r="J26" s="35">
        <v>615.22</v>
      </c>
      <c r="K26" s="35">
        <v>615.22</v>
      </c>
      <c r="L26" s="36" t="s">
        <v>63</v>
      </c>
      <c r="M26" s="37">
        <v>40909</v>
      </c>
      <c r="N26" s="145" t="s">
        <v>440</v>
      </c>
    </row>
    <row r="27" spans="1:14" ht="15.75" thickBot="1" x14ac:dyDescent="0.3">
      <c r="A27" s="42">
        <v>1804035937</v>
      </c>
      <c r="B27" s="31" t="s">
        <v>95</v>
      </c>
      <c r="C27" s="32">
        <v>19</v>
      </c>
      <c r="D27" s="33">
        <v>2</v>
      </c>
      <c r="E27" s="57" t="s">
        <v>96</v>
      </c>
      <c r="F27" s="35">
        <v>581.22</v>
      </c>
      <c r="G27" s="35">
        <v>581.22</v>
      </c>
      <c r="H27" s="35">
        <v>581.22</v>
      </c>
      <c r="I27" s="35">
        <v>581.22</v>
      </c>
      <c r="J27" s="35">
        <v>581.22</v>
      </c>
      <c r="K27" s="35">
        <v>581.22</v>
      </c>
      <c r="L27" s="36" t="s">
        <v>63</v>
      </c>
      <c r="M27" s="37">
        <v>40909</v>
      </c>
      <c r="N27" s="145" t="s">
        <v>440</v>
      </c>
    </row>
    <row r="28" spans="1:14" ht="15.75" thickBot="1" x14ac:dyDescent="0.3">
      <c r="A28" s="42">
        <v>1103015093</v>
      </c>
      <c r="B28" s="31" t="s">
        <v>97</v>
      </c>
      <c r="C28" s="32">
        <v>20</v>
      </c>
      <c r="D28" s="33">
        <v>8</v>
      </c>
      <c r="E28" s="57" t="s">
        <v>98</v>
      </c>
      <c r="F28" s="35">
        <v>816.22</v>
      </c>
      <c r="G28" s="35">
        <v>816.22</v>
      </c>
      <c r="H28" s="35">
        <v>816.22</v>
      </c>
      <c r="I28" s="35">
        <v>816.22</v>
      </c>
      <c r="J28" s="35">
        <v>816.22</v>
      </c>
      <c r="K28" s="35">
        <v>816.22</v>
      </c>
      <c r="L28" s="36" t="s">
        <v>63</v>
      </c>
      <c r="M28" s="37">
        <v>40909</v>
      </c>
      <c r="N28" s="145" t="s">
        <v>440</v>
      </c>
    </row>
    <row r="29" spans="1:14" ht="15.75" thickBot="1" x14ac:dyDescent="0.3">
      <c r="A29" s="30">
        <v>1100587060</v>
      </c>
      <c r="B29" s="31" t="s">
        <v>99</v>
      </c>
      <c r="C29" s="32">
        <v>21</v>
      </c>
      <c r="D29" s="33">
        <v>4</v>
      </c>
      <c r="E29" s="58" t="s">
        <v>72</v>
      </c>
      <c r="F29" s="45">
        <v>615.22</v>
      </c>
      <c r="G29" s="45">
        <v>615.22</v>
      </c>
      <c r="H29" s="45">
        <v>615.22</v>
      </c>
      <c r="I29" s="45">
        <v>615.22</v>
      </c>
      <c r="J29" s="45">
        <v>615.22</v>
      </c>
      <c r="K29" s="45">
        <v>615.22</v>
      </c>
      <c r="L29" s="46" t="s">
        <v>63</v>
      </c>
      <c r="M29" s="47">
        <v>40909</v>
      </c>
      <c r="N29" s="145" t="s">
        <v>440</v>
      </c>
    </row>
    <row r="30" spans="1:14" ht="15.75" thickBot="1" x14ac:dyDescent="0.3">
      <c r="A30" s="40">
        <v>1105035883</v>
      </c>
      <c r="B30" s="31" t="s">
        <v>100</v>
      </c>
      <c r="C30" s="32">
        <v>22</v>
      </c>
      <c r="D30" s="33">
        <v>1</v>
      </c>
      <c r="E30" s="58" t="s">
        <v>67</v>
      </c>
      <c r="F30" s="48">
        <v>565</v>
      </c>
      <c r="G30" s="48">
        <v>565</v>
      </c>
      <c r="H30" s="48">
        <v>565</v>
      </c>
      <c r="I30" s="48">
        <v>565</v>
      </c>
      <c r="J30" s="48">
        <v>565</v>
      </c>
      <c r="K30" s="48">
        <v>565</v>
      </c>
      <c r="L30" s="46" t="s">
        <v>63</v>
      </c>
      <c r="M30" s="47">
        <v>41640</v>
      </c>
      <c r="N30" s="145" t="s">
        <v>440</v>
      </c>
    </row>
    <row r="31" spans="1:14" ht="15.75" thickBot="1" x14ac:dyDescent="0.3">
      <c r="A31" s="30">
        <v>1900383090</v>
      </c>
      <c r="B31" s="31" t="s">
        <v>101</v>
      </c>
      <c r="C31" s="32">
        <v>23</v>
      </c>
      <c r="D31" s="33">
        <v>5</v>
      </c>
      <c r="E31" s="58" t="s">
        <v>65</v>
      </c>
      <c r="F31" s="45">
        <v>733.22</v>
      </c>
      <c r="G31" s="45">
        <v>733.22</v>
      </c>
      <c r="H31" s="45">
        <v>733.22</v>
      </c>
      <c r="I31" s="45">
        <v>733.22</v>
      </c>
      <c r="J31" s="45">
        <v>733.22</v>
      </c>
      <c r="K31" s="45">
        <v>733.22</v>
      </c>
      <c r="L31" s="46" t="s">
        <v>63</v>
      </c>
      <c r="M31" s="47">
        <v>40909</v>
      </c>
      <c r="N31" s="145" t="s">
        <v>440</v>
      </c>
    </row>
    <row r="32" spans="1:14" ht="15.75" thickBot="1" x14ac:dyDescent="0.3">
      <c r="A32" s="42">
        <v>1103650055</v>
      </c>
      <c r="B32" s="31" t="s">
        <v>102</v>
      </c>
      <c r="C32" s="32">
        <v>24</v>
      </c>
      <c r="D32" s="33">
        <v>6</v>
      </c>
      <c r="E32" s="58" t="s">
        <v>441</v>
      </c>
      <c r="F32" s="45">
        <v>615.22</v>
      </c>
      <c r="G32" s="45">
        <v>615.22</v>
      </c>
      <c r="H32" s="45">
        <v>709</v>
      </c>
      <c r="I32" s="45">
        <v>709</v>
      </c>
      <c r="J32" s="45">
        <v>709</v>
      </c>
      <c r="K32" s="45">
        <v>709</v>
      </c>
      <c r="L32" s="46" t="s">
        <v>63</v>
      </c>
      <c r="M32" s="47">
        <v>40909</v>
      </c>
      <c r="N32" s="145"/>
    </row>
    <row r="33" spans="1:14" ht="15.75" thickBot="1" x14ac:dyDescent="0.3">
      <c r="A33" s="42">
        <v>1103812838</v>
      </c>
      <c r="B33" s="31" t="s">
        <v>104</v>
      </c>
      <c r="C33" s="32">
        <v>25</v>
      </c>
      <c r="D33" s="33">
        <v>4</v>
      </c>
      <c r="E33" s="58" t="s">
        <v>72</v>
      </c>
      <c r="F33" s="45">
        <v>615.22</v>
      </c>
      <c r="G33" s="45">
        <v>615.22</v>
      </c>
      <c r="H33" s="45">
        <v>615.22</v>
      </c>
      <c r="I33" s="45">
        <v>615.22</v>
      </c>
      <c r="J33" s="45">
        <v>615.22</v>
      </c>
      <c r="K33" s="45">
        <v>615.22</v>
      </c>
      <c r="L33" s="46" t="s">
        <v>63</v>
      </c>
      <c r="M33" s="47">
        <v>40909</v>
      </c>
      <c r="N33" s="145" t="s">
        <v>440</v>
      </c>
    </row>
    <row r="34" spans="1:14" ht="15.75" thickBot="1" x14ac:dyDescent="0.3">
      <c r="A34" s="30">
        <v>1103632095</v>
      </c>
      <c r="B34" s="31" t="s">
        <v>105</v>
      </c>
      <c r="C34" s="32">
        <v>26</v>
      </c>
      <c r="D34" s="33">
        <v>1</v>
      </c>
      <c r="E34" s="58" t="s">
        <v>62</v>
      </c>
      <c r="F34" s="45">
        <v>565.22</v>
      </c>
      <c r="G34" s="45">
        <v>565.22</v>
      </c>
      <c r="H34" s="45">
        <v>565.22</v>
      </c>
      <c r="I34" s="45">
        <v>565.22</v>
      </c>
      <c r="J34" s="45">
        <v>565.22</v>
      </c>
      <c r="K34" s="45">
        <v>565.22</v>
      </c>
      <c r="L34" s="46" t="s">
        <v>63</v>
      </c>
      <c r="M34" s="47">
        <v>40909</v>
      </c>
      <c r="N34" s="145" t="s">
        <v>440</v>
      </c>
    </row>
    <row r="35" spans="1:14" ht="15.75" thickBot="1" x14ac:dyDescent="0.3">
      <c r="A35" s="40">
        <v>1104565468</v>
      </c>
      <c r="B35" s="31" t="s">
        <v>106</v>
      </c>
      <c r="C35" s="32">
        <v>27</v>
      </c>
      <c r="D35" s="33">
        <v>1</v>
      </c>
      <c r="E35" s="58" t="s">
        <v>107</v>
      </c>
      <c r="F35" s="48">
        <v>565</v>
      </c>
      <c r="G35" s="48">
        <v>565</v>
      </c>
      <c r="H35" s="48">
        <v>565</v>
      </c>
      <c r="I35" s="48">
        <v>565</v>
      </c>
      <c r="J35" s="48">
        <v>565</v>
      </c>
      <c r="K35" s="48">
        <v>565</v>
      </c>
      <c r="L35" s="46" t="s">
        <v>63</v>
      </c>
      <c r="M35" s="47">
        <v>41640</v>
      </c>
      <c r="N35" s="145" t="s">
        <v>440</v>
      </c>
    </row>
    <row r="36" spans="1:14" ht="15.75" thickBot="1" x14ac:dyDescent="0.3">
      <c r="A36" s="42">
        <v>1102803457</v>
      </c>
      <c r="B36" s="31" t="s">
        <v>108</v>
      </c>
      <c r="C36" s="32">
        <v>28</v>
      </c>
      <c r="D36" s="33">
        <v>1</v>
      </c>
      <c r="E36" s="58" t="s">
        <v>109</v>
      </c>
      <c r="F36" s="45">
        <v>565.22</v>
      </c>
      <c r="G36" s="45">
        <v>565.22</v>
      </c>
      <c r="H36" s="45">
        <v>565.22</v>
      </c>
      <c r="I36" s="45">
        <v>565.22</v>
      </c>
      <c r="J36" s="45">
        <v>565.22</v>
      </c>
      <c r="K36" s="45">
        <v>565.22</v>
      </c>
      <c r="L36" s="46" t="s">
        <v>63</v>
      </c>
      <c r="M36" s="47">
        <v>40909</v>
      </c>
      <c r="N36" s="145" t="s">
        <v>440</v>
      </c>
    </row>
    <row r="37" spans="1:14" ht="15.75" thickBot="1" x14ac:dyDescent="0.3">
      <c r="A37" s="40">
        <v>1104063274</v>
      </c>
      <c r="B37" s="31" t="s">
        <v>110</v>
      </c>
      <c r="C37" s="32">
        <v>29</v>
      </c>
      <c r="D37" s="33">
        <v>1</v>
      </c>
      <c r="E37" s="57" t="s">
        <v>107</v>
      </c>
      <c r="F37" s="44">
        <v>565</v>
      </c>
      <c r="G37" s="44">
        <v>565</v>
      </c>
      <c r="H37" s="44">
        <v>565</v>
      </c>
      <c r="I37" s="44">
        <v>565</v>
      </c>
      <c r="J37" s="44">
        <v>565</v>
      </c>
      <c r="K37" s="44">
        <v>565</v>
      </c>
      <c r="L37" s="36" t="s">
        <v>63</v>
      </c>
      <c r="M37" s="37">
        <v>41640</v>
      </c>
      <c r="N37" s="145" t="s">
        <v>440</v>
      </c>
    </row>
    <row r="38" spans="1:14" ht="15.75" thickBot="1" x14ac:dyDescent="0.3">
      <c r="A38" s="41">
        <v>1100112141</v>
      </c>
      <c r="B38" s="31" t="s">
        <v>111</v>
      </c>
      <c r="C38" s="32">
        <v>30</v>
      </c>
      <c r="D38" s="33">
        <v>4</v>
      </c>
      <c r="E38" s="57" t="s">
        <v>72</v>
      </c>
      <c r="F38" s="35">
        <v>615.22</v>
      </c>
      <c r="G38" s="35">
        <v>615.22</v>
      </c>
      <c r="H38" s="35">
        <v>615.22</v>
      </c>
      <c r="I38" s="35">
        <v>615.22</v>
      </c>
      <c r="J38" s="35">
        <v>615.22</v>
      </c>
      <c r="K38" s="35">
        <v>615.22</v>
      </c>
      <c r="L38" s="36" t="s">
        <v>63</v>
      </c>
      <c r="M38" s="37">
        <v>40909</v>
      </c>
      <c r="N38" s="145" t="s">
        <v>440</v>
      </c>
    </row>
    <row r="39" spans="1:14" ht="15.75" thickBot="1" x14ac:dyDescent="0.3">
      <c r="A39" s="42">
        <v>1103023204</v>
      </c>
      <c r="B39" s="31" t="s">
        <v>112</v>
      </c>
      <c r="C39" s="32">
        <v>31</v>
      </c>
      <c r="D39" s="33">
        <v>4</v>
      </c>
      <c r="E39" s="57" t="s">
        <v>113</v>
      </c>
      <c r="F39" s="35">
        <v>615.22</v>
      </c>
      <c r="G39" s="35">
        <v>615.22</v>
      </c>
      <c r="H39" s="35">
        <v>615.22</v>
      </c>
      <c r="I39" s="35">
        <v>615.22</v>
      </c>
      <c r="J39" s="35">
        <v>615.22</v>
      </c>
      <c r="K39" s="35">
        <v>615.22</v>
      </c>
      <c r="L39" s="36" t="s">
        <v>63</v>
      </c>
      <c r="M39" s="37">
        <v>40909</v>
      </c>
      <c r="N39" s="145" t="s">
        <v>440</v>
      </c>
    </row>
    <row r="40" spans="1:14" ht="15.75" thickBot="1" x14ac:dyDescent="0.3">
      <c r="A40" s="42">
        <v>1101484457</v>
      </c>
      <c r="B40" s="31" t="s">
        <v>114</v>
      </c>
      <c r="C40" s="32">
        <v>32</v>
      </c>
      <c r="D40" s="33">
        <v>1</v>
      </c>
      <c r="E40" s="57" t="s">
        <v>77</v>
      </c>
      <c r="F40" s="35">
        <v>565.22</v>
      </c>
      <c r="G40" s="35">
        <v>565.22</v>
      </c>
      <c r="H40" s="35">
        <v>565.22</v>
      </c>
      <c r="I40" s="35">
        <v>565.22</v>
      </c>
      <c r="J40" s="35">
        <v>565.22</v>
      </c>
      <c r="K40" s="35">
        <v>565.22</v>
      </c>
      <c r="L40" s="36" t="s">
        <v>63</v>
      </c>
      <c r="M40" s="37">
        <v>40909</v>
      </c>
      <c r="N40" s="145" t="s">
        <v>440</v>
      </c>
    </row>
    <row r="41" spans="1:14" ht="15.75" thickBot="1" x14ac:dyDescent="0.3">
      <c r="A41" s="30">
        <v>1102410907</v>
      </c>
      <c r="B41" s="31" t="s">
        <v>115</v>
      </c>
      <c r="C41" s="32">
        <v>33</v>
      </c>
      <c r="D41" s="33">
        <v>2</v>
      </c>
      <c r="E41" s="57" t="s">
        <v>87</v>
      </c>
      <c r="F41" s="35">
        <v>581.22</v>
      </c>
      <c r="G41" s="35">
        <v>581.22</v>
      </c>
      <c r="H41" s="35">
        <v>581.22</v>
      </c>
      <c r="I41" s="35">
        <v>581.22</v>
      </c>
      <c r="J41" s="35">
        <v>581.22</v>
      </c>
      <c r="K41" s="35">
        <v>581.22</v>
      </c>
      <c r="L41" s="36" t="s">
        <v>63</v>
      </c>
      <c r="M41" s="37">
        <v>40909</v>
      </c>
      <c r="N41" s="145" t="s">
        <v>440</v>
      </c>
    </row>
    <row r="42" spans="1:14" ht="15.75" thickBot="1" x14ac:dyDescent="0.3">
      <c r="A42" s="42">
        <v>1102789359</v>
      </c>
      <c r="B42" s="31" t="s">
        <v>116</v>
      </c>
      <c r="C42" s="32">
        <v>34</v>
      </c>
      <c r="D42" s="33">
        <v>1</v>
      </c>
      <c r="E42" s="57" t="s">
        <v>77</v>
      </c>
      <c r="F42" s="35">
        <v>565.22</v>
      </c>
      <c r="G42" s="35">
        <v>565.22</v>
      </c>
      <c r="H42" s="35">
        <v>565.22</v>
      </c>
      <c r="I42" s="35">
        <v>565.22</v>
      </c>
      <c r="J42" s="35">
        <v>565.22</v>
      </c>
      <c r="K42" s="35">
        <v>565.22</v>
      </c>
      <c r="L42" s="36" t="s">
        <v>63</v>
      </c>
      <c r="M42" s="37">
        <v>40909</v>
      </c>
      <c r="N42" s="145" t="s">
        <v>440</v>
      </c>
    </row>
    <row r="43" spans="1:14" ht="15.75" thickBot="1" x14ac:dyDescent="0.3">
      <c r="A43" s="42">
        <v>1104466279</v>
      </c>
      <c r="B43" s="31" t="s">
        <v>117</v>
      </c>
      <c r="C43" s="32">
        <v>35</v>
      </c>
      <c r="D43" s="33">
        <v>5</v>
      </c>
      <c r="E43" s="57" t="s">
        <v>65</v>
      </c>
      <c r="F43" s="35">
        <v>733.22</v>
      </c>
      <c r="G43" s="35">
        <v>733.22</v>
      </c>
      <c r="H43" s="35">
        <v>733.22</v>
      </c>
      <c r="I43" s="35">
        <v>733.22</v>
      </c>
      <c r="J43" s="35">
        <v>733.22</v>
      </c>
      <c r="K43" s="35">
        <v>733.22</v>
      </c>
      <c r="L43" s="36" t="s">
        <v>63</v>
      </c>
      <c r="M43" s="37">
        <v>40909</v>
      </c>
      <c r="N43" s="145" t="s">
        <v>440</v>
      </c>
    </row>
    <row r="44" spans="1:14" ht="15.75" thickBot="1" x14ac:dyDescent="0.3">
      <c r="A44" s="30" t="s">
        <v>118</v>
      </c>
      <c r="B44" s="31" t="s">
        <v>119</v>
      </c>
      <c r="C44" s="32">
        <v>36</v>
      </c>
      <c r="D44" s="33">
        <v>5</v>
      </c>
      <c r="E44" s="57" t="s">
        <v>120</v>
      </c>
      <c r="F44" s="35">
        <v>733.22</v>
      </c>
      <c r="G44" s="35">
        <v>733.22</v>
      </c>
      <c r="H44" s="35">
        <v>733.22</v>
      </c>
      <c r="I44" s="35">
        <v>733.22</v>
      </c>
      <c r="J44" s="35">
        <v>733.22</v>
      </c>
      <c r="K44" s="35">
        <v>733.22</v>
      </c>
      <c r="L44" s="36" t="s">
        <v>63</v>
      </c>
      <c r="M44" s="37">
        <v>40909</v>
      </c>
      <c r="N44" s="145" t="s">
        <v>440</v>
      </c>
    </row>
    <row r="45" spans="1:14" ht="15.75" thickBot="1" x14ac:dyDescent="0.3">
      <c r="A45" s="42">
        <v>1102052071</v>
      </c>
      <c r="B45" s="31" t="s">
        <v>121</v>
      </c>
      <c r="C45" s="32">
        <v>37</v>
      </c>
      <c r="D45" s="33">
        <v>1</v>
      </c>
      <c r="E45" s="57" t="s">
        <v>77</v>
      </c>
      <c r="F45" s="35">
        <v>565.22</v>
      </c>
      <c r="G45" s="35">
        <v>565.22</v>
      </c>
      <c r="H45" s="35">
        <v>565.22</v>
      </c>
      <c r="I45" s="35">
        <v>565.22</v>
      </c>
      <c r="J45" s="35">
        <v>565.22</v>
      </c>
      <c r="K45" s="35">
        <v>565.22</v>
      </c>
      <c r="L45" s="36" t="s">
        <v>63</v>
      </c>
      <c r="M45" s="37">
        <v>40909</v>
      </c>
      <c r="N45" s="145" t="s">
        <v>440</v>
      </c>
    </row>
    <row r="46" spans="1:14" ht="15.75" thickBot="1" x14ac:dyDescent="0.3">
      <c r="A46" s="42">
        <v>1103144984</v>
      </c>
      <c r="B46" s="31" t="s">
        <v>122</v>
      </c>
      <c r="C46" s="32">
        <v>38</v>
      </c>
      <c r="D46" s="33">
        <v>4</v>
      </c>
      <c r="E46" s="57" t="s">
        <v>113</v>
      </c>
      <c r="F46" s="35">
        <v>615.22</v>
      </c>
      <c r="G46" s="35">
        <v>615.22</v>
      </c>
      <c r="H46" s="35">
        <v>615.22</v>
      </c>
      <c r="I46" s="35">
        <v>615.22</v>
      </c>
      <c r="J46" s="35">
        <v>615.22</v>
      </c>
      <c r="K46" s="35">
        <v>615.22</v>
      </c>
      <c r="L46" s="36" t="s">
        <v>63</v>
      </c>
      <c r="M46" s="37">
        <v>40909</v>
      </c>
      <c r="N46" s="145" t="s">
        <v>440</v>
      </c>
    </row>
    <row r="47" spans="1:14" ht="15.75" thickBot="1" x14ac:dyDescent="0.3">
      <c r="A47" s="42">
        <v>1100835873</v>
      </c>
      <c r="B47" s="31" t="s">
        <v>123</v>
      </c>
      <c r="C47" s="32">
        <v>39</v>
      </c>
      <c r="D47" s="33">
        <v>5</v>
      </c>
      <c r="E47" s="57" t="s">
        <v>124</v>
      </c>
      <c r="F47" s="35">
        <v>733.22</v>
      </c>
      <c r="G47" s="35">
        <v>733.22</v>
      </c>
      <c r="H47" s="35">
        <v>733.22</v>
      </c>
      <c r="I47" s="35">
        <v>733.22</v>
      </c>
      <c r="J47" s="35">
        <v>733.22</v>
      </c>
      <c r="K47" s="35">
        <v>733.22</v>
      </c>
      <c r="L47" s="36" t="s">
        <v>63</v>
      </c>
      <c r="M47" s="37">
        <v>40909</v>
      </c>
      <c r="N47" s="145" t="s">
        <v>440</v>
      </c>
    </row>
    <row r="48" spans="1:14" ht="15.75" thickBot="1" x14ac:dyDescent="0.3">
      <c r="A48" s="42">
        <v>1101848859</v>
      </c>
      <c r="B48" s="31" t="s">
        <v>125</v>
      </c>
      <c r="C48" s="32">
        <v>40</v>
      </c>
      <c r="D48" s="33">
        <v>4</v>
      </c>
      <c r="E48" s="57" t="s">
        <v>72</v>
      </c>
      <c r="F48" s="39">
        <v>821.82</v>
      </c>
      <c r="G48" s="39">
        <v>821.82</v>
      </c>
      <c r="H48" s="39">
        <v>821.82</v>
      </c>
      <c r="I48" s="39">
        <v>821.82</v>
      </c>
      <c r="J48" s="39">
        <v>821.82</v>
      </c>
      <c r="K48" s="39">
        <v>821.82</v>
      </c>
      <c r="L48" s="36" t="s">
        <v>63</v>
      </c>
      <c r="M48" s="37">
        <v>40909</v>
      </c>
      <c r="N48" s="145" t="s">
        <v>440</v>
      </c>
    </row>
    <row r="49" spans="1:14" ht="15.75" thickBot="1" x14ac:dyDescent="0.3">
      <c r="A49" s="42">
        <v>1102240403</v>
      </c>
      <c r="B49" s="31" t="s">
        <v>126</v>
      </c>
      <c r="C49" s="32">
        <v>41</v>
      </c>
      <c r="D49" s="33">
        <v>4</v>
      </c>
      <c r="E49" s="57" t="s">
        <v>72</v>
      </c>
      <c r="F49" s="35">
        <v>615.22</v>
      </c>
      <c r="G49" s="35">
        <v>615.22</v>
      </c>
      <c r="H49" s="35">
        <v>615.22</v>
      </c>
      <c r="I49" s="35">
        <v>615.22</v>
      </c>
      <c r="J49" s="35">
        <v>615.22</v>
      </c>
      <c r="K49" s="35">
        <v>615.22</v>
      </c>
      <c r="L49" s="36" t="s">
        <v>63</v>
      </c>
      <c r="M49" s="37">
        <v>40909</v>
      </c>
      <c r="N49" s="145" t="s">
        <v>440</v>
      </c>
    </row>
    <row r="50" spans="1:14" ht="15.75" thickBot="1" x14ac:dyDescent="0.3">
      <c r="A50" s="42">
        <v>1101984449</v>
      </c>
      <c r="B50" s="31" t="s">
        <v>127</v>
      </c>
      <c r="C50" s="32">
        <v>42</v>
      </c>
      <c r="D50" s="33">
        <v>6</v>
      </c>
      <c r="E50" s="57" t="s">
        <v>103</v>
      </c>
      <c r="F50" s="39">
        <v>825.31</v>
      </c>
      <c r="G50" s="39">
        <v>825.31</v>
      </c>
      <c r="H50" s="39">
        <v>825.31</v>
      </c>
      <c r="I50" s="39">
        <v>825.31</v>
      </c>
      <c r="J50" s="39">
        <v>825.31</v>
      </c>
      <c r="K50" s="39">
        <v>825.31</v>
      </c>
      <c r="L50" s="36" t="s">
        <v>63</v>
      </c>
      <c r="M50" s="37">
        <v>40909</v>
      </c>
      <c r="N50" s="145" t="s">
        <v>440</v>
      </c>
    </row>
    <row r="51" spans="1:14" ht="15.75" thickBot="1" x14ac:dyDescent="0.3">
      <c r="A51" s="30">
        <v>1102045687</v>
      </c>
      <c r="B51" s="31" t="s">
        <v>128</v>
      </c>
      <c r="C51" s="32">
        <v>43</v>
      </c>
      <c r="D51" s="33">
        <v>1</v>
      </c>
      <c r="E51" s="57" t="s">
        <v>67</v>
      </c>
      <c r="F51" s="35">
        <v>565.22</v>
      </c>
      <c r="G51" s="35">
        <v>565.22</v>
      </c>
      <c r="H51" s="35">
        <v>565.22</v>
      </c>
      <c r="I51" s="35">
        <v>565.22</v>
      </c>
      <c r="J51" s="35">
        <v>565.22</v>
      </c>
      <c r="K51" s="35">
        <v>565.22</v>
      </c>
      <c r="L51" s="36" t="s">
        <v>63</v>
      </c>
      <c r="M51" s="37">
        <v>40909</v>
      </c>
      <c r="N51" s="145" t="s">
        <v>440</v>
      </c>
    </row>
    <row r="52" spans="1:14" ht="15.75" thickBot="1" x14ac:dyDescent="0.3">
      <c r="A52" s="42">
        <v>1104277346</v>
      </c>
      <c r="B52" s="31" t="s">
        <v>129</v>
      </c>
      <c r="C52" s="32">
        <v>44</v>
      </c>
      <c r="D52" s="33">
        <v>5</v>
      </c>
      <c r="E52" s="57" t="s">
        <v>120</v>
      </c>
      <c r="F52" s="35">
        <v>733.22</v>
      </c>
      <c r="G52" s="35">
        <v>733.22</v>
      </c>
      <c r="H52" s="35">
        <v>733.22</v>
      </c>
      <c r="I52" s="35">
        <v>733.22</v>
      </c>
      <c r="J52" s="35">
        <v>733.22</v>
      </c>
      <c r="K52" s="35">
        <v>733.22</v>
      </c>
      <c r="L52" s="36" t="s">
        <v>63</v>
      </c>
      <c r="M52" s="37">
        <v>40909</v>
      </c>
      <c r="N52" s="145" t="s">
        <v>440</v>
      </c>
    </row>
    <row r="53" spans="1:14" ht="15.75" thickBot="1" x14ac:dyDescent="0.3">
      <c r="A53" s="30">
        <v>1900408590</v>
      </c>
      <c r="B53" s="31" t="s">
        <v>130</v>
      </c>
      <c r="C53" s="32">
        <v>45</v>
      </c>
      <c r="D53" s="33">
        <v>5</v>
      </c>
      <c r="E53" s="57" t="s">
        <v>120</v>
      </c>
      <c r="F53" s="35">
        <v>733.22</v>
      </c>
      <c r="G53" s="35">
        <v>733.22</v>
      </c>
      <c r="H53" s="35">
        <v>733.22</v>
      </c>
      <c r="I53" s="35">
        <v>733.22</v>
      </c>
      <c r="J53" s="35">
        <v>733.22</v>
      </c>
      <c r="K53" s="35">
        <v>733.22</v>
      </c>
      <c r="L53" s="36" t="s">
        <v>63</v>
      </c>
      <c r="M53" s="37">
        <v>40909</v>
      </c>
      <c r="N53" s="145" t="s">
        <v>440</v>
      </c>
    </row>
    <row r="54" spans="1:14" ht="15.75" thickBot="1" x14ac:dyDescent="0.3">
      <c r="A54" s="40">
        <v>1102745450</v>
      </c>
      <c r="B54" s="31" t="s">
        <v>131</v>
      </c>
      <c r="C54" s="32">
        <v>46</v>
      </c>
      <c r="D54" s="33">
        <v>4</v>
      </c>
      <c r="E54" s="57" t="s">
        <v>72</v>
      </c>
      <c r="F54" s="44">
        <v>598</v>
      </c>
      <c r="G54" s="44">
        <v>598</v>
      </c>
      <c r="H54" s="44">
        <v>598</v>
      </c>
      <c r="I54" s="44">
        <v>598</v>
      </c>
      <c r="J54" s="44">
        <v>598</v>
      </c>
      <c r="K54" s="44">
        <v>598</v>
      </c>
      <c r="L54" s="36" t="s">
        <v>63</v>
      </c>
      <c r="M54" s="37">
        <v>41640</v>
      </c>
      <c r="N54" s="145" t="s">
        <v>440</v>
      </c>
    </row>
    <row r="55" spans="1:14" ht="15.75" thickBot="1" x14ac:dyDescent="0.3">
      <c r="A55" s="49" t="s">
        <v>132</v>
      </c>
      <c r="B55" s="31" t="s">
        <v>133</v>
      </c>
      <c r="C55" s="32">
        <v>47</v>
      </c>
      <c r="D55" s="33">
        <v>1</v>
      </c>
      <c r="E55" s="57" t="s">
        <v>134</v>
      </c>
      <c r="F55" s="44">
        <v>565</v>
      </c>
      <c r="G55" s="44">
        <v>565</v>
      </c>
      <c r="H55" s="44">
        <v>565</v>
      </c>
      <c r="I55" s="44">
        <v>565</v>
      </c>
      <c r="J55" s="44">
        <v>565</v>
      </c>
      <c r="K55" s="44">
        <v>565</v>
      </c>
      <c r="L55" s="36" t="s">
        <v>63</v>
      </c>
      <c r="M55" s="37">
        <v>41640</v>
      </c>
      <c r="N55" s="145" t="s">
        <v>440</v>
      </c>
    </row>
    <row r="56" spans="1:14" ht="15.75" thickBot="1" x14ac:dyDescent="0.3">
      <c r="A56" s="50">
        <v>1102438197</v>
      </c>
      <c r="B56" s="31" t="s">
        <v>135</v>
      </c>
      <c r="C56" s="32">
        <v>48</v>
      </c>
      <c r="D56" s="33">
        <v>2</v>
      </c>
      <c r="E56" s="57" t="s">
        <v>87</v>
      </c>
      <c r="F56" s="35">
        <v>581.22</v>
      </c>
      <c r="G56" s="35">
        <v>581.22</v>
      </c>
      <c r="H56" s="35">
        <v>581.22</v>
      </c>
      <c r="I56" s="35">
        <v>581.22</v>
      </c>
      <c r="J56" s="35">
        <v>581.22</v>
      </c>
      <c r="K56" s="35">
        <v>581.22</v>
      </c>
      <c r="L56" s="36" t="s">
        <v>63</v>
      </c>
      <c r="M56" s="37">
        <v>40909</v>
      </c>
      <c r="N56" s="145" t="s">
        <v>440</v>
      </c>
    </row>
    <row r="57" spans="1:14" ht="15.75" thickBot="1" x14ac:dyDescent="0.3">
      <c r="A57" s="51">
        <v>1804187456</v>
      </c>
      <c r="B57" s="31" t="s">
        <v>136</v>
      </c>
      <c r="C57" s="32">
        <v>49</v>
      </c>
      <c r="D57" s="33">
        <v>4</v>
      </c>
      <c r="E57" s="57" t="s">
        <v>72</v>
      </c>
      <c r="F57" s="44">
        <v>598</v>
      </c>
      <c r="G57" s="44">
        <v>598</v>
      </c>
      <c r="H57" s="44">
        <v>598</v>
      </c>
      <c r="I57" s="44">
        <v>598</v>
      </c>
      <c r="J57" s="44">
        <v>598</v>
      </c>
      <c r="K57" s="44">
        <v>598</v>
      </c>
      <c r="L57" s="36" t="s">
        <v>63</v>
      </c>
      <c r="M57" s="37">
        <v>41640</v>
      </c>
      <c r="N57" s="145" t="s">
        <v>440</v>
      </c>
    </row>
    <row r="58" spans="1:14" ht="15.75" thickBot="1" x14ac:dyDescent="0.3">
      <c r="A58" s="42">
        <v>1104411390</v>
      </c>
      <c r="B58" s="31" t="s">
        <v>137</v>
      </c>
      <c r="C58" s="32">
        <v>50</v>
      </c>
      <c r="D58" s="33">
        <v>5</v>
      </c>
      <c r="E58" s="57" t="s">
        <v>120</v>
      </c>
      <c r="F58" s="35">
        <v>733.22</v>
      </c>
      <c r="G58" s="35">
        <v>733.22</v>
      </c>
      <c r="H58" s="35">
        <v>733.22</v>
      </c>
      <c r="I58" s="35">
        <v>733.22</v>
      </c>
      <c r="J58" s="35">
        <v>733.22</v>
      </c>
      <c r="K58" s="35">
        <v>733.22</v>
      </c>
      <c r="L58" s="36" t="s">
        <v>63</v>
      </c>
      <c r="M58" s="37">
        <v>40909</v>
      </c>
      <c r="N58" s="145" t="s">
        <v>440</v>
      </c>
    </row>
    <row r="59" spans="1:14" ht="15.75" thickBot="1" x14ac:dyDescent="0.3">
      <c r="A59" s="42">
        <v>1102343967</v>
      </c>
      <c r="B59" s="31" t="s">
        <v>138</v>
      </c>
      <c r="C59" s="32">
        <v>51</v>
      </c>
      <c r="D59" s="33">
        <v>1</v>
      </c>
      <c r="E59" s="57" t="s">
        <v>77</v>
      </c>
      <c r="F59" s="35">
        <v>565.22</v>
      </c>
      <c r="G59" s="35">
        <v>565.22</v>
      </c>
      <c r="H59" s="35">
        <v>565.22</v>
      </c>
      <c r="I59" s="35">
        <v>565.22</v>
      </c>
      <c r="J59" s="35">
        <v>565.22</v>
      </c>
      <c r="K59" s="35">
        <v>565.22</v>
      </c>
      <c r="L59" s="36" t="s">
        <v>63</v>
      </c>
      <c r="M59" s="37">
        <v>40909</v>
      </c>
      <c r="N59" s="145" t="s">
        <v>440</v>
      </c>
    </row>
    <row r="60" spans="1:14" ht="15.75" thickBot="1" x14ac:dyDescent="0.3">
      <c r="A60" s="40">
        <v>1103143291</v>
      </c>
      <c r="B60" s="31" t="s">
        <v>139</v>
      </c>
      <c r="C60" s="32">
        <v>52</v>
      </c>
      <c r="D60" s="33">
        <v>4</v>
      </c>
      <c r="E60" s="57" t="s">
        <v>72</v>
      </c>
      <c r="F60" s="44">
        <v>598</v>
      </c>
      <c r="G60" s="44">
        <v>598</v>
      </c>
      <c r="H60" s="44">
        <v>598</v>
      </c>
      <c r="I60" s="44">
        <v>598</v>
      </c>
      <c r="J60" s="44">
        <v>598</v>
      </c>
      <c r="K60" s="44">
        <v>598</v>
      </c>
      <c r="L60" s="36" t="s">
        <v>63</v>
      </c>
      <c r="M60" s="37">
        <v>41640</v>
      </c>
      <c r="N60" s="145" t="s">
        <v>440</v>
      </c>
    </row>
    <row r="61" spans="1:14" ht="15.75" thickBot="1" x14ac:dyDescent="0.3">
      <c r="A61" s="42">
        <v>1102980339</v>
      </c>
      <c r="B61" s="31" t="s">
        <v>140</v>
      </c>
      <c r="C61" s="32">
        <v>53</v>
      </c>
      <c r="D61" s="33">
        <v>4</v>
      </c>
      <c r="E61" s="57" t="s">
        <v>72</v>
      </c>
      <c r="F61" s="35">
        <v>615.22</v>
      </c>
      <c r="G61" s="35">
        <v>615.22</v>
      </c>
      <c r="H61" s="35">
        <v>615.22</v>
      </c>
      <c r="I61" s="35">
        <v>615.22</v>
      </c>
      <c r="J61" s="35">
        <v>615.22</v>
      </c>
      <c r="K61" s="35">
        <v>615.22</v>
      </c>
      <c r="L61" s="36" t="s">
        <v>63</v>
      </c>
      <c r="M61" s="37">
        <v>40909</v>
      </c>
      <c r="N61" s="145" t="s">
        <v>440</v>
      </c>
    </row>
    <row r="62" spans="1:14" ht="15.75" thickBot="1" x14ac:dyDescent="0.3">
      <c r="A62" s="42">
        <v>1103740831</v>
      </c>
      <c r="B62" s="31" t="s">
        <v>141</v>
      </c>
      <c r="C62" s="32">
        <v>54</v>
      </c>
      <c r="D62" s="33">
        <v>4</v>
      </c>
      <c r="E62" s="57" t="s">
        <v>113</v>
      </c>
      <c r="F62" s="35">
        <v>615.22</v>
      </c>
      <c r="G62" s="35">
        <v>615.22</v>
      </c>
      <c r="H62" s="35">
        <v>615.22</v>
      </c>
      <c r="I62" s="35">
        <v>615.22</v>
      </c>
      <c r="J62" s="35">
        <v>615.22</v>
      </c>
      <c r="K62" s="35">
        <v>615.22</v>
      </c>
      <c r="L62" s="36" t="s">
        <v>63</v>
      </c>
      <c r="M62" s="37">
        <v>40909</v>
      </c>
      <c r="N62" s="145" t="s">
        <v>440</v>
      </c>
    </row>
    <row r="63" spans="1:14" ht="15.75" thickBot="1" x14ac:dyDescent="0.3">
      <c r="A63" s="42">
        <v>1103679427</v>
      </c>
      <c r="B63" s="31" t="s">
        <v>142</v>
      </c>
      <c r="C63" s="32">
        <v>55</v>
      </c>
      <c r="D63" s="33">
        <v>1</v>
      </c>
      <c r="E63" s="57" t="s">
        <v>85</v>
      </c>
      <c r="F63" s="35">
        <v>565.22</v>
      </c>
      <c r="G63" s="35">
        <v>565.22</v>
      </c>
      <c r="H63" s="35">
        <v>565.22</v>
      </c>
      <c r="I63" s="35">
        <v>565.22</v>
      </c>
      <c r="J63" s="35">
        <v>565.22</v>
      </c>
      <c r="K63" s="35">
        <v>565.22</v>
      </c>
      <c r="L63" s="36" t="s">
        <v>63</v>
      </c>
      <c r="M63" s="37">
        <v>40909</v>
      </c>
      <c r="N63" s="145" t="s">
        <v>440</v>
      </c>
    </row>
    <row r="64" spans="1:14" ht="15.75" thickBot="1" x14ac:dyDescent="0.3">
      <c r="A64" s="42">
        <v>1104109333</v>
      </c>
      <c r="B64" s="31" t="s">
        <v>143</v>
      </c>
      <c r="C64" s="32">
        <v>56</v>
      </c>
      <c r="D64" s="33">
        <v>1</v>
      </c>
      <c r="E64" s="57" t="s">
        <v>67</v>
      </c>
      <c r="F64" s="35">
        <v>565.22</v>
      </c>
      <c r="G64" s="35">
        <v>565.22</v>
      </c>
      <c r="H64" s="35">
        <v>565.22</v>
      </c>
      <c r="I64" s="35">
        <v>565.22</v>
      </c>
      <c r="J64" s="35">
        <v>565.22</v>
      </c>
      <c r="K64" s="35">
        <v>565.22</v>
      </c>
      <c r="L64" s="36" t="s">
        <v>63</v>
      </c>
      <c r="M64" s="37">
        <v>40909</v>
      </c>
      <c r="N64" s="145" t="s">
        <v>440</v>
      </c>
    </row>
    <row r="65" spans="1:14" ht="15.75" thickBot="1" x14ac:dyDescent="0.3">
      <c r="A65" s="42">
        <v>1104018294</v>
      </c>
      <c r="B65" s="31" t="s">
        <v>144</v>
      </c>
      <c r="C65" s="32">
        <v>57</v>
      </c>
      <c r="D65" s="33">
        <v>1</v>
      </c>
      <c r="E65" s="57" t="s">
        <v>145</v>
      </c>
      <c r="F65" s="35">
        <v>565.22</v>
      </c>
      <c r="G65" s="35">
        <v>565.22</v>
      </c>
      <c r="H65" s="35">
        <v>565.22</v>
      </c>
      <c r="I65" s="35">
        <v>565.22</v>
      </c>
      <c r="J65" s="35">
        <v>565.22</v>
      </c>
      <c r="K65" s="35">
        <v>565.22</v>
      </c>
      <c r="L65" s="36" t="s">
        <v>63</v>
      </c>
      <c r="M65" s="37">
        <v>40909</v>
      </c>
      <c r="N65" s="145" t="s">
        <v>440</v>
      </c>
    </row>
    <row r="66" spans="1:14" ht="15.75" thickBot="1" x14ac:dyDescent="0.3">
      <c r="A66" s="42" t="s">
        <v>146</v>
      </c>
      <c r="B66" s="31" t="s">
        <v>147</v>
      </c>
      <c r="C66" s="32">
        <v>58</v>
      </c>
      <c r="D66" s="33">
        <v>1</v>
      </c>
      <c r="E66" s="57" t="s">
        <v>148</v>
      </c>
      <c r="F66" s="35">
        <v>565.22</v>
      </c>
      <c r="G66" s="35">
        <v>565.22</v>
      </c>
      <c r="H66" s="35">
        <v>565.22</v>
      </c>
      <c r="I66" s="35">
        <v>565.22</v>
      </c>
      <c r="J66" s="35">
        <v>565.22</v>
      </c>
      <c r="K66" s="35">
        <v>565.22</v>
      </c>
      <c r="L66" s="36" t="s">
        <v>63</v>
      </c>
      <c r="M66" s="37">
        <v>40909</v>
      </c>
      <c r="N66" s="145" t="s">
        <v>440</v>
      </c>
    </row>
    <row r="67" spans="1:14" ht="15.75" thickBot="1" x14ac:dyDescent="0.3">
      <c r="A67" s="42">
        <v>1103203590</v>
      </c>
      <c r="B67" s="31" t="s">
        <v>149</v>
      </c>
      <c r="C67" s="32">
        <v>59</v>
      </c>
      <c r="D67" s="33">
        <v>3</v>
      </c>
      <c r="E67" s="57" t="s">
        <v>150</v>
      </c>
      <c r="F67" s="39">
        <v>724.43</v>
      </c>
      <c r="G67" s="39">
        <v>724.43</v>
      </c>
      <c r="H67" s="39">
        <v>724.43</v>
      </c>
      <c r="I67" s="39">
        <v>724.43</v>
      </c>
      <c r="J67" s="39">
        <v>724.43</v>
      </c>
      <c r="K67" s="39">
        <v>724.43</v>
      </c>
      <c r="L67" s="36" t="s">
        <v>63</v>
      </c>
      <c r="M67" s="37">
        <v>40909</v>
      </c>
      <c r="N67" s="145" t="s">
        <v>440</v>
      </c>
    </row>
    <row r="68" spans="1:14" ht="15.75" thickBot="1" x14ac:dyDescent="0.3">
      <c r="A68" s="42">
        <v>1103055370</v>
      </c>
      <c r="B68" s="31" t="s">
        <v>151</v>
      </c>
      <c r="C68" s="32">
        <v>60</v>
      </c>
      <c r="D68" s="33">
        <v>5</v>
      </c>
      <c r="E68" s="57" t="s">
        <v>120</v>
      </c>
      <c r="F68" s="35">
        <v>733.22</v>
      </c>
      <c r="G68" s="35">
        <v>733.22</v>
      </c>
      <c r="H68" s="35">
        <v>733.22</v>
      </c>
      <c r="I68" s="35">
        <v>733.22</v>
      </c>
      <c r="J68" s="35">
        <v>733.22</v>
      </c>
      <c r="K68" s="35">
        <v>733.22</v>
      </c>
      <c r="L68" s="36" t="s">
        <v>63</v>
      </c>
      <c r="M68" s="37">
        <v>40909</v>
      </c>
      <c r="N68" s="145" t="s">
        <v>440</v>
      </c>
    </row>
    <row r="69" spans="1:14" ht="15.75" thickBot="1" x14ac:dyDescent="0.3">
      <c r="A69" s="52">
        <v>1102076518</v>
      </c>
      <c r="B69" s="31" t="s">
        <v>152</v>
      </c>
      <c r="C69" s="32">
        <v>61</v>
      </c>
      <c r="D69" s="33">
        <v>1</v>
      </c>
      <c r="E69" s="57" t="s">
        <v>153</v>
      </c>
      <c r="F69" s="35">
        <v>565.22</v>
      </c>
      <c r="G69" s="35">
        <v>565.22</v>
      </c>
      <c r="H69" s="35">
        <v>565.22</v>
      </c>
      <c r="I69" s="35">
        <v>565.22</v>
      </c>
      <c r="J69" s="35">
        <v>565.22</v>
      </c>
      <c r="K69" s="35">
        <v>565.22</v>
      </c>
      <c r="L69" s="36" t="s">
        <v>63</v>
      </c>
      <c r="M69" s="37">
        <v>40909</v>
      </c>
      <c r="N69" s="145" t="s">
        <v>440</v>
      </c>
    </row>
    <row r="70" spans="1:14" ht="15.75" thickBot="1" x14ac:dyDescent="0.3">
      <c r="A70" s="43">
        <v>1103009930</v>
      </c>
      <c r="B70" s="31" t="s">
        <v>154</v>
      </c>
      <c r="C70" s="32">
        <v>62</v>
      </c>
      <c r="D70" s="33">
        <v>1</v>
      </c>
      <c r="E70" s="57" t="s">
        <v>62</v>
      </c>
      <c r="F70" s="44">
        <v>565</v>
      </c>
      <c r="G70" s="44">
        <v>565</v>
      </c>
      <c r="H70" s="44">
        <v>565</v>
      </c>
      <c r="I70" s="44">
        <v>565</v>
      </c>
      <c r="J70" s="44">
        <v>565</v>
      </c>
      <c r="K70" s="44">
        <v>565</v>
      </c>
      <c r="L70" s="36" t="s">
        <v>63</v>
      </c>
      <c r="M70" s="37">
        <v>41640</v>
      </c>
      <c r="N70" s="145" t="s">
        <v>440</v>
      </c>
    </row>
    <row r="71" spans="1:14" ht="15.75" thickBot="1" x14ac:dyDescent="0.3">
      <c r="A71" s="42">
        <v>1101467023</v>
      </c>
      <c r="B71" s="31" t="s">
        <v>155</v>
      </c>
      <c r="C71" s="32">
        <v>63</v>
      </c>
      <c r="D71" s="33">
        <v>2</v>
      </c>
      <c r="E71" s="57" t="s">
        <v>156</v>
      </c>
      <c r="F71" s="35">
        <v>876</v>
      </c>
      <c r="G71" s="35">
        <v>876</v>
      </c>
      <c r="H71" s="35">
        <v>876</v>
      </c>
      <c r="I71" s="35">
        <v>876</v>
      </c>
      <c r="J71" s="35">
        <v>876</v>
      </c>
      <c r="K71" s="35">
        <v>876</v>
      </c>
      <c r="L71" s="36" t="s">
        <v>63</v>
      </c>
      <c r="M71" s="37">
        <v>40909</v>
      </c>
      <c r="N71" s="145" t="s">
        <v>440</v>
      </c>
    </row>
    <row r="72" spans="1:14" ht="15.75" thickBot="1" x14ac:dyDescent="0.3">
      <c r="A72" s="42">
        <v>1102292974</v>
      </c>
      <c r="B72" s="31" t="s">
        <v>157</v>
      </c>
      <c r="C72" s="32">
        <v>64</v>
      </c>
      <c r="D72" s="33">
        <v>4</v>
      </c>
      <c r="E72" s="57" t="s">
        <v>72</v>
      </c>
      <c r="F72" s="35">
        <v>615.22</v>
      </c>
      <c r="G72" s="35">
        <v>615.22</v>
      </c>
      <c r="H72" s="35">
        <v>615.22</v>
      </c>
      <c r="I72" s="35">
        <v>615.22</v>
      </c>
      <c r="J72" s="35">
        <v>615.22</v>
      </c>
      <c r="K72" s="35">
        <v>615.22</v>
      </c>
      <c r="L72" s="36" t="s">
        <v>63</v>
      </c>
      <c r="M72" s="37">
        <v>40909</v>
      </c>
      <c r="N72" s="145" t="s">
        <v>440</v>
      </c>
    </row>
    <row r="73" spans="1:14" ht="15.75" thickBot="1" x14ac:dyDescent="0.3">
      <c r="A73" s="42">
        <v>1102698733</v>
      </c>
      <c r="B73" s="31" t="s">
        <v>158</v>
      </c>
      <c r="C73" s="32">
        <v>65</v>
      </c>
      <c r="D73" s="33">
        <v>1</v>
      </c>
      <c r="E73" s="57" t="s">
        <v>153</v>
      </c>
      <c r="F73" s="39">
        <v>624.05999999999995</v>
      </c>
      <c r="G73" s="39">
        <v>624.05999999999995</v>
      </c>
      <c r="H73" s="39">
        <v>624.05999999999995</v>
      </c>
      <c r="I73" s="39">
        <v>624.05999999999995</v>
      </c>
      <c r="J73" s="39">
        <v>624.05999999999995</v>
      </c>
      <c r="K73" s="39">
        <v>624.05999999999995</v>
      </c>
      <c r="L73" s="36" t="s">
        <v>63</v>
      </c>
      <c r="M73" s="37">
        <v>40909</v>
      </c>
      <c r="N73" s="145" t="s">
        <v>440</v>
      </c>
    </row>
    <row r="74" spans="1:14" ht="15.75" thickBot="1" x14ac:dyDescent="0.3">
      <c r="A74" s="30">
        <v>1101348827</v>
      </c>
      <c r="B74" s="31" t="s">
        <v>159</v>
      </c>
      <c r="C74" s="32">
        <v>66</v>
      </c>
      <c r="D74" s="33">
        <v>6</v>
      </c>
      <c r="E74" s="57" t="s">
        <v>160</v>
      </c>
      <c r="F74" s="35">
        <v>766.22</v>
      </c>
      <c r="G74" s="35">
        <v>766.22</v>
      </c>
      <c r="H74" s="35">
        <v>766.22</v>
      </c>
      <c r="I74" s="35">
        <v>766.22</v>
      </c>
      <c r="J74" s="35">
        <v>766.22</v>
      </c>
      <c r="K74" s="35">
        <v>766.22</v>
      </c>
      <c r="L74" s="36" t="s">
        <v>63</v>
      </c>
      <c r="M74" s="37">
        <v>40909</v>
      </c>
      <c r="N74" s="145" t="s">
        <v>440</v>
      </c>
    </row>
    <row r="75" spans="1:14" ht="15.75" thickBot="1" x14ac:dyDescent="0.3">
      <c r="A75" s="30" t="s">
        <v>161</v>
      </c>
      <c r="B75" s="31" t="s">
        <v>162</v>
      </c>
      <c r="C75" s="32">
        <v>67</v>
      </c>
      <c r="D75" s="33">
        <v>2</v>
      </c>
      <c r="E75" s="57" t="s">
        <v>163</v>
      </c>
      <c r="F75" s="35">
        <v>581.22</v>
      </c>
      <c r="G75" s="35">
        <v>581.22</v>
      </c>
      <c r="H75" s="35">
        <v>581.22</v>
      </c>
      <c r="I75" s="35">
        <v>581.22</v>
      </c>
      <c r="J75" s="35">
        <v>581.22</v>
      </c>
      <c r="K75" s="35">
        <v>581.22</v>
      </c>
      <c r="L75" s="36" t="s">
        <v>63</v>
      </c>
      <c r="M75" s="37">
        <v>40909</v>
      </c>
      <c r="N75" s="145" t="s">
        <v>440</v>
      </c>
    </row>
    <row r="76" spans="1:14" ht="15.75" thickBot="1" x14ac:dyDescent="0.3">
      <c r="A76" s="30">
        <v>1103617385</v>
      </c>
      <c r="B76" s="31" t="s">
        <v>164</v>
      </c>
      <c r="C76" s="32">
        <v>68</v>
      </c>
      <c r="D76" s="33">
        <v>4</v>
      </c>
      <c r="E76" s="57" t="s">
        <v>72</v>
      </c>
      <c r="F76" s="35">
        <v>615.22</v>
      </c>
      <c r="G76" s="35">
        <v>615.22</v>
      </c>
      <c r="H76" s="35">
        <v>615.22</v>
      </c>
      <c r="I76" s="35">
        <v>615.22</v>
      </c>
      <c r="J76" s="35">
        <v>615.22</v>
      </c>
      <c r="K76" s="35">
        <v>615.22</v>
      </c>
      <c r="L76" s="36" t="s">
        <v>63</v>
      </c>
      <c r="M76" s="37">
        <v>40909</v>
      </c>
      <c r="N76" s="145" t="s">
        <v>440</v>
      </c>
    </row>
    <row r="77" spans="1:14" ht="15.75" thickBot="1" x14ac:dyDescent="0.3">
      <c r="A77" s="30">
        <v>1102125513</v>
      </c>
      <c r="B77" s="31" t="s">
        <v>165</v>
      </c>
      <c r="C77" s="32">
        <v>69</v>
      </c>
      <c r="D77" s="33">
        <v>2</v>
      </c>
      <c r="E77" s="57" t="s">
        <v>87</v>
      </c>
      <c r="F77" s="35">
        <v>581.22</v>
      </c>
      <c r="G77" s="35">
        <v>581.22</v>
      </c>
      <c r="H77" s="35">
        <v>581.22</v>
      </c>
      <c r="I77" s="35">
        <v>581.22</v>
      </c>
      <c r="J77" s="35">
        <v>581.22</v>
      </c>
      <c r="K77" s="35">
        <v>581.22</v>
      </c>
      <c r="L77" s="36" t="s">
        <v>63</v>
      </c>
      <c r="M77" s="37">
        <v>40909</v>
      </c>
      <c r="N77" s="145" t="s">
        <v>440</v>
      </c>
    </row>
    <row r="78" spans="1:14" ht="15.75" thickBot="1" x14ac:dyDescent="0.3">
      <c r="A78" s="42">
        <v>1103936900</v>
      </c>
      <c r="B78" s="31" t="s">
        <v>166</v>
      </c>
      <c r="C78" s="32">
        <v>70</v>
      </c>
      <c r="D78" s="33">
        <v>1</v>
      </c>
      <c r="E78" s="57" t="s">
        <v>67</v>
      </c>
      <c r="F78" s="35">
        <v>565.22</v>
      </c>
      <c r="G78" s="35">
        <v>565.22</v>
      </c>
      <c r="H78" s="35">
        <v>565.22</v>
      </c>
      <c r="I78" s="35">
        <v>565.22</v>
      </c>
      <c r="J78" s="35">
        <v>565.22</v>
      </c>
      <c r="K78" s="35">
        <v>565.22</v>
      </c>
      <c r="L78" s="36" t="s">
        <v>63</v>
      </c>
      <c r="M78" s="37">
        <v>40909</v>
      </c>
      <c r="N78" s="145" t="s">
        <v>440</v>
      </c>
    </row>
    <row r="79" spans="1:14" ht="15.75" thickBot="1" x14ac:dyDescent="0.3">
      <c r="A79" s="42">
        <v>1500611718</v>
      </c>
      <c r="B79" s="31" t="s">
        <v>167</v>
      </c>
      <c r="C79" s="32">
        <v>71</v>
      </c>
      <c r="D79" s="33">
        <v>1</v>
      </c>
      <c r="E79" s="57" t="s">
        <v>67</v>
      </c>
      <c r="F79" s="35">
        <v>565.22</v>
      </c>
      <c r="G79" s="35">
        <v>565.22</v>
      </c>
      <c r="H79" s="35">
        <v>565.22</v>
      </c>
      <c r="I79" s="35">
        <v>565.22</v>
      </c>
      <c r="J79" s="35">
        <v>565.22</v>
      </c>
      <c r="K79" s="35">
        <v>565.22</v>
      </c>
      <c r="L79" s="36" t="s">
        <v>63</v>
      </c>
      <c r="M79" s="37">
        <v>40909</v>
      </c>
      <c r="N79" s="145" t="s">
        <v>440</v>
      </c>
    </row>
    <row r="80" spans="1:14" ht="15.75" thickBot="1" x14ac:dyDescent="0.3">
      <c r="A80" s="41">
        <v>1103861496</v>
      </c>
      <c r="B80" s="31" t="s">
        <v>168</v>
      </c>
      <c r="C80" s="32">
        <v>72</v>
      </c>
      <c r="D80" s="33">
        <v>5</v>
      </c>
      <c r="E80" s="57" t="s">
        <v>69</v>
      </c>
      <c r="F80" s="35">
        <v>733</v>
      </c>
      <c r="G80" s="35">
        <v>733</v>
      </c>
      <c r="H80" s="35">
        <v>733</v>
      </c>
      <c r="I80" s="35">
        <v>733</v>
      </c>
      <c r="J80" s="35">
        <v>733</v>
      </c>
      <c r="K80" s="35">
        <v>733</v>
      </c>
      <c r="L80" s="36" t="s">
        <v>63</v>
      </c>
      <c r="M80" s="37">
        <v>41640</v>
      </c>
      <c r="N80" s="145" t="s">
        <v>440</v>
      </c>
    </row>
    <row r="81" spans="1:14" ht="15.75" thickBot="1" x14ac:dyDescent="0.3">
      <c r="A81" s="30">
        <v>1104976103</v>
      </c>
      <c r="B81" s="31" t="s">
        <v>169</v>
      </c>
      <c r="C81" s="32">
        <v>73</v>
      </c>
      <c r="D81" s="33">
        <v>2</v>
      </c>
      <c r="E81" s="57" t="s">
        <v>96</v>
      </c>
      <c r="F81" s="35">
        <v>581.22</v>
      </c>
      <c r="G81" s="35">
        <v>581.22</v>
      </c>
      <c r="H81" s="35">
        <v>581.22</v>
      </c>
      <c r="I81" s="35">
        <v>581.22</v>
      </c>
      <c r="J81" s="35">
        <v>581.22</v>
      </c>
      <c r="K81" s="35">
        <v>581.22</v>
      </c>
      <c r="L81" s="36" t="s">
        <v>63</v>
      </c>
      <c r="M81" s="37">
        <v>40909</v>
      </c>
      <c r="N81" s="145" t="s">
        <v>440</v>
      </c>
    </row>
    <row r="82" spans="1:14" ht="15.75" thickBot="1" x14ac:dyDescent="0.3">
      <c r="A82" s="30">
        <v>1100647807</v>
      </c>
      <c r="B82" s="31" t="s">
        <v>170</v>
      </c>
      <c r="C82" s="32">
        <v>74</v>
      </c>
      <c r="D82" s="33">
        <v>4</v>
      </c>
      <c r="E82" s="57" t="s">
        <v>72</v>
      </c>
      <c r="F82" s="35">
        <v>615.22</v>
      </c>
      <c r="G82" s="35">
        <v>615.22</v>
      </c>
      <c r="H82" s="35">
        <v>615.22</v>
      </c>
      <c r="I82" s="35">
        <v>615.22</v>
      </c>
      <c r="J82" s="35">
        <v>615.22</v>
      </c>
      <c r="K82" s="35">
        <v>615.22</v>
      </c>
      <c r="L82" s="36" t="s">
        <v>63</v>
      </c>
      <c r="M82" s="37">
        <v>40909</v>
      </c>
      <c r="N82" s="145" t="s">
        <v>440</v>
      </c>
    </row>
    <row r="83" spans="1:14" ht="15.75" thickBot="1" x14ac:dyDescent="0.3">
      <c r="A83" s="42">
        <v>1900520618</v>
      </c>
      <c r="B83" s="31" t="s">
        <v>171</v>
      </c>
      <c r="C83" s="32">
        <v>75</v>
      </c>
      <c r="D83" s="33">
        <v>5</v>
      </c>
      <c r="E83" s="57" t="s">
        <v>65</v>
      </c>
      <c r="F83" s="35">
        <v>733.22</v>
      </c>
      <c r="G83" s="35">
        <v>733.22</v>
      </c>
      <c r="H83" s="35">
        <v>733.22</v>
      </c>
      <c r="I83" s="35">
        <v>733.22</v>
      </c>
      <c r="J83" s="35">
        <v>733.22</v>
      </c>
      <c r="K83" s="35">
        <v>733.22</v>
      </c>
      <c r="L83" s="36" t="s">
        <v>63</v>
      </c>
      <c r="M83" s="37">
        <v>40909</v>
      </c>
      <c r="N83" s="145" t="s">
        <v>440</v>
      </c>
    </row>
    <row r="84" spans="1:14" ht="15.75" thickBot="1" x14ac:dyDescent="0.3">
      <c r="A84" s="30">
        <v>1102094578</v>
      </c>
      <c r="B84" s="31" t="s">
        <v>172</v>
      </c>
      <c r="C84" s="32">
        <v>76</v>
      </c>
      <c r="D84" s="33">
        <v>2</v>
      </c>
      <c r="E84" s="57" t="s">
        <v>87</v>
      </c>
      <c r="F84" s="35">
        <v>583.16999999999996</v>
      </c>
      <c r="G84" s="35">
        <v>583.16999999999996</v>
      </c>
      <c r="H84" s="35">
        <v>583.16999999999996</v>
      </c>
      <c r="I84" s="35">
        <v>583.16999999999996</v>
      </c>
      <c r="J84" s="35">
        <v>583.16999999999996</v>
      </c>
      <c r="K84" s="35">
        <v>583.16999999999996</v>
      </c>
      <c r="L84" s="36" t="s">
        <v>63</v>
      </c>
      <c r="M84" s="37">
        <v>40909</v>
      </c>
      <c r="N84" s="145" t="s">
        <v>440</v>
      </c>
    </row>
    <row r="85" spans="1:14" ht="15.75" thickBot="1" x14ac:dyDescent="0.3">
      <c r="A85" s="42">
        <v>1100415452</v>
      </c>
      <c r="B85" s="31" t="s">
        <v>173</v>
      </c>
      <c r="C85" s="32">
        <v>77</v>
      </c>
      <c r="D85" s="33">
        <v>2</v>
      </c>
      <c r="E85" s="57" t="s">
        <v>96</v>
      </c>
      <c r="F85" s="39">
        <v>801.57</v>
      </c>
      <c r="G85" s="39">
        <v>801.57</v>
      </c>
      <c r="H85" s="39">
        <v>801.57</v>
      </c>
      <c r="I85" s="39">
        <v>801.57</v>
      </c>
      <c r="J85" s="39">
        <v>801.57</v>
      </c>
      <c r="K85" s="39">
        <v>801.57</v>
      </c>
      <c r="L85" s="36" t="s">
        <v>63</v>
      </c>
      <c r="M85" s="37">
        <v>40909</v>
      </c>
      <c r="N85" s="145" t="s">
        <v>440</v>
      </c>
    </row>
    <row r="86" spans="1:14" ht="15.75" thickBot="1" x14ac:dyDescent="0.3">
      <c r="A86" s="42">
        <v>1103304877</v>
      </c>
      <c r="B86" s="31" t="s">
        <v>174</v>
      </c>
      <c r="C86" s="32">
        <v>78</v>
      </c>
      <c r="D86" s="33">
        <v>4</v>
      </c>
      <c r="E86" s="57" t="s">
        <v>72</v>
      </c>
      <c r="F86" s="35">
        <v>615.22</v>
      </c>
      <c r="G86" s="35">
        <v>615.22</v>
      </c>
      <c r="H86" s="35">
        <v>615.22</v>
      </c>
      <c r="I86" s="35">
        <v>615.22</v>
      </c>
      <c r="J86" s="35">
        <v>615.22</v>
      </c>
      <c r="K86" s="35">
        <v>615.22</v>
      </c>
      <c r="L86" s="36" t="s">
        <v>63</v>
      </c>
      <c r="M86" s="37">
        <v>40909</v>
      </c>
      <c r="N86" s="145" t="s">
        <v>440</v>
      </c>
    </row>
    <row r="87" spans="1:14" ht="15.75" thickBot="1" x14ac:dyDescent="0.3">
      <c r="A87" s="42">
        <v>1103420111</v>
      </c>
      <c r="B87" s="31" t="s">
        <v>175</v>
      </c>
      <c r="C87" s="32">
        <v>79</v>
      </c>
      <c r="D87" s="33">
        <v>1</v>
      </c>
      <c r="E87" s="57" t="s">
        <v>153</v>
      </c>
      <c r="F87" s="35">
        <v>565.22</v>
      </c>
      <c r="G87" s="35">
        <v>565.22</v>
      </c>
      <c r="H87" s="35">
        <v>565.22</v>
      </c>
      <c r="I87" s="35">
        <v>565.22</v>
      </c>
      <c r="J87" s="35">
        <v>565.22</v>
      </c>
      <c r="K87" s="35">
        <v>565.22</v>
      </c>
      <c r="L87" s="36" t="s">
        <v>63</v>
      </c>
      <c r="M87" s="37">
        <v>40909</v>
      </c>
      <c r="N87" s="145" t="s">
        <v>440</v>
      </c>
    </row>
    <row r="88" spans="1:14" ht="15.75" thickBot="1" x14ac:dyDescent="0.3">
      <c r="A88" s="42">
        <v>1102599949</v>
      </c>
      <c r="B88" s="31" t="s">
        <v>176</v>
      </c>
      <c r="C88" s="32">
        <v>80</v>
      </c>
      <c r="D88" s="33">
        <v>5</v>
      </c>
      <c r="E88" s="57" t="s">
        <v>177</v>
      </c>
      <c r="F88" s="35">
        <v>733.22</v>
      </c>
      <c r="G88" s="35">
        <v>733.22</v>
      </c>
      <c r="H88" s="35">
        <v>733.22</v>
      </c>
      <c r="I88" s="35">
        <v>733.22</v>
      </c>
      <c r="J88" s="35">
        <v>733.22</v>
      </c>
      <c r="K88" s="35">
        <v>733.22</v>
      </c>
      <c r="L88" s="36" t="s">
        <v>63</v>
      </c>
      <c r="M88" s="37">
        <v>40909</v>
      </c>
      <c r="N88" s="145" t="s">
        <v>440</v>
      </c>
    </row>
    <row r="89" spans="1:14" ht="15.75" thickBot="1" x14ac:dyDescent="0.3">
      <c r="A89" s="30">
        <v>1102402094</v>
      </c>
      <c r="B89" s="31" t="s">
        <v>178</v>
      </c>
      <c r="C89" s="32">
        <v>81</v>
      </c>
      <c r="D89" s="33">
        <v>4</v>
      </c>
      <c r="E89" s="57" t="s">
        <v>113</v>
      </c>
      <c r="F89" s="35">
        <v>615.22</v>
      </c>
      <c r="G89" s="35">
        <v>615.22</v>
      </c>
      <c r="H89" s="35">
        <v>615.22</v>
      </c>
      <c r="I89" s="35">
        <v>615.22</v>
      </c>
      <c r="J89" s="35">
        <v>615.22</v>
      </c>
      <c r="K89" s="35">
        <v>615.22</v>
      </c>
      <c r="L89" s="36" t="s">
        <v>63</v>
      </c>
      <c r="M89" s="37">
        <v>40909</v>
      </c>
      <c r="N89" s="145" t="s">
        <v>440</v>
      </c>
    </row>
    <row r="90" spans="1:14" ht="15.75" thickBot="1" x14ac:dyDescent="0.3">
      <c r="A90" s="30">
        <v>1101075966</v>
      </c>
      <c r="B90" s="31" t="s">
        <v>179</v>
      </c>
      <c r="C90" s="32">
        <v>82</v>
      </c>
      <c r="D90" s="33">
        <v>5</v>
      </c>
      <c r="E90" s="57" t="s">
        <v>124</v>
      </c>
      <c r="F90" s="39">
        <v>953.46</v>
      </c>
      <c r="G90" s="39">
        <v>953.46</v>
      </c>
      <c r="H90" s="39">
        <v>953.46</v>
      </c>
      <c r="I90" s="39">
        <v>953.46</v>
      </c>
      <c r="J90" s="39">
        <v>953.46</v>
      </c>
      <c r="K90" s="39">
        <v>953.46</v>
      </c>
      <c r="L90" s="36" t="s">
        <v>63</v>
      </c>
      <c r="M90" s="37">
        <v>40909</v>
      </c>
      <c r="N90" s="145" t="s">
        <v>440</v>
      </c>
    </row>
    <row r="91" spans="1:14" ht="15.75" thickBot="1" x14ac:dyDescent="0.3">
      <c r="A91" s="43">
        <v>1101198446</v>
      </c>
      <c r="B91" s="31" t="s">
        <v>180</v>
      </c>
      <c r="C91" s="32">
        <v>83</v>
      </c>
      <c r="D91" s="33">
        <v>4</v>
      </c>
      <c r="E91" s="57" t="s">
        <v>72</v>
      </c>
      <c r="F91" s="44">
        <v>598</v>
      </c>
      <c r="G91" s="44">
        <v>598</v>
      </c>
      <c r="H91" s="44">
        <v>598</v>
      </c>
      <c r="I91" s="44">
        <v>598</v>
      </c>
      <c r="J91" s="44">
        <v>598</v>
      </c>
      <c r="K91" s="44">
        <v>598</v>
      </c>
      <c r="L91" s="36" t="s">
        <v>63</v>
      </c>
      <c r="M91" s="37">
        <v>41640</v>
      </c>
      <c r="N91" s="145" t="s">
        <v>440</v>
      </c>
    </row>
    <row r="92" spans="1:14" ht="15.75" thickBot="1" x14ac:dyDescent="0.3">
      <c r="A92" s="30">
        <v>1101704078</v>
      </c>
      <c r="B92" s="31" t="s">
        <v>181</v>
      </c>
      <c r="C92" s="32">
        <v>84</v>
      </c>
      <c r="D92" s="33">
        <v>5</v>
      </c>
      <c r="E92" s="57" t="s">
        <v>182</v>
      </c>
      <c r="F92" s="39">
        <v>876</v>
      </c>
      <c r="G92" s="39">
        <v>876</v>
      </c>
      <c r="H92" s="39">
        <v>876</v>
      </c>
      <c r="I92" s="39">
        <v>876</v>
      </c>
      <c r="J92" s="39">
        <v>876</v>
      </c>
      <c r="K92" s="39">
        <v>876</v>
      </c>
      <c r="L92" s="36" t="s">
        <v>63</v>
      </c>
      <c r="M92" s="37">
        <v>40909</v>
      </c>
      <c r="N92" s="145" t="s">
        <v>440</v>
      </c>
    </row>
    <row r="93" spans="1:14" ht="15.75" thickBot="1" x14ac:dyDescent="0.3">
      <c r="A93" s="42">
        <v>1103606222</v>
      </c>
      <c r="B93" s="31" t="s">
        <v>183</v>
      </c>
      <c r="C93" s="32">
        <v>85</v>
      </c>
      <c r="D93" s="33">
        <v>1</v>
      </c>
      <c r="E93" s="57" t="s">
        <v>85</v>
      </c>
      <c r="F93" s="35">
        <v>565.22</v>
      </c>
      <c r="G93" s="35">
        <v>565.22</v>
      </c>
      <c r="H93" s="35">
        <v>565.22</v>
      </c>
      <c r="I93" s="35">
        <v>565.22</v>
      </c>
      <c r="J93" s="35">
        <v>565.22</v>
      </c>
      <c r="K93" s="35">
        <v>565.22</v>
      </c>
      <c r="L93" s="36" t="s">
        <v>63</v>
      </c>
      <c r="M93" s="37">
        <v>40909</v>
      </c>
      <c r="N93" s="145" t="s">
        <v>440</v>
      </c>
    </row>
    <row r="94" spans="1:14" ht="15.75" thickBot="1" x14ac:dyDescent="0.3">
      <c r="A94" s="34">
        <v>1103474159</v>
      </c>
      <c r="B94" s="31" t="s">
        <v>184</v>
      </c>
      <c r="C94" s="32">
        <v>86</v>
      </c>
      <c r="D94" s="33">
        <v>1</v>
      </c>
      <c r="E94" s="57" t="s">
        <v>85</v>
      </c>
      <c r="F94" s="53">
        <v>596.30999999999995</v>
      </c>
      <c r="G94" s="53">
        <v>596.30999999999995</v>
      </c>
      <c r="H94" s="35">
        <v>596.30999999999995</v>
      </c>
      <c r="I94" s="35">
        <v>596.30999999999995</v>
      </c>
      <c r="J94" s="35">
        <v>596.30999999999995</v>
      </c>
      <c r="K94" s="35">
        <v>596.30999999999995</v>
      </c>
      <c r="L94" s="36" t="s">
        <v>63</v>
      </c>
      <c r="M94" s="37">
        <v>40909</v>
      </c>
      <c r="N94" s="145" t="s">
        <v>440</v>
      </c>
    </row>
    <row r="95" spans="1:14" ht="15.75" thickBot="1" x14ac:dyDescent="0.3">
      <c r="A95" s="42">
        <v>1103270649</v>
      </c>
      <c r="B95" s="31" t="s">
        <v>185</v>
      </c>
      <c r="C95" s="32">
        <v>87</v>
      </c>
      <c r="D95" s="33">
        <v>1</v>
      </c>
      <c r="E95" s="57" t="s">
        <v>67</v>
      </c>
      <c r="F95" s="35">
        <v>565.22</v>
      </c>
      <c r="G95" s="35">
        <v>565.22</v>
      </c>
      <c r="H95" s="35">
        <v>565.22</v>
      </c>
      <c r="I95" s="35">
        <v>565.22</v>
      </c>
      <c r="J95" s="35">
        <v>565.22</v>
      </c>
      <c r="K95" s="35">
        <v>565.22</v>
      </c>
      <c r="L95" s="36" t="s">
        <v>63</v>
      </c>
      <c r="M95" s="37">
        <v>40909</v>
      </c>
      <c r="N95" s="145" t="s">
        <v>440</v>
      </c>
    </row>
    <row r="96" spans="1:14" ht="15.75" thickBot="1" x14ac:dyDescent="0.3">
      <c r="A96" s="42">
        <v>1102562111</v>
      </c>
      <c r="B96" s="31" t="s">
        <v>186</v>
      </c>
      <c r="C96" s="32">
        <v>88</v>
      </c>
      <c r="D96" s="33">
        <v>5</v>
      </c>
      <c r="E96" s="57" t="s">
        <v>124</v>
      </c>
      <c r="F96" s="39">
        <v>876</v>
      </c>
      <c r="G96" s="39">
        <v>876</v>
      </c>
      <c r="H96" s="39">
        <v>876</v>
      </c>
      <c r="I96" s="39">
        <v>876</v>
      </c>
      <c r="J96" s="39">
        <v>876</v>
      </c>
      <c r="K96" s="39">
        <v>876</v>
      </c>
      <c r="L96" s="36" t="s">
        <v>63</v>
      </c>
      <c r="M96" s="37">
        <v>40909</v>
      </c>
      <c r="N96" s="145" t="s">
        <v>440</v>
      </c>
    </row>
    <row r="97" spans="1:14" ht="15.75" thickBot="1" x14ac:dyDescent="0.3">
      <c r="A97" s="30">
        <v>1100417292</v>
      </c>
      <c r="B97" s="31" t="s">
        <v>187</v>
      </c>
      <c r="C97" s="32">
        <v>89</v>
      </c>
      <c r="D97" s="33">
        <v>6</v>
      </c>
      <c r="E97" s="57" t="s">
        <v>160</v>
      </c>
      <c r="F97" s="39">
        <v>953.03</v>
      </c>
      <c r="G97" s="39">
        <v>953.03</v>
      </c>
      <c r="H97" s="39">
        <v>953.03</v>
      </c>
      <c r="I97" s="39">
        <v>953.03</v>
      </c>
      <c r="J97" s="39">
        <v>953.03</v>
      </c>
      <c r="K97" s="39">
        <v>953.03</v>
      </c>
      <c r="L97" s="36" t="s">
        <v>63</v>
      </c>
      <c r="M97" s="37">
        <v>40909</v>
      </c>
      <c r="N97" s="145" t="s">
        <v>440</v>
      </c>
    </row>
    <row r="98" spans="1:14" ht="15.75" thickBot="1" x14ac:dyDescent="0.3">
      <c r="A98" s="42">
        <v>1705635348</v>
      </c>
      <c r="B98" s="31" t="s">
        <v>188</v>
      </c>
      <c r="C98" s="32">
        <v>90</v>
      </c>
      <c r="D98" s="33">
        <v>8</v>
      </c>
      <c r="E98" s="57" t="s">
        <v>189</v>
      </c>
      <c r="F98" s="35">
        <v>816.22</v>
      </c>
      <c r="G98" s="35">
        <v>816.22</v>
      </c>
      <c r="H98" s="35">
        <v>816.22</v>
      </c>
      <c r="I98" s="35">
        <v>816.22</v>
      </c>
      <c r="J98" s="35">
        <v>816.22</v>
      </c>
      <c r="K98" s="35">
        <v>816.22</v>
      </c>
      <c r="L98" s="36" t="s">
        <v>63</v>
      </c>
      <c r="M98" s="37">
        <v>40909</v>
      </c>
      <c r="N98" s="145" t="s">
        <v>440</v>
      </c>
    </row>
    <row r="99" spans="1:14" ht="15.75" thickBot="1" x14ac:dyDescent="0.3">
      <c r="A99" s="30">
        <v>1102886825</v>
      </c>
      <c r="B99" s="31" t="s">
        <v>190</v>
      </c>
      <c r="C99" s="32">
        <v>91</v>
      </c>
      <c r="D99" s="33">
        <v>5</v>
      </c>
      <c r="E99" s="57" t="s">
        <v>83</v>
      </c>
      <c r="F99" s="39">
        <v>733.22</v>
      </c>
      <c r="G99" s="39">
        <v>733.22</v>
      </c>
      <c r="H99" s="39">
        <v>733.22</v>
      </c>
      <c r="I99" s="39">
        <v>733.22</v>
      </c>
      <c r="J99" s="39">
        <v>733.22</v>
      </c>
      <c r="K99" s="39">
        <v>733.22</v>
      </c>
      <c r="L99" s="36" t="s">
        <v>63</v>
      </c>
      <c r="M99" s="37">
        <v>40909</v>
      </c>
      <c r="N99" s="145" t="s">
        <v>440</v>
      </c>
    </row>
    <row r="100" spans="1:14" ht="15.75" thickBot="1" x14ac:dyDescent="0.3">
      <c r="A100" s="42" t="s">
        <v>191</v>
      </c>
      <c r="B100" s="31" t="s">
        <v>192</v>
      </c>
      <c r="C100" s="32">
        <v>92</v>
      </c>
      <c r="D100" s="33">
        <v>5</v>
      </c>
      <c r="E100" s="57" t="s">
        <v>83</v>
      </c>
      <c r="F100" s="39">
        <v>733.22</v>
      </c>
      <c r="G100" s="39">
        <v>733.22</v>
      </c>
      <c r="H100" s="39">
        <v>733.22</v>
      </c>
      <c r="I100" s="39">
        <v>733.22</v>
      </c>
      <c r="J100" s="39">
        <v>733.22</v>
      </c>
      <c r="K100" s="39">
        <v>733.22</v>
      </c>
      <c r="L100" s="36" t="s">
        <v>63</v>
      </c>
      <c r="M100" s="37">
        <v>40909</v>
      </c>
      <c r="N100" s="145" t="s">
        <v>440</v>
      </c>
    </row>
    <row r="101" spans="1:14" ht="15.75" thickBot="1" x14ac:dyDescent="0.3">
      <c r="A101" s="30">
        <v>1102408539</v>
      </c>
      <c r="B101" s="31" t="s">
        <v>193</v>
      </c>
      <c r="C101" s="32">
        <v>93</v>
      </c>
      <c r="D101" s="33">
        <v>6</v>
      </c>
      <c r="E101" s="57" t="s">
        <v>160</v>
      </c>
      <c r="F101" s="39">
        <v>766.22</v>
      </c>
      <c r="G101" s="39">
        <v>766.22</v>
      </c>
      <c r="H101" s="39">
        <v>766.22</v>
      </c>
      <c r="I101" s="39">
        <v>766.22</v>
      </c>
      <c r="J101" s="39">
        <v>766.22</v>
      </c>
      <c r="K101" s="39">
        <v>766.22</v>
      </c>
      <c r="L101" s="36" t="s">
        <v>63</v>
      </c>
      <c r="M101" s="37">
        <v>40909</v>
      </c>
      <c r="N101" s="145" t="s">
        <v>440</v>
      </c>
    </row>
    <row r="102" spans="1:14" ht="15.75" thickBot="1" x14ac:dyDescent="0.3">
      <c r="A102" s="42">
        <v>1101849758</v>
      </c>
      <c r="B102" s="31" t="s">
        <v>194</v>
      </c>
      <c r="C102" s="32">
        <v>94</v>
      </c>
      <c r="D102" s="33">
        <v>8</v>
      </c>
      <c r="E102" s="57" t="s">
        <v>98</v>
      </c>
      <c r="F102" s="39">
        <v>854.43</v>
      </c>
      <c r="G102" s="39">
        <v>854.43</v>
      </c>
      <c r="H102" s="39">
        <v>854.43</v>
      </c>
      <c r="I102" s="39">
        <v>854.43</v>
      </c>
      <c r="J102" s="39">
        <v>854.43</v>
      </c>
      <c r="K102" s="39">
        <v>854.43</v>
      </c>
      <c r="L102" s="36" t="s">
        <v>63</v>
      </c>
      <c r="M102" s="37">
        <v>40909</v>
      </c>
      <c r="N102" s="145" t="s">
        <v>440</v>
      </c>
    </row>
    <row r="103" spans="1:14" ht="15.75" thickBot="1" x14ac:dyDescent="0.3">
      <c r="A103" s="30">
        <v>1101432134</v>
      </c>
      <c r="B103" s="31" t="s">
        <v>195</v>
      </c>
      <c r="C103" s="32">
        <v>95</v>
      </c>
      <c r="D103" s="33">
        <v>3</v>
      </c>
      <c r="E103" s="57" t="s">
        <v>150</v>
      </c>
      <c r="F103" s="39">
        <v>902.76</v>
      </c>
      <c r="G103" s="39">
        <v>902.76</v>
      </c>
      <c r="H103" s="39">
        <v>902.76</v>
      </c>
      <c r="I103" s="39">
        <v>902.76</v>
      </c>
      <c r="J103" s="39">
        <v>902.76</v>
      </c>
      <c r="K103" s="39">
        <v>902.76</v>
      </c>
      <c r="L103" s="36" t="s">
        <v>63</v>
      </c>
      <c r="M103" s="37">
        <v>40909</v>
      </c>
      <c r="N103" s="145" t="s">
        <v>440</v>
      </c>
    </row>
    <row r="104" spans="1:14" ht="15.75" thickBot="1" x14ac:dyDescent="0.3">
      <c r="A104" s="42">
        <v>1101704649</v>
      </c>
      <c r="B104" s="31" t="s">
        <v>196</v>
      </c>
      <c r="C104" s="32">
        <v>96</v>
      </c>
      <c r="D104" s="33">
        <v>1</v>
      </c>
      <c r="E104" s="57" t="s">
        <v>67</v>
      </c>
      <c r="F104" s="35">
        <v>782.72</v>
      </c>
      <c r="G104" s="35">
        <v>782.72</v>
      </c>
      <c r="H104" s="35">
        <v>782.72</v>
      </c>
      <c r="I104" s="35">
        <v>782.72</v>
      </c>
      <c r="J104" s="35">
        <v>782.72</v>
      </c>
      <c r="K104" s="35">
        <v>782.72</v>
      </c>
      <c r="L104" s="36" t="s">
        <v>63</v>
      </c>
      <c r="M104" s="37">
        <v>40909</v>
      </c>
      <c r="N104" s="145" t="s">
        <v>440</v>
      </c>
    </row>
    <row r="105" spans="1:14" ht="15.75" thickBot="1" x14ac:dyDescent="0.3">
      <c r="A105" s="42" t="s">
        <v>197</v>
      </c>
      <c r="B105" s="31" t="s">
        <v>198</v>
      </c>
      <c r="C105" s="32">
        <v>97</v>
      </c>
      <c r="D105" s="33">
        <v>1</v>
      </c>
      <c r="E105" s="57" t="s">
        <v>148</v>
      </c>
      <c r="F105" s="35">
        <v>565.22</v>
      </c>
      <c r="G105" s="35">
        <v>565.22</v>
      </c>
      <c r="H105" s="35">
        <v>565.22</v>
      </c>
      <c r="I105" s="35">
        <v>565.22</v>
      </c>
      <c r="J105" s="35">
        <v>565.22</v>
      </c>
      <c r="K105" s="35">
        <v>565.22</v>
      </c>
      <c r="L105" s="36" t="s">
        <v>63</v>
      </c>
      <c r="M105" s="37">
        <v>40909</v>
      </c>
      <c r="N105" s="145" t="s">
        <v>440</v>
      </c>
    </row>
    <row r="106" spans="1:14" ht="15.75" thickBot="1" x14ac:dyDescent="0.3">
      <c r="A106" s="30">
        <v>1100607199</v>
      </c>
      <c r="B106" s="31" t="s">
        <v>199</v>
      </c>
      <c r="C106" s="32">
        <v>98</v>
      </c>
      <c r="D106" s="33">
        <v>4</v>
      </c>
      <c r="E106" s="57" t="s">
        <v>72</v>
      </c>
      <c r="F106" s="35">
        <v>615.22</v>
      </c>
      <c r="G106" s="35">
        <v>615.22</v>
      </c>
      <c r="H106" s="35">
        <v>615.22</v>
      </c>
      <c r="I106" s="35">
        <v>615.22</v>
      </c>
      <c r="J106" s="35">
        <v>615.22</v>
      </c>
      <c r="K106" s="35">
        <v>615.22</v>
      </c>
      <c r="L106" s="36" t="s">
        <v>63</v>
      </c>
      <c r="M106" s="37">
        <v>40909</v>
      </c>
      <c r="N106" s="145" t="s">
        <v>440</v>
      </c>
    </row>
    <row r="107" spans="1:14" ht="15.75" thickBot="1" x14ac:dyDescent="0.3">
      <c r="A107" s="42">
        <v>1103750764</v>
      </c>
      <c r="B107" s="31" t="s">
        <v>200</v>
      </c>
      <c r="C107" s="32">
        <v>99</v>
      </c>
      <c r="D107" s="33">
        <v>4</v>
      </c>
      <c r="E107" s="57" t="s">
        <v>72</v>
      </c>
      <c r="F107" s="35">
        <v>615.22</v>
      </c>
      <c r="G107" s="35">
        <v>615.22</v>
      </c>
      <c r="H107" s="35">
        <v>615.22</v>
      </c>
      <c r="I107" s="35">
        <v>615.22</v>
      </c>
      <c r="J107" s="35">
        <v>615.22</v>
      </c>
      <c r="K107" s="35">
        <v>615.22</v>
      </c>
      <c r="L107" s="36" t="s">
        <v>63</v>
      </c>
      <c r="M107" s="37">
        <v>40909</v>
      </c>
      <c r="N107" s="145" t="s">
        <v>440</v>
      </c>
    </row>
    <row r="108" spans="1:14" ht="15.75" thickBot="1" x14ac:dyDescent="0.3">
      <c r="A108" s="42" t="s">
        <v>201</v>
      </c>
      <c r="B108" s="31" t="s">
        <v>202</v>
      </c>
      <c r="C108" s="32">
        <v>100</v>
      </c>
      <c r="D108" s="33">
        <v>1</v>
      </c>
      <c r="E108" s="57" t="s">
        <v>148</v>
      </c>
      <c r="F108" s="35">
        <v>565.22</v>
      </c>
      <c r="G108" s="35">
        <v>565.22</v>
      </c>
      <c r="H108" s="35">
        <v>565.22</v>
      </c>
      <c r="I108" s="35">
        <v>565.22</v>
      </c>
      <c r="J108" s="35">
        <v>565.22</v>
      </c>
      <c r="K108" s="35">
        <v>565.22</v>
      </c>
      <c r="L108" s="36" t="s">
        <v>63</v>
      </c>
      <c r="M108" s="37">
        <v>40909</v>
      </c>
      <c r="N108" s="145" t="s">
        <v>440</v>
      </c>
    </row>
    <row r="109" spans="1:14" ht="15.75" thickBot="1" x14ac:dyDescent="0.3">
      <c r="A109" s="30">
        <v>1101558268</v>
      </c>
      <c r="B109" s="31" t="s">
        <v>203</v>
      </c>
      <c r="C109" s="32">
        <v>101</v>
      </c>
      <c r="D109" s="33">
        <v>1</v>
      </c>
      <c r="E109" s="57" t="s">
        <v>153</v>
      </c>
      <c r="F109" s="35">
        <v>565.22</v>
      </c>
      <c r="G109" s="35">
        <v>565.22</v>
      </c>
      <c r="H109" s="35">
        <v>565.22</v>
      </c>
      <c r="I109" s="35">
        <v>565.22</v>
      </c>
      <c r="J109" s="35">
        <v>565.22</v>
      </c>
      <c r="K109" s="35">
        <v>565.22</v>
      </c>
      <c r="L109" s="36" t="s">
        <v>63</v>
      </c>
      <c r="M109" s="37">
        <v>40909</v>
      </c>
      <c r="N109" s="145" t="s">
        <v>440</v>
      </c>
    </row>
    <row r="110" spans="1:14" ht="15.75" thickBot="1" x14ac:dyDescent="0.3">
      <c r="A110" s="30">
        <v>1102657036</v>
      </c>
      <c r="B110" s="31" t="s">
        <v>204</v>
      </c>
      <c r="C110" s="32">
        <v>102</v>
      </c>
      <c r="D110" s="33">
        <v>1</v>
      </c>
      <c r="E110" s="57" t="s">
        <v>67</v>
      </c>
      <c r="F110" s="35">
        <v>565.22</v>
      </c>
      <c r="G110" s="35">
        <v>565.22</v>
      </c>
      <c r="H110" s="35">
        <v>565.22</v>
      </c>
      <c r="I110" s="35">
        <v>565.22</v>
      </c>
      <c r="J110" s="35">
        <v>565.22</v>
      </c>
      <c r="K110" s="35">
        <v>565.22</v>
      </c>
      <c r="L110" s="36" t="s">
        <v>63</v>
      </c>
      <c r="M110" s="37">
        <v>40909</v>
      </c>
      <c r="N110" s="145" t="s">
        <v>440</v>
      </c>
    </row>
    <row r="111" spans="1:14" ht="15.75" thickBot="1" x14ac:dyDescent="0.3">
      <c r="A111" s="42">
        <v>1104064108</v>
      </c>
      <c r="B111" s="31" t="s">
        <v>205</v>
      </c>
      <c r="C111" s="32">
        <v>103</v>
      </c>
      <c r="D111" s="33">
        <v>1</v>
      </c>
      <c r="E111" s="57" t="s">
        <v>85</v>
      </c>
      <c r="F111" s="35">
        <v>565.22</v>
      </c>
      <c r="G111" s="35">
        <v>565.22</v>
      </c>
      <c r="H111" s="35">
        <v>565.22</v>
      </c>
      <c r="I111" s="35">
        <v>565.22</v>
      </c>
      <c r="J111" s="35">
        <v>565.22</v>
      </c>
      <c r="K111" s="35">
        <v>565.22</v>
      </c>
      <c r="L111" s="36" t="s">
        <v>63</v>
      </c>
      <c r="M111" s="37">
        <v>40909</v>
      </c>
      <c r="N111" s="145" t="s">
        <v>440</v>
      </c>
    </row>
    <row r="112" spans="1:14" ht="15.75" thickBot="1" x14ac:dyDescent="0.3">
      <c r="A112" s="42">
        <v>1104430192</v>
      </c>
      <c r="B112" s="31" t="s">
        <v>206</v>
      </c>
      <c r="C112" s="32">
        <v>104</v>
      </c>
      <c r="D112" s="33">
        <v>1</v>
      </c>
      <c r="E112" s="57" t="s">
        <v>77</v>
      </c>
      <c r="F112" s="35">
        <v>565.22</v>
      </c>
      <c r="G112" s="35">
        <v>565.22</v>
      </c>
      <c r="H112" s="35">
        <v>565.22</v>
      </c>
      <c r="I112" s="35">
        <v>565.22</v>
      </c>
      <c r="J112" s="35">
        <v>565.22</v>
      </c>
      <c r="K112" s="35">
        <v>565.22</v>
      </c>
      <c r="L112" s="36" t="s">
        <v>63</v>
      </c>
      <c r="M112" s="37">
        <v>40909</v>
      </c>
      <c r="N112" s="145" t="s">
        <v>440</v>
      </c>
    </row>
    <row r="113" spans="1:14" ht="15.75" thickBot="1" x14ac:dyDescent="0.3">
      <c r="A113" s="42">
        <v>1103968713</v>
      </c>
      <c r="B113" s="31" t="s">
        <v>207</v>
      </c>
      <c r="C113" s="32">
        <v>105</v>
      </c>
      <c r="D113" s="33">
        <v>1</v>
      </c>
      <c r="E113" s="57" t="s">
        <v>77</v>
      </c>
      <c r="F113" s="35">
        <v>565.22</v>
      </c>
      <c r="G113" s="35">
        <v>565.22</v>
      </c>
      <c r="H113" s="35">
        <v>565.22</v>
      </c>
      <c r="I113" s="35">
        <v>565.22</v>
      </c>
      <c r="J113" s="35">
        <v>565.22</v>
      </c>
      <c r="K113" s="35">
        <v>565.22</v>
      </c>
      <c r="L113" s="36" t="s">
        <v>63</v>
      </c>
      <c r="M113" s="37">
        <v>40909</v>
      </c>
      <c r="N113" s="145" t="s">
        <v>440</v>
      </c>
    </row>
    <row r="114" spans="1:14" ht="15.75" thickBot="1" x14ac:dyDescent="0.3">
      <c r="A114" s="30">
        <v>1100627668</v>
      </c>
      <c r="B114" s="31" t="s">
        <v>208</v>
      </c>
      <c r="C114" s="32">
        <v>106</v>
      </c>
      <c r="D114" s="33">
        <v>4</v>
      </c>
      <c r="E114" s="57" t="s">
        <v>72</v>
      </c>
      <c r="F114" s="35">
        <v>615.22</v>
      </c>
      <c r="G114" s="35">
        <v>615.22</v>
      </c>
      <c r="H114" s="35">
        <v>615.22</v>
      </c>
      <c r="I114" s="35">
        <v>615.22</v>
      </c>
      <c r="J114" s="35">
        <v>615.22</v>
      </c>
      <c r="K114" s="35">
        <v>615.22</v>
      </c>
      <c r="L114" s="36" t="s">
        <v>63</v>
      </c>
      <c r="M114" s="37">
        <v>40909</v>
      </c>
      <c r="N114" s="145" t="s">
        <v>440</v>
      </c>
    </row>
    <row r="115" spans="1:14" ht="15.75" thickBot="1" x14ac:dyDescent="0.3">
      <c r="A115" s="30">
        <v>1102444864</v>
      </c>
      <c r="B115" s="31" t="s">
        <v>209</v>
      </c>
      <c r="C115" s="32">
        <v>107</v>
      </c>
      <c r="D115" s="33">
        <v>1</v>
      </c>
      <c r="E115" s="57" t="s">
        <v>67</v>
      </c>
      <c r="F115" s="35">
        <v>565.22</v>
      </c>
      <c r="G115" s="35">
        <v>565.22</v>
      </c>
      <c r="H115" s="35">
        <v>565.22</v>
      </c>
      <c r="I115" s="35">
        <v>565.22</v>
      </c>
      <c r="J115" s="35">
        <v>565.22</v>
      </c>
      <c r="K115" s="35">
        <v>565.22</v>
      </c>
      <c r="L115" s="36" t="s">
        <v>63</v>
      </c>
      <c r="M115" s="37">
        <v>40909</v>
      </c>
      <c r="N115" s="145" t="s">
        <v>440</v>
      </c>
    </row>
    <row r="116" spans="1:14" ht="15.75" thickBot="1" x14ac:dyDescent="0.3">
      <c r="A116" s="42">
        <v>1104360548</v>
      </c>
      <c r="B116" s="31" t="s">
        <v>210</v>
      </c>
      <c r="C116" s="32">
        <v>108</v>
      </c>
      <c r="D116" s="33">
        <v>5</v>
      </c>
      <c r="E116" s="57" t="s">
        <v>177</v>
      </c>
      <c r="F116" s="39">
        <v>733.22</v>
      </c>
      <c r="G116" s="39">
        <v>733.22</v>
      </c>
      <c r="H116" s="39">
        <v>733.22</v>
      </c>
      <c r="I116" s="39">
        <v>733.22</v>
      </c>
      <c r="J116" s="39">
        <v>733.22</v>
      </c>
      <c r="K116" s="39">
        <v>733.22</v>
      </c>
      <c r="L116" s="36" t="s">
        <v>63</v>
      </c>
      <c r="M116" s="37">
        <v>40909</v>
      </c>
      <c r="N116" s="145" t="s">
        <v>440</v>
      </c>
    </row>
    <row r="117" spans="1:14" ht="15.75" thickBot="1" x14ac:dyDescent="0.3">
      <c r="A117" s="42">
        <v>1102539549</v>
      </c>
      <c r="B117" s="31" t="s">
        <v>211</v>
      </c>
      <c r="C117" s="32">
        <v>109</v>
      </c>
      <c r="D117" s="33">
        <v>8</v>
      </c>
      <c r="E117" s="57" t="s">
        <v>189</v>
      </c>
      <c r="F117" s="35">
        <v>816.22</v>
      </c>
      <c r="G117" s="35">
        <v>816.22</v>
      </c>
      <c r="H117" s="35">
        <v>816.22</v>
      </c>
      <c r="I117" s="35">
        <v>816.22</v>
      </c>
      <c r="J117" s="35">
        <v>816.22</v>
      </c>
      <c r="K117" s="35">
        <v>816.22</v>
      </c>
      <c r="L117" s="36" t="s">
        <v>63</v>
      </c>
      <c r="M117" s="37">
        <v>40909</v>
      </c>
      <c r="N117" s="145" t="s">
        <v>440</v>
      </c>
    </row>
    <row r="118" spans="1:14" ht="15.75" thickBot="1" x14ac:dyDescent="0.3">
      <c r="A118" s="42" t="s">
        <v>212</v>
      </c>
      <c r="B118" s="31" t="s">
        <v>213</v>
      </c>
      <c r="C118" s="32">
        <v>110</v>
      </c>
      <c r="D118" s="33">
        <v>5</v>
      </c>
      <c r="E118" s="57" t="s">
        <v>83</v>
      </c>
      <c r="F118" s="39">
        <v>733.22</v>
      </c>
      <c r="G118" s="39">
        <v>733.22</v>
      </c>
      <c r="H118" s="39">
        <v>733.22</v>
      </c>
      <c r="I118" s="39">
        <v>733.22</v>
      </c>
      <c r="J118" s="39">
        <v>733.22</v>
      </c>
      <c r="K118" s="39">
        <v>733.22</v>
      </c>
      <c r="L118" s="36" t="s">
        <v>63</v>
      </c>
      <c r="M118" s="37">
        <v>40909</v>
      </c>
      <c r="N118" s="145" t="s">
        <v>440</v>
      </c>
    </row>
    <row r="119" spans="1:14" ht="15.75" thickBot="1" x14ac:dyDescent="0.3">
      <c r="A119" s="30">
        <v>1102561691</v>
      </c>
      <c r="B119" s="31" t="s">
        <v>214</v>
      </c>
      <c r="C119" s="32">
        <v>111</v>
      </c>
      <c r="D119" s="33">
        <v>6</v>
      </c>
      <c r="E119" s="57" t="s">
        <v>160</v>
      </c>
      <c r="F119" s="39">
        <v>766.22</v>
      </c>
      <c r="G119" s="39">
        <v>766.22</v>
      </c>
      <c r="H119" s="39">
        <v>766.22</v>
      </c>
      <c r="I119" s="39">
        <v>766.22</v>
      </c>
      <c r="J119" s="39">
        <v>766.22</v>
      </c>
      <c r="K119" s="39">
        <v>766.22</v>
      </c>
      <c r="L119" s="36" t="s">
        <v>63</v>
      </c>
      <c r="M119" s="37">
        <v>40909</v>
      </c>
      <c r="N119" s="145" t="s">
        <v>440</v>
      </c>
    </row>
    <row r="120" spans="1:14" ht="15.75" thickBot="1" x14ac:dyDescent="0.3">
      <c r="A120" s="42">
        <v>1104109655</v>
      </c>
      <c r="B120" s="31" t="s">
        <v>215</v>
      </c>
      <c r="C120" s="32">
        <v>112</v>
      </c>
      <c r="D120" s="33">
        <v>2</v>
      </c>
      <c r="E120" s="57" t="s">
        <v>216</v>
      </c>
      <c r="F120" s="35">
        <v>581.22</v>
      </c>
      <c r="G120" s="35">
        <v>581.22</v>
      </c>
      <c r="H120" s="35">
        <v>581.22</v>
      </c>
      <c r="I120" s="35">
        <v>581.22</v>
      </c>
      <c r="J120" s="35">
        <v>581.22</v>
      </c>
      <c r="K120" s="35">
        <v>581.22</v>
      </c>
      <c r="L120" s="36" t="s">
        <v>63</v>
      </c>
      <c r="M120" s="37">
        <v>40909</v>
      </c>
      <c r="N120" s="145" t="s">
        <v>440</v>
      </c>
    </row>
    <row r="121" spans="1:14" ht="15.75" thickBot="1" x14ac:dyDescent="0.3">
      <c r="A121" s="51">
        <v>1103919096</v>
      </c>
      <c r="B121" s="31" t="s">
        <v>217</v>
      </c>
      <c r="C121" s="32">
        <v>113</v>
      </c>
      <c r="D121" s="33">
        <v>1</v>
      </c>
      <c r="E121" s="57" t="s">
        <v>148</v>
      </c>
      <c r="F121" s="44">
        <v>565</v>
      </c>
      <c r="G121" s="44">
        <v>565</v>
      </c>
      <c r="H121" s="44">
        <v>565</v>
      </c>
      <c r="I121" s="44">
        <v>565</v>
      </c>
      <c r="J121" s="44">
        <v>565</v>
      </c>
      <c r="K121" s="44">
        <v>565</v>
      </c>
      <c r="L121" s="36" t="s">
        <v>63</v>
      </c>
      <c r="M121" s="37">
        <v>41640</v>
      </c>
      <c r="N121" s="145" t="s">
        <v>440</v>
      </c>
    </row>
    <row r="122" spans="1:14" ht="15.75" thickBot="1" x14ac:dyDescent="0.3">
      <c r="A122" s="42">
        <v>1102823372</v>
      </c>
      <c r="B122" s="31" t="s">
        <v>218</v>
      </c>
      <c r="C122" s="32">
        <v>114</v>
      </c>
      <c r="D122" s="33">
        <v>1</v>
      </c>
      <c r="E122" s="57" t="s">
        <v>67</v>
      </c>
      <c r="F122" s="35">
        <v>565.22</v>
      </c>
      <c r="G122" s="35">
        <v>565.22</v>
      </c>
      <c r="H122" s="35">
        <v>565.22</v>
      </c>
      <c r="I122" s="35">
        <v>565.22</v>
      </c>
      <c r="J122" s="35">
        <v>565.22</v>
      </c>
      <c r="K122" s="35">
        <v>565.22</v>
      </c>
      <c r="L122" s="36" t="s">
        <v>63</v>
      </c>
      <c r="M122" s="37">
        <v>40909</v>
      </c>
      <c r="N122" s="145" t="s">
        <v>440</v>
      </c>
    </row>
    <row r="123" spans="1:14" ht="15.75" thickBot="1" x14ac:dyDescent="0.3">
      <c r="A123" s="30">
        <v>1102853585</v>
      </c>
      <c r="B123" s="31" t="s">
        <v>219</v>
      </c>
      <c r="C123" s="32">
        <v>115</v>
      </c>
      <c r="D123" s="33">
        <v>5</v>
      </c>
      <c r="E123" s="57" t="s">
        <v>220</v>
      </c>
      <c r="F123" s="39">
        <v>733.22</v>
      </c>
      <c r="G123" s="39">
        <v>733.22</v>
      </c>
      <c r="H123" s="39">
        <v>733.22</v>
      </c>
      <c r="I123" s="39">
        <v>733.22</v>
      </c>
      <c r="J123" s="39">
        <v>733.22</v>
      </c>
      <c r="K123" s="39">
        <v>733.22</v>
      </c>
      <c r="L123" s="36" t="s">
        <v>63</v>
      </c>
      <c r="M123" s="37">
        <v>40909</v>
      </c>
      <c r="N123" s="145" t="s">
        <v>440</v>
      </c>
    </row>
    <row r="124" spans="1:14" ht="15.75" thickBot="1" x14ac:dyDescent="0.3">
      <c r="A124" s="30">
        <v>1102621271</v>
      </c>
      <c r="B124" s="31" t="s">
        <v>221</v>
      </c>
      <c r="C124" s="32">
        <v>116</v>
      </c>
      <c r="D124" s="33">
        <v>2</v>
      </c>
      <c r="E124" s="57" t="s">
        <v>87</v>
      </c>
      <c r="F124" s="35">
        <v>581.22</v>
      </c>
      <c r="G124" s="35">
        <v>581.22</v>
      </c>
      <c r="H124" s="35">
        <v>581.22</v>
      </c>
      <c r="I124" s="35">
        <v>581.22</v>
      </c>
      <c r="J124" s="35">
        <v>581.22</v>
      </c>
      <c r="K124" s="35">
        <v>581.22</v>
      </c>
      <c r="L124" s="36" t="s">
        <v>63</v>
      </c>
      <c r="M124" s="37">
        <v>40909</v>
      </c>
      <c r="N124" s="145" t="s">
        <v>440</v>
      </c>
    </row>
    <row r="125" spans="1:14" ht="15.75" thickBot="1" x14ac:dyDescent="0.3">
      <c r="A125" s="42">
        <v>1101760054</v>
      </c>
      <c r="B125" s="31" t="s">
        <v>222</v>
      </c>
      <c r="C125" s="32">
        <v>117</v>
      </c>
      <c r="D125" s="33">
        <v>1</v>
      </c>
      <c r="E125" s="57" t="s">
        <v>62</v>
      </c>
      <c r="F125" s="35">
        <v>565.22</v>
      </c>
      <c r="G125" s="35">
        <v>565.22</v>
      </c>
      <c r="H125" s="35">
        <v>565.22</v>
      </c>
      <c r="I125" s="35">
        <v>565.22</v>
      </c>
      <c r="J125" s="35">
        <v>565.22</v>
      </c>
      <c r="K125" s="35">
        <v>565.22</v>
      </c>
      <c r="L125" s="36" t="s">
        <v>63</v>
      </c>
      <c r="M125" s="37">
        <v>40909</v>
      </c>
      <c r="N125" s="145" t="s">
        <v>440</v>
      </c>
    </row>
    <row r="126" spans="1:14" ht="15.75" thickBot="1" x14ac:dyDescent="0.3">
      <c r="A126" s="42">
        <v>1101047148</v>
      </c>
      <c r="B126" s="31" t="s">
        <v>223</v>
      </c>
      <c r="C126" s="32">
        <v>118</v>
      </c>
      <c r="D126" s="33">
        <v>1</v>
      </c>
      <c r="E126" s="57" t="s">
        <v>67</v>
      </c>
      <c r="F126" s="35">
        <v>786.18</v>
      </c>
      <c r="G126" s="35">
        <v>786.18</v>
      </c>
      <c r="H126" s="35">
        <v>786.18</v>
      </c>
      <c r="I126" s="35">
        <v>786.18</v>
      </c>
      <c r="J126" s="35">
        <v>786.18</v>
      </c>
      <c r="K126" s="35">
        <v>786.18</v>
      </c>
      <c r="L126" s="36" t="s">
        <v>63</v>
      </c>
      <c r="M126" s="37">
        <v>40909</v>
      </c>
      <c r="N126" s="145" t="s">
        <v>440</v>
      </c>
    </row>
    <row r="127" spans="1:14" ht="15.75" thickBot="1" x14ac:dyDescent="0.3">
      <c r="A127" s="42" t="s">
        <v>224</v>
      </c>
      <c r="B127" s="31" t="s">
        <v>225</v>
      </c>
      <c r="C127" s="32">
        <v>119</v>
      </c>
      <c r="D127" s="33">
        <v>2</v>
      </c>
      <c r="E127" s="57" t="s">
        <v>156</v>
      </c>
      <c r="F127" s="35">
        <v>581.22</v>
      </c>
      <c r="G127" s="35">
        <v>581.22</v>
      </c>
      <c r="H127" s="35">
        <v>581.22</v>
      </c>
      <c r="I127" s="35">
        <v>581.22</v>
      </c>
      <c r="J127" s="35">
        <v>581.22</v>
      </c>
      <c r="K127" s="35">
        <v>581.22</v>
      </c>
      <c r="L127" s="36" t="s">
        <v>63</v>
      </c>
      <c r="M127" s="37">
        <v>41852</v>
      </c>
      <c r="N127" s="145" t="s">
        <v>440</v>
      </c>
    </row>
    <row r="128" spans="1:14" ht="15.75" thickBot="1" x14ac:dyDescent="0.3">
      <c r="A128" s="42">
        <v>1103351027</v>
      </c>
      <c r="B128" s="31" t="s">
        <v>226</v>
      </c>
      <c r="C128" s="32">
        <v>120</v>
      </c>
      <c r="D128" s="33">
        <v>1</v>
      </c>
      <c r="E128" s="57" t="s">
        <v>67</v>
      </c>
      <c r="F128" s="35">
        <v>565.22</v>
      </c>
      <c r="G128" s="35">
        <v>565.22</v>
      </c>
      <c r="H128" s="35">
        <v>565.22</v>
      </c>
      <c r="I128" s="35">
        <v>565.22</v>
      </c>
      <c r="J128" s="35">
        <v>565.22</v>
      </c>
      <c r="K128" s="35">
        <v>565.22</v>
      </c>
      <c r="L128" s="36" t="s">
        <v>63</v>
      </c>
      <c r="M128" s="37">
        <v>40909</v>
      </c>
      <c r="N128" s="145" t="s">
        <v>440</v>
      </c>
    </row>
    <row r="129" spans="1:14" ht="15.75" thickBot="1" x14ac:dyDescent="0.3">
      <c r="A129" s="42">
        <v>1103825509</v>
      </c>
      <c r="B129" s="31" t="s">
        <v>227</v>
      </c>
      <c r="C129" s="32">
        <v>121</v>
      </c>
      <c r="D129" s="33">
        <v>2</v>
      </c>
      <c r="E129" s="57" t="s">
        <v>87</v>
      </c>
      <c r="F129" s="35">
        <v>581.22</v>
      </c>
      <c r="G129" s="35">
        <v>581.22</v>
      </c>
      <c r="H129" s="35">
        <v>581.22</v>
      </c>
      <c r="I129" s="35">
        <v>581.22</v>
      </c>
      <c r="J129" s="35">
        <v>581.22</v>
      </c>
      <c r="K129" s="35">
        <v>581.22</v>
      </c>
      <c r="L129" s="36" t="s">
        <v>63</v>
      </c>
      <c r="M129" s="37">
        <v>40909</v>
      </c>
      <c r="N129" s="145" t="s">
        <v>440</v>
      </c>
    </row>
    <row r="130" spans="1:14" ht="15.75" thickBot="1" x14ac:dyDescent="0.3">
      <c r="A130" s="54">
        <v>1103999676</v>
      </c>
      <c r="B130" s="31" t="s">
        <v>228</v>
      </c>
      <c r="C130" s="32">
        <v>122</v>
      </c>
      <c r="D130" s="33">
        <v>1</v>
      </c>
      <c r="E130" s="57" t="s">
        <v>229</v>
      </c>
      <c r="F130" s="35">
        <v>565.22</v>
      </c>
      <c r="G130" s="35">
        <v>565.22</v>
      </c>
      <c r="H130" s="35">
        <v>565.22</v>
      </c>
      <c r="I130" s="35">
        <v>565.22</v>
      </c>
      <c r="J130" s="35">
        <v>565.22</v>
      </c>
      <c r="K130" s="35">
        <v>565.22</v>
      </c>
      <c r="L130" s="36" t="s">
        <v>63</v>
      </c>
      <c r="M130" s="37">
        <v>40909</v>
      </c>
      <c r="N130" s="145" t="s">
        <v>440</v>
      </c>
    </row>
    <row r="131" spans="1:14" ht="15.75" thickBot="1" x14ac:dyDescent="0.3">
      <c r="A131" s="42">
        <v>1101821880</v>
      </c>
      <c r="B131" s="31" t="s">
        <v>230</v>
      </c>
      <c r="C131" s="32">
        <v>123</v>
      </c>
      <c r="D131" s="33">
        <v>8</v>
      </c>
      <c r="E131" s="57" t="s">
        <v>189</v>
      </c>
      <c r="F131" s="35">
        <v>816.22</v>
      </c>
      <c r="G131" s="35">
        <v>816.22</v>
      </c>
      <c r="H131" s="35">
        <v>816.22</v>
      </c>
      <c r="I131" s="35">
        <v>816.22</v>
      </c>
      <c r="J131" s="35">
        <v>816.22</v>
      </c>
      <c r="K131" s="35">
        <v>816.22</v>
      </c>
      <c r="L131" s="36" t="s">
        <v>63</v>
      </c>
      <c r="M131" s="37">
        <v>40909</v>
      </c>
      <c r="N131" s="145" t="s">
        <v>440</v>
      </c>
    </row>
    <row r="132" spans="1:14" ht="15.75" thickBot="1" x14ac:dyDescent="0.3">
      <c r="A132" s="42">
        <v>1102719489</v>
      </c>
      <c r="B132" s="31" t="s">
        <v>231</v>
      </c>
      <c r="C132" s="32">
        <v>124</v>
      </c>
      <c r="D132" s="33">
        <v>1</v>
      </c>
      <c r="E132" s="57" t="s">
        <v>67</v>
      </c>
      <c r="F132" s="35">
        <v>565.22</v>
      </c>
      <c r="G132" s="35">
        <v>565.22</v>
      </c>
      <c r="H132" s="35">
        <v>565.22</v>
      </c>
      <c r="I132" s="35">
        <v>565.22</v>
      </c>
      <c r="J132" s="35">
        <v>565.22</v>
      </c>
      <c r="K132" s="35">
        <v>565.22</v>
      </c>
      <c r="L132" s="36" t="s">
        <v>63</v>
      </c>
      <c r="M132" s="37">
        <v>40909</v>
      </c>
      <c r="N132" s="145" t="s">
        <v>440</v>
      </c>
    </row>
    <row r="133" spans="1:14" ht="15.75" thickBot="1" x14ac:dyDescent="0.3">
      <c r="A133" s="42">
        <v>1103412779</v>
      </c>
      <c r="B133" s="31" t="s">
        <v>232</v>
      </c>
      <c r="C133" s="32">
        <v>125</v>
      </c>
      <c r="D133" s="33">
        <v>1</v>
      </c>
      <c r="E133" s="57" t="s">
        <v>233</v>
      </c>
      <c r="F133" s="35">
        <v>565.22</v>
      </c>
      <c r="G133" s="35">
        <v>565.22</v>
      </c>
      <c r="H133" s="35">
        <v>565.22</v>
      </c>
      <c r="I133" s="35">
        <v>565.22</v>
      </c>
      <c r="J133" s="35">
        <v>565.22</v>
      </c>
      <c r="K133" s="35">
        <v>565.22</v>
      </c>
      <c r="L133" s="36" t="s">
        <v>63</v>
      </c>
      <c r="M133" s="37">
        <v>40909</v>
      </c>
      <c r="N133" s="145" t="s">
        <v>440</v>
      </c>
    </row>
    <row r="134" spans="1:14" ht="15.75" thickBot="1" x14ac:dyDescent="0.3">
      <c r="A134" s="42">
        <v>1102865779</v>
      </c>
      <c r="B134" s="31" t="s">
        <v>234</v>
      </c>
      <c r="C134" s="32">
        <v>126</v>
      </c>
      <c r="D134" s="33">
        <v>1</v>
      </c>
      <c r="E134" s="57" t="s">
        <v>67</v>
      </c>
      <c r="F134" s="35">
        <v>565.22</v>
      </c>
      <c r="G134" s="35">
        <v>565.22</v>
      </c>
      <c r="H134" s="35">
        <v>565.22</v>
      </c>
      <c r="I134" s="35">
        <v>565.22</v>
      </c>
      <c r="J134" s="35">
        <v>565.22</v>
      </c>
      <c r="K134" s="35">
        <v>565.22</v>
      </c>
      <c r="L134" s="36" t="s">
        <v>63</v>
      </c>
      <c r="M134" s="37">
        <v>40909</v>
      </c>
      <c r="N134" s="145" t="s">
        <v>440</v>
      </c>
    </row>
    <row r="135" spans="1:14" ht="15.75" thickBot="1" x14ac:dyDescent="0.3">
      <c r="A135" s="42">
        <v>1102511639</v>
      </c>
      <c r="B135" s="31" t="s">
        <v>235</v>
      </c>
      <c r="C135" s="32">
        <v>127</v>
      </c>
      <c r="D135" s="33">
        <v>1</v>
      </c>
      <c r="E135" s="57" t="s">
        <v>67</v>
      </c>
      <c r="F135" s="35">
        <v>565.22</v>
      </c>
      <c r="G135" s="35">
        <v>565.22</v>
      </c>
      <c r="H135" s="35">
        <v>565.22</v>
      </c>
      <c r="I135" s="35">
        <v>565.22</v>
      </c>
      <c r="J135" s="35">
        <v>565.22</v>
      </c>
      <c r="K135" s="35">
        <v>565.22</v>
      </c>
      <c r="L135" s="36" t="s">
        <v>63</v>
      </c>
      <c r="M135" s="37">
        <v>40909</v>
      </c>
      <c r="N135" s="145" t="s">
        <v>440</v>
      </c>
    </row>
    <row r="136" spans="1:14" ht="15.75" thickBot="1" x14ac:dyDescent="0.3">
      <c r="A136" s="52">
        <v>1100538535</v>
      </c>
      <c r="B136" s="31" t="s">
        <v>236</v>
      </c>
      <c r="C136" s="32">
        <v>128</v>
      </c>
      <c r="D136" s="33">
        <v>4</v>
      </c>
      <c r="E136" s="57" t="s">
        <v>72</v>
      </c>
      <c r="F136" s="35">
        <v>615.22</v>
      </c>
      <c r="G136" s="35">
        <v>615.22</v>
      </c>
      <c r="H136" s="35">
        <v>615.22</v>
      </c>
      <c r="I136" s="35">
        <v>615.22</v>
      </c>
      <c r="J136" s="35">
        <v>615.22</v>
      </c>
      <c r="K136" s="35">
        <v>615.22</v>
      </c>
      <c r="L136" s="36" t="s">
        <v>63</v>
      </c>
      <c r="M136" s="37">
        <v>40909</v>
      </c>
      <c r="N136" s="145" t="s">
        <v>440</v>
      </c>
    </row>
    <row r="137" spans="1:14" ht="15.75" thickBot="1" x14ac:dyDescent="0.3">
      <c r="A137" s="42">
        <v>1103428957</v>
      </c>
      <c r="B137" s="31" t="s">
        <v>237</v>
      </c>
      <c r="C137" s="32">
        <v>129</v>
      </c>
      <c r="D137" s="33">
        <v>4</v>
      </c>
      <c r="E137" s="57" t="s">
        <v>72</v>
      </c>
      <c r="F137" s="35">
        <v>615.22</v>
      </c>
      <c r="G137" s="35">
        <v>615.22</v>
      </c>
      <c r="H137" s="35">
        <v>615.22</v>
      </c>
      <c r="I137" s="35">
        <v>615.22</v>
      </c>
      <c r="J137" s="35">
        <v>615.22</v>
      </c>
      <c r="K137" s="35">
        <v>615.22</v>
      </c>
      <c r="L137" s="36" t="s">
        <v>63</v>
      </c>
      <c r="M137" s="37">
        <v>40909</v>
      </c>
      <c r="N137" s="145" t="s">
        <v>440</v>
      </c>
    </row>
    <row r="138" spans="1:14" ht="15.75" thickBot="1" x14ac:dyDescent="0.3">
      <c r="A138" s="42">
        <v>1900353226</v>
      </c>
      <c r="B138" s="31" t="s">
        <v>238</v>
      </c>
      <c r="C138" s="32">
        <v>130</v>
      </c>
      <c r="D138" s="33">
        <v>1</v>
      </c>
      <c r="E138" s="57" t="s">
        <v>77</v>
      </c>
      <c r="F138" s="35">
        <v>565.22</v>
      </c>
      <c r="G138" s="35">
        <v>565.22</v>
      </c>
      <c r="H138" s="35">
        <v>565.22</v>
      </c>
      <c r="I138" s="35">
        <v>565.22</v>
      </c>
      <c r="J138" s="35">
        <v>565.22</v>
      </c>
      <c r="K138" s="35">
        <v>565.22</v>
      </c>
      <c r="L138" s="36" t="s">
        <v>63</v>
      </c>
      <c r="M138" s="37">
        <v>40909</v>
      </c>
      <c r="N138" s="145" t="s">
        <v>440</v>
      </c>
    </row>
    <row r="139" spans="1:14" ht="15.75" thickBot="1" x14ac:dyDescent="0.3">
      <c r="A139" s="52">
        <v>1103352314</v>
      </c>
      <c r="B139" s="31" t="s">
        <v>239</v>
      </c>
      <c r="C139" s="32">
        <v>131</v>
      </c>
      <c r="D139" s="33">
        <v>1</v>
      </c>
      <c r="E139" s="57" t="s">
        <v>229</v>
      </c>
      <c r="F139" s="35">
        <v>565.22</v>
      </c>
      <c r="G139" s="35">
        <v>565.22</v>
      </c>
      <c r="H139" s="35">
        <v>565.22</v>
      </c>
      <c r="I139" s="35">
        <v>565.22</v>
      </c>
      <c r="J139" s="35">
        <v>565.22</v>
      </c>
      <c r="K139" s="35">
        <v>565.22</v>
      </c>
      <c r="L139" s="36" t="s">
        <v>63</v>
      </c>
      <c r="M139" s="37">
        <v>40909</v>
      </c>
      <c r="N139" s="145" t="s">
        <v>440</v>
      </c>
    </row>
    <row r="140" spans="1:14" ht="15.75" thickBot="1" x14ac:dyDescent="0.3">
      <c r="A140" s="42">
        <v>1101570008</v>
      </c>
      <c r="B140" s="31" t="s">
        <v>240</v>
      </c>
      <c r="C140" s="32">
        <v>132</v>
      </c>
      <c r="D140" s="33">
        <v>5</v>
      </c>
      <c r="E140" s="57" t="s">
        <v>80</v>
      </c>
      <c r="F140" s="39">
        <v>733.22</v>
      </c>
      <c r="G140" s="39">
        <v>733.22</v>
      </c>
      <c r="H140" s="39">
        <v>733.22</v>
      </c>
      <c r="I140" s="39">
        <v>733.22</v>
      </c>
      <c r="J140" s="39">
        <v>733.22</v>
      </c>
      <c r="K140" s="39">
        <v>733.22</v>
      </c>
      <c r="L140" s="36" t="s">
        <v>63</v>
      </c>
      <c r="M140" s="37">
        <v>40909</v>
      </c>
      <c r="N140" s="145" t="s">
        <v>440</v>
      </c>
    </row>
    <row r="141" spans="1:14" ht="15.75" thickBot="1" x14ac:dyDescent="0.3">
      <c r="A141" s="42">
        <v>1703104164</v>
      </c>
      <c r="B141" s="31" t="s">
        <v>241</v>
      </c>
      <c r="C141" s="32">
        <v>133</v>
      </c>
      <c r="D141" s="33">
        <v>1</v>
      </c>
      <c r="E141" s="57" t="s">
        <v>85</v>
      </c>
      <c r="F141" s="35">
        <v>798.53</v>
      </c>
      <c r="G141" s="35">
        <v>798.53</v>
      </c>
      <c r="H141" s="35">
        <v>798.53</v>
      </c>
      <c r="I141" s="35">
        <v>798.53</v>
      </c>
      <c r="J141" s="35">
        <v>798.53</v>
      </c>
      <c r="K141" s="35">
        <v>798.53</v>
      </c>
      <c r="L141" s="36" t="s">
        <v>63</v>
      </c>
      <c r="M141" s="37">
        <v>40909</v>
      </c>
      <c r="N141" s="145" t="s">
        <v>440</v>
      </c>
    </row>
    <row r="142" spans="1:14" ht="15.75" thickBot="1" x14ac:dyDescent="0.3">
      <c r="A142" s="42">
        <v>1102116538</v>
      </c>
      <c r="B142" s="31" t="s">
        <v>242</v>
      </c>
      <c r="C142" s="32">
        <v>134</v>
      </c>
      <c r="D142" s="33">
        <v>4</v>
      </c>
      <c r="E142" s="57" t="s">
        <v>72</v>
      </c>
      <c r="F142" s="35">
        <v>615.22</v>
      </c>
      <c r="G142" s="35">
        <v>615.22</v>
      </c>
      <c r="H142" s="35">
        <v>615.22</v>
      </c>
      <c r="I142" s="35">
        <v>615.22</v>
      </c>
      <c r="J142" s="35">
        <v>615.22</v>
      </c>
      <c r="K142" s="35">
        <v>615.22</v>
      </c>
      <c r="L142" s="36" t="s">
        <v>63</v>
      </c>
      <c r="M142" s="37">
        <v>40909</v>
      </c>
      <c r="N142" s="145" t="s">
        <v>440</v>
      </c>
    </row>
    <row r="143" spans="1:14" ht="15.75" thickBot="1" x14ac:dyDescent="0.3">
      <c r="A143" s="30">
        <v>1104056930</v>
      </c>
      <c r="B143" s="31" t="s">
        <v>243</v>
      </c>
      <c r="C143" s="32">
        <v>135</v>
      </c>
      <c r="D143" s="33">
        <v>5</v>
      </c>
      <c r="E143" s="57" t="s">
        <v>120</v>
      </c>
      <c r="F143" s="39">
        <v>733.22</v>
      </c>
      <c r="G143" s="39">
        <v>733.22</v>
      </c>
      <c r="H143" s="39">
        <v>733.22</v>
      </c>
      <c r="I143" s="39">
        <v>733.22</v>
      </c>
      <c r="J143" s="39">
        <v>733.22</v>
      </c>
      <c r="K143" s="39">
        <v>733.22</v>
      </c>
      <c r="L143" s="36" t="s">
        <v>63</v>
      </c>
      <c r="M143" s="37">
        <v>40909</v>
      </c>
      <c r="N143" s="145" t="s">
        <v>440</v>
      </c>
    </row>
    <row r="144" spans="1:14" ht="15.75" thickBot="1" x14ac:dyDescent="0.3">
      <c r="A144" s="30" t="s">
        <v>244</v>
      </c>
      <c r="B144" s="31" t="s">
        <v>245</v>
      </c>
      <c r="C144" s="32">
        <v>136</v>
      </c>
      <c r="D144" s="33">
        <v>4</v>
      </c>
      <c r="E144" s="57" t="s">
        <v>72</v>
      </c>
      <c r="F144" s="35">
        <v>615.22</v>
      </c>
      <c r="G144" s="35">
        <v>615.22</v>
      </c>
      <c r="H144" s="35">
        <v>615.22</v>
      </c>
      <c r="I144" s="35">
        <v>615.22</v>
      </c>
      <c r="J144" s="35">
        <v>615.22</v>
      </c>
      <c r="K144" s="35">
        <v>615.22</v>
      </c>
      <c r="L144" s="36" t="s">
        <v>63</v>
      </c>
      <c r="M144" s="37">
        <v>40909</v>
      </c>
      <c r="N144" s="145" t="s">
        <v>440</v>
      </c>
    </row>
    <row r="145" spans="1:14" ht="15.75" thickBot="1" x14ac:dyDescent="0.3">
      <c r="A145" s="42">
        <v>1100327095</v>
      </c>
      <c r="B145" s="31" t="s">
        <v>246</v>
      </c>
      <c r="C145" s="32">
        <v>137</v>
      </c>
      <c r="D145" s="33">
        <v>2</v>
      </c>
      <c r="E145" s="57" t="s">
        <v>87</v>
      </c>
      <c r="F145" s="35">
        <v>581.22</v>
      </c>
      <c r="G145" s="35">
        <v>581.22</v>
      </c>
      <c r="H145" s="35">
        <v>581.22</v>
      </c>
      <c r="I145" s="35">
        <v>581.22</v>
      </c>
      <c r="J145" s="35">
        <v>581.22</v>
      </c>
      <c r="K145" s="35">
        <v>581.22</v>
      </c>
      <c r="L145" s="36" t="s">
        <v>63</v>
      </c>
      <c r="M145" s="37">
        <v>40909</v>
      </c>
      <c r="N145" s="145" t="s">
        <v>440</v>
      </c>
    </row>
    <row r="146" spans="1:14" ht="15.75" thickBot="1" x14ac:dyDescent="0.3">
      <c r="A146" s="42">
        <v>1102008693</v>
      </c>
      <c r="B146" s="31" t="s">
        <v>247</v>
      </c>
      <c r="C146" s="32">
        <v>138</v>
      </c>
      <c r="D146" s="33">
        <v>1</v>
      </c>
      <c r="E146" s="57" t="s">
        <v>67</v>
      </c>
      <c r="F146" s="35">
        <v>565.22</v>
      </c>
      <c r="G146" s="35">
        <v>565.22</v>
      </c>
      <c r="H146" s="35">
        <v>565.22</v>
      </c>
      <c r="I146" s="35">
        <v>565.22</v>
      </c>
      <c r="J146" s="35">
        <v>565.22</v>
      </c>
      <c r="K146" s="35">
        <v>565.22</v>
      </c>
      <c r="L146" s="36" t="s">
        <v>63</v>
      </c>
      <c r="M146" s="37">
        <v>40909</v>
      </c>
      <c r="N146" s="145" t="s">
        <v>440</v>
      </c>
    </row>
    <row r="147" spans="1:14" ht="15.75" thickBot="1" x14ac:dyDescent="0.3">
      <c r="A147" s="30">
        <v>1100347135</v>
      </c>
      <c r="B147" s="31" t="s">
        <v>248</v>
      </c>
      <c r="C147" s="32">
        <v>139</v>
      </c>
      <c r="D147" s="33">
        <v>1</v>
      </c>
      <c r="E147" s="57" t="s">
        <v>67</v>
      </c>
      <c r="F147" s="35">
        <v>565.22</v>
      </c>
      <c r="G147" s="35">
        <v>565.22</v>
      </c>
      <c r="H147" s="35">
        <v>565.22</v>
      </c>
      <c r="I147" s="35">
        <v>565.22</v>
      </c>
      <c r="J147" s="35">
        <v>565.22</v>
      </c>
      <c r="K147" s="35">
        <v>565.22</v>
      </c>
      <c r="L147" s="36" t="s">
        <v>63</v>
      </c>
      <c r="M147" s="37">
        <v>40909</v>
      </c>
      <c r="N147" s="145" t="s">
        <v>440</v>
      </c>
    </row>
    <row r="148" spans="1:14" ht="15.75" thickBot="1" x14ac:dyDescent="0.3">
      <c r="A148" s="30">
        <v>1101490454</v>
      </c>
      <c r="B148" s="31" t="s">
        <v>249</v>
      </c>
      <c r="C148" s="32">
        <v>140</v>
      </c>
      <c r="D148" s="33">
        <v>1</v>
      </c>
      <c r="E148" s="57" t="s">
        <v>67</v>
      </c>
      <c r="F148" s="35">
        <v>565.22</v>
      </c>
      <c r="G148" s="35">
        <v>565.22</v>
      </c>
      <c r="H148" s="35">
        <v>565.22</v>
      </c>
      <c r="I148" s="35">
        <v>565.22</v>
      </c>
      <c r="J148" s="35">
        <v>565.22</v>
      </c>
      <c r="K148" s="35">
        <v>565.22</v>
      </c>
      <c r="L148" s="36" t="s">
        <v>63</v>
      </c>
      <c r="M148" s="37">
        <v>40909</v>
      </c>
      <c r="N148" s="145" t="s">
        <v>440</v>
      </c>
    </row>
    <row r="149" spans="1:14" ht="15.75" thickBot="1" x14ac:dyDescent="0.3">
      <c r="A149" s="42">
        <v>1100625084</v>
      </c>
      <c r="B149" s="31" t="s">
        <v>250</v>
      </c>
      <c r="C149" s="32">
        <v>141</v>
      </c>
      <c r="D149" s="33">
        <v>4</v>
      </c>
      <c r="E149" s="57" t="s">
        <v>72</v>
      </c>
      <c r="F149" s="35">
        <v>615.22</v>
      </c>
      <c r="G149" s="35">
        <v>615.22</v>
      </c>
      <c r="H149" s="35">
        <v>615.22</v>
      </c>
      <c r="I149" s="35">
        <v>615.22</v>
      </c>
      <c r="J149" s="35">
        <v>615.22</v>
      </c>
      <c r="K149" s="35">
        <v>615.22</v>
      </c>
      <c r="L149" s="36" t="s">
        <v>63</v>
      </c>
      <c r="M149" s="37">
        <v>40909</v>
      </c>
      <c r="N149" s="145" t="s">
        <v>440</v>
      </c>
    </row>
    <row r="150" spans="1:14" ht="15.75" thickBot="1" x14ac:dyDescent="0.3">
      <c r="A150" s="30">
        <v>1101939849</v>
      </c>
      <c r="B150" s="31" t="s">
        <v>251</v>
      </c>
      <c r="C150" s="32">
        <v>142</v>
      </c>
      <c r="D150" s="33">
        <v>1</v>
      </c>
      <c r="E150" s="57" t="s">
        <v>67</v>
      </c>
      <c r="F150" s="35">
        <v>608.84</v>
      </c>
      <c r="G150" s="35">
        <v>608.84</v>
      </c>
      <c r="H150" s="35">
        <v>608.84</v>
      </c>
      <c r="I150" s="35">
        <v>608.84</v>
      </c>
      <c r="J150" s="35">
        <v>608.84</v>
      </c>
      <c r="K150" s="35">
        <v>608.84</v>
      </c>
      <c r="L150" s="36" t="s">
        <v>63</v>
      </c>
      <c r="M150" s="37">
        <v>40909</v>
      </c>
      <c r="N150" s="145" t="s">
        <v>440</v>
      </c>
    </row>
    <row r="151" spans="1:14" ht="15.75" thickBot="1" x14ac:dyDescent="0.3">
      <c r="A151" s="30">
        <v>1104549744</v>
      </c>
      <c r="B151" s="31" t="s">
        <v>252</v>
      </c>
      <c r="C151" s="32">
        <v>143</v>
      </c>
      <c r="D151" s="33">
        <v>5</v>
      </c>
      <c r="E151" s="57" t="s">
        <v>69</v>
      </c>
      <c r="F151" s="35">
        <v>733.22</v>
      </c>
      <c r="G151" s="35">
        <v>733.22</v>
      </c>
      <c r="H151" s="35">
        <v>733.22</v>
      </c>
      <c r="I151" s="35">
        <v>733.22</v>
      </c>
      <c r="J151" s="35">
        <v>733.22</v>
      </c>
      <c r="K151" s="35">
        <v>733.22</v>
      </c>
      <c r="L151" s="36" t="s">
        <v>63</v>
      </c>
      <c r="M151" s="37">
        <v>40909</v>
      </c>
      <c r="N151" s="145" t="s">
        <v>440</v>
      </c>
    </row>
    <row r="152" spans="1:14" ht="15.75" thickBot="1" x14ac:dyDescent="0.3">
      <c r="A152" s="30">
        <v>1102828231</v>
      </c>
      <c r="B152" s="31" t="s">
        <v>253</v>
      </c>
      <c r="C152" s="32">
        <v>144</v>
      </c>
      <c r="D152" s="33">
        <v>2</v>
      </c>
      <c r="E152" s="57" t="s">
        <v>87</v>
      </c>
      <c r="F152" s="35">
        <v>581.22</v>
      </c>
      <c r="G152" s="35">
        <v>581.22</v>
      </c>
      <c r="H152" s="35">
        <v>581.22</v>
      </c>
      <c r="I152" s="35">
        <v>581.22</v>
      </c>
      <c r="J152" s="35">
        <v>581.22</v>
      </c>
      <c r="K152" s="35">
        <v>581.22</v>
      </c>
      <c r="L152" s="36" t="s">
        <v>63</v>
      </c>
      <c r="M152" s="37">
        <v>40909</v>
      </c>
      <c r="N152" s="145" t="s">
        <v>440</v>
      </c>
    </row>
    <row r="153" spans="1:14" ht="15.75" thickBot="1" x14ac:dyDescent="0.3">
      <c r="A153" s="42">
        <v>1104151442</v>
      </c>
      <c r="B153" s="31" t="s">
        <v>254</v>
      </c>
      <c r="C153" s="32">
        <v>145</v>
      </c>
      <c r="D153" s="33">
        <v>2</v>
      </c>
      <c r="E153" s="57" t="s">
        <v>156</v>
      </c>
      <c r="F153" s="35">
        <v>581.22</v>
      </c>
      <c r="G153" s="35">
        <v>581.22</v>
      </c>
      <c r="H153" s="35">
        <v>581.22</v>
      </c>
      <c r="I153" s="35">
        <v>581.22</v>
      </c>
      <c r="J153" s="35">
        <v>581.22</v>
      </c>
      <c r="K153" s="35">
        <v>581.22</v>
      </c>
      <c r="L153" s="36" t="s">
        <v>63</v>
      </c>
      <c r="M153" s="37">
        <v>40909</v>
      </c>
      <c r="N153" s="145" t="s">
        <v>440</v>
      </c>
    </row>
    <row r="154" spans="1:14" ht="15.75" thickBot="1" x14ac:dyDescent="0.3">
      <c r="A154" s="30">
        <v>1710849876</v>
      </c>
      <c r="B154" s="31" t="s">
        <v>255</v>
      </c>
      <c r="C154" s="32">
        <v>146</v>
      </c>
      <c r="D154" s="33">
        <v>1</v>
      </c>
      <c r="E154" s="57" t="s">
        <v>62</v>
      </c>
      <c r="F154" s="35">
        <v>565.22</v>
      </c>
      <c r="G154" s="35">
        <v>565.22</v>
      </c>
      <c r="H154" s="35">
        <v>565.22</v>
      </c>
      <c r="I154" s="35">
        <v>565.22</v>
      </c>
      <c r="J154" s="35">
        <v>565.22</v>
      </c>
      <c r="K154" s="35">
        <v>565.22</v>
      </c>
      <c r="L154" s="36" t="s">
        <v>63</v>
      </c>
      <c r="M154" s="37">
        <v>40909</v>
      </c>
      <c r="N154" s="145" t="s">
        <v>440</v>
      </c>
    </row>
    <row r="155" spans="1:14" ht="15.75" thickBot="1" x14ac:dyDescent="0.3">
      <c r="A155" s="30" t="s">
        <v>256</v>
      </c>
      <c r="B155" s="31" t="s">
        <v>257</v>
      </c>
      <c r="C155" s="32">
        <v>147</v>
      </c>
      <c r="D155" s="33">
        <v>4</v>
      </c>
      <c r="E155" s="57" t="s">
        <v>113</v>
      </c>
      <c r="F155" s="35">
        <v>615.22</v>
      </c>
      <c r="G155" s="35">
        <v>615.22</v>
      </c>
      <c r="H155" s="35">
        <v>615.22</v>
      </c>
      <c r="I155" s="35">
        <v>615.22</v>
      </c>
      <c r="J155" s="35">
        <v>615.22</v>
      </c>
      <c r="K155" s="35">
        <v>615.22</v>
      </c>
      <c r="L155" s="36" t="s">
        <v>63</v>
      </c>
      <c r="M155" s="37">
        <v>41852</v>
      </c>
      <c r="N155" s="145" t="s">
        <v>440</v>
      </c>
    </row>
    <row r="156" spans="1:14" ht="15.75" thickBot="1" x14ac:dyDescent="0.3">
      <c r="A156" s="42">
        <v>1102997788</v>
      </c>
      <c r="B156" s="31" t="s">
        <v>258</v>
      </c>
      <c r="C156" s="32">
        <v>148</v>
      </c>
      <c r="D156" s="33">
        <v>3</v>
      </c>
      <c r="E156" s="57" t="s">
        <v>150</v>
      </c>
      <c r="F156" s="39">
        <v>728.77</v>
      </c>
      <c r="G156" s="39">
        <v>728.77</v>
      </c>
      <c r="H156" s="39">
        <v>728.77</v>
      </c>
      <c r="I156" s="39">
        <v>728.77</v>
      </c>
      <c r="J156" s="39">
        <v>728.77</v>
      </c>
      <c r="K156" s="39">
        <v>728.77</v>
      </c>
      <c r="L156" s="36" t="s">
        <v>63</v>
      </c>
      <c r="M156" s="37">
        <v>40909</v>
      </c>
      <c r="N156" s="145" t="s">
        <v>440</v>
      </c>
    </row>
    <row r="157" spans="1:14" ht="15.75" thickBot="1" x14ac:dyDescent="0.3">
      <c r="A157" s="30" t="s">
        <v>259</v>
      </c>
      <c r="B157" s="31" t="s">
        <v>260</v>
      </c>
      <c r="C157" s="32">
        <v>149</v>
      </c>
      <c r="D157" s="33">
        <v>5</v>
      </c>
      <c r="E157" s="57" t="s">
        <v>177</v>
      </c>
      <c r="F157" s="39">
        <v>733.22</v>
      </c>
      <c r="G157" s="39">
        <v>733.22</v>
      </c>
      <c r="H157" s="39">
        <v>733.22</v>
      </c>
      <c r="I157" s="39">
        <v>733.22</v>
      </c>
      <c r="J157" s="39">
        <v>733.22</v>
      </c>
      <c r="K157" s="39">
        <v>733.22</v>
      </c>
      <c r="L157" s="36" t="s">
        <v>63</v>
      </c>
      <c r="M157" s="37">
        <v>40909</v>
      </c>
      <c r="N157" s="145" t="s">
        <v>440</v>
      </c>
    </row>
    <row r="158" spans="1:14" ht="15.75" thickBot="1" x14ac:dyDescent="0.3">
      <c r="A158" s="42">
        <v>1102020573</v>
      </c>
      <c r="B158" s="31" t="s">
        <v>261</v>
      </c>
      <c r="C158" s="32">
        <v>150</v>
      </c>
      <c r="D158" s="33">
        <v>1</v>
      </c>
      <c r="E158" s="57" t="s">
        <v>67</v>
      </c>
      <c r="F158" s="35">
        <v>565.22</v>
      </c>
      <c r="G158" s="35">
        <v>565.22</v>
      </c>
      <c r="H158" s="35">
        <v>565.22</v>
      </c>
      <c r="I158" s="35">
        <v>565.22</v>
      </c>
      <c r="J158" s="35">
        <v>565.22</v>
      </c>
      <c r="K158" s="35">
        <v>565.22</v>
      </c>
      <c r="L158" s="36" t="s">
        <v>63</v>
      </c>
      <c r="M158" s="37">
        <v>40909</v>
      </c>
      <c r="N158" s="145" t="s">
        <v>440</v>
      </c>
    </row>
    <row r="159" spans="1:14" ht="15.75" thickBot="1" x14ac:dyDescent="0.3">
      <c r="A159" s="42">
        <v>1102017678</v>
      </c>
      <c r="B159" s="31" t="s">
        <v>262</v>
      </c>
      <c r="C159" s="32">
        <v>151</v>
      </c>
      <c r="D159" s="33">
        <v>1</v>
      </c>
      <c r="E159" s="57" t="s">
        <v>145</v>
      </c>
      <c r="F159" s="35">
        <v>565.22</v>
      </c>
      <c r="G159" s="35">
        <v>565.22</v>
      </c>
      <c r="H159" s="35">
        <v>565.22</v>
      </c>
      <c r="I159" s="35">
        <v>565.22</v>
      </c>
      <c r="J159" s="35">
        <v>565.22</v>
      </c>
      <c r="K159" s="35">
        <v>565.22</v>
      </c>
      <c r="L159" s="36" t="s">
        <v>63</v>
      </c>
      <c r="M159" s="37">
        <v>40909</v>
      </c>
      <c r="N159" s="145" t="s">
        <v>440</v>
      </c>
    </row>
    <row r="160" spans="1:14" ht="15.75" thickBot="1" x14ac:dyDescent="0.3">
      <c r="A160" s="42">
        <v>1716237555</v>
      </c>
      <c r="B160" s="31" t="s">
        <v>263</v>
      </c>
      <c r="C160" s="32">
        <v>152</v>
      </c>
      <c r="D160" s="33">
        <v>5</v>
      </c>
      <c r="E160" s="57" t="s">
        <v>83</v>
      </c>
      <c r="F160" s="39">
        <v>733.22</v>
      </c>
      <c r="G160" s="39">
        <v>733.22</v>
      </c>
      <c r="H160" s="39">
        <v>733.22</v>
      </c>
      <c r="I160" s="39">
        <v>733.22</v>
      </c>
      <c r="J160" s="39">
        <v>733.22</v>
      </c>
      <c r="K160" s="39">
        <v>733.22</v>
      </c>
      <c r="L160" s="36" t="s">
        <v>63</v>
      </c>
      <c r="M160" s="37">
        <v>40909</v>
      </c>
      <c r="N160" s="145" t="s">
        <v>440</v>
      </c>
    </row>
    <row r="161" spans="1:14" ht="15.75" thickBot="1" x14ac:dyDescent="0.3">
      <c r="A161" s="30" t="s">
        <v>264</v>
      </c>
      <c r="B161" s="31" t="s">
        <v>265</v>
      </c>
      <c r="C161" s="32">
        <v>153</v>
      </c>
      <c r="D161" s="33">
        <v>1</v>
      </c>
      <c r="E161" s="57" t="s">
        <v>67</v>
      </c>
      <c r="F161" s="35">
        <v>565.22</v>
      </c>
      <c r="G161" s="35">
        <v>565.22</v>
      </c>
      <c r="H161" s="35">
        <v>565.22</v>
      </c>
      <c r="I161" s="35">
        <v>565.22</v>
      </c>
      <c r="J161" s="35">
        <v>565.22</v>
      </c>
      <c r="K161" s="35">
        <v>565.22</v>
      </c>
      <c r="L161" s="36" t="s">
        <v>63</v>
      </c>
      <c r="M161" s="37">
        <v>40909</v>
      </c>
      <c r="N161" s="145" t="s">
        <v>440</v>
      </c>
    </row>
    <row r="162" spans="1:14" ht="15.75" thickBot="1" x14ac:dyDescent="0.3">
      <c r="A162" s="42" t="s">
        <v>266</v>
      </c>
      <c r="B162" s="31" t="s">
        <v>267</v>
      </c>
      <c r="C162" s="32">
        <v>154</v>
      </c>
      <c r="D162" s="33">
        <v>5</v>
      </c>
      <c r="E162" s="57" t="s">
        <v>124</v>
      </c>
      <c r="F162" s="39">
        <v>733.22</v>
      </c>
      <c r="G162" s="39">
        <v>733.22</v>
      </c>
      <c r="H162" s="39">
        <v>733.22</v>
      </c>
      <c r="I162" s="39">
        <v>733.22</v>
      </c>
      <c r="J162" s="39">
        <v>733.22</v>
      </c>
      <c r="K162" s="39">
        <v>733.22</v>
      </c>
      <c r="L162" s="36" t="s">
        <v>63</v>
      </c>
      <c r="M162" s="37">
        <v>40909</v>
      </c>
      <c r="N162" s="145" t="s">
        <v>440</v>
      </c>
    </row>
    <row r="163" spans="1:14" ht="15.75" thickBot="1" x14ac:dyDescent="0.3">
      <c r="A163" s="30">
        <v>1103407647</v>
      </c>
      <c r="B163" s="31" t="s">
        <v>268</v>
      </c>
      <c r="C163" s="32">
        <v>155</v>
      </c>
      <c r="D163" s="33">
        <v>1</v>
      </c>
      <c r="E163" s="57" t="s">
        <v>62</v>
      </c>
      <c r="F163" s="35">
        <v>565.22</v>
      </c>
      <c r="G163" s="35">
        <v>565.22</v>
      </c>
      <c r="H163" s="35">
        <v>565.22</v>
      </c>
      <c r="I163" s="35">
        <v>565.22</v>
      </c>
      <c r="J163" s="35">
        <v>565.22</v>
      </c>
      <c r="K163" s="35">
        <v>565.22</v>
      </c>
      <c r="L163" s="36" t="s">
        <v>63</v>
      </c>
      <c r="M163" s="37">
        <v>40909</v>
      </c>
      <c r="N163" s="145" t="s">
        <v>440</v>
      </c>
    </row>
    <row r="164" spans="1:14" ht="15.75" thickBot="1" x14ac:dyDescent="0.3">
      <c r="A164" s="30">
        <v>1101574380</v>
      </c>
      <c r="B164" s="31" t="s">
        <v>269</v>
      </c>
      <c r="C164" s="32">
        <v>156</v>
      </c>
      <c r="D164" s="33">
        <v>4</v>
      </c>
      <c r="E164" s="57" t="s">
        <v>72</v>
      </c>
      <c r="F164" s="35">
        <v>615.22</v>
      </c>
      <c r="G164" s="35">
        <v>615.22</v>
      </c>
      <c r="H164" s="35">
        <v>615.22</v>
      </c>
      <c r="I164" s="35">
        <v>615.22</v>
      </c>
      <c r="J164" s="35">
        <v>615.22</v>
      </c>
      <c r="K164" s="35">
        <v>615.22</v>
      </c>
      <c r="L164" s="36" t="s">
        <v>63</v>
      </c>
      <c r="M164" s="37">
        <v>40909</v>
      </c>
      <c r="N164" s="145" t="s">
        <v>440</v>
      </c>
    </row>
    <row r="165" spans="1:14" ht="15.75" thickBot="1" x14ac:dyDescent="0.3">
      <c r="A165" s="30">
        <v>1104448806</v>
      </c>
      <c r="B165" s="31" t="s">
        <v>270</v>
      </c>
      <c r="C165" s="32">
        <v>157</v>
      </c>
      <c r="D165" s="33">
        <v>1</v>
      </c>
      <c r="E165" s="57" t="s">
        <v>67</v>
      </c>
      <c r="F165" s="35">
        <v>565.22</v>
      </c>
      <c r="G165" s="35">
        <v>565.22</v>
      </c>
      <c r="H165" s="35">
        <v>565.22</v>
      </c>
      <c r="I165" s="35">
        <v>565.22</v>
      </c>
      <c r="J165" s="35">
        <v>565.22</v>
      </c>
      <c r="K165" s="35">
        <v>565.22</v>
      </c>
      <c r="L165" s="36" t="s">
        <v>63</v>
      </c>
      <c r="M165" s="37">
        <v>40909</v>
      </c>
      <c r="N165" s="145" t="s">
        <v>440</v>
      </c>
    </row>
    <row r="166" spans="1:14" ht="15.75" thickBot="1" x14ac:dyDescent="0.3">
      <c r="A166" s="42">
        <v>1102982905</v>
      </c>
      <c r="B166" s="31" t="s">
        <v>271</v>
      </c>
      <c r="C166" s="32">
        <v>158</v>
      </c>
      <c r="D166" s="33">
        <v>1</v>
      </c>
      <c r="E166" s="57" t="s">
        <v>85</v>
      </c>
      <c r="F166" s="35">
        <v>565.22</v>
      </c>
      <c r="G166" s="35">
        <v>565.22</v>
      </c>
      <c r="H166" s="35">
        <v>565.22</v>
      </c>
      <c r="I166" s="35">
        <v>565.22</v>
      </c>
      <c r="J166" s="35">
        <v>565.22</v>
      </c>
      <c r="K166" s="35">
        <v>565.22</v>
      </c>
      <c r="L166" s="36" t="s">
        <v>63</v>
      </c>
      <c r="M166" s="37">
        <v>40909</v>
      </c>
      <c r="N166" s="145" t="s">
        <v>440</v>
      </c>
    </row>
    <row r="167" spans="1:14" ht="15.75" thickBot="1" x14ac:dyDescent="0.3">
      <c r="A167" s="30">
        <v>1103336325</v>
      </c>
      <c r="B167" s="31" t="s">
        <v>272</v>
      </c>
      <c r="C167" s="32">
        <v>159</v>
      </c>
      <c r="D167" s="33">
        <v>5</v>
      </c>
      <c r="E167" s="57" t="s">
        <v>220</v>
      </c>
      <c r="F167" s="39">
        <v>733.22</v>
      </c>
      <c r="G167" s="39">
        <v>733.22</v>
      </c>
      <c r="H167" s="39">
        <v>733.22</v>
      </c>
      <c r="I167" s="39">
        <v>733.22</v>
      </c>
      <c r="J167" s="39">
        <v>733.22</v>
      </c>
      <c r="K167" s="39">
        <v>733.22</v>
      </c>
      <c r="L167" s="36" t="s">
        <v>63</v>
      </c>
      <c r="M167" s="37">
        <v>40909</v>
      </c>
      <c r="N167" s="145" t="s">
        <v>440</v>
      </c>
    </row>
    <row r="168" spans="1:14" ht="15.75" thickBot="1" x14ac:dyDescent="0.3">
      <c r="A168" s="30" t="s">
        <v>273</v>
      </c>
      <c r="B168" s="31" t="s">
        <v>274</v>
      </c>
      <c r="C168" s="32">
        <v>160</v>
      </c>
      <c r="D168" s="33">
        <v>5</v>
      </c>
      <c r="E168" s="57" t="s">
        <v>220</v>
      </c>
      <c r="F168" s="39">
        <v>733.22</v>
      </c>
      <c r="G168" s="39">
        <v>733.22</v>
      </c>
      <c r="H168" s="39">
        <v>733.22</v>
      </c>
      <c r="I168" s="39">
        <v>733.22</v>
      </c>
      <c r="J168" s="39">
        <v>733.22</v>
      </c>
      <c r="K168" s="39">
        <v>733.22</v>
      </c>
      <c r="L168" s="36" t="s">
        <v>63</v>
      </c>
      <c r="M168" s="37">
        <v>40909</v>
      </c>
      <c r="N168" s="145" t="s">
        <v>440</v>
      </c>
    </row>
    <row r="169" spans="1:14" ht="15.75" thickBot="1" x14ac:dyDescent="0.3">
      <c r="A169" s="30" t="s">
        <v>275</v>
      </c>
      <c r="B169" s="31" t="s">
        <v>276</v>
      </c>
      <c r="C169" s="32">
        <v>161</v>
      </c>
      <c r="D169" s="33">
        <v>1</v>
      </c>
      <c r="E169" s="57" t="s">
        <v>67</v>
      </c>
      <c r="F169" s="35">
        <v>565.22</v>
      </c>
      <c r="G169" s="35">
        <v>565.22</v>
      </c>
      <c r="H169" s="35">
        <v>565.22</v>
      </c>
      <c r="I169" s="35">
        <v>565.22</v>
      </c>
      <c r="J169" s="35">
        <v>565.22</v>
      </c>
      <c r="K169" s="35">
        <v>565.22</v>
      </c>
      <c r="L169" s="36" t="s">
        <v>63</v>
      </c>
      <c r="M169" s="37">
        <v>40909</v>
      </c>
      <c r="N169" s="145" t="s">
        <v>440</v>
      </c>
    </row>
    <row r="170" spans="1:14" ht="15.75" thickBot="1" x14ac:dyDescent="0.3">
      <c r="A170" s="30">
        <v>1100425642</v>
      </c>
      <c r="B170" s="31" t="s">
        <v>277</v>
      </c>
      <c r="C170" s="32">
        <v>162</v>
      </c>
      <c r="D170" s="33">
        <v>1</v>
      </c>
      <c r="E170" s="58" t="s">
        <v>153</v>
      </c>
      <c r="F170" s="45">
        <v>565.22</v>
      </c>
      <c r="G170" s="45">
        <v>565.22</v>
      </c>
      <c r="H170" s="45">
        <v>565.22</v>
      </c>
      <c r="I170" s="45">
        <v>565.22</v>
      </c>
      <c r="J170" s="45">
        <v>565.22</v>
      </c>
      <c r="K170" s="45">
        <v>565.22</v>
      </c>
      <c r="L170" s="46" t="s">
        <v>63</v>
      </c>
      <c r="M170" s="37">
        <v>40909</v>
      </c>
      <c r="N170" s="145" t="s">
        <v>440</v>
      </c>
    </row>
    <row r="171" spans="1:14" ht="15.75" thickBot="1" x14ac:dyDescent="0.3">
      <c r="A171" s="42">
        <v>1104075435</v>
      </c>
      <c r="B171" s="31" t="s">
        <v>278</v>
      </c>
      <c r="C171" s="32">
        <v>163</v>
      </c>
      <c r="D171" s="33">
        <v>5</v>
      </c>
      <c r="E171" s="58" t="s">
        <v>120</v>
      </c>
      <c r="F171" s="55">
        <v>733.22</v>
      </c>
      <c r="G171" s="55">
        <v>733.22</v>
      </c>
      <c r="H171" s="55">
        <v>733.22</v>
      </c>
      <c r="I171" s="55">
        <v>733.22</v>
      </c>
      <c r="J171" s="55">
        <v>733.22</v>
      </c>
      <c r="K171" s="55">
        <v>733.22</v>
      </c>
      <c r="L171" s="46" t="s">
        <v>63</v>
      </c>
      <c r="M171" s="37">
        <v>40909</v>
      </c>
      <c r="N171" s="145" t="s">
        <v>440</v>
      </c>
    </row>
    <row r="172" spans="1:14" ht="15.75" thickBot="1" x14ac:dyDescent="0.3">
      <c r="A172" s="42">
        <v>1103329247</v>
      </c>
      <c r="B172" s="31" t="s">
        <v>279</v>
      </c>
      <c r="C172" s="32">
        <v>164</v>
      </c>
      <c r="D172" s="33">
        <v>9</v>
      </c>
      <c r="E172" s="58" t="s">
        <v>75</v>
      </c>
      <c r="F172" s="45">
        <v>835.22</v>
      </c>
      <c r="G172" s="45">
        <v>835.22</v>
      </c>
      <c r="H172" s="45">
        <v>856</v>
      </c>
      <c r="I172" s="45">
        <v>856</v>
      </c>
      <c r="J172" s="45">
        <v>856</v>
      </c>
      <c r="K172" s="45">
        <v>856</v>
      </c>
      <c r="L172" s="46" t="s">
        <v>63</v>
      </c>
      <c r="M172" s="37">
        <v>40909</v>
      </c>
      <c r="N172" s="145" t="s">
        <v>440</v>
      </c>
    </row>
    <row r="173" spans="1:14" ht="15.75" thickBot="1" x14ac:dyDescent="0.3">
      <c r="A173" s="42">
        <v>1102131099</v>
      </c>
      <c r="B173" s="31" t="s">
        <v>280</v>
      </c>
      <c r="C173" s="32">
        <v>165</v>
      </c>
      <c r="D173" s="33">
        <v>5</v>
      </c>
      <c r="E173" s="58" t="s">
        <v>120</v>
      </c>
      <c r="F173" s="55">
        <v>876</v>
      </c>
      <c r="G173" s="55">
        <v>876</v>
      </c>
      <c r="H173" s="55">
        <v>876</v>
      </c>
      <c r="I173" s="55">
        <v>876</v>
      </c>
      <c r="J173" s="55">
        <v>876</v>
      </c>
      <c r="K173" s="55">
        <v>876</v>
      </c>
      <c r="L173" s="46" t="s">
        <v>63</v>
      </c>
      <c r="M173" s="37">
        <v>40909</v>
      </c>
      <c r="N173" s="145" t="s">
        <v>440</v>
      </c>
    </row>
    <row r="174" spans="1:14" ht="15.75" thickBot="1" x14ac:dyDescent="0.3">
      <c r="A174" s="42">
        <v>1104601867</v>
      </c>
      <c r="B174" s="31" t="s">
        <v>281</v>
      </c>
      <c r="C174" s="32">
        <v>166</v>
      </c>
      <c r="D174" s="33">
        <v>1</v>
      </c>
      <c r="E174" s="57" t="s">
        <v>77</v>
      </c>
      <c r="F174" s="35">
        <v>565.22</v>
      </c>
      <c r="G174" s="35">
        <v>565.22</v>
      </c>
      <c r="H174" s="35">
        <v>565.22</v>
      </c>
      <c r="I174" s="35">
        <v>565.22</v>
      </c>
      <c r="J174" s="35">
        <v>565.22</v>
      </c>
      <c r="K174" s="35">
        <v>565.22</v>
      </c>
      <c r="L174" s="36" t="s">
        <v>63</v>
      </c>
      <c r="M174" s="37">
        <v>40909</v>
      </c>
      <c r="N174" s="145" t="s">
        <v>440</v>
      </c>
    </row>
    <row r="175" spans="1:14" ht="15.75" thickBot="1" x14ac:dyDescent="0.3">
      <c r="A175" s="49">
        <v>1102167226</v>
      </c>
      <c r="B175" s="31" t="s">
        <v>282</v>
      </c>
      <c r="C175" s="32">
        <v>167</v>
      </c>
      <c r="D175" s="33">
        <v>4</v>
      </c>
      <c r="E175" s="57" t="s">
        <v>72</v>
      </c>
      <c r="F175" s="44">
        <v>598</v>
      </c>
      <c r="G175" s="44">
        <v>598</v>
      </c>
      <c r="H175" s="44">
        <v>598</v>
      </c>
      <c r="I175" s="44">
        <v>598</v>
      </c>
      <c r="J175" s="44">
        <v>598</v>
      </c>
      <c r="K175" s="44">
        <v>598</v>
      </c>
      <c r="L175" s="36" t="s">
        <v>63</v>
      </c>
      <c r="M175" s="37">
        <v>41640</v>
      </c>
      <c r="N175" s="145" t="s">
        <v>440</v>
      </c>
    </row>
    <row r="176" spans="1:14" ht="15.75" thickBot="1" x14ac:dyDescent="0.3">
      <c r="A176" s="42">
        <v>1102863824</v>
      </c>
      <c r="B176" s="31" t="s">
        <v>283</v>
      </c>
      <c r="C176" s="32">
        <v>168</v>
      </c>
      <c r="D176" s="33">
        <v>4</v>
      </c>
      <c r="E176" s="57" t="s">
        <v>113</v>
      </c>
      <c r="F176" s="35">
        <v>615.22</v>
      </c>
      <c r="G176" s="35">
        <v>615.22</v>
      </c>
      <c r="H176" s="35">
        <v>615.22</v>
      </c>
      <c r="I176" s="35">
        <v>615.22</v>
      </c>
      <c r="J176" s="35">
        <v>615.22</v>
      </c>
      <c r="K176" s="35">
        <v>615.22</v>
      </c>
      <c r="L176" s="36" t="s">
        <v>63</v>
      </c>
      <c r="M176" s="37">
        <v>40909</v>
      </c>
      <c r="N176" s="145" t="s">
        <v>440</v>
      </c>
    </row>
    <row r="177" spans="1:14" ht="15.75" thickBot="1" x14ac:dyDescent="0.3">
      <c r="A177" s="42">
        <v>1103148951</v>
      </c>
      <c r="B177" s="31" t="s">
        <v>284</v>
      </c>
      <c r="C177" s="32">
        <v>169</v>
      </c>
      <c r="D177" s="33">
        <v>1</v>
      </c>
      <c r="E177" s="57" t="s">
        <v>67</v>
      </c>
      <c r="F177" s="35">
        <v>565.22</v>
      </c>
      <c r="G177" s="35">
        <v>565.22</v>
      </c>
      <c r="H177" s="35">
        <v>565.22</v>
      </c>
      <c r="I177" s="35">
        <v>565.22</v>
      </c>
      <c r="J177" s="35">
        <v>565.22</v>
      </c>
      <c r="K177" s="35">
        <v>565.22</v>
      </c>
      <c r="L177" s="36" t="s">
        <v>63</v>
      </c>
      <c r="M177" s="37">
        <v>40909</v>
      </c>
      <c r="N177" s="145" t="s">
        <v>440</v>
      </c>
    </row>
    <row r="178" spans="1:14" ht="15.75" thickBot="1" x14ac:dyDescent="0.3">
      <c r="A178" s="30">
        <v>1103653786</v>
      </c>
      <c r="B178" s="31" t="s">
        <v>285</v>
      </c>
      <c r="C178" s="32">
        <v>170</v>
      </c>
      <c r="D178" s="33">
        <v>5</v>
      </c>
      <c r="E178" s="57" t="s">
        <v>65</v>
      </c>
      <c r="F178" s="39">
        <v>733.22</v>
      </c>
      <c r="G178" s="39">
        <v>733.22</v>
      </c>
      <c r="H178" s="39">
        <v>733.22</v>
      </c>
      <c r="I178" s="39">
        <v>733.22</v>
      </c>
      <c r="J178" s="39">
        <v>733.22</v>
      </c>
      <c r="K178" s="39">
        <v>733.22</v>
      </c>
      <c r="L178" s="36" t="s">
        <v>63</v>
      </c>
      <c r="M178" s="37">
        <v>40909</v>
      </c>
      <c r="N178" s="145" t="s">
        <v>440</v>
      </c>
    </row>
    <row r="179" spans="1:14" ht="15.75" thickBot="1" x14ac:dyDescent="0.3">
      <c r="A179" s="42">
        <v>1101943494</v>
      </c>
      <c r="B179" s="31" t="s">
        <v>286</v>
      </c>
      <c r="C179" s="32">
        <v>171</v>
      </c>
      <c r="D179" s="33">
        <v>2</v>
      </c>
      <c r="E179" s="57" t="s">
        <v>87</v>
      </c>
      <c r="F179" s="35">
        <v>581.22</v>
      </c>
      <c r="G179" s="35">
        <v>581.22</v>
      </c>
      <c r="H179" s="35">
        <v>581.22</v>
      </c>
      <c r="I179" s="35">
        <v>581.22</v>
      </c>
      <c r="J179" s="35">
        <v>581.22</v>
      </c>
      <c r="K179" s="35">
        <v>581.22</v>
      </c>
      <c r="L179" s="36" t="s">
        <v>63</v>
      </c>
      <c r="M179" s="37">
        <v>40909</v>
      </c>
      <c r="N179" s="145" t="s">
        <v>440</v>
      </c>
    </row>
    <row r="180" spans="1:14" ht="15.75" thickBot="1" x14ac:dyDescent="0.3">
      <c r="A180" s="30">
        <v>1102134960</v>
      </c>
      <c r="B180" s="31" t="s">
        <v>287</v>
      </c>
      <c r="C180" s="32">
        <v>172</v>
      </c>
      <c r="D180" s="33">
        <v>5</v>
      </c>
      <c r="E180" s="57" t="s">
        <v>288</v>
      </c>
      <c r="F180" s="39">
        <v>733.22</v>
      </c>
      <c r="G180" s="39">
        <v>733.22</v>
      </c>
      <c r="H180" s="39">
        <v>733.22</v>
      </c>
      <c r="I180" s="39">
        <v>733.22</v>
      </c>
      <c r="J180" s="39">
        <v>733.22</v>
      </c>
      <c r="K180" s="39">
        <v>733.22</v>
      </c>
      <c r="L180" s="36" t="s">
        <v>63</v>
      </c>
      <c r="M180" s="37">
        <v>40909</v>
      </c>
      <c r="N180" s="145" t="s">
        <v>440</v>
      </c>
    </row>
    <row r="181" spans="1:14" ht="15.75" thickBot="1" x14ac:dyDescent="0.3">
      <c r="A181" s="42">
        <v>1101794897</v>
      </c>
      <c r="B181" s="31" t="s">
        <v>289</v>
      </c>
      <c r="C181" s="32">
        <v>173</v>
      </c>
      <c r="D181" s="33">
        <v>8</v>
      </c>
      <c r="E181" s="57" t="s">
        <v>98</v>
      </c>
      <c r="F181" s="39">
        <v>876</v>
      </c>
      <c r="G181" s="39">
        <v>876</v>
      </c>
      <c r="H181" s="39">
        <v>876</v>
      </c>
      <c r="I181" s="39">
        <v>876</v>
      </c>
      <c r="J181" s="39">
        <v>876</v>
      </c>
      <c r="K181" s="39">
        <v>876</v>
      </c>
      <c r="L181" s="36" t="s">
        <v>63</v>
      </c>
      <c r="M181" s="37">
        <v>40909</v>
      </c>
      <c r="N181" s="145" t="s">
        <v>440</v>
      </c>
    </row>
    <row r="182" spans="1:14" ht="15.75" thickBot="1" x14ac:dyDescent="0.3">
      <c r="A182" s="42" t="s">
        <v>290</v>
      </c>
      <c r="B182" s="31" t="s">
        <v>291</v>
      </c>
      <c r="C182" s="32">
        <v>174</v>
      </c>
      <c r="D182" s="33">
        <v>8</v>
      </c>
      <c r="E182" s="57" t="s">
        <v>98</v>
      </c>
      <c r="F182" s="35">
        <v>816.22</v>
      </c>
      <c r="G182" s="35">
        <v>816.22</v>
      </c>
      <c r="H182" s="35">
        <v>816.22</v>
      </c>
      <c r="I182" s="35">
        <v>816.22</v>
      </c>
      <c r="J182" s="35">
        <v>816.22</v>
      </c>
      <c r="K182" s="35">
        <v>816.22</v>
      </c>
      <c r="L182" s="36" t="s">
        <v>63</v>
      </c>
      <c r="M182" s="37">
        <v>40909</v>
      </c>
      <c r="N182" s="145" t="s">
        <v>440</v>
      </c>
    </row>
    <row r="183" spans="1:14" ht="15.75" thickBot="1" x14ac:dyDescent="0.3">
      <c r="A183" s="51">
        <v>1103498117</v>
      </c>
      <c r="B183" s="31" t="s">
        <v>292</v>
      </c>
      <c r="C183" s="32">
        <v>175</v>
      </c>
      <c r="D183" s="33">
        <v>3</v>
      </c>
      <c r="E183" s="57" t="s">
        <v>150</v>
      </c>
      <c r="F183" s="44">
        <v>598</v>
      </c>
      <c r="G183" s="44">
        <v>598</v>
      </c>
      <c r="H183" s="44">
        <v>598</v>
      </c>
      <c r="I183" s="44">
        <v>598</v>
      </c>
      <c r="J183" s="44">
        <v>598</v>
      </c>
      <c r="K183" s="44">
        <v>598</v>
      </c>
      <c r="L183" s="36" t="s">
        <v>63</v>
      </c>
      <c r="M183" s="37">
        <v>41640</v>
      </c>
      <c r="N183" s="145" t="s">
        <v>440</v>
      </c>
    </row>
    <row r="184" spans="1:14" ht="15.75" thickBot="1" x14ac:dyDescent="0.3">
      <c r="A184" s="41">
        <v>1104396211</v>
      </c>
      <c r="B184" s="31" t="s">
        <v>293</v>
      </c>
      <c r="C184" s="32">
        <v>176</v>
      </c>
      <c r="D184" s="33">
        <v>5</v>
      </c>
      <c r="E184" s="57" t="s">
        <v>65</v>
      </c>
      <c r="F184" s="44">
        <v>733</v>
      </c>
      <c r="G184" s="44">
        <v>733</v>
      </c>
      <c r="H184" s="44">
        <v>733</v>
      </c>
      <c r="I184" s="44">
        <v>733</v>
      </c>
      <c r="J184" s="44">
        <v>733</v>
      </c>
      <c r="K184" s="44">
        <v>733</v>
      </c>
      <c r="L184" s="36" t="s">
        <v>63</v>
      </c>
      <c r="M184" s="37">
        <v>41640</v>
      </c>
      <c r="N184" s="145" t="s">
        <v>440</v>
      </c>
    </row>
    <row r="185" spans="1:14" ht="15.75" thickBot="1" x14ac:dyDescent="0.3">
      <c r="A185" s="40">
        <v>1103139851</v>
      </c>
      <c r="B185" s="31" t="s">
        <v>294</v>
      </c>
      <c r="C185" s="32">
        <v>177</v>
      </c>
      <c r="D185" s="33">
        <v>3</v>
      </c>
      <c r="E185" s="57" t="s">
        <v>150</v>
      </c>
      <c r="F185" s="44">
        <v>598</v>
      </c>
      <c r="G185" s="44">
        <v>598</v>
      </c>
      <c r="H185" s="44">
        <v>598</v>
      </c>
      <c r="I185" s="44">
        <v>598</v>
      </c>
      <c r="J185" s="44">
        <v>598</v>
      </c>
      <c r="K185" s="44">
        <v>598</v>
      </c>
      <c r="L185" s="36" t="s">
        <v>63</v>
      </c>
      <c r="M185" s="37">
        <v>41640</v>
      </c>
      <c r="N185" s="145" t="s">
        <v>440</v>
      </c>
    </row>
    <row r="186" spans="1:14" ht="15.75" thickBot="1" x14ac:dyDescent="0.3">
      <c r="A186" s="41">
        <v>1704344611</v>
      </c>
      <c r="B186" s="31" t="s">
        <v>295</v>
      </c>
      <c r="C186" s="32">
        <v>178</v>
      </c>
      <c r="D186" s="33">
        <v>4</v>
      </c>
      <c r="E186" s="57" t="s">
        <v>72</v>
      </c>
      <c r="F186" s="44">
        <v>598</v>
      </c>
      <c r="G186" s="44">
        <v>598</v>
      </c>
      <c r="H186" s="44">
        <v>598</v>
      </c>
      <c r="I186" s="44">
        <v>598</v>
      </c>
      <c r="J186" s="44">
        <v>598</v>
      </c>
      <c r="K186" s="44">
        <v>598</v>
      </c>
      <c r="L186" s="36" t="s">
        <v>63</v>
      </c>
      <c r="M186" s="37">
        <v>41640</v>
      </c>
      <c r="N186" s="145" t="s">
        <v>440</v>
      </c>
    </row>
    <row r="187" spans="1:14" ht="15.75" thickBot="1" x14ac:dyDescent="0.3">
      <c r="A187" s="30" t="s">
        <v>296</v>
      </c>
      <c r="B187" s="31" t="s">
        <v>297</v>
      </c>
      <c r="C187" s="32">
        <v>179</v>
      </c>
      <c r="D187" s="33">
        <v>1</v>
      </c>
      <c r="E187" s="57" t="s">
        <v>62</v>
      </c>
      <c r="F187" s="35">
        <v>565.22</v>
      </c>
      <c r="G187" s="35">
        <v>565.22</v>
      </c>
      <c r="H187" s="35">
        <v>565.22</v>
      </c>
      <c r="I187" s="35">
        <v>565.22</v>
      </c>
      <c r="J187" s="35">
        <v>565.22</v>
      </c>
      <c r="K187" s="35">
        <v>565.22</v>
      </c>
      <c r="L187" s="36" t="s">
        <v>63</v>
      </c>
      <c r="M187" s="37">
        <v>40909</v>
      </c>
      <c r="N187" s="145" t="s">
        <v>440</v>
      </c>
    </row>
    <row r="188" spans="1:14" ht="15.75" thickBot="1" x14ac:dyDescent="0.3">
      <c r="A188" s="30" t="s">
        <v>298</v>
      </c>
      <c r="B188" s="31" t="s">
        <v>299</v>
      </c>
      <c r="C188" s="32">
        <v>180</v>
      </c>
      <c r="D188" s="33">
        <v>5</v>
      </c>
      <c r="E188" s="57" t="s">
        <v>300</v>
      </c>
      <c r="F188" s="39">
        <v>733.22</v>
      </c>
      <c r="G188" s="39">
        <v>733.22</v>
      </c>
      <c r="H188" s="39">
        <v>733.22</v>
      </c>
      <c r="I188" s="39">
        <v>733.22</v>
      </c>
      <c r="J188" s="39">
        <v>733.22</v>
      </c>
      <c r="K188" s="39">
        <v>733.22</v>
      </c>
      <c r="L188" s="36" t="s">
        <v>63</v>
      </c>
      <c r="M188" s="37">
        <v>40909</v>
      </c>
      <c r="N188" s="145" t="s">
        <v>440</v>
      </c>
    </row>
    <row r="189" spans="1:14" ht="15.75" thickBot="1" x14ac:dyDescent="0.3">
      <c r="A189" s="42">
        <v>1102640370</v>
      </c>
      <c r="B189" s="31" t="s">
        <v>301</v>
      </c>
      <c r="C189" s="32">
        <v>181</v>
      </c>
      <c r="D189" s="33">
        <v>2</v>
      </c>
      <c r="E189" s="57" t="s">
        <v>87</v>
      </c>
      <c r="F189" s="35">
        <v>581.22</v>
      </c>
      <c r="G189" s="35">
        <v>581.22</v>
      </c>
      <c r="H189" s="35">
        <v>581.22</v>
      </c>
      <c r="I189" s="35">
        <v>581.22</v>
      </c>
      <c r="J189" s="35">
        <v>581.22</v>
      </c>
      <c r="K189" s="35">
        <v>581.22</v>
      </c>
      <c r="L189" s="36" t="s">
        <v>63</v>
      </c>
      <c r="M189" s="37">
        <v>40909</v>
      </c>
      <c r="N189" s="145" t="s">
        <v>440</v>
      </c>
    </row>
    <row r="190" spans="1:14" ht="15.75" thickBot="1" x14ac:dyDescent="0.3">
      <c r="A190" s="42">
        <v>1102645759</v>
      </c>
      <c r="B190" s="31" t="s">
        <v>302</v>
      </c>
      <c r="C190" s="32">
        <v>182</v>
      </c>
      <c r="D190" s="33">
        <v>1</v>
      </c>
      <c r="E190" s="57" t="s">
        <v>303</v>
      </c>
      <c r="F190" s="35">
        <v>632.29</v>
      </c>
      <c r="G190" s="35">
        <v>632.29</v>
      </c>
      <c r="H190" s="35">
        <v>632.29</v>
      </c>
      <c r="I190" s="35">
        <v>632.29</v>
      </c>
      <c r="J190" s="35">
        <v>632.29</v>
      </c>
      <c r="K190" s="35">
        <v>632.29</v>
      </c>
      <c r="L190" s="36" t="s">
        <v>63</v>
      </c>
      <c r="M190" s="37">
        <v>40909</v>
      </c>
      <c r="N190" s="145" t="s">
        <v>440</v>
      </c>
    </row>
    <row r="191" spans="1:14" ht="15.75" thickBot="1" x14ac:dyDescent="0.3">
      <c r="A191" s="42">
        <v>1102865613</v>
      </c>
      <c r="B191" s="31" t="s">
        <v>304</v>
      </c>
      <c r="C191" s="32">
        <v>183</v>
      </c>
      <c r="D191" s="33">
        <v>8</v>
      </c>
      <c r="E191" s="57" t="s">
        <v>189</v>
      </c>
      <c r="F191" s="35">
        <v>816.22</v>
      </c>
      <c r="G191" s="35">
        <v>816.22</v>
      </c>
      <c r="H191" s="35">
        <v>816.22</v>
      </c>
      <c r="I191" s="35">
        <v>816.22</v>
      </c>
      <c r="J191" s="35">
        <v>816.22</v>
      </c>
      <c r="K191" s="35">
        <v>816.22</v>
      </c>
      <c r="L191" s="36" t="s">
        <v>63</v>
      </c>
      <c r="M191" s="37">
        <v>40909</v>
      </c>
      <c r="N191" s="145" t="s">
        <v>440</v>
      </c>
    </row>
    <row r="192" spans="1:14" ht="15.75" thickBot="1" x14ac:dyDescent="0.3">
      <c r="A192" s="42">
        <v>1102440060</v>
      </c>
      <c r="B192" s="31" t="s">
        <v>305</v>
      </c>
      <c r="C192" s="32">
        <v>184</v>
      </c>
      <c r="D192" s="33">
        <v>1</v>
      </c>
      <c r="E192" s="57" t="s">
        <v>67</v>
      </c>
      <c r="F192" s="35">
        <v>565.22</v>
      </c>
      <c r="G192" s="35">
        <v>565.22</v>
      </c>
      <c r="H192" s="35">
        <v>565.22</v>
      </c>
      <c r="I192" s="35">
        <v>565.22</v>
      </c>
      <c r="J192" s="35">
        <v>565.22</v>
      </c>
      <c r="K192" s="35">
        <v>565.22</v>
      </c>
      <c r="L192" s="36" t="s">
        <v>63</v>
      </c>
      <c r="M192" s="37">
        <v>40909</v>
      </c>
      <c r="N192" s="145" t="s">
        <v>440</v>
      </c>
    </row>
    <row r="193" spans="1:14" ht="15.75" thickBot="1" x14ac:dyDescent="0.3">
      <c r="A193" s="42">
        <v>1104435555</v>
      </c>
      <c r="B193" s="31" t="s">
        <v>306</v>
      </c>
      <c r="C193" s="32">
        <v>185</v>
      </c>
      <c r="D193" s="33">
        <v>1</v>
      </c>
      <c r="E193" s="57" t="s">
        <v>109</v>
      </c>
      <c r="F193" s="35">
        <v>565.22</v>
      </c>
      <c r="G193" s="35">
        <v>565.22</v>
      </c>
      <c r="H193" s="35">
        <v>565.22</v>
      </c>
      <c r="I193" s="35">
        <v>565.22</v>
      </c>
      <c r="J193" s="35">
        <v>565.22</v>
      </c>
      <c r="K193" s="35">
        <v>565.22</v>
      </c>
      <c r="L193" s="36" t="s">
        <v>63</v>
      </c>
      <c r="M193" s="37">
        <v>40909</v>
      </c>
      <c r="N193" s="145" t="s">
        <v>440</v>
      </c>
    </row>
    <row r="194" spans="1:14" ht="15.75" thickBot="1" x14ac:dyDescent="0.3">
      <c r="A194" s="42">
        <v>1102402110</v>
      </c>
      <c r="B194" s="31" t="s">
        <v>307</v>
      </c>
      <c r="C194" s="32">
        <v>186</v>
      </c>
      <c r="D194" s="33">
        <v>4</v>
      </c>
      <c r="E194" s="57" t="s">
        <v>72</v>
      </c>
      <c r="F194" s="35">
        <v>615.22</v>
      </c>
      <c r="G194" s="35">
        <v>615.22</v>
      </c>
      <c r="H194" s="35">
        <v>615.22</v>
      </c>
      <c r="I194" s="35">
        <v>615.22</v>
      </c>
      <c r="J194" s="35">
        <v>615.22</v>
      </c>
      <c r="K194" s="35">
        <v>615.22</v>
      </c>
      <c r="L194" s="36" t="s">
        <v>63</v>
      </c>
      <c r="M194" s="37">
        <v>40909</v>
      </c>
      <c r="N194" s="145" t="s">
        <v>440</v>
      </c>
    </row>
    <row r="195" spans="1:14" ht="15.75" thickBot="1" x14ac:dyDescent="0.3">
      <c r="A195" s="42" t="s">
        <v>308</v>
      </c>
      <c r="B195" s="31" t="s">
        <v>309</v>
      </c>
      <c r="C195" s="32">
        <v>187</v>
      </c>
      <c r="D195" s="33">
        <v>1</v>
      </c>
      <c r="E195" s="57" t="s">
        <v>77</v>
      </c>
      <c r="F195" s="35">
        <v>565.22</v>
      </c>
      <c r="G195" s="35">
        <v>565.22</v>
      </c>
      <c r="H195" s="35">
        <v>565.22</v>
      </c>
      <c r="I195" s="35">
        <v>565.22</v>
      </c>
      <c r="J195" s="35">
        <v>565.22</v>
      </c>
      <c r="K195" s="35">
        <v>565.22</v>
      </c>
      <c r="L195" s="36" t="s">
        <v>63</v>
      </c>
      <c r="M195" s="37">
        <v>40909</v>
      </c>
      <c r="N195" s="145" t="s">
        <v>440</v>
      </c>
    </row>
    <row r="196" spans="1:14" ht="15.75" thickBot="1" x14ac:dyDescent="0.3">
      <c r="A196" s="42">
        <v>1100309044</v>
      </c>
      <c r="B196" s="31" t="s">
        <v>310</v>
      </c>
      <c r="C196" s="32">
        <v>188</v>
      </c>
      <c r="D196" s="33">
        <v>1</v>
      </c>
      <c r="E196" s="57" t="s">
        <v>85</v>
      </c>
      <c r="F196" s="35">
        <v>565.22</v>
      </c>
      <c r="G196" s="35">
        <v>565.22</v>
      </c>
      <c r="H196" s="35">
        <v>565.22</v>
      </c>
      <c r="I196" s="35">
        <v>565.22</v>
      </c>
      <c r="J196" s="35">
        <v>565.22</v>
      </c>
      <c r="K196" s="35">
        <v>565.22</v>
      </c>
      <c r="L196" s="36" t="s">
        <v>63</v>
      </c>
      <c r="M196" s="37">
        <v>40909</v>
      </c>
      <c r="N196" s="145" t="s">
        <v>440</v>
      </c>
    </row>
    <row r="197" spans="1:14" ht="15.75" thickBot="1" x14ac:dyDescent="0.3">
      <c r="A197" s="51">
        <v>1102060710</v>
      </c>
      <c r="B197" s="31" t="s">
        <v>311</v>
      </c>
      <c r="C197" s="32">
        <v>189</v>
      </c>
      <c r="D197" s="33">
        <v>4</v>
      </c>
      <c r="E197" s="57" t="s">
        <v>72</v>
      </c>
      <c r="F197" s="44">
        <v>598</v>
      </c>
      <c r="G197" s="44">
        <v>598</v>
      </c>
      <c r="H197" s="44">
        <v>598</v>
      </c>
      <c r="I197" s="44">
        <v>598</v>
      </c>
      <c r="J197" s="44">
        <v>598</v>
      </c>
      <c r="K197" s="44">
        <v>598</v>
      </c>
      <c r="L197" s="36" t="s">
        <v>63</v>
      </c>
      <c r="M197" s="37">
        <v>41640</v>
      </c>
      <c r="N197" s="145" t="s">
        <v>440</v>
      </c>
    </row>
    <row r="198" spans="1:14" ht="15.75" thickBot="1" x14ac:dyDescent="0.3">
      <c r="A198" s="51">
        <v>1102296553</v>
      </c>
      <c r="B198" s="31" t="s">
        <v>312</v>
      </c>
      <c r="C198" s="32">
        <v>190</v>
      </c>
      <c r="D198" s="33">
        <v>5</v>
      </c>
      <c r="E198" s="57" t="s">
        <v>69</v>
      </c>
      <c r="F198" s="44">
        <v>733</v>
      </c>
      <c r="G198" s="44">
        <v>733</v>
      </c>
      <c r="H198" s="44">
        <v>733</v>
      </c>
      <c r="I198" s="44">
        <v>733</v>
      </c>
      <c r="J198" s="44">
        <v>733</v>
      </c>
      <c r="K198" s="44">
        <v>733</v>
      </c>
      <c r="L198" s="36" t="s">
        <v>63</v>
      </c>
      <c r="M198" s="37">
        <v>41640</v>
      </c>
      <c r="N198" s="145" t="s">
        <v>440</v>
      </c>
    </row>
    <row r="199" spans="1:14" ht="15.75" thickBot="1" x14ac:dyDescent="0.3">
      <c r="A199" s="42">
        <v>1102813241</v>
      </c>
      <c r="B199" s="31" t="s">
        <v>313</v>
      </c>
      <c r="C199" s="32">
        <v>191</v>
      </c>
      <c r="D199" s="33">
        <v>2</v>
      </c>
      <c r="E199" s="57" t="s">
        <v>96</v>
      </c>
      <c r="F199" s="35">
        <v>581.22</v>
      </c>
      <c r="G199" s="35">
        <v>581.22</v>
      </c>
      <c r="H199" s="35">
        <v>581.22</v>
      </c>
      <c r="I199" s="35">
        <v>581.22</v>
      </c>
      <c r="J199" s="35">
        <v>581.22</v>
      </c>
      <c r="K199" s="35">
        <v>581.22</v>
      </c>
      <c r="L199" s="36" t="s">
        <v>63</v>
      </c>
      <c r="M199" s="37">
        <v>40909</v>
      </c>
      <c r="N199" s="145" t="s">
        <v>440</v>
      </c>
    </row>
    <row r="200" spans="1:14" ht="15.75" thickBot="1" x14ac:dyDescent="0.3">
      <c r="A200" s="30" t="s">
        <v>314</v>
      </c>
      <c r="B200" s="31" t="s">
        <v>315</v>
      </c>
      <c r="C200" s="32">
        <v>192</v>
      </c>
      <c r="D200" s="33">
        <v>5</v>
      </c>
      <c r="E200" s="57" t="s">
        <v>124</v>
      </c>
      <c r="F200" s="55">
        <v>733.22</v>
      </c>
      <c r="G200" s="55">
        <v>733.22</v>
      </c>
      <c r="H200" s="55">
        <v>733.22</v>
      </c>
      <c r="I200" s="55">
        <v>733.22</v>
      </c>
      <c r="J200" s="55">
        <v>733.22</v>
      </c>
      <c r="K200" s="55">
        <v>733.22</v>
      </c>
      <c r="L200" s="36" t="s">
        <v>63</v>
      </c>
      <c r="M200" s="37">
        <v>40909</v>
      </c>
      <c r="N200" s="145" t="s">
        <v>440</v>
      </c>
    </row>
    <row r="201" spans="1:14" ht="15.75" thickBot="1" x14ac:dyDescent="0.3">
      <c r="A201" s="30" t="s">
        <v>316</v>
      </c>
      <c r="B201" s="31" t="s">
        <v>317</v>
      </c>
      <c r="C201" s="32">
        <v>193</v>
      </c>
      <c r="D201" s="33">
        <v>1</v>
      </c>
      <c r="E201" s="57" t="s">
        <v>67</v>
      </c>
      <c r="F201" s="45">
        <v>565.22</v>
      </c>
      <c r="G201" s="45">
        <v>565.22</v>
      </c>
      <c r="H201" s="45">
        <v>565.22</v>
      </c>
      <c r="I201" s="45">
        <v>565.22</v>
      </c>
      <c r="J201" s="45">
        <v>565.22</v>
      </c>
      <c r="K201" s="45">
        <v>565.22</v>
      </c>
      <c r="L201" s="36" t="s">
        <v>63</v>
      </c>
      <c r="M201" s="37">
        <v>40909</v>
      </c>
      <c r="N201" s="145" t="s">
        <v>440</v>
      </c>
    </row>
    <row r="202" spans="1:14" ht="15.75" thickBot="1" x14ac:dyDescent="0.3">
      <c r="A202" s="42" t="s">
        <v>318</v>
      </c>
      <c r="B202" s="31" t="s">
        <v>319</v>
      </c>
      <c r="C202" s="32">
        <v>194</v>
      </c>
      <c r="D202" s="33">
        <v>6</v>
      </c>
      <c r="E202" s="57" t="s">
        <v>441</v>
      </c>
      <c r="F202" s="45">
        <v>615.22</v>
      </c>
      <c r="G202" s="45">
        <v>615.22</v>
      </c>
      <c r="H202" s="45">
        <v>709</v>
      </c>
      <c r="I202" s="45">
        <v>709</v>
      </c>
      <c r="J202" s="45">
        <v>709</v>
      </c>
      <c r="K202" s="45">
        <v>709</v>
      </c>
      <c r="L202" s="36" t="s">
        <v>63</v>
      </c>
      <c r="M202" s="37">
        <v>40909</v>
      </c>
      <c r="N202" s="145"/>
    </row>
    <row r="203" spans="1:14" ht="15.75" thickBot="1" x14ac:dyDescent="0.3">
      <c r="A203" s="30">
        <v>1101431201</v>
      </c>
      <c r="B203" s="31" t="s">
        <v>320</v>
      </c>
      <c r="C203" s="32">
        <v>195</v>
      </c>
      <c r="D203" s="33">
        <v>2</v>
      </c>
      <c r="E203" s="57" t="s">
        <v>87</v>
      </c>
      <c r="F203" s="45">
        <v>581.22</v>
      </c>
      <c r="G203" s="45">
        <v>581.22</v>
      </c>
      <c r="H203" s="45">
        <v>581.22</v>
      </c>
      <c r="I203" s="45">
        <v>581.22</v>
      </c>
      <c r="J203" s="45">
        <v>581.22</v>
      </c>
      <c r="K203" s="45">
        <v>581.22</v>
      </c>
      <c r="L203" s="36" t="s">
        <v>63</v>
      </c>
      <c r="M203" s="37">
        <v>40909</v>
      </c>
      <c r="N203" s="145" t="s">
        <v>440</v>
      </c>
    </row>
    <row r="204" spans="1:14" ht="15.75" thickBot="1" x14ac:dyDescent="0.3">
      <c r="A204" s="42">
        <v>1102798962</v>
      </c>
      <c r="B204" s="31" t="s">
        <v>321</v>
      </c>
      <c r="C204" s="32">
        <v>196</v>
      </c>
      <c r="D204" s="33">
        <v>8</v>
      </c>
      <c r="E204" s="57" t="s">
        <v>322</v>
      </c>
      <c r="F204" s="45">
        <v>816.22</v>
      </c>
      <c r="G204" s="45">
        <v>816.22</v>
      </c>
      <c r="H204" s="45">
        <v>816.22</v>
      </c>
      <c r="I204" s="45">
        <v>816.22</v>
      </c>
      <c r="J204" s="45">
        <v>816.22</v>
      </c>
      <c r="K204" s="45">
        <v>816.22</v>
      </c>
      <c r="L204" s="36" t="s">
        <v>63</v>
      </c>
      <c r="M204" s="37">
        <v>40909</v>
      </c>
      <c r="N204" s="145" t="s">
        <v>440</v>
      </c>
    </row>
    <row r="205" spans="1:14" ht="15.75" thickBot="1" x14ac:dyDescent="0.3">
      <c r="A205" s="42">
        <v>1100868593</v>
      </c>
      <c r="B205" s="31" t="s">
        <v>323</v>
      </c>
      <c r="C205" s="32">
        <v>197</v>
      </c>
      <c r="D205" s="33">
        <v>6</v>
      </c>
      <c r="E205" s="57" t="s">
        <v>441</v>
      </c>
      <c r="F205" s="45">
        <v>615.22</v>
      </c>
      <c r="G205" s="45">
        <v>615.22</v>
      </c>
      <c r="H205" s="45">
        <v>709</v>
      </c>
      <c r="I205" s="45">
        <v>709</v>
      </c>
      <c r="J205" s="45">
        <v>709</v>
      </c>
      <c r="K205" s="45">
        <v>709</v>
      </c>
      <c r="L205" s="36" t="s">
        <v>63</v>
      </c>
      <c r="M205" s="37">
        <v>40909</v>
      </c>
      <c r="N205" s="145"/>
    </row>
    <row r="206" spans="1:14" ht="15.75" thickBot="1" x14ac:dyDescent="0.3">
      <c r="A206" s="42">
        <v>1102750641</v>
      </c>
      <c r="B206" s="31" t="s">
        <v>324</v>
      </c>
      <c r="C206" s="32">
        <v>198</v>
      </c>
      <c r="D206" s="33">
        <v>4</v>
      </c>
      <c r="E206" s="57" t="s">
        <v>72</v>
      </c>
      <c r="F206" s="45">
        <v>615.22</v>
      </c>
      <c r="G206" s="45">
        <v>615.22</v>
      </c>
      <c r="H206" s="45">
        <v>615.22</v>
      </c>
      <c r="I206" s="45">
        <v>615.22</v>
      </c>
      <c r="J206" s="45">
        <v>615.22</v>
      </c>
      <c r="K206" s="45">
        <v>615.22</v>
      </c>
      <c r="L206" s="36" t="s">
        <v>63</v>
      </c>
      <c r="M206" s="37">
        <v>40909</v>
      </c>
      <c r="N206" s="145" t="s">
        <v>440</v>
      </c>
    </row>
    <row r="207" spans="1:14" ht="15.75" thickBot="1" x14ac:dyDescent="0.3">
      <c r="A207" s="51">
        <v>1103106405</v>
      </c>
      <c r="B207" s="31" t="s">
        <v>325</v>
      </c>
      <c r="C207" s="32">
        <v>199</v>
      </c>
      <c r="D207" s="33">
        <v>4</v>
      </c>
      <c r="E207" s="57" t="s">
        <v>72</v>
      </c>
      <c r="F207" s="48">
        <v>598</v>
      </c>
      <c r="G207" s="48">
        <v>598</v>
      </c>
      <c r="H207" s="48">
        <v>598</v>
      </c>
      <c r="I207" s="48">
        <v>598</v>
      </c>
      <c r="J207" s="48">
        <v>598</v>
      </c>
      <c r="K207" s="48">
        <v>598</v>
      </c>
      <c r="L207" s="36" t="s">
        <v>63</v>
      </c>
      <c r="M207" s="37">
        <v>41640</v>
      </c>
      <c r="N207" s="145" t="s">
        <v>440</v>
      </c>
    </row>
    <row r="208" spans="1:14" ht="15.75" thickBot="1" x14ac:dyDescent="0.3">
      <c r="A208" s="42">
        <v>1102361530</v>
      </c>
      <c r="B208" s="31" t="s">
        <v>326</v>
      </c>
      <c r="C208" s="32">
        <v>200</v>
      </c>
      <c r="D208" s="33">
        <v>5</v>
      </c>
      <c r="E208" s="57" t="s">
        <v>177</v>
      </c>
      <c r="F208" s="55">
        <v>733.22</v>
      </c>
      <c r="G208" s="55">
        <v>733.22</v>
      </c>
      <c r="H208" s="55">
        <v>733.22</v>
      </c>
      <c r="I208" s="55">
        <v>733.22</v>
      </c>
      <c r="J208" s="55">
        <v>733.22</v>
      </c>
      <c r="K208" s="55">
        <v>733.22</v>
      </c>
      <c r="L208" s="36" t="s">
        <v>63</v>
      </c>
      <c r="M208" s="37">
        <v>40909</v>
      </c>
      <c r="N208" s="145" t="s">
        <v>440</v>
      </c>
    </row>
    <row r="209" spans="1:14" ht="15.75" thickBot="1" x14ac:dyDescent="0.3">
      <c r="A209" s="52">
        <v>1100249067</v>
      </c>
      <c r="B209" s="31" t="s">
        <v>327</v>
      </c>
      <c r="C209" s="32">
        <v>201</v>
      </c>
      <c r="D209" s="33">
        <v>1</v>
      </c>
      <c r="E209" s="57" t="s">
        <v>62</v>
      </c>
      <c r="F209" s="45">
        <v>565.22</v>
      </c>
      <c r="G209" s="45">
        <v>565.22</v>
      </c>
      <c r="H209" s="45">
        <v>565.22</v>
      </c>
      <c r="I209" s="45">
        <v>565.22</v>
      </c>
      <c r="J209" s="45">
        <v>565.22</v>
      </c>
      <c r="K209" s="45">
        <v>565.22</v>
      </c>
      <c r="L209" s="36" t="s">
        <v>63</v>
      </c>
      <c r="M209" s="37">
        <v>40909</v>
      </c>
      <c r="N209" s="145" t="s">
        <v>440</v>
      </c>
    </row>
    <row r="210" spans="1:14" ht="15.75" thickBot="1" x14ac:dyDescent="0.3">
      <c r="A210" s="42">
        <v>1102982731</v>
      </c>
      <c r="B210" s="31" t="s">
        <v>328</v>
      </c>
      <c r="C210" s="32">
        <v>202</v>
      </c>
      <c r="D210" s="33">
        <v>1</v>
      </c>
      <c r="E210" s="57" t="s">
        <v>67</v>
      </c>
      <c r="F210" s="45">
        <v>565.22</v>
      </c>
      <c r="G210" s="45">
        <v>565.22</v>
      </c>
      <c r="H210" s="45">
        <v>565.22</v>
      </c>
      <c r="I210" s="45">
        <v>565.22</v>
      </c>
      <c r="J210" s="45">
        <v>565.22</v>
      </c>
      <c r="K210" s="45">
        <v>565.22</v>
      </c>
      <c r="L210" s="36" t="s">
        <v>63</v>
      </c>
      <c r="M210" s="37">
        <v>40909</v>
      </c>
      <c r="N210" s="145" t="s">
        <v>440</v>
      </c>
    </row>
    <row r="211" spans="1:14" ht="15.75" thickBot="1" x14ac:dyDescent="0.3">
      <c r="A211" s="42">
        <v>1706738729</v>
      </c>
      <c r="B211" s="31" t="s">
        <v>329</v>
      </c>
      <c r="C211" s="32">
        <v>203</v>
      </c>
      <c r="D211" s="33">
        <v>2</v>
      </c>
      <c r="E211" s="57" t="s">
        <v>330</v>
      </c>
      <c r="F211" s="55">
        <v>612.41999999999996</v>
      </c>
      <c r="G211" s="55">
        <v>612.41999999999996</v>
      </c>
      <c r="H211" s="55">
        <v>612.41999999999996</v>
      </c>
      <c r="I211" s="55">
        <v>612.41999999999996</v>
      </c>
      <c r="J211" s="55">
        <v>612.41999999999996</v>
      </c>
      <c r="K211" s="55">
        <v>612.41999999999996</v>
      </c>
      <c r="L211" s="36" t="s">
        <v>63</v>
      </c>
      <c r="M211" s="37">
        <v>40909</v>
      </c>
      <c r="N211" s="145" t="s">
        <v>440</v>
      </c>
    </row>
    <row r="212" spans="1:14" ht="15.75" thickBot="1" x14ac:dyDescent="0.3">
      <c r="A212" s="51">
        <v>1715677777</v>
      </c>
      <c r="B212" s="31" t="s">
        <v>331</v>
      </c>
      <c r="C212" s="32">
        <v>204</v>
      </c>
      <c r="D212" s="33">
        <v>4</v>
      </c>
      <c r="E212" s="57" t="s">
        <v>72</v>
      </c>
      <c r="F212" s="48">
        <v>598</v>
      </c>
      <c r="G212" s="48">
        <v>598</v>
      </c>
      <c r="H212" s="48">
        <v>598</v>
      </c>
      <c r="I212" s="48">
        <v>598</v>
      </c>
      <c r="J212" s="48">
        <v>598</v>
      </c>
      <c r="K212" s="48">
        <v>598</v>
      </c>
      <c r="L212" s="36" t="s">
        <v>63</v>
      </c>
      <c r="M212" s="37">
        <v>41640</v>
      </c>
      <c r="N212" s="145" t="s">
        <v>440</v>
      </c>
    </row>
    <row r="213" spans="1:14" ht="15.75" thickBot="1" x14ac:dyDescent="0.3">
      <c r="A213" s="42">
        <v>1103041669</v>
      </c>
      <c r="B213" s="31" t="s">
        <v>332</v>
      </c>
      <c r="C213" s="32">
        <v>205</v>
      </c>
      <c r="D213" s="33">
        <v>1</v>
      </c>
      <c r="E213" s="57" t="s">
        <v>153</v>
      </c>
      <c r="F213" s="45">
        <v>649.03</v>
      </c>
      <c r="G213" s="45">
        <v>649.03</v>
      </c>
      <c r="H213" s="45">
        <v>649.03</v>
      </c>
      <c r="I213" s="45">
        <v>649.03</v>
      </c>
      <c r="J213" s="45">
        <v>649.03</v>
      </c>
      <c r="K213" s="45">
        <v>649.03</v>
      </c>
      <c r="L213" s="36" t="s">
        <v>63</v>
      </c>
      <c r="M213" s="37">
        <v>40909</v>
      </c>
      <c r="N213" s="145" t="s">
        <v>440</v>
      </c>
    </row>
    <row r="214" spans="1:14" ht="15.75" thickBot="1" x14ac:dyDescent="0.3">
      <c r="A214" s="42">
        <v>1103169312</v>
      </c>
      <c r="B214" s="31" t="s">
        <v>333</v>
      </c>
      <c r="C214" s="32">
        <v>206</v>
      </c>
      <c r="D214" s="33">
        <v>3</v>
      </c>
      <c r="E214" s="57" t="s">
        <v>150</v>
      </c>
      <c r="F214" s="55">
        <v>622.6</v>
      </c>
      <c r="G214" s="55">
        <v>622.6</v>
      </c>
      <c r="H214" s="55">
        <v>622.6</v>
      </c>
      <c r="I214" s="55">
        <v>622.6</v>
      </c>
      <c r="J214" s="55">
        <v>622.6</v>
      </c>
      <c r="K214" s="55">
        <v>622.6</v>
      </c>
      <c r="L214" s="36" t="s">
        <v>63</v>
      </c>
      <c r="M214" s="37">
        <v>40909</v>
      </c>
      <c r="N214" s="145" t="s">
        <v>440</v>
      </c>
    </row>
    <row r="215" spans="1:14" ht="15.75" thickBot="1" x14ac:dyDescent="0.3">
      <c r="A215" s="42">
        <v>1101979357</v>
      </c>
      <c r="B215" s="31" t="s">
        <v>334</v>
      </c>
      <c r="C215" s="32">
        <v>207</v>
      </c>
      <c r="D215" s="33">
        <v>8</v>
      </c>
      <c r="E215" s="57" t="s">
        <v>322</v>
      </c>
      <c r="F215" s="45">
        <v>816.22</v>
      </c>
      <c r="G215" s="45">
        <v>816.22</v>
      </c>
      <c r="H215" s="45">
        <v>816.22</v>
      </c>
      <c r="I215" s="45">
        <v>816.22</v>
      </c>
      <c r="J215" s="45">
        <v>816.22</v>
      </c>
      <c r="K215" s="45">
        <v>816.22</v>
      </c>
      <c r="L215" s="36" t="s">
        <v>63</v>
      </c>
      <c r="M215" s="37">
        <v>40909</v>
      </c>
      <c r="N215" s="145" t="s">
        <v>440</v>
      </c>
    </row>
    <row r="216" spans="1:14" ht="15.75" thickBot="1" x14ac:dyDescent="0.3">
      <c r="A216" s="52">
        <v>1102662051</v>
      </c>
      <c r="B216" s="31" t="s">
        <v>335</v>
      </c>
      <c r="C216" s="32">
        <v>208</v>
      </c>
      <c r="D216" s="33">
        <v>1</v>
      </c>
      <c r="E216" s="57" t="s">
        <v>85</v>
      </c>
      <c r="F216" s="45">
        <v>799.18</v>
      </c>
      <c r="G216" s="45">
        <v>799.18</v>
      </c>
      <c r="H216" s="45">
        <v>799.18</v>
      </c>
      <c r="I216" s="45">
        <v>799.18</v>
      </c>
      <c r="J216" s="45">
        <v>799.18</v>
      </c>
      <c r="K216" s="45">
        <v>799.18</v>
      </c>
      <c r="L216" s="36" t="s">
        <v>63</v>
      </c>
      <c r="M216" s="37">
        <v>40909</v>
      </c>
      <c r="N216" s="145" t="s">
        <v>440</v>
      </c>
    </row>
    <row r="217" spans="1:14" ht="15.75" thickBot="1" x14ac:dyDescent="0.3">
      <c r="A217" s="42">
        <v>1102704770</v>
      </c>
      <c r="B217" s="31" t="s">
        <v>336</v>
      </c>
      <c r="C217" s="32">
        <v>209</v>
      </c>
      <c r="D217" s="33">
        <v>3</v>
      </c>
      <c r="E217" s="57" t="s">
        <v>150</v>
      </c>
      <c r="F217" s="55">
        <v>728.33</v>
      </c>
      <c r="G217" s="55">
        <v>728.33</v>
      </c>
      <c r="H217" s="55">
        <v>728.33</v>
      </c>
      <c r="I217" s="55">
        <v>728.33</v>
      </c>
      <c r="J217" s="55">
        <v>728.33</v>
      </c>
      <c r="K217" s="55">
        <v>728.33</v>
      </c>
      <c r="L217" s="36" t="s">
        <v>63</v>
      </c>
      <c r="M217" s="37">
        <v>40909</v>
      </c>
      <c r="N217" s="145" t="s">
        <v>440</v>
      </c>
    </row>
    <row r="218" spans="1:14" ht="15.75" thickBot="1" x14ac:dyDescent="0.3">
      <c r="A218" s="42">
        <v>1102740832</v>
      </c>
      <c r="B218" s="31" t="s">
        <v>337</v>
      </c>
      <c r="C218" s="32">
        <v>210</v>
      </c>
      <c r="D218" s="33">
        <v>6</v>
      </c>
      <c r="E218" s="57" t="s">
        <v>441</v>
      </c>
      <c r="F218" s="45">
        <v>615.22</v>
      </c>
      <c r="G218" s="45">
        <v>615.22</v>
      </c>
      <c r="H218" s="45">
        <v>709</v>
      </c>
      <c r="I218" s="45">
        <v>709</v>
      </c>
      <c r="J218" s="45">
        <v>709</v>
      </c>
      <c r="K218" s="45">
        <v>709</v>
      </c>
      <c r="L218" s="36" t="s">
        <v>63</v>
      </c>
      <c r="M218" s="37">
        <v>40909</v>
      </c>
      <c r="N218" s="145"/>
    </row>
    <row r="219" spans="1:14" ht="15.75" thickBot="1" x14ac:dyDescent="0.3">
      <c r="A219" s="42">
        <v>1102681465</v>
      </c>
      <c r="B219" s="31" t="s">
        <v>338</v>
      </c>
      <c r="C219" s="32">
        <v>211</v>
      </c>
      <c r="D219" s="33">
        <v>5</v>
      </c>
      <c r="E219" s="57" t="s">
        <v>339</v>
      </c>
      <c r="F219" s="55">
        <v>733.22</v>
      </c>
      <c r="G219" s="55">
        <v>733.22</v>
      </c>
      <c r="H219" s="55">
        <v>733.22</v>
      </c>
      <c r="I219" s="55">
        <v>733.22</v>
      </c>
      <c r="J219" s="55">
        <v>733.22</v>
      </c>
      <c r="K219" s="55">
        <v>733.22</v>
      </c>
      <c r="L219" s="36" t="s">
        <v>63</v>
      </c>
      <c r="M219" s="37">
        <v>40909</v>
      </c>
      <c r="N219" s="145" t="s">
        <v>440</v>
      </c>
    </row>
    <row r="220" spans="1:14" ht="15.75" thickBot="1" x14ac:dyDescent="0.3">
      <c r="A220" s="42">
        <v>1103412217</v>
      </c>
      <c r="B220" s="31" t="s">
        <v>340</v>
      </c>
      <c r="C220" s="32">
        <v>212</v>
      </c>
      <c r="D220" s="33">
        <v>4</v>
      </c>
      <c r="E220" s="57" t="s">
        <v>113</v>
      </c>
      <c r="F220" s="45">
        <v>615.22</v>
      </c>
      <c r="G220" s="45">
        <v>615.22</v>
      </c>
      <c r="H220" s="45">
        <v>615.22</v>
      </c>
      <c r="I220" s="45">
        <v>615.22</v>
      </c>
      <c r="J220" s="45">
        <v>615.22</v>
      </c>
      <c r="K220" s="45">
        <v>615.22</v>
      </c>
      <c r="L220" s="36" t="s">
        <v>63</v>
      </c>
      <c r="M220" s="37">
        <v>40909</v>
      </c>
      <c r="N220" s="145" t="s">
        <v>440</v>
      </c>
    </row>
    <row r="221" spans="1:14" ht="15.75" thickBot="1" x14ac:dyDescent="0.3">
      <c r="A221" s="30">
        <v>1102646609</v>
      </c>
      <c r="B221" s="31" t="s">
        <v>341</v>
      </c>
      <c r="C221" s="32">
        <v>213</v>
      </c>
      <c r="D221" s="33">
        <v>5</v>
      </c>
      <c r="E221" s="57" t="s">
        <v>120</v>
      </c>
      <c r="F221" s="39">
        <v>887.68</v>
      </c>
      <c r="G221" s="39">
        <v>887.68</v>
      </c>
      <c r="H221" s="39">
        <v>887.68</v>
      </c>
      <c r="I221" s="39">
        <v>887.68</v>
      </c>
      <c r="J221" s="39">
        <v>887.68</v>
      </c>
      <c r="K221" s="39">
        <v>887.68</v>
      </c>
      <c r="L221" s="36" t="s">
        <v>63</v>
      </c>
      <c r="M221" s="37">
        <v>40909</v>
      </c>
      <c r="N221" s="145" t="s">
        <v>440</v>
      </c>
    </row>
    <row r="222" spans="1:14" ht="15.75" thickBot="1" x14ac:dyDescent="0.3">
      <c r="A222" s="40">
        <v>1103698575</v>
      </c>
      <c r="B222" s="31" t="s">
        <v>342</v>
      </c>
      <c r="C222" s="32">
        <v>214</v>
      </c>
      <c r="D222" s="33">
        <v>1</v>
      </c>
      <c r="E222" s="57" t="s">
        <v>107</v>
      </c>
      <c r="F222" s="44">
        <v>565</v>
      </c>
      <c r="G222" s="44">
        <v>565</v>
      </c>
      <c r="H222" s="44">
        <v>565</v>
      </c>
      <c r="I222" s="44">
        <v>565</v>
      </c>
      <c r="J222" s="44">
        <v>565</v>
      </c>
      <c r="K222" s="44">
        <v>565</v>
      </c>
      <c r="L222" s="36" t="s">
        <v>63</v>
      </c>
      <c r="M222" s="37">
        <v>41640</v>
      </c>
      <c r="N222" s="145" t="s">
        <v>440</v>
      </c>
    </row>
    <row r="223" spans="1:14" ht="15.75" thickBot="1" x14ac:dyDescent="0.3">
      <c r="A223" s="30">
        <v>1103547194</v>
      </c>
      <c r="B223" s="31" t="s">
        <v>343</v>
      </c>
      <c r="C223" s="32">
        <v>215</v>
      </c>
      <c r="D223" s="33">
        <v>5</v>
      </c>
      <c r="E223" s="57" t="s">
        <v>65</v>
      </c>
      <c r="F223" s="39">
        <v>733.22</v>
      </c>
      <c r="G223" s="39">
        <v>733.22</v>
      </c>
      <c r="H223" s="39">
        <v>733.22</v>
      </c>
      <c r="I223" s="39">
        <v>733.22</v>
      </c>
      <c r="J223" s="39">
        <v>733.22</v>
      </c>
      <c r="K223" s="39">
        <v>733.22</v>
      </c>
      <c r="L223" s="36" t="s">
        <v>63</v>
      </c>
      <c r="M223" s="37">
        <v>40909</v>
      </c>
      <c r="N223" s="145" t="s">
        <v>440</v>
      </c>
    </row>
    <row r="224" spans="1:14" ht="15.75" thickBot="1" x14ac:dyDescent="0.3">
      <c r="A224" s="40">
        <v>1104631716</v>
      </c>
      <c r="B224" s="31" t="s">
        <v>344</v>
      </c>
      <c r="C224" s="32">
        <v>216</v>
      </c>
      <c r="D224" s="33">
        <v>1</v>
      </c>
      <c r="E224" s="57" t="s">
        <v>107</v>
      </c>
      <c r="F224" s="44">
        <v>565</v>
      </c>
      <c r="G224" s="44">
        <v>565</v>
      </c>
      <c r="H224" s="44">
        <v>565</v>
      </c>
      <c r="I224" s="44">
        <v>565</v>
      </c>
      <c r="J224" s="44">
        <v>565</v>
      </c>
      <c r="K224" s="44">
        <v>565</v>
      </c>
      <c r="L224" s="36" t="s">
        <v>63</v>
      </c>
      <c r="M224" s="37">
        <v>41640</v>
      </c>
      <c r="N224" s="145" t="s">
        <v>440</v>
      </c>
    </row>
    <row r="225" spans="1:14" ht="15.75" thickBot="1" x14ac:dyDescent="0.3">
      <c r="A225" s="41">
        <v>1103836449</v>
      </c>
      <c r="B225" s="31" t="s">
        <v>345</v>
      </c>
      <c r="C225" s="32">
        <v>217</v>
      </c>
      <c r="D225" s="33">
        <v>1</v>
      </c>
      <c r="E225" s="57" t="s">
        <v>153</v>
      </c>
      <c r="F225" s="35">
        <v>565.22</v>
      </c>
      <c r="G225" s="35">
        <v>565.22</v>
      </c>
      <c r="H225" s="35">
        <v>565.22</v>
      </c>
      <c r="I225" s="35">
        <v>565.22</v>
      </c>
      <c r="J225" s="35">
        <v>565.22</v>
      </c>
      <c r="K225" s="35">
        <v>565.22</v>
      </c>
      <c r="L225" s="36" t="s">
        <v>63</v>
      </c>
      <c r="M225" s="37">
        <v>40909</v>
      </c>
      <c r="N225" s="145" t="s">
        <v>440</v>
      </c>
    </row>
    <row r="226" spans="1:14" ht="15.75" thickBot="1" x14ac:dyDescent="0.3">
      <c r="A226" s="42">
        <v>1101891735</v>
      </c>
      <c r="B226" s="31" t="s">
        <v>346</v>
      </c>
      <c r="C226" s="32">
        <v>218</v>
      </c>
      <c r="D226" s="33">
        <v>5</v>
      </c>
      <c r="E226" s="57" t="s">
        <v>120</v>
      </c>
      <c r="F226" s="39">
        <v>920.53</v>
      </c>
      <c r="G226" s="39">
        <v>920.53</v>
      </c>
      <c r="H226" s="39">
        <v>920.53</v>
      </c>
      <c r="I226" s="39">
        <v>920.53</v>
      </c>
      <c r="J226" s="39">
        <v>920.53</v>
      </c>
      <c r="K226" s="39">
        <v>920.53</v>
      </c>
      <c r="L226" s="36" t="s">
        <v>63</v>
      </c>
      <c r="M226" s="37">
        <v>40909</v>
      </c>
      <c r="N226" s="145" t="s">
        <v>440</v>
      </c>
    </row>
    <row r="227" spans="1:14" ht="15.75" thickBot="1" x14ac:dyDescent="0.3">
      <c r="A227" s="30" t="s">
        <v>347</v>
      </c>
      <c r="B227" s="31" t="s">
        <v>348</v>
      </c>
      <c r="C227" s="32">
        <v>219</v>
      </c>
      <c r="D227" s="33">
        <v>1</v>
      </c>
      <c r="E227" s="57" t="s">
        <v>62</v>
      </c>
      <c r="F227" s="35">
        <v>565.22</v>
      </c>
      <c r="G227" s="35">
        <v>565.22</v>
      </c>
      <c r="H227" s="35">
        <v>565.22</v>
      </c>
      <c r="I227" s="35">
        <v>565.22</v>
      </c>
      <c r="J227" s="35">
        <v>565.22</v>
      </c>
      <c r="K227" s="35">
        <v>565.22</v>
      </c>
      <c r="L227" s="36" t="s">
        <v>63</v>
      </c>
      <c r="M227" s="37">
        <v>40909</v>
      </c>
      <c r="N227" s="145" t="s">
        <v>440</v>
      </c>
    </row>
    <row r="228" spans="1:14" ht="15.75" thickBot="1" x14ac:dyDescent="0.3">
      <c r="A228" s="40">
        <v>1100431699</v>
      </c>
      <c r="B228" s="31" t="s">
        <v>349</v>
      </c>
      <c r="C228" s="32">
        <v>220</v>
      </c>
      <c r="D228" s="33">
        <v>3</v>
      </c>
      <c r="E228" s="57" t="s">
        <v>150</v>
      </c>
      <c r="F228" s="44">
        <v>598</v>
      </c>
      <c r="G228" s="44">
        <v>598</v>
      </c>
      <c r="H228" s="44">
        <v>598</v>
      </c>
      <c r="I228" s="44">
        <v>598</v>
      </c>
      <c r="J228" s="44">
        <v>598</v>
      </c>
      <c r="K228" s="44">
        <v>598</v>
      </c>
      <c r="L228" s="36" t="s">
        <v>63</v>
      </c>
      <c r="M228" s="37">
        <v>41640</v>
      </c>
      <c r="N228" s="145" t="s">
        <v>440</v>
      </c>
    </row>
    <row r="229" spans="1:14" ht="15.75" thickBot="1" x14ac:dyDescent="0.3">
      <c r="A229" s="30" t="s">
        <v>350</v>
      </c>
      <c r="B229" s="31" t="s">
        <v>351</v>
      </c>
      <c r="C229" s="32">
        <v>221</v>
      </c>
      <c r="D229" s="33">
        <v>3</v>
      </c>
      <c r="E229" s="57" t="s">
        <v>150</v>
      </c>
      <c r="F229" s="35">
        <v>615.22</v>
      </c>
      <c r="G229" s="35">
        <v>615.22</v>
      </c>
      <c r="H229" s="35">
        <v>615.22</v>
      </c>
      <c r="I229" s="35">
        <v>615.22</v>
      </c>
      <c r="J229" s="35">
        <v>615.22</v>
      </c>
      <c r="K229" s="35">
        <v>615.22</v>
      </c>
      <c r="L229" s="36" t="s">
        <v>63</v>
      </c>
      <c r="M229" s="37">
        <v>40909</v>
      </c>
      <c r="N229" s="145" t="s">
        <v>440</v>
      </c>
    </row>
    <row r="230" spans="1:14" ht="15.75" thickBot="1" x14ac:dyDescent="0.3">
      <c r="A230" s="30">
        <v>1102557392</v>
      </c>
      <c r="B230" s="31" t="s">
        <v>352</v>
      </c>
      <c r="C230" s="32">
        <v>222</v>
      </c>
      <c r="D230" s="33">
        <v>5</v>
      </c>
      <c r="E230" s="57" t="s">
        <v>120</v>
      </c>
      <c r="F230" s="39">
        <v>733.22</v>
      </c>
      <c r="G230" s="39">
        <v>733.22</v>
      </c>
      <c r="H230" s="39">
        <v>733.22</v>
      </c>
      <c r="I230" s="39">
        <v>733.22</v>
      </c>
      <c r="J230" s="39">
        <v>733.22</v>
      </c>
      <c r="K230" s="39">
        <v>733.22</v>
      </c>
      <c r="L230" s="36" t="s">
        <v>63</v>
      </c>
      <c r="M230" s="37">
        <v>40909</v>
      </c>
      <c r="N230" s="145" t="s">
        <v>440</v>
      </c>
    </row>
    <row r="231" spans="1:14" ht="15.75" thickBot="1" x14ac:dyDescent="0.3">
      <c r="A231" s="30">
        <v>1100784519</v>
      </c>
      <c r="B231" s="31" t="s">
        <v>353</v>
      </c>
      <c r="C231" s="32">
        <v>223</v>
      </c>
      <c r="D231" s="33">
        <v>5</v>
      </c>
      <c r="E231" s="57" t="s">
        <v>124</v>
      </c>
      <c r="F231" s="39">
        <v>733.22</v>
      </c>
      <c r="G231" s="39">
        <v>733.22</v>
      </c>
      <c r="H231" s="39">
        <v>733.22</v>
      </c>
      <c r="I231" s="39">
        <v>733.22</v>
      </c>
      <c r="J231" s="39">
        <v>733.22</v>
      </c>
      <c r="K231" s="39">
        <v>733.22</v>
      </c>
      <c r="L231" s="36" t="s">
        <v>63</v>
      </c>
      <c r="M231" s="37">
        <v>40909</v>
      </c>
      <c r="N231" s="145" t="s">
        <v>440</v>
      </c>
    </row>
    <row r="232" spans="1:14" ht="15.75" thickBot="1" x14ac:dyDescent="0.3">
      <c r="A232" s="30">
        <v>1102292925</v>
      </c>
      <c r="B232" s="31" t="s">
        <v>354</v>
      </c>
      <c r="C232" s="32">
        <v>224</v>
      </c>
      <c r="D232" s="33">
        <v>4</v>
      </c>
      <c r="E232" s="57" t="s">
        <v>72</v>
      </c>
      <c r="F232" s="35">
        <v>615.22</v>
      </c>
      <c r="G232" s="35">
        <v>615.22</v>
      </c>
      <c r="H232" s="35">
        <v>615.22</v>
      </c>
      <c r="I232" s="35">
        <v>615.22</v>
      </c>
      <c r="J232" s="35">
        <v>615.22</v>
      </c>
      <c r="K232" s="35">
        <v>615.22</v>
      </c>
      <c r="L232" s="36" t="s">
        <v>63</v>
      </c>
      <c r="M232" s="37">
        <v>40909</v>
      </c>
      <c r="N232" s="145" t="s">
        <v>440</v>
      </c>
    </row>
    <row r="233" spans="1:14" ht="15.75" thickBot="1" x14ac:dyDescent="0.3">
      <c r="A233" s="42">
        <v>1101070306</v>
      </c>
      <c r="B233" s="31" t="s">
        <v>355</v>
      </c>
      <c r="C233" s="32">
        <v>225</v>
      </c>
      <c r="D233" s="33">
        <v>4</v>
      </c>
      <c r="E233" s="57" t="s">
        <v>72</v>
      </c>
      <c r="F233" s="39">
        <v>902.33</v>
      </c>
      <c r="G233" s="39">
        <v>902.33</v>
      </c>
      <c r="H233" s="39">
        <v>902.33</v>
      </c>
      <c r="I233" s="39">
        <v>902.33</v>
      </c>
      <c r="J233" s="39">
        <v>902.33</v>
      </c>
      <c r="K233" s="39">
        <v>902.33</v>
      </c>
      <c r="L233" s="36" t="s">
        <v>63</v>
      </c>
      <c r="M233" s="37">
        <v>40909</v>
      </c>
      <c r="N233" s="145" t="s">
        <v>440</v>
      </c>
    </row>
    <row r="234" spans="1:14" ht="15.75" thickBot="1" x14ac:dyDescent="0.3">
      <c r="A234" s="51">
        <v>1708999337</v>
      </c>
      <c r="B234" s="31" t="s">
        <v>356</v>
      </c>
      <c r="C234" s="32">
        <v>226</v>
      </c>
      <c r="D234" s="33">
        <v>3</v>
      </c>
      <c r="E234" s="57" t="s">
        <v>150</v>
      </c>
      <c r="F234" s="44">
        <v>598</v>
      </c>
      <c r="G234" s="44">
        <v>598</v>
      </c>
      <c r="H234" s="44">
        <v>598</v>
      </c>
      <c r="I234" s="44">
        <v>598</v>
      </c>
      <c r="J234" s="44">
        <v>598</v>
      </c>
      <c r="K234" s="44">
        <v>598</v>
      </c>
      <c r="L234" s="36" t="s">
        <v>63</v>
      </c>
      <c r="M234" s="37">
        <v>41640</v>
      </c>
      <c r="N234" s="145" t="s">
        <v>440</v>
      </c>
    </row>
    <row r="235" spans="1:14" ht="15.75" thickBot="1" x14ac:dyDescent="0.3">
      <c r="A235" s="42">
        <v>1706777719</v>
      </c>
      <c r="B235" s="31" t="s">
        <v>357</v>
      </c>
      <c r="C235" s="32">
        <v>227</v>
      </c>
      <c r="D235" s="33">
        <v>1</v>
      </c>
      <c r="E235" s="57" t="s">
        <v>90</v>
      </c>
      <c r="F235" s="35">
        <v>565.22</v>
      </c>
      <c r="G235" s="35">
        <v>565.22</v>
      </c>
      <c r="H235" s="35">
        <v>565.22</v>
      </c>
      <c r="I235" s="35">
        <v>565.22</v>
      </c>
      <c r="J235" s="35">
        <v>565.22</v>
      </c>
      <c r="K235" s="35">
        <v>565.22</v>
      </c>
      <c r="L235" s="36" t="s">
        <v>63</v>
      </c>
      <c r="M235" s="37">
        <v>40909</v>
      </c>
      <c r="N235" s="145" t="s">
        <v>440</v>
      </c>
    </row>
    <row r="236" spans="1:14" ht="15.75" thickBot="1" x14ac:dyDescent="0.3">
      <c r="A236" s="42">
        <v>1102024393</v>
      </c>
      <c r="B236" s="31" t="s">
        <v>358</v>
      </c>
      <c r="C236" s="32">
        <v>228</v>
      </c>
      <c r="D236" s="33">
        <v>1</v>
      </c>
      <c r="E236" s="57" t="s">
        <v>77</v>
      </c>
      <c r="F236" s="35">
        <v>565.22</v>
      </c>
      <c r="G236" s="35">
        <v>565.22</v>
      </c>
      <c r="H236" s="35">
        <v>565.22</v>
      </c>
      <c r="I236" s="35">
        <v>565.22</v>
      </c>
      <c r="J236" s="35">
        <v>565.22</v>
      </c>
      <c r="K236" s="35">
        <v>565.22</v>
      </c>
      <c r="L236" s="36" t="s">
        <v>63</v>
      </c>
      <c r="M236" s="37">
        <v>40909</v>
      </c>
      <c r="N236" s="145" t="s">
        <v>440</v>
      </c>
    </row>
    <row r="237" spans="1:14" ht="15.75" thickBot="1" x14ac:dyDescent="0.3">
      <c r="A237" s="30">
        <v>1102739099</v>
      </c>
      <c r="B237" s="31" t="s">
        <v>359</v>
      </c>
      <c r="C237" s="32">
        <v>229</v>
      </c>
      <c r="D237" s="33">
        <v>4</v>
      </c>
      <c r="E237" s="57" t="s">
        <v>72</v>
      </c>
      <c r="F237" s="35">
        <v>615.22</v>
      </c>
      <c r="G237" s="35">
        <v>615.22</v>
      </c>
      <c r="H237" s="35">
        <v>615.22</v>
      </c>
      <c r="I237" s="35">
        <v>615.22</v>
      </c>
      <c r="J237" s="35">
        <v>615.22</v>
      </c>
      <c r="K237" s="35">
        <v>615.22</v>
      </c>
      <c r="L237" s="36" t="s">
        <v>63</v>
      </c>
      <c r="M237" s="37">
        <v>40909</v>
      </c>
      <c r="N237" s="145" t="s">
        <v>440</v>
      </c>
    </row>
    <row r="238" spans="1:14" ht="15.75" thickBot="1" x14ac:dyDescent="0.3">
      <c r="A238" s="42">
        <v>1101932638</v>
      </c>
      <c r="B238" s="31" t="s">
        <v>360</v>
      </c>
      <c r="C238" s="32">
        <v>230</v>
      </c>
      <c r="D238" s="33">
        <v>9</v>
      </c>
      <c r="E238" s="57" t="s">
        <v>75</v>
      </c>
      <c r="F238" s="39">
        <v>868.08</v>
      </c>
      <c r="G238" s="39">
        <v>868.08</v>
      </c>
      <c r="H238" s="39">
        <v>868.08</v>
      </c>
      <c r="I238" s="39">
        <v>868.08</v>
      </c>
      <c r="J238" s="39">
        <v>868.08</v>
      </c>
      <c r="K238" s="39">
        <v>868.08</v>
      </c>
      <c r="L238" s="36" t="s">
        <v>63</v>
      </c>
      <c r="M238" s="37">
        <v>40909</v>
      </c>
      <c r="N238" s="145" t="s">
        <v>440</v>
      </c>
    </row>
    <row r="239" spans="1:14" ht="15.75" thickBot="1" x14ac:dyDescent="0.3">
      <c r="A239" s="42">
        <v>1102069083</v>
      </c>
      <c r="B239" s="31" t="s">
        <v>361</v>
      </c>
      <c r="C239" s="32">
        <v>231</v>
      </c>
      <c r="D239" s="33">
        <v>8</v>
      </c>
      <c r="E239" s="57" t="s">
        <v>189</v>
      </c>
      <c r="F239" s="35">
        <v>816.22</v>
      </c>
      <c r="G239" s="35">
        <v>816.22</v>
      </c>
      <c r="H239" s="35">
        <v>816.22</v>
      </c>
      <c r="I239" s="35">
        <v>816.22</v>
      </c>
      <c r="J239" s="35">
        <v>816.22</v>
      </c>
      <c r="K239" s="35">
        <v>816.22</v>
      </c>
      <c r="L239" s="36" t="s">
        <v>63</v>
      </c>
      <c r="M239" s="37">
        <v>40909</v>
      </c>
      <c r="N239" s="145" t="s">
        <v>440</v>
      </c>
    </row>
    <row r="240" spans="1:14" ht="15.75" thickBot="1" x14ac:dyDescent="0.3">
      <c r="A240" s="50">
        <v>1102762216</v>
      </c>
      <c r="B240" s="31" t="s">
        <v>362</v>
      </c>
      <c r="C240" s="32">
        <v>232</v>
      </c>
      <c r="D240" s="33">
        <v>2</v>
      </c>
      <c r="E240" s="57" t="s">
        <v>163</v>
      </c>
      <c r="F240" s="35">
        <v>581.22</v>
      </c>
      <c r="G240" s="35">
        <v>581.22</v>
      </c>
      <c r="H240" s="35">
        <v>581.22</v>
      </c>
      <c r="I240" s="35">
        <v>581.22</v>
      </c>
      <c r="J240" s="35">
        <v>581.22</v>
      </c>
      <c r="K240" s="35">
        <v>581.22</v>
      </c>
      <c r="L240" s="36" t="s">
        <v>63</v>
      </c>
      <c r="M240" s="37">
        <v>40909</v>
      </c>
      <c r="N240" s="145" t="s">
        <v>440</v>
      </c>
    </row>
    <row r="241" spans="1:14" ht="15.75" thickBot="1" x14ac:dyDescent="0.3">
      <c r="A241" s="63"/>
      <c r="B241" s="64"/>
      <c r="C241" s="63"/>
      <c r="D241" s="63"/>
      <c r="E241" s="63" t="s">
        <v>363</v>
      </c>
      <c r="F241" s="65">
        <v>151263.1100000001</v>
      </c>
      <c r="G241" s="65">
        <v>151263.1100000001</v>
      </c>
      <c r="H241" s="65">
        <v>151659.0100000001</v>
      </c>
      <c r="I241" s="65">
        <v>151659.0100000001</v>
      </c>
      <c r="J241" s="65">
        <v>151659.0100000001</v>
      </c>
      <c r="K241" s="65">
        <v>151659.0100000001</v>
      </c>
      <c r="L241" s="65"/>
      <c r="M241" s="66"/>
      <c r="N241" s="65"/>
    </row>
    <row r="242" spans="1:14" ht="15.75" thickBot="1" x14ac:dyDescent="0.3">
      <c r="A242" s="59"/>
      <c r="B242" s="60"/>
      <c r="C242" s="59"/>
      <c r="D242" s="59"/>
      <c r="E242" s="59" t="s">
        <v>364</v>
      </c>
      <c r="F242" s="61">
        <v>1815157.3200000012</v>
      </c>
      <c r="G242" s="61">
        <v>1815157.3200000012</v>
      </c>
      <c r="H242" s="61">
        <v>1819908.120000001</v>
      </c>
      <c r="I242" s="61">
        <v>1819908.120000001</v>
      </c>
      <c r="J242" s="61">
        <v>1819908.120000001</v>
      </c>
      <c r="K242" s="61">
        <v>1819908.120000001</v>
      </c>
      <c r="L242" s="61"/>
      <c r="M242" s="62"/>
      <c r="N242" s="61"/>
    </row>
    <row r="243" spans="1:14" x14ac:dyDescent="0.25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</row>
    <row r="244" spans="1:14" x14ac:dyDescent="0.25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</row>
    <row r="245" spans="1:14" x14ac:dyDescent="0.25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</row>
    <row r="246" spans="1:14" x14ac:dyDescent="0.25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</row>
    <row r="247" spans="1:14" x14ac:dyDescent="0.25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</row>
    <row r="248" spans="1:14" x14ac:dyDescent="0.25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</row>
    <row r="249" spans="1:14" s="67" customFormat="1" x14ac:dyDescent="0.25">
      <c r="B249" s="124" t="s">
        <v>368</v>
      </c>
      <c r="C249" s="124"/>
      <c r="D249" s="124"/>
      <c r="E249" s="124"/>
      <c r="F249" s="124" t="s">
        <v>371</v>
      </c>
      <c r="G249" s="124"/>
      <c r="H249" s="124"/>
      <c r="I249" s="124"/>
      <c r="J249" s="124"/>
      <c r="K249" s="124"/>
      <c r="L249" s="124"/>
      <c r="M249" s="124"/>
    </row>
    <row r="250" spans="1:14" s="67" customFormat="1" x14ac:dyDescent="0.25">
      <c r="B250" s="124" t="s">
        <v>16</v>
      </c>
      <c r="C250" s="124"/>
      <c r="D250" s="124"/>
      <c r="E250" s="124"/>
      <c r="F250" s="124" t="s">
        <v>369</v>
      </c>
      <c r="G250" s="124"/>
      <c r="H250" s="124"/>
      <c r="I250" s="124"/>
      <c r="J250" s="124"/>
      <c r="K250" s="124"/>
      <c r="L250" s="124"/>
      <c r="M250" s="124"/>
    </row>
    <row r="251" spans="1:14" s="67" customFormat="1" x14ac:dyDescent="0.25">
      <c r="B251" s="124" t="s">
        <v>14</v>
      </c>
      <c r="C251" s="124"/>
      <c r="D251" s="124"/>
      <c r="E251" s="124"/>
      <c r="F251" s="124" t="s">
        <v>370</v>
      </c>
      <c r="G251" s="124"/>
      <c r="H251" s="124"/>
      <c r="I251" s="124"/>
      <c r="J251" s="124"/>
      <c r="K251" s="124"/>
      <c r="L251" s="124"/>
      <c r="M251" s="124"/>
    </row>
    <row r="252" spans="1:14" x14ac:dyDescent="0.25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</row>
    <row r="253" spans="1:14" s="67" customFormat="1" x14ac:dyDescent="0.25">
      <c r="A253" s="126" t="s">
        <v>442</v>
      </c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</row>
  </sheetData>
  <autoFilter ref="A8:N242"/>
  <mergeCells count="21">
    <mergeCell ref="A252:M252"/>
    <mergeCell ref="A253:M253"/>
    <mergeCell ref="A248:M248"/>
    <mergeCell ref="B249:E249"/>
    <mergeCell ref="F249:M249"/>
    <mergeCell ref="B250:E250"/>
    <mergeCell ref="F250:M250"/>
    <mergeCell ref="B251:E251"/>
    <mergeCell ref="F251:M251"/>
    <mergeCell ref="A7:M7"/>
    <mergeCell ref="A243:M243"/>
    <mergeCell ref="A244:M244"/>
    <mergeCell ref="A245:M245"/>
    <mergeCell ref="A246:M246"/>
    <mergeCell ref="A247:M247"/>
    <mergeCell ref="A1:M1"/>
    <mergeCell ref="A2:M2"/>
    <mergeCell ref="A3:M3"/>
    <mergeCell ref="A4:M4"/>
    <mergeCell ref="A5:M5"/>
    <mergeCell ref="A6:M6"/>
  </mergeCells>
  <pageMargins left="0.7" right="0.7" top="0.75" bottom="0.75" header="0.3" footer="0.3"/>
  <pageSetup scale="4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8"/>
  <sheetViews>
    <sheetView workbookViewId="0">
      <selection activeCell="J54" sqref="J54"/>
    </sheetView>
  </sheetViews>
  <sheetFormatPr baseColWidth="10" defaultRowHeight="15" x14ac:dyDescent="0.25"/>
  <cols>
    <col min="1" max="1" width="7.28515625" style="79" bestFit="1" customWidth="1"/>
    <col min="2" max="2" width="34.140625" style="79" bestFit="1" customWidth="1"/>
    <col min="3" max="9" width="11.42578125" style="79"/>
    <col min="10" max="10" width="14.7109375" style="79" bestFit="1" customWidth="1"/>
    <col min="11" max="16384" width="11.42578125" style="79"/>
  </cols>
  <sheetData>
    <row r="1" spans="1:10" s="82" customFormat="1" ht="21" x14ac:dyDescent="0.25">
      <c r="A1" s="130" t="s">
        <v>47</v>
      </c>
      <c r="B1" s="130"/>
      <c r="C1" s="130"/>
      <c r="D1" s="130"/>
      <c r="E1" s="130"/>
      <c r="F1" s="130"/>
      <c r="G1" s="130"/>
      <c r="H1" s="130"/>
      <c r="I1" s="130"/>
      <c r="J1" s="130"/>
    </row>
    <row r="2" spans="1:10" s="83" customFormat="1" ht="15.75" x14ac:dyDescent="0.25">
      <c r="A2" s="140" t="s">
        <v>372</v>
      </c>
      <c r="B2" s="140"/>
      <c r="C2" s="140"/>
      <c r="D2" s="140"/>
      <c r="E2" s="140"/>
      <c r="F2" s="140"/>
      <c r="G2" s="140"/>
      <c r="H2" s="140"/>
      <c r="I2" s="140"/>
      <c r="J2" s="140"/>
    </row>
    <row r="3" spans="1:10" s="83" customFormat="1" ht="15.75" x14ac:dyDescent="0.25">
      <c r="A3" s="140" t="s">
        <v>373</v>
      </c>
      <c r="B3" s="140"/>
      <c r="C3" s="140"/>
      <c r="D3" s="140"/>
      <c r="E3" s="140"/>
      <c r="F3" s="140"/>
      <c r="G3" s="140"/>
      <c r="H3" s="140"/>
      <c r="I3" s="140"/>
      <c r="J3" s="140"/>
    </row>
    <row r="4" spans="1:10" s="80" customFormat="1" ht="12.75" x14ac:dyDescent="0.25">
      <c r="A4" s="128"/>
      <c r="B4" s="128"/>
      <c r="C4" s="128"/>
      <c r="D4" s="128"/>
      <c r="E4" s="128"/>
      <c r="F4" s="128"/>
      <c r="G4" s="128"/>
      <c r="H4" s="128"/>
      <c r="I4" s="128"/>
      <c r="J4" s="128"/>
    </row>
    <row r="5" spans="1:10" s="100" customFormat="1" ht="12.75" x14ac:dyDescent="0.25">
      <c r="A5" s="141" t="s">
        <v>50</v>
      </c>
      <c r="B5" s="141"/>
      <c r="C5" s="141"/>
      <c r="D5" s="141"/>
      <c r="E5" s="141"/>
      <c r="F5" s="141"/>
      <c r="G5" s="141"/>
      <c r="H5" s="141"/>
      <c r="I5" s="141"/>
      <c r="J5" s="141"/>
    </row>
    <row r="6" spans="1:10" s="80" customFormat="1" ht="13.5" thickBot="1" x14ac:dyDescent="0.3">
      <c r="A6" s="142"/>
      <c r="B6" s="142"/>
      <c r="C6" s="142"/>
      <c r="D6" s="142"/>
      <c r="E6" s="142"/>
      <c r="F6" s="142"/>
      <c r="G6" s="142"/>
      <c r="H6" s="142"/>
      <c r="I6" s="142"/>
      <c r="J6" s="142"/>
    </row>
    <row r="7" spans="1:10" s="80" customFormat="1" ht="13.5" thickBot="1" x14ac:dyDescent="0.3">
      <c r="A7" s="143" t="s">
        <v>374</v>
      </c>
      <c r="B7" s="143"/>
      <c r="C7" s="143" t="s">
        <v>375</v>
      </c>
      <c r="D7" s="143"/>
      <c r="E7" s="143"/>
      <c r="F7" s="143"/>
      <c r="G7" s="143" t="s">
        <v>376</v>
      </c>
      <c r="H7" s="143"/>
      <c r="I7" s="143"/>
      <c r="J7" s="89" t="s">
        <v>8</v>
      </c>
    </row>
    <row r="8" spans="1:10" s="81" customFormat="1" ht="23.25" thickBot="1" x14ac:dyDescent="0.3">
      <c r="A8" s="90" t="s">
        <v>377</v>
      </c>
      <c r="B8" s="91" t="s">
        <v>378</v>
      </c>
      <c r="C8" s="91">
        <v>2014</v>
      </c>
      <c r="D8" s="91">
        <v>2015</v>
      </c>
      <c r="E8" s="91">
        <v>2016</v>
      </c>
      <c r="F8" s="91">
        <v>2017</v>
      </c>
      <c r="G8" s="90">
        <v>2018</v>
      </c>
      <c r="H8" s="90">
        <v>2019</v>
      </c>
      <c r="I8" s="90">
        <v>2020</v>
      </c>
      <c r="J8" s="92"/>
    </row>
    <row r="9" spans="1:10" s="81" customFormat="1" ht="12" thickBot="1" x14ac:dyDescent="0.3">
      <c r="A9" s="136" t="s">
        <v>379</v>
      </c>
      <c r="B9" s="136"/>
      <c r="C9" s="93">
        <v>79571.740000000005</v>
      </c>
      <c r="D9" s="93">
        <v>96363.44</v>
      </c>
      <c r="E9" s="93">
        <v>40401.320000000007</v>
      </c>
      <c r="F9" s="93">
        <v>2878494.6399999997</v>
      </c>
      <c r="G9" s="93">
        <v>2950457.0059999991</v>
      </c>
      <c r="H9" s="93">
        <v>3024218.4311499991</v>
      </c>
      <c r="I9" s="93">
        <v>3099823.8919287492</v>
      </c>
      <c r="J9" s="94"/>
    </row>
    <row r="10" spans="1:10" s="81" customFormat="1" ht="12" thickBot="1" x14ac:dyDescent="0.3">
      <c r="A10" s="68">
        <v>13</v>
      </c>
      <c r="B10" s="68" t="s">
        <v>380</v>
      </c>
      <c r="C10" s="69">
        <v>2725</v>
      </c>
      <c r="D10" s="69">
        <v>2300</v>
      </c>
      <c r="E10" s="69">
        <v>2100</v>
      </c>
      <c r="F10" s="69">
        <v>2050</v>
      </c>
      <c r="G10" s="69">
        <v>2101.25</v>
      </c>
      <c r="H10" s="69">
        <v>2153.78125</v>
      </c>
      <c r="I10" s="69">
        <v>2207.6257812499998</v>
      </c>
      <c r="J10" s="70"/>
    </row>
    <row r="11" spans="1:10" s="81" customFormat="1" ht="12" thickBot="1" x14ac:dyDescent="0.3">
      <c r="A11" s="70">
        <v>1301</v>
      </c>
      <c r="B11" s="70" t="s">
        <v>381</v>
      </c>
      <c r="C11" s="8">
        <v>2725</v>
      </c>
      <c r="D11" s="71">
        <v>2300</v>
      </c>
      <c r="E11" s="71">
        <v>2100</v>
      </c>
      <c r="F11" s="71">
        <v>2050</v>
      </c>
      <c r="G11" s="71">
        <v>2101.25</v>
      </c>
      <c r="H11" s="71">
        <v>2153.78125</v>
      </c>
      <c r="I11" s="71">
        <v>2207.6257812499998</v>
      </c>
      <c r="J11" s="70"/>
    </row>
    <row r="12" spans="1:10" s="81" customFormat="1" ht="12" thickBot="1" x14ac:dyDescent="0.3">
      <c r="A12" s="68">
        <v>14</v>
      </c>
      <c r="B12" s="68" t="s">
        <v>382</v>
      </c>
      <c r="C12" s="69">
        <v>0</v>
      </c>
      <c r="D12" s="69">
        <v>0</v>
      </c>
      <c r="E12" s="69">
        <v>0</v>
      </c>
      <c r="F12" s="72">
        <v>2855303.09</v>
      </c>
      <c r="G12" s="69">
        <v>2926685.6672499995</v>
      </c>
      <c r="H12" s="69">
        <v>2999852.8089312492</v>
      </c>
      <c r="I12" s="69">
        <v>3074849.1291545304</v>
      </c>
      <c r="J12" s="70"/>
    </row>
    <row r="13" spans="1:10" s="81" customFormat="1" ht="12" thickBot="1" x14ac:dyDescent="0.3">
      <c r="A13" s="68">
        <v>17</v>
      </c>
      <c r="B13" s="68" t="s">
        <v>383</v>
      </c>
      <c r="C13" s="69">
        <v>2664.85</v>
      </c>
      <c r="D13" s="72">
        <v>1696.9</v>
      </c>
      <c r="E13" s="72">
        <v>4332.2700000000004</v>
      </c>
      <c r="F13" s="72">
        <v>1225.8</v>
      </c>
      <c r="G13" s="69">
        <v>1256.4449999999999</v>
      </c>
      <c r="H13" s="69">
        <v>1287.8561249999998</v>
      </c>
      <c r="I13" s="69">
        <v>1320.0525281249998</v>
      </c>
      <c r="J13" s="70"/>
    </row>
    <row r="14" spans="1:10" s="81" customFormat="1" ht="12" thickBot="1" x14ac:dyDescent="0.3">
      <c r="A14" s="68">
        <v>18</v>
      </c>
      <c r="B14" s="68" t="s">
        <v>384</v>
      </c>
      <c r="C14" s="69">
        <v>0</v>
      </c>
      <c r="D14" s="69">
        <v>0</v>
      </c>
      <c r="E14" s="69">
        <v>0</v>
      </c>
      <c r="F14" s="69">
        <v>0</v>
      </c>
      <c r="G14" s="69">
        <v>0</v>
      </c>
      <c r="H14" s="69">
        <v>0</v>
      </c>
      <c r="I14" s="69">
        <v>0</v>
      </c>
      <c r="J14" s="70"/>
    </row>
    <row r="15" spans="1:10" s="81" customFormat="1" ht="12" thickBot="1" x14ac:dyDescent="0.3">
      <c r="A15" s="68">
        <v>19</v>
      </c>
      <c r="B15" s="68" t="s">
        <v>385</v>
      </c>
      <c r="C15" s="69">
        <v>74181.89</v>
      </c>
      <c r="D15" s="69">
        <v>92366.540000000008</v>
      </c>
      <c r="E15" s="69">
        <v>33969.050000000003</v>
      </c>
      <c r="F15" s="69">
        <v>19915.75</v>
      </c>
      <c r="G15" s="69">
        <v>20413.643749999999</v>
      </c>
      <c r="H15" s="69">
        <v>20923.984843749997</v>
      </c>
      <c r="I15" s="69">
        <v>21447.084464843745</v>
      </c>
      <c r="J15" s="70"/>
    </row>
    <row r="16" spans="1:10" s="81" customFormat="1" ht="12" thickBot="1" x14ac:dyDescent="0.3">
      <c r="A16" s="70">
        <v>1901</v>
      </c>
      <c r="B16" s="70" t="s">
        <v>386</v>
      </c>
      <c r="C16" s="71">
        <v>14000.5</v>
      </c>
      <c r="D16" s="71">
        <v>0</v>
      </c>
      <c r="E16" s="71">
        <v>0</v>
      </c>
      <c r="F16" s="71">
        <v>0</v>
      </c>
      <c r="G16" s="71">
        <v>0</v>
      </c>
      <c r="H16" s="71">
        <v>0</v>
      </c>
      <c r="I16" s="71">
        <v>0</v>
      </c>
      <c r="J16" s="70"/>
    </row>
    <row r="17" spans="1:10" s="81" customFormat="1" ht="12" thickBot="1" x14ac:dyDescent="0.3">
      <c r="A17" s="70">
        <v>1902</v>
      </c>
      <c r="B17" s="70" t="s">
        <v>387</v>
      </c>
      <c r="C17" s="73">
        <v>1727.35</v>
      </c>
      <c r="D17" s="71">
        <v>61492.62</v>
      </c>
      <c r="E17" s="71">
        <v>5070.34</v>
      </c>
      <c r="F17" s="71">
        <v>0</v>
      </c>
      <c r="G17" s="71">
        <v>0</v>
      </c>
      <c r="H17" s="71">
        <v>0</v>
      </c>
      <c r="I17" s="71">
        <v>0</v>
      </c>
      <c r="J17" s="70"/>
    </row>
    <row r="18" spans="1:10" s="81" customFormat="1" ht="12" thickBot="1" x14ac:dyDescent="0.3">
      <c r="A18" s="70">
        <v>1904</v>
      </c>
      <c r="B18" s="70" t="s">
        <v>388</v>
      </c>
      <c r="C18" s="71">
        <v>58454.04</v>
      </c>
      <c r="D18" s="71">
        <v>30873.919999999998</v>
      </c>
      <c r="E18" s="71">
        <v>28898.71</v>
      </c>
      <c r="F18" s="8">
        <v>19915.75</v>
      </c>
      <c r="G18" s="71">
        <v>20413.643749999999</v>
      </c>
      <c r="H18" s="71">
        <v>20923.984843749997</v>
      </c>
      <c r="I18" s="71">
        <v>21447.084464843745</v>
      </c>
      <c r="J18" s="70"/>
    </row>
    <row r="19" spans="1:10" s="81" customFormat="1" ht="12" thickBot="1" x14ac:dyDescent="0.3">
      <c r="A19" s="136" t="s">
        <v>389</v>
      </c>
      <c r="B19" s="136"/>
      <c r="C19" s="93">
        <v>0</v>
      </c>
      <c r="D19" s="93">
        <v>31020</v>
      </c>
      <c r="E19" s="93">
        <v>33951.760000000002</v>
      </c>
      <c r="F19" s="93">
        <v>11748.84</v>
      </c>
      <c r="G19" s="93">
        <v>12042.561</v>
      </c>
      <c r="H19" s="93">
        <v>12343.625024999999</v>
      </c>
      <c r="I19" s="93">
        <v>12652.215650624998</v>
      </c>
      <c r="J19" s="94"/>
    </row>
    <row r="20" spans="1:10" s="81" customFormat="1" ht="12" thickBot="1" x14ac:dyDescent="0.3">
      <c r="A20" s="68">
        <v>56</v>
      </c>
      <c r="B20" s="68" t="s">
        <v>390</v>
      </c>
      <c r="C20" s="69">
        <v>0</v>
      </c>
      <c r="D20" s="69">
        <v>0</v>
      </c>
      <c r="E20" s="69">
        <v>0</v>
      </c>
      <c r="F20" s="69">
        <v>0</v>
      </c>
      <c r="G20" s="69">
        <v>0</v>
      </c>
      <c r="H20" s="69">
        <v>0</v>
      </c>
      <c r="I20" s="69">
        <v>0</v>
      </c>
      <c r="J20" s="70"/>
    </row>
    <row r="21" spans="1:10" s="81" customFormat="1" ht="12" thickBot="1" x14ac:dyDescent="0.3">
      <c r="A21" s="68">
        <v>57</v>
      </c>
      <c r="B21" s="68" t="s">
        <v>391</v>
      </c>
      <c r="C21" s="69">
        <v>0</v>
      </c>
      <c r="D21" s="69">
        <v>0</v>
      </c>
      <c r="E21" s="69">
        <v>0</v>
      </c>
      <c r="F21" s="69">
        <v>0</v>
      </c>
      <c r="G21" s="69">
        <v>0</v>
      </c>
      <c r="H21" s="69">
        <v>0</v>
      </c>
      <c r="I21" s="69">
        <v>0</v>
      </c>
      <c r="J21" s="70"/>
    </row>
    <row r="22" spans="1:10" s="81" customFormat="1" ht="12" thickBot="1" x14ac:dyDescent="0.3">
      <c r="A22" s="68">
        <v>58</v>
      </c>
      <c r="B22" s="68" t="s">
        <v>392</v>
      </c>
      <c r="C22" s="69">
        <v>0</v>
      </c>
      <c r="D22" s="74">
        <v>31020</v>
      </c>
      <c r="E22" s="74">
        <v>33951.760000000002</v>
      </c>
      <c r="F22" s="72">
        <v>11748.84</v>
      </c>
      <c r="G22" s="69">
        <v>12042.561</v>
      </c>
      <c r="H22" s="69">
        <v>12343.625024999999</v>
      </c>
      <c r="I22" s="69">
        <v>12652.215650624998</v>
      </c>
      <c r="J22" s="70"/>
    </row>
    <row r="23" spans="1:10" s="81" customFormat="1" ht="12" thickBot="1" x14ac:dyDescent="0.3">
      <c r="A23" s="139" t="s">
        <v>393</v>
      </c>
      <c r="B23" s="139"/>
      <c r="C23" s="75">
        <v>79571.740000000005</v>
      </c>
      <c r="D23" s="75">
        <v>65343.44</v>
      </c>
      <c r="E23" s="75">
        <v>6449.5600000000049</v>
      </c>
      <c r="F23" s="75">
        <v>2866745.8</v>
      </c>
      <c r="G23" s="75">
        <v>2938414.4449999989</v>
      </c>
      <c r="H23" s="75">
        <v>3011874.8061249992</v>
      </c>
      <c r="I23" s="75">
        <v>3087171.6762781241</v>
      </c>
      <c r="J23" s="76"/>
    </row>
    <row r="24" spans="1:10" s="81" customFormat="1" ht="12" thickBot="1" x14ac:dyDescent="0.3">
      <c r="A24" s="136" t="s">
        <v>394</v>
      </c>
      <c r="B24" s="136"/>
      <c r="C24" s="93">
        <v>9554625.4199999999</v>
      </c>
      <c r="D24" s="93">
        <v>7425936.0899999999</v>
      </c>
      <c r="E24" s="93">
        <v>10247253.620000001</v>
      </c>
      <c r="F24" s="93">
        <v>7130371.3399999999</v>
      </c>
      <c r="G24" s="93">
        <v>7308630.6234999988</v>
      </c>
      <c r="H24" s="93">
        <v>7491346.3890874982</v>
      </c>
      <c r="I24" s="93">
        <v>7678630.0488146851</v>
      </c>
      <c r="J24" s="94"/>
    </row>
    <row r="25" spans="1:10" s="81" customFormat="1" ht="12" thickBot="1" x14ac:dyDescent="0.3">
      <c r="A25" s="68">
        <v>24</v>
      </c>
      <c r="B25" s="68" t="s">
        <v>395</v>
      </c>
      <c r="C25" s="69">
        <v>0</v>
      </c>
      <c r="D25" s="69">
        <v>0</v>
      </c>
      <c r="E25" s="69">
        <v>123176.55</v>
      </c>
      <c r="F25" s="69">
        <v>0</v>
      </c>
      <c r="G25" s="69">
        <v>0</v>
      </c>
      <c r="H25" s="69">
        <v>0</v>
      </c>
      <c r="I25" s="69">
        <v>0</v>
      </c>
      <c r="J25" s="70"/>
    </row>
    <row r="26" spans="1:10" s="81" customFormat="1" ht="12" thickBot="1" x14ac:dyDescent="0.3">
      <c r="A26" s="68">
        <v>28</v>
      </c>
      <c r="B26" s="68" t="s">
        <v>396</v>
      </c>
      <c r="C26" s="72">
        <v>9554625.4199999999</v>
      </c>
      <c r="D26" s="72">
        <v>7425936.0899999999</v>
      </c>
      <c r="E26" s="72">
        <v>10124077.07</v>
      </c>
      <c r="F26" s="72">
        <v>7130371.3399999999</v>
      </c>
      <c r="G26" s="69">
        <v>7308630.6234999988</v>
      </c>
      <c r="H26" s="69">
        <v>7491346.3890874982</v>
      </c>
      <c r="I26" s="69">
        <v>7678630.0488146851</v>
      </c>
      <c r="J26" s="70"/>
    </row>
    <row r="27" spans="1:10" s="81" customFormat="1" ht="12" thickBot="1" x14ac:dyDescent="0.3">
      <c r="A27" s="136" t="s">
        <v>397</v>
      </c>
      <c r="B27" s="136"/>
      <c r="C27" s="93">
        <v>10304224.66</v>
      </c>
      <c r="D27" s="93">
        <v>8052389.3199999994</v>
      </c>
      <c r="E27" s="93">
        <v>8101471.6000000006</v>
      </c>
      <c r="F27" s="93">
        <v>8659738.5500000007</v>
      </c>
      <c r="G27" s="93">
        <v>8876232.0137499981</v>
      </c>
      <c r="H27" s="93">
        <v>9098137.8140937481</v>
      </c>
      <c r="I27" s="93">
        <v>9325591.2594460901</v>
      </c>
      <c r="J27" s="94"/>
    </row>
    <row r="28" spans="1:10" s="81" customFormat="1" ht="12" thickBot="1" x14ac:dyDescent="0.3">
      <c r="A28" s="68">
        <v>71</v>
      </c>
      <c r="B28" s="68" t="s">
        <v>398</v>
      </c>
      <c r="C28" s="69">
        <v>5091090.540000001</v>
      </c>
      <c r="D28" s="69">
        <v>4889679.8899999997</v>
      </c>
      <c r="E28" s="69">
        <v>4409021.9700000007</v>
      </c>
      <c r="F28" s="69">
        <v>2602354.8499999996</v>
      </c>
      <c r="G28" s="69">
        <v>2667413.7212499999</v>
      </c>
      <c r="H28" s="69">
        <v>2734099.0642812494</v>
      </c>
      <c r="I28" s="69">
        <v>2802451.5408882806</v>
      </c>
      <c r="J28" s="70"/>
    </row>
    <row r="29" spans="1:10" s="81" customFormat="1" ht="12" thickBot="1" x14ac:dyDescent="0.3">
      <c r="A29" s="70">
        <v>7101</v>
      </c>
      <c r="B29" s="70" t="s">
        <v>399</v>
      </c>
      <c r="C29" s="71">
        <v>2528288.61</v>
      </c>
      <c r="D29" s="71">
        <v>2341830.5299999998</v>
      </c>
      <c r="E29" s="8">
        <v>2359670.2000000002</v>
      </c>
      <c r="F29" s="71">
        <v>566108.21</v>
      </c>
      <c r="G29" s="71">
        <v>580260.91524999996</v>
      </c>
      <c r="H29" s="71">
        <v>594767.43813124986</v>
      </c>
      <c r="I29" s="71">
        <v>609636.6240845311</v>
      </c>
      <c r="J29" s="70"/>
    </row>
    <row r="30" spans="1:10" s="81" customFormat="1" ht="12" thickBot="1" x14ac:dyDescent="0.3">
      <c r="A30" s="70">
        <v>7102</v>
      </c>
      <c r="B30" s="70" t="s">
        <v>400</v>
      </c>
      <c r="C30" s="71">
        <v>438633.66</v>
      </c>
      <c r="D30" s="8">
        <v>460752.72000000009</v>
      </c>
      <c r="E30" s="8">
        <v>372884.27999999997</v>
      </c>
      <c r="F30" s="71">
        <v>402354.38999999996</v>
      </c>
      <c r="G30" s="71">
        <v>412413.2497499999</v>
      </c>
      <c r="H30" s="71">
        <v>422723.58099374984</v>
      </c>
      <c r="I30" s="71">
        <v>433291.67051859357</v>
      </c>
      <c r="J30" s="70"/>
    </row>
    <row r="31" spans="1:10" s="81" customFormat="1" ht="12" thickBot="1" x14ac:dyDescent="0.3">
      <c r="A31" s="70">
        <v>7103</v>
      </c>
      <c r="B31" s="70" t="s">
        <v>401</v>
      </c>
      <c r="C31" s="71">
        <v>243945</v>
      </c>
      <c r="D31" s="8">
        <v>271586.90000000002</v>
      </c>
      <c r="E31" s="8">
        <v>285985.5</v>
      </c>
      <c r="F31" s="71">
        <v>258505.52</v>
      </c>
      <c r="G31" s="71">
        <v>264968.15799999994</v>
      </c>
      <c r="H31" s="71">
        <v>271592.36194999993</v>
      </c>
      <c r="I31" s="71">
        <v>278382.17099874991</v>
      </c>
      <c r="J31" s="70"/>
    </row>
    <row r="32" spans="1:10" s="81" customFormat="1" ht="12" thickBot="1" x14ac:dyDescent="0.3">
      <c r="A32" s="70">
        <v>7104</v>
      </c>
      <c r="B32" s="70" t="s">
        <v>402</v>
      </c>
      <c r="C32" s="71">
        <v>19844.89</v>
      </c>
      <c r="D32" s="8">
        <v>25809.61</v>
      </c>
      <c r="E32" s="8">
        <v>55790.16</v>
      </c>
      <c r="F32" s="71">
        <v>43818.869999999995</v>
      </c>
      <c r="G32" s="71">
        <v>44914.341749999992</v>
      </c>
      <c r="H32" s="71">
        <v>46037.200293749986</v>
      </c>
      <c r="I32" s="71">
        <v>47188.130301093734</v>
      </c>
      <c r="J32" s="70"/>
    </row>
    <row r="33" spans="1:10" s="81" customFormat="1" ht="12" thickBot="1" x14ac:dyDescent="0.3">
      <c r="A33" s="70">
        <v>7105</v>
      </c>
      <c r="B33" s="70" t="s">
        <v>403</v>
      </c>
      <c r="C33" s="71">
        <v>1128964.9800000002</v>
      </c>
      <c r="D33" s="71">
        <v>1071893.08</v>
      </c>
      <c r="E33" s="8">
        <v>655757.03999999992</v>
      </c>
      <c r="F33" s="71">
        <v>667919.63</v>
      </c>
      <c r="G33" s="71">
        <v>684617.62075</v>
      </c>
      <c r="H33" s="71">
        <v>701733.06126875</v>
      </c>
      <c r="I33" s="71">
        <v>719276.38780046871</v>
      </c>
      <c r="J33" s="70"/>
    </row>
    <row r="34" spans="1:10" s="81" customFormat="1" ht="12" thickBot="1" x14ac:dyDescent="0.3">
      <c r="A34" s="70">
        <v>7106</v>
      </c>
      <c r="B34" s="70" t="s">
        <v>404</v>
      </c>
      <c r="C34" s="71">
        <v>672985.12</v>
      </c>
      <c r="D34" s="71">
        <v>633374.64</v>
      </c>
      <c r="E34" s="8">
        <v>591846.6399999999</v>
      </c>
      <c r="F34" s="71">
        <v>615279.94000000006</v>
      </c>
      <c r="G34" s="71">
        <v>630661.93850000005</v>
      </c>
      <c r="H34" s="71">
        <v>646428.48696250003</v>
      </c>
      <c r="I34" s="71">
        <v>662589.19913656253</v>
      </c>
      <c r="J34" s="70"/>
    </row>
    <row r="35" spans="1:10" s="81" customFormat="1" ht="12" thickBot="1" x14ac:dyDescent="0.3">
      <c r="A35" s="70">
        <v>7107</v>
      </c>
      <c r="B35" s="70" t="s">
        <v>405</v>
      </c>
      <c r="C35" s="71">
        <v>58428.28</v>
      </c>
      <c r="D35" s="71">
        <v>84432.41</v>
      </c>
      <c r="E35" s="8">
        <v>87088.15</v>
      </c>
      <c r="F35" s="71">
        <v>48368.29</v>
      </c>
      <c r="G35" s="71">
        <v>49577.497249999993</v>
      </c>
      <c r="H35" s="71">
        <v>50816.934681249986</v>
      </c>
      <c r="I35" s="71">
        <v>52087.358048281232</v>
      </c>
      <c r="J35" s="70"/>
    </row>
    <row r="36" spans="1:10" s="81" customFormat="1" ht="12" thickBot="1" x14ac:dyDescent="0.3">
      <c r="A36" s="68">
        <v>73</v>
      </c>
      <c r="B36" s="68" t="s">
        <v>406</v>
      </c>
      <c r="C36" s="72">
        <v>2866827.7099999995</v>
      </c>
      <c r="D36" s="72">
        <v>2116076.2600000002</v>
      </c>
      <c r="E36" s="72">
        <v>3164798.3</v>
      </c>
      <c r="F36" s="72">
        <v>5609480.2400000002</v>
      </c>
      <c r="G36" s="69">
        <v>5749717.2459999993</v>
      </c>
      <c r="H36" s="69">
        <v>5893460.177149999</v>
      </c>
      <c r="I36" s="69">
        <v>6040796.6815787489</v>
      </c>
      <c r="J36" s="70"/>
    </row>
    <row r="37" spans="1:10" s="81" customFormat="1" ht="12" thickBot="1" x14ac:dyDescent="0.3">
      <c r="A37" s="68">
        <v>75</v>
      </c>
      <c r="B37" s="68" t="s">
        <v>407</v>
      </c>
      <c r="C37" s="72">
        <v>1882731.6500000001</v>
      </c>
      <c r="D37" s="72">
        <v>645409.84</v>
      </c>
      <c r="E37" s="72">
        <v>216577.61000000002</v>
      </c>
      <c r="F37" s="69">
        <v>159572.84</v>
      </c>
      <c r="G37" s="69">
        <v>163562.16099999999</v>
      </c>
      <c r="H37" s="69">
        <v>167651.21502499998</v>
      </c>
      <c r="I37" s="69">
        <v>171842.49540062496</v>
      </c>
      <c r="J37" s="70"/>
    </row>
    <row r="38" spans="1:10" s="81" customFormat="1" ht="12" thickBot="1" x14ac:dyDescent="0.3">
      <c r="A38" s="68">
        <v>77</v>
      </c>
      <c r="B38" s="68" t="s">
        <v>408</v>
      </c>
      <c r="C38" s="69">
        <v>341040.13999999996</v>
      </c>
      <c r="D38" s="72">
        <v>262664.43999999994</v>
      </c>
      <c r="E38" s="72">
        <v>280514.59999999998</v>
      </c>
      <c r="F38" s="69">
        <v>236140.96000000002</v>
      </c>
      <c r="G38" s="69">
        <v>242044.484</v>
      </c>
      <c r="H38" s="69">
        <v>248095.59609999997</v>
      </c>
      <c r="I38" s="69">
        <v>254297.98600249994</v>
      </c>
      <c r="J38" s="70"/>
    </row>
    <row r="39" spans="1:10" s="81" customFormat="1" ht="12" thickBot="1" x14ac:dyDescent="0.3">
      <c r="A39" s="68">
        <v>78</v>
      </c>
      <c r="B39" s="68" t="s">
        <v>409</v>
      </c>
      <c r="C39" s="69">
        <v>0</v>
      </c>
      <c r="D39" s="69">
        <v>0</v>
      </c>
      <c r="E39" s="69">
        <v>0</v>
      </c>
      <c r="F39" s="69">
        <v>0</v>
      </c>
      <c r="G39" s="69">
        <v>0</v>
      </c>
      <c r="H39" s="69">
        <v>0</v>
      </c>
      <c r="I39" s="69">
        <v>0</v>
      </c>
      <c r="J39" s="70"/>
    </row>
    <row r="40" spans="1:10" s="81" customFormat="1" ht="12" thickBot="1" x14ac:dyDescent="0.3">
      <c r="A40" s="68">
        <v>84</v>
      </c>
      <c r="B40" s="68" t="s">
        <v>410</v>
      </c>
      <c r="C40" s="69">
        <v>122534.62</v>
      </c>
      <c r="D40" s="69">
        <v>138558.89000000001</v>
      </c>
      <c r="E40" s="72">
        <v>30559.119999999999</v>
      </c>
      <c r="F40" s="69">
        <v>52189.66</v>
      </c>
      <c r="G40" s="69">
        <v>53494.4015</v>
      </c>
      <c r="H40" s="69">
        <v>54831.761537499995</v>
      </c>
      <c r="I40" s="69">
        <v>56202.555575937491</v>
      </c>
      <c r="J40" s="70"/>
    </row>
    <row r="41" spans="1:10" s="81" customFormat="1" ht="12" thickBot="1" x14ac:dyDescent="0.3">
      <c r="A41" s="68">
        <v>88</v>
      </c>
      <c r="B41" s="68" t="s">
        <v>411</v>
      </c>
      <c r="C41" s="69">
        <v>0</v>
      </c>
      <c r="D41" s="69">
        <v>0</v>
      </c>
      <c r="E41" s="69">
        <v>0</v>
      </c>
      <c r="F41" s="69">
        <v>0</v>
      </c>
      <c r="G41" s="69">
        <v>0</v>
      </c>
      <c r="H41" s="69">
        <v>0</v>
      </c>
      <c r="I41" s="69">
        <v>0</v>
      </c>
      <c r="J41" s="70"/>
    </row>
    <row r="42" spans="1:10" s="81" customFormat="1" ht="12" thickBot="1" x14ac:dyDescent="0.3">
      <c r="A42" s="139" t="s">
        <v>412</v>
      </c>
      <c r="B42" s="139"/>
      <c r="C42" s="77">
        <v>-749599.24000000022</v>
      </c>
      <c r="D42" s="77">
        <v>-626453.22999999952</v>
      </c>
      <c r="E42" s="77">
        <v>2145782.0200000005</v>
      </c>
      <c r="F42" s="77">
        <v>-1529367.2100000009</v>
      </c>
      <c r="G42" s="77">
        <v>-1567601.3902499992</v>
      </c>
      <c r="H42" s="77">
        <v>-1606791.4250062499</v>
      </c>
      <c r="I42" s="77">
        <v>-1646961.210631405</v>
      </c>
      <c r="J42" s="78"/>
    </row>
    <row r="43" spans="1:10" s="81" customFormat="1" ht="12" thickBot="1" x14ac:dyDescent="0.3">
      <c r="A43" s="135" t="s">
        <v>413</v>
      </c>
      <c r="B43" s="135"/>
      <c r="C43" s="95">
        <v>-670027.50000000023</v>
      </c>
      <c r="D43" s="95">
        <v>-561109.78999999957</v>
      </c>
      <c r="E43" s="95">
        <v>2152231.5800000005</v>
      </c>
      <c r="F43" s="95">
        <v>1337378.5899999989</v>
      </c>
      <c r="G43" s="95">
        <v>1370813.0547499997</v>
      </c>
      <c r="H43" s="95">
        <v>1405083.3811187493</v>
      </c>
      <c r="I43" s="95">
        <v>1440210.4656467191</v>
      </c>
      <c r="J43" s="96"/>
    </row>
    <row r="44" spans="1:10" s="81" customFormat="1" ht="12" thickBot="1" x14ac:dyDescent="0.3">
      <c r="A44" s="136" t="s">
        <v>414</v>
      </c>
      <c r="B44" s="136"/>
      <c r="C44" s="93">
        <v>3598899.7399999998</v>
      </c>
      <c r="D44" s="93">
        <v>2548941.7199999997</v>
      </c>
      <c r="E44" s="93">
        <v>1640068.72</v>
      </c>
      <c r="F44" s="93">
        <v>3321633.52</v>
      </c>
      <c r="G44" s="93">
        <v>3404674.358</v>
      </c>
      <c r="H44" s="93">
        <v>3489791.2169499993</v>
      </c>
      <c r="I44" s="93">
        <v>3577035.997373749</v>
      </c>
      <c r="J44" s="94"/>
    </row>
    <row r="45" spans="1:10" s="81" customFormat="1" ht="12" thickBot="1" x14ac:dyDescent="0.3">
      <c r="A45" s="68">
        <v>36</v>
      </c>
      <c r="B45" s="68" t="s">
        <v>415</v>
      </c>
      <c r="C45" s="69">
        <v>0</v>
      </c>
      <c r="D45" s="69">
        <v>0</v>
      </c>
      <c r="E45" s="69">
        <v>0</v>
      </c>
      <c r="F45" s="69">
        <v>0</v>
      </c>
      <c r="G45" s="69">
        <v>0</v>
      </c>
      <c r="H45" s="69">
        <v>0</v>
      </c>
      <c r="I45" s="69">
        <v>0</v>
      </c>
      <c r="J45" s="70"/>
    </row>
    <row r="46" spans="1:10" s="81" customFormat="1" ht="12" thickBot="1" x14ac:dyDescent="0.3">
      <c r="A46" s="68">
        <v>37</v>
      </c>
      <c r="B46" s="68" t="s">
        <v>416</v>
      </c>
      <c r="C46" s="72">
        <v>3061288.38</v>
      </c>
      <c r="D46" s="69">
        <v>2487823.21</v>
      </c>
      <c r="E46" s="69">
        <v>656168.35</v>
      </c>
      <c r="F46" s="72">
        <v>2065394.22</v>
      </c>
      <c r="G46" s="69">
        <v>2117029.0754999998</v>
      </c>
      <c r="H46" s="69">
        <v>2169954.8023874997</v>
      </c>
      <c r="I46" s="69">
        <v>2224203.6724471869</v>
      </c>
      <c r="J46" s="70"/>
    </row>
    <row r="47" spans="1:10" s="81" customFormat="1" ht="12" thickBot="1" x14ac:dyDescent="0.3">
      <c r="A47" s="68">
        <v>38</v>
      </c>
      <c r="B47" s="68" t="s">
        <v>417</v>
      </c>
      <c r="C47" s="69">
        <v>537611.36</v>
      </c>
      <c r="D47" s="69">
        <v>61118.51</v>
      </c>
      <c r="E47" s="69">
        <v>983900.37</v>
      </c>
      <c r="F47" s="72">
        <v>1256239.3</v>
      </c>
      <c r="G47" s="69">
        <v>1287645.2825</v>
      </c>
      <c r="H47" s="69">
        <v>1319836.4145624998</v>
      </c>
      <c r="I47" s="69">
        <v>1352832.3249265621</v>
      </c>
      <c r="J47" s="70"/>
    </row>
    <row r="48" spans="1:10" s="81" customFormat="1" ht="12" thickBot="1" x14ac:dyDescent="0.3">
      <c r="A48" s="136" t="s">
        <v>418</v>
      </c>
      <c r="B48" s="136"/>
      <c r="C48" s="93">
        <v>172023.08</v>
      </c>
      <c r="D48" s="93">
        <v>0</v>
      </c>
      <c r="E48" s="93">
        <v>0</v>
      </c>
      <c r="F48" s="93">
        <v>0</v>
      </c>
      <c r="G48" s="93">
        <v>0</v>
      </c>
      <c r="H48" s="93">
        <v>0</v>
      </c>
      <c r="I48" s="93">
        <v>0</v>
      </c>
      <c r="J48" s="94"/>
    </row>
    <row r="49" spans="1:10" s="81" customFormat="1" ht="12" thickBot="1" x14ac:dyDescent="0.3">
      <c r="A49" s="68">
        <v>96</v>
      </c>
      <c r="B49" s="68" t="s">
        <v>419</v>
      </c>
      <c r="C49" s="69">
        <v>0</v>
      </c>
      <c r="D49" s="69">
        <v>0</v>
      </c>
      <c r="E49" s="69">
        <v>0</v>
      </c>
      <c r="F49" s="69">
        <v>0</v>
      </c>
      <c r="G49" s="69">
        <v>0</v>
      </c>
      <c r="H49" s="69">
        <v>0</v>
      </c>
      <c r="I49" s="69">
        <v>0</v>
      </c>
      <c r="J49" s="70"/>
    </row>
    <row r="50" spans="1:10" s="81" customFormat="1" ht="12" thickBot="1" x14ac:dyDescent="0.3">
      <c r="A50" s="68">
        <v>97</v>
      </c>
      <c r="B50" s="68" t="s">
        <v>420</v>
      </c>
      <c r="C50" s="69">
        <v>172023.08</v>
      </c>
      <c r="D50" s="69">
        <v>0</v>
      </c>
      <c r="E50" s="69">
        <v>0</v>
      </c>
      <c r="F50" s="69">
        <v>0</v>
      </c>
      <c r="G50" s="69">
        <v>0</v>
      </c>
      <c r="H50" s="69">
        <v>0</v>
      </c>
      <c r="I50" s="69">
        <v>0</v>
      </c>
      <c r="J50" s="70"/>
    </row>
    <row r="51" spans="1:10" s="81" customFormat="1" ht="12" thickBot="1" x14ac:dyDescent="0.3">
      <c r="A51" s="135" t="s">
        <v>421</v>
      </c>
      <c r="B51" s="135"/>
      <c r="C51" s="95">
        <v>3426876.6599999997</v>
      </c>
      <c r="D51" s="95">
        <v>2548941.7199999997</v>
      </c>
      <c r="E51" s="95">
        <v>1640068.72</v>
      </c>
      <c r="F51" s="95">
        <v>3321633.52</v>
      </c>
      <c r="G51" s="95">
        <v>3404674.358</v>
      </c>
      <c r="H51" s="95">
        <v>3489791.2169499993</v>
      </c>
      <c r="I51" s="95">
        <v>3577035.997373749</v>
      </c>
      <c r="J51" s="96"/>
    </row>
    <row r="52" spans="1:10" s="81" customFormat="1" ht="12" thickBot="1" x14ac:dyDescent="0.3">
      <c r="A52" s="137" t="s">
        <v>422</v>
      </c>
      <c r="B52" s="137"/>
      <c r="C52" s="97">
        <v>2756849.16</v>
      </c>
      <c r="D52" s="97">
        <v>1987831.9300000006</v>
      </c>
      <c r="E52" s="97">
        <v>3792300.3000000017</v>
      </c>
      <c r="F52" s="97">
        <v>4659012.1099999994</v>
      </c>
      <c r="G52" s="97">
        <v>4775487.4127499983</v>
      </c>
      <c r="H52" s="97">
        <v>4894874.5980687477</v>
      </c>
      <c r="I52" s="97">
        <v>5017246.4630204681</v>
      </c>
      <c r="J52" s="98"/>
    </row>
    <row r="53" spans="1:10" ht="15.75" thickBot="1" x14ac:dyDescent="0.3">
      <c r="A53" s="138"/>
      <c r="B53" s="138"/>
      <c r="C53" s="138"/>
      <c r="D53" s="138"/>
      <c r="E53" s="138"/>
      <c r="F53" s="138"/>
      <c r="G53" s="138"/>
      <c r="H53" s="138"/>
      <c r="I53" s="138"/>
      <c r="J53" s="138"/>
    </row>
    <row r="54" spans="1:10" s="80" customFormat="1" ht="13.5" thickBot="1" x14ac:dyDescent="0.3">
      <c r="A54" s="133" t="s">
        <v>423</v>
      </c>
      <c r="B54" s="133"/>
      <c r="C54" s="99">
        <v>2014</v>
      </c>
      <c r="D54" s="99">
        <v>2015</v>
      </c>
      <c r="E54" s="99">
        <v>2016</v>
      </c>
      <c r="F54" s="99">
        <v>2017</v>
      </c>
      <c r="G54" s="99">
        <v>2018</v>
      </c>
      <c r="H54" s="99">
        <v>2019</v>
      </c>
      <c r="I54" s="99">
        <v>2020</v>
      </c>
      <c r="J54" s="84"/>
    </row>
    <row r="55" spans="1:10" s="81" customFormat="1" ht="12" thickBot="1" x14ac:dyDescent="0.3">
      <c r="A55" s="134" t="s">
        <v>424</v>
      </c>
      <c r="B55" s="134"/>
      <c r="C55" s="85">
        <v>0.16577760071499303</v>
      </c>
      <c r="D55" s="85">
        <v>9.3758031993708704E-2</v>
      </c>
      <c r="E55" s="85">
        <v>5.8496421537248794E-2</v>
      </c>
      <c r="F55" s="85">
        <v>0.24219340980725174</v>
      </c>
      <c r="G55" s="85">
        <v>0.23628625347048957</v>
      </c>
      <c r="H55" s="85">
        <v>0.2305231741175508</v>
      </c>
      <c r="I55" s="85">
        <v>0.22490065767565931</v>
      </c>
      <c r="J55" s="86"/>
    </row>
    <row r="56" spans="1:10" s="81" customFormat="1" ht="12" thickBot="1" x14ac:dyDescent="0.3">
      <c r="A56" s="134" t="s">
        <v>425</v>
      </c>
      <c r="B56" s="134"/>
      <c r="C56" s="85">
        <v>0</v>
      </c>
      <c r="D56" s="85">
        <v>0</v>
      </c>
      <c r="E56" s="85">
        <v>0</v>
      </c>
      <c r="F56" s="85">
        <v>0</v>
      </c>
      <c r="G56" s="85">
        <v>0</v>
      </c>
      <c r="H56" s="85">
        <v>0</v>
      </c>
      <c r="I56" s="85">
        <v>0</v>
      </c>
      <c r="J56" s="86"/>
    </row>
    <row r="57" spans="1:10" x14ac:dyDescent="0.25">
      <c r="A57" s="131"/>
      <c r="B57" s="131"/>
      <c r="C57" s="131"/>
      <c r="D57" s="131"/>
      <c r="E57" s="131"/>
      <c r="F57" s="131"/>
      <c r="G57" s="131"/>
      <c r="H57" s="131"/>
      <c r="I57" s="131"/>
      <c r="J57" s="131"/>
    </row>
    <row r="58" spans="1:10" s="80" customFormat="1" ht="12.75" x14ac:dyDescent="0.25">
      <c r="A58" s="132" t="s">
        <v>429</v>
      </c>
      <c r="B58" s="132"/>
      <c r="C58" s="132"/>
      <c r="D58" s="132"/>
      <c r="E58" s="132"/>
      <c r="F58" s="132"/>
      <c r="G58" s="132"/>
      <c r="H58" s="132"/>
      <c r="I58" s="132"/>
      <c r="J58" s="132"/>
    </row>
    <row r="59" spans="1:10" s="80" customFormat="1" ht="12.75" x14ac:dyDescent="0.25">
      <c r="A59" s="132"/>
      <c r="B59" s="132"/>
      <c r="C59" s="132"/>
      <c r="D59" s="132"/>
      <c r="E59" s="132"/>
      <c r="F59" s="132"/>
      <c r="G59" s="132"/>
      <c r="H59" s="132"/>
      <c r="I59" s="132"/>
      <c r="J59" s="132"/>
    </row>
    <row r="60" spans="1:10" s="80" customFormat="1" ht="12.75" x14ac:dyDescent="0.25">
      <c r="A60" s="132"/>
      <c r="B60" s="132"/>
      <c r="C60" s="132"/>
      <c r="D60" s="132"/>
      <c r="E60" s="132"/>
      <c r="F60" s="132"/>
      <c r="G60" s="132"/>
      <c r="H60" s="132"/>
      <c r="I60" s="132"/>
      <c r="J60" s="132"/>
    </row>
    <row r="61" spans="1:10" s="80" customFormat="1" ht="12.75" x14ac:dyDescent="0.25">
      <c r="A61" s="132"/>
      <c r="B61" s="132"/>
      <c r="C61" s="132"/>
      <c r="D61" s="132"/>
      <c r="E61" s="132"/>
      <c r="F61" s="132"/>
      <c r="G61" s="132"/>
      <c r="H61" s="132"/>
      <c r="I61" s="132"/>
      <c r="J61" s="132"/>
    </row>
    <row r="62" spans="1:10" s="80" customFormat="1" ht="12.75" x14ac:dyDescent="0.25">
      <c r="A62" s="132"/>
      <c r="B62" s="132"/>
      <c r="C62" s="132"/>
      <c r="D62" s="132"/>
      <c r="E62" s="132"/>
      <c r="F62" s="132"/>
      <c r="G62" s="132"/>
      <c r="H62" s="132"/>
      <c r="I62" s="132"/>
      <c r="J62" s="132"/>
    </row>
    <row r="63" spans="1:10" s="87" customFormat="1" ht="12.75" x14ac:dyDescent="0.25">
      <c r="A63" s="129"/>
      <c r="B63" s="129"/>
      <c r="C63" s="129"/>
      <c r="D63" s="129"/>
      <c r="E63" s="129"/>
      <c r="F63" s="129"/>
      <c r="G63" s="129"/>
      <c r="H63" s="129"/>
      <c r="I63" s="129"/>
      <c r="J63" s="129"/>
    </row>
    <row r="64" spans="1:10" s="87" customFormat="1" ht="12.75" x14ac:dyDescent="0.25">
      <c r="A64" s="128" t="s">
        <v>430</v>
      </c>
      <c r="B64" s="128"/>
      <c r="C64" s="128"/>
      <c r="D64" s="128"/>
      <c r="E64" s="88"/>
      <c r="F64" s="128" t="s">
        <v>15</v>
      </c>
      <c r="G64" s="128"/>
      <c r="H64" s="128"/>
      <c r="I64" s="128"/>
      <c r="J64" s="128"/>
    </row>
    <row r="65" spans="1:10" s="87" customFormat="1" ht="12.75" x14ac:dyDescent="0.25">
      <c r="A65" s="128" t="s">
        <v>426</v>
      </c>
      <c r="B65" s="128"/>
      <c r="C65" s="128"/>
      <c r="D65" s="128"/>
      <c r="E65" s="88"/>
      <c r="F65" s="128" t="s">
        <v>427</v>
      </c>
      <c r="G65" s="128"/>
      <c r="H65" s="128"/>
      <c r="I65" s="128"/>
      <c r="J65" s="128"/>
    </row>
    <row r="66" spans="1:10" s="87" customFormat="1" ht="12.75" x14ac:dyDescent="0.25">
      <c r="A66" s="128" t="s">
        <v>428</v>
      </c>
      <c r="B66" s="128"/>
      <c r="C66" s="128"/>
      <c r="D66" s="128"/>
      <c r="E66" s="88"/>
      <c r="F66" s="128" t="s">
        <v>14</v>
      </c>
      <c r="G66" s="128"/>
      <c r="H66" s="128"/>
      <c r="I66" s="128"/>
      <c r="J66" s="128"/>
    </row>
    <row r="67" spans="1:10" s="87" customFormat="1" ht="12.75" x14ac:dyDescent="0.25">
      <c r="A67" s="129"/>
      <c r="B67" s="129"/>
      <c r="C67" s="129"/>
      <c r="D67" s="129"/>
      <c r="E67" s="129"/>
      <c r="F67" s="129"/>
      <c r="G67" s="129"/>
      <c r="H67" s="129"/>
      <c r="I67" s="129"/>
      <c r="J67" s="129"/>
    </row>
    <row r="68" spans="1:10" s="87" customFormat="1" ht="12.75" x14ac:dyDescent="0.25">
      <c r="A68" s="129" t="s">
        <v>444</v>
      </c>
      <c r="B68" s="129"/>
      <c r="C68" s="129"/>
      <c r="D68" s="129"/>
      <c r="E68" s="129"/>
      <c r="F68" s="129"/>
      <c r="G68" s="129"/>
      <c r="H68" s="129"/>
      <c r="I68" s="129"/>
      <c r="J68" s="129"/>
    </row>
  </sheetData>
  <mergeCells count="39">
    <mergeCell ref="A42:B42"/>
    <mergeCell ref="A2:J2"/>
    <mergeCell ref="A3:J3"/>
    <mergeCell ref="A5:J5"/>
    <mergeCell ref="A6:J6"/>
    <mergeCell ref="A7:B7"/>
    <mergeCell ref="C7:F7"/>
    <mergeCell ref="G7:I7"/>
    <mergeCell ref="A9:B9"/>
    <mergeCell ref="A19:B19"/>
    <mergeCell ref="A23:B23"/>
    <mergeCell ref="A24:B24"/>
    <mergeCell ref="A27:B27"/>
    <mergeCell ref="A64:D64"/>
    <mergeCell ref="F64:J64"/>
    <mergeCell ref="A65:D65"/>
    <mergeCell ref="F65:J65"/>
    <mergeCell ref="A43:B43"/>
    <mergeCell ref="A44:B44"/>
    <mergeCell ref="A48:B48"/>
    <mergeCell ref="A51:B51"/>
    <mergeCell ref="A52:B52"/>
    <mergeCell ref="A53:J53"/>
    <mergeCell ref="A66:D66"/>
    <mergeCell ref="F66:J66"/>
    <mergeCell ref="A67:J67"/>
    <mergeCell ref="A68:J68"/>
    <mergeCell ref="A1:J1"/>
    <mergeCell ref="A4:J4"/>
    <mergeCell ref="A57:J57"/>
    <mergeCell ref="A59:J59"/>
    <mergeCell ref="A60:J60"/>
    <mergeCell ref="A61:J61"/>
    <mergeCell ref="A62:J62"/>
    <mergeCell ref="A63:J63"/>
    <mergeCell ref="A54:B54"/>
    <mergeCell ref="A55:B55"/>
    <mergeCell ref="A56:B56"/>
    <mergeCell ref="A58:J58"/>
  </mergeCells>
  <pageMargins left="0.7" right="0.7" top="0.75" bottom="0.75" header="0.3" footer="0.3"/>
  <pageSetup scale="9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FORMULARIO 1</vt:lpstr>
      <vt:lpstr>FORMULARIO 2</vt:lpstr>
      <vt:lpstr>FORMULARIO 3-ACTULALIZ.2019</vt:lpstr>
      <vt:lpstr>FORMULARIO 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PC</dc:creator>
  <cp:lastModifiedBy>Usuario</cp:lastModifiedBy>
  <cp:lastPrinted>2019-01-24T21:03:31Z</cp:lastPrinted>
  <dcterms:created xsi:type="dcterms:W3CDTF">2018-09-28T15:20:16Z</dcterms:created>
  <dcterms:modified xsi:type="dcterms:W3CDTF">2019-01-24T21:06:58Z</dcterms:modified>
</cp:coreProperties>
</file>