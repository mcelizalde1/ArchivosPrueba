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75" windowWidth="18675" windowHeight="6945" activeTab="2"/>
  </bookViews>
  <sheets>
    <sheet name="FORMULARIO 1" sheetId="1" r:id="rId1"/>
    <sheet name="FORMULARIO 2" sheetId="2" r:id="rId2"/>
    <sheet name="FORMULARIO 3" sheetId="3" r:id="rId3"/>
    <sheet name="FORMULARIO 4" sheetId="4" r:id="rId4"/>
  </sheets>
  <calcPr calcId="145621"/>
</workbook>
</file>

<file path=xl/calcChain.xml><?xml version="1.0" encoding="utf-8"?>
<calcChain xmlns="http://schemas.openxmlformats.org/spreadsheetml/2006/main">
  <c r="J119" i="3" l="1"/>
  <c r="I119" i="3"/>
  <c r="G119" i="3"/>
  <c r="F119" i="3"/>
  <c r="G116" i="3"/>
  <c r="H116" i="3" s="1"/>
  <c r="H115" i="3"/>
  <c r="G115" i="3"/>
  <c r="G113" i="3"/>
  <c r="H113" i="3" s="1"/>
  <c r="H112" i="3"/>
  <c r="G112" i="3"/>
  <c r="G111" i="3"/>
  <c r="H111" i="3" s="1"/>
  <c r="H110" i="3"/>
  <c r="G110" i="3"/>
  <c r="G109" i="3"/>
  <c r="H109" i="3" s="1"/>
  <c r="H108" i="3"/>
  <c r="G108" i="3"/>
  <c r="G107" i="3"/>
  <c r="H107" i="3" s="1"/>
  <c r="H106" i="3"/>
  <c r="G106" i="3"/>
  <c r="G105" i="3"/>
  <c r="H105" i="3" s="1"/>
  <c r="H104" i="3"/>
  <c r="G104" i="3"/>
  <c r="G103" i="3"/>
  <c r="H103" i="3" s="1"/>
  <c r="H102" i="3"/>
  <c r="G102" i="3"/>
  <c r="G101" i="3"/>
  <c r="H101" i="3" s="1"/>
  <c r="H100" i="3"/>
  <c r="G100" i="3"/>
  <c r="G99" i="3"/>
  <c r="H99" i="3" s="1"/>
  <c r="H98" i="3"/>
  <c r="G98" i="3"/>
  <c r="G97" i="3"/>
  <c r="H97" i="3" s="1"/>
  <c r="H96" i="3"/>
  <c r="G96" i="3"/>
  <c r="G95" i="3"/>
  <c r="H95" i="3" s="1"/>
  <c r="H94" i="3"/>
  <c r="G94" i="3"/>
  <c r="G93" i="3"/>
  <c r="H93" i="3" s="1"/>
  <c r="H92" i="3"/>
  <c r="G92" i="3"/>
  <c r="G91" i="3"/>
  <c r="H91" i="3" s="1"/>
  <c r="H90" i="3"/>
  <c r="G90" i="3"/>
  <c r="G89" i="3"/>
  <c r="H89" i="3" s="1"/>
  <c r="H88" i="3"/>
  <c r="G88" i="3"/>
  <c r="G87" i="3"/>
  <c r="H87" i="3" s="1"/>
  <c r="H86" i="3"/>
  <c r="G86" i="3"/>
  <c r="G85" i="3"/>
  <c r="H85" i="3" s="1"/>
  <c r="H84" i="3"/>
  <c r="G84" i="3"/>
  <c r="G83" i="3"/>
  <c r="H83" i="3" s="1"/>
  <c r="H82" i="3"/>
  <c r="G82" i="3"/>
  <c r="G79" i="3"/>
  <c r="H79" i="3" s="1"/>
  <c r="H78" i="3"/>
  <c r="H119" i="3" s="1"/>
  <c r="F83" i="4" l="1"/>
  <c r="C83" i="4"/>
  <c r="I78" i="4"/>
  <c r="H78" i="4"/>
  <c r="G78" i="4"/>
  <c r="F78" i="4"/>
  <c r="E78" i="4"/>
  <c r="D78" i="4"/>
  <c r="I73" i="4"/>
  <c r="I83" i="4" s="1"/>
  <c r="H73" i="4"/>
  <c r="H83" i="4" s="1"/>
  <c r="G73" i="4"/>
  <c r="G83" i="4" s="1"/>
  <c r="F73" i="4"/>
  <c r="E73" i="4"/>
  <c r="E83" i="4" s="1"/>
  <c r="D73" i="4"/>
  <c r="D83" i="4" s="1"/>
  <c r="I69" i="4"/>
  <c r="H69" i="4"/>
  <c r="G69" i="4"/>
  <c r="F69" i="4"/>
  <c r="F46" i="4" s="1"/>
  <c r="E69" i="4"/>
  <c r="I68" i="4"/>
  <c r="H68" i="4"/>
  <c r="H46" i="4" s="1"/>
  <c r="H71" i="4" s="1"/>
  <c r="G68" i="4"/>
  <c r="G46" i="4" s="1"/>
  <c r="F68" i="4"/>
  <c r="E68" i="4"/>
  <c r="D68" i="4"/>
  <c r="D46" i="4" s="1"/>
  <c r="D71" i="4" s="1"/>
  <c r="I46" i="4"/>
  <c r="I71" i="4" s="1"/>
  <c r="E46" i="4"/>
  <c r="E71" i="4" s="1"/>
  <c r="I43" i="4"/>
  <c r="H43" i="4"/>
  <c r="G43" i="4"/>
  <c r="G71" i="4" s="1"/>
  <c r="F43" i="4"/>
  <c r="E43" i="4"/>
  <c r="I28" i="4"/>
  <c r="H28" i="4"/>
  <c r="H27" i="4" s="1"/>
  <c r="G28" i="4"/>
  <c r="G27" i="4" s="1"/>
  <c r="F28" i="4"/>
  <c r="E28" i="4"/>
  <c r="D28" i="4"/>
  <c r="D27" i="4" s="1"/>
  <c r="I27" i="4"/>
  <c r="F27" i="4"/>
  <c r="E27" i="4"/>
  <c r="C27" i="4"/>
  <c r="I23" i="4"/>
  <c r="H23" i="4"/>
  <c r="G23" i="4"/>
  <c r="F23" i="4"/>
  <c r="E23" i="4"/>
  <c r="I15" i="4"/>
  <c r="H15" i="4"/>
  <c r="G15" i="4"/>
  <c r="F15" i="4"/>
  <c r="E15" i="4"/>
  <c r="D15" i="4"/>
  <c r="I10" i="4"/>
  <c r="H10" i="4"/>
  <c r="H9" i="4" s="1"/>
  <c r="H42" i="4" s="1"/>
  <c r="H72" i="4" s="1"/>
  <c r="G10" i="4"/>
  <c r="G9" i="4" s="1"/>
  <c r="G42" i="4" s="1"/>
  <c r="G72" i="4" s="1"/>
  <c r="F10" i="4"/>
  <c r="E10" i="4"/>
  <c r="D10" i="4"/>
  <c r="D9" i="4" s="1"/>
  <c r="D42" i="4" s="1"/>
  <c r="D72" i="4" s="1"/>
  <c r="I9" i="4"/>
  <c r="I42" i="4" s="1"/>
  <c r="I72" i="4" s="1"/>
  <c r="F9" i="4"/>
  <c r="F42" i="4" s="1"/>
  <c r="E9" i="4"/>
  <c r="E42" i="4" s="1"/>
  <c r="E72" i="4" s="1"/>
  <c r="C9" i="4"/>
  <c r="C42" i="4" s="1"/>
  <c r="C72" i="4" s="1"/>
  <c r="J51" i="3"/>
  <c r="I51" i="3"/>
  <c r="G51" i="3"/>
  <c r="F51" i="3"/>
  <c r="H48" i="3"/>
  <c r="G48" i="3"/>
  <c r="H47" i="3"/>
  <c r="G47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H30" i="3"/>
  <c r="G30" i="3"/>
  <c r="H29" i="3"/>
  <c r="G29" i="3"/>
  <c r="H28" i="3"/>
  <c r="G28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1" i="3"/>
  <c r="G11" i="3"/>
  <c r="H10" i="3"/>
  <c r="H51" i="3" s="1"/>
  <c r="F29" i="2"/>
  <c r="E29" i="2"/>
  <c r="F28" i="2"/>
  <c r="F41" i="2" s="1"/>
  <c r="G11" i="2"/>
  <c r="F11" i="2"/>
  <c r="E11" i="2"/>
  <c r="E28" i="2" s="1"/>
  <c r="E41" i="2" s="1"/>
  <c r="D11" i="2"/>
  <c r="D29" i="2" s="1"/>
  <c r="C11" i="2"/>
  <c r="G37" i="1"/>
  <c r="F37" i="1"/>
  <c r="E37" i="1"/>
  <c r="D37" i="1"/>
  <c r="C37" i="1"/>
  <c r="F71" i="4" l="1"/>
  <c r="F72" i="4"/>
  <c r="C28" i="2"/>
  <c r="C41" i="2" s="1"/>
  <c r="G28" i="2"/>
  <c r="D28" i="2"/>
  <c r="D41" i="2" s="1"/>
  <c r="C29" i="2"/>
  <c r="G29" i="2"/>
  <c r="G41" i="2" s="1"/>
</calcChain>
</file>

<file path=xl/comments1.xml><?xml version="1.0" encoding="utf-8"?>
<comments xmlns="http://schemas.openxmlformats.org/spreadsheetml/2006/main">
  <authors>
    <author>avillareal</author>
  </authors>
  <commentList>
    <comment ref="C9" authorId="0">
      <text>
        <r>
          <rPr>
            <sz val="10"/>
            <color indexed="81"/>
            <rFont val="Tahoma"/>
            <family val="2"/>
          </rPr>
          <t xml:space="preserve">Se refiere al detalle de ingresos con los cuales se financiaron los salarios de los trabajadores correspondientes al año anterior de la solicitud del contrato colectivo.
</t>
        </r>
      </text>
    </comment>
    <comment ref="D9" author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  <comment ref="E9" author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  <comment ref="F9" author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  <comment ref="G9" author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</commentList>
</comments>
</file>

<file path=xl/comments2.xml><?xml version="1.0" encoding="utf-8"?>
<comments xmlns="http://schemas.openxmlformats.org/spreadsheetml/2006/main">
  <authors>
    <author>avillareal</author>
  </authors>
  <commentList>
    <comment ref="C8" authorId="0">
      <text>
        <r>
          <rPr>
            <sz val="10"/>
            <color indexed="81"/>
            <rFont val="Tahoma"/>
            <family val="2"/>
          </rPr>
          <t xml:space="preserve">Se refiere al detalle de gastos de personal correspondientes al año anterior de la solicitud del contrato colectivo.
</t>
        </r>
      </text>
    </comment>
    <comment ref="D8" author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  <comment ref="E8" author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  <comment ref="F8" author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  <comment ref="G8" author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</commentList>
</comments>
</file>

<file path=xl/comments3.xml><?xml version="1.0" encoding="utf-8"?>
<comments xmlns="http://schemas.openxmlformats.org/spreadsheetml/2006/main">
  <authors>
    <author>avillareal</author>
  </authors>
  <commentList>
    <comment ref="C9" authorId="0">
      <text>
        <r>
          <rPr>
            <sz val="10"/>
            <color indexed="81"/>
            <rFont val="Tahoma"/>
            <family val="2"/>
          </rPr>
          <t>Es una numeración secuencial</t>
        </r>
      </text>
    </comment>
    <comment ref="D9" authorId="0">
      <text>
        <r>
          <rPr>
            <sz val="10"/>
            <color indexed="81"/>
            <rFont val="Tahoma"/>
            <family val="2"/>
          </rPr>
          <t xml:space="preserve">
Son los niveles que están en el acuerdo de MRL.</t>
        </r>
      </text>
    </comment>
    <comment ref="E9" authorId="0">
      <text>
        <r>
          <rPr>
            <sz val="10"/>
            <color indexed="81"/>
            <rFont val="Tahoma"/>
            <family val="2"/>
          </rPr>
          <t xml:space="preserve">
Denominación del cargo tal cual cómo menciona el acuerdo de MRL.
</t>
        </r>
      </text>
    </comment>
    <comment ref="F9" authorId="0">
      <text>
        <r>
          <rPr>
            <sz val="10"/>
            <color indexed="81"/>
            <rFont val="Tahoma"/>
            <family val="2"/>
          </rPr>
          <t xml:space="preserve">
Se refiere a la remuneración del personal correspondiente al año anterior de la solicitud del contrato colectivo.</t>
        </r>
      </text>
    </comment>
    <comment ref="G9" author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  <comment ref="H9" author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  <comment ref="I9" author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  <comment ref="J9" author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  <comment ref="C77" authorId="0">
      <text>
        <r>
          <rPr>
            <sz val="10"/>
            <color indexed="81"/>
            <rFont val="Tahoma"/>
            <family val="2"/>
          </rPr>
          <t>Es una numeración secuencial</t>
        </r>
      </text>
    </comment>
    <comment ref="D77" authorId="0">
      <text>
        <r>
          <rPr>
            <sz val="10"/>
            <color indexed="81"/>
            <rFont val="Tahoma"/>
            <family val="2"/>
          </rPr>
          <t xml:space="preserve">
Son los niveles que están en el acuerdo de MRL.</t>
        </r>
      </text>
    </comment>
    <comment ref="E77" authorId="0">
      <text>
        <r>
          <rPr>
            <sz val="10"/>
            <color indexed="81"/>
            <rFont val="Tahoma"/>
            <family val="2"/>
          </rPr>
          <t xml:space="preserve">
Denominación del cargo tal cual cómo menciona el acuerdo de MRL.
</t>
        </r>
      </text>
    </comment>
    <comment ref="F77" authorId="0">
      <text>
        <r>
          <rPr>
            <sz val="10"/>
            <color indexed="81"/>
            <rFont val="Tahoma"/>
            <family val="2"/>
          </rPr>
          <t xml:space="preserve">
Se refiere a la remuneración del personal correspondiente al año anterior de la solicitud del contrato colectivo.</t>
        </r>
      </text>
    </comment>
    <comment ref="G77" author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  <comment ref="I77" author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  <comment ref="J77" author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</commentList>
</comments>
</file>

<file path=xl/sharedStrings.xml><?xml version="1.0" encoding="utf-8"?>
<sst xmlns="http://schemas.openxmlformats.org/spreadsheetml/2006/main" count="489" uniqueCount="283">
  <si>
    <t>MINISTERIO DE FINANZAS</t>
  </si>
  <si>
    <t>FORMULARIO 1: "FUENTES DE FINANCIAMIENTO DEL PROYECTO DE CONTRATO COLECTIVO"</t>
  </si>
  <si>
    <t>DETALLE DE INGRESOS</t>
  </si>
  <si>
    <t>GOBIERNO AUTÓNOMO DESCENTRALIZADO MUNICIPAL DEL CANTON HUAQUILLAS</t>
  </si>
  <si>
    <t>Nº PROYECTO CONTRATO COLECTIVO __________________</t>
  </si>
  <si>
    <t xml:space="preserve"> Nº ACTA TRANSACCIONAL ___________________________</t>
  </si>
  <si>
    <t>FUENTES DE FINANCIAMIENTO</t>
  </si>
  <si>
    <t>FINANCIAMIENTO REAL DEL CONTRATO COLECTIVO VIGENTE USD</t>
  </si>
  <si>
    <t>FINANCIAMIENTO ESTIMADO DEL   CONTRATO COLECTIVO PROPUESTO USD $            2018</t>
  </si>
  <si>
    <t>FINANCIAMIENTO ESTIMADO DEL   CONTRATO COLECTIVO PROPUESTO USD $            2019</t>
  </si>
  <si>
    <t>FINANCIAMIENTO ESTIMADO DEL   CONTRATO COLECTIVO PROPUESTO USD $            2020</t>
  </si>
  <si>
    <t>FINANCIAMIENTO ESTIMADO DEL   CONTRATO COLECTIVO PROPUESTO USD $            2021</t>
  </si>
  <si>
    <t>OBSERVACIONES</t>
  </si>
  <si>
    <t>INGRESOS CORRIENTES  Y PERMANENTES</t>
  </si>
  <si>
    <t>POR IMPUESTOS</t>
  </si>
  <si>
    <t>Sobre la Renta, Utilidades y Ganancias de Capital</t>
  </si>
  <si>
    <t>Sobre la propiedad</t>
  </si>
  <si>
    <t>Impuesto Basico</t>
  </si>
  <si>
    <t>Uso de Solares sin transferencia de dominio</t>
  </si>
  <si>
    <t>Impuesto de Alcabalas</t>
  </si>
  <si>
    <t>A los Activos Totales</t>
  </si>
  <si>
    <t>Al consumo de Bienes y Servicios</t>
  </si>
  <si>
    <t>Impuestos Diversos</t>
  </si>
  <si>
    <t xml:space="preserve">TASAS Y CONTRIBUCIONES </t>
  </si>
  <si>
    <t>Tasas generales</t>
  </si>
  <si>
    <t>Tasas portuarias y aeroportuarias</t>
  </si>
  <si>
    <t>Tasas diversas</t>
  </si>
  <si>
    <t>Contribuciones</t>
  </si>
  <si>
    <t xml:space="preserve">VENTA DE BIENES Y SERVICIOS </t>
  </si>
  <si>
    <t>RENTAS DE INVERSIONES Y MULTAS</t>
  </si>
  <si>
    <t xml:space="preserve">TRANSFERENCIAS Y DONACIONES CORRIENTES  </t>
  </si>
  <si>
    <t>COOTAD</t>
  </si>
  <si>
    <t>OTROS INGRESOS</t>
  </si>
  <si>
    <t>Garantías y Fianzas</t>
  </si>
  <si>
    <t>Indemnizaciones y valores no reclamados</t>
  </si>
  <si>
    <t>Otros no Operacionales</t>
  </si>
  <si>
    <t xml:space="preserve">TOTAL </t>
  </si>
  <si>
    <t>INCREMENTO PORCENTUAL %</t>
  </si>
  <si>
    <t>* De ser el caso,  se deberá incluir filas adicionales, para detallar los subgrupos o items correspondientes.</t>
  </si>
  <si>
    <t>* En caso de que en el contrato colectivo se negocie algún beneficio adicional a los expuestos favor incluir el item correspondiente.</t>
  </si>
  <si>
    <t>* La información de los formularios deberá remitirse en medio magnético (Excel) e impreso con las respectivas firmas de responsabilidad.</t>
  </si>
  <si>
    <t>FIRMA ALCALDE GAD HUAQUILLAS</t>
  </si>
  <si>
    <t>FIRMA DIRECTOR FINANCIERO  DEL GAD</t>
  </si>
  <si>
    <t>Nombre: Ronald Wilfrido Farfán Becerra</t>
  </si>
  <si>
    <t>Nombre: Econ. Jaime Bolivar Florin Vinces</t>
  </si>
  <si>
    <t>Lugar y Fecha: Huaquillas 16 de noviembre del 2018</t>
  </si>
  <si>
    <t>Sello Institucional</t>
  </si>
  <si>
    <t>FORMULARIO 2: "COSTOS DEL PROYECTO DE CONTRATO COLECTIVO"</t>
  </si>
  <si>
    <t>CLASIFICADOR PRESUPUESTARIO</t>
  </si>
  <si>
    <t>GASTO DEL PERSONAL</t>
  </si>
  <si>
    <t>COSTO REAL DEL CONTRATO COLECTIVO VIGENTE USD</t>
  </si>
  <si>
    <t>COSTO ESTIMADO DEL CONTRATO COLECTIVO PROPUESTO USD   2018</t>
  </si>
  <si>
    <t>COSTO ESTIMADO DEL CONTRATO COLECTIVO PROPUESTO USD   2019</t>
  </si>
  <si>
    <t>COSTO ESTIMADO DEL CONTRATO COLECTIVO PROPUESTO USD   2020</t>
  </si>
  <si>
    <t>COSTO ESTIMADO DEL CONTRATO COLECTIVO PROPUESTO USD   2021</t>
  </si>
  <si>
    <t>GASTO PERSONAL</t>
  </si>
  <si>
    <t>REMUNERACIONES BASICAS</t>
  </si>
  <si>
    <t>SALARIOS UNIFICADOS</t>
  </si>
  <si>
    <t xml:space="preserve">REMUNERACIONES COMPLEMENTARIAS </t>
  </si>
  <si>
    <t>DECIMOTERCER SUELDO</t>
  </si>
  <si>
    <t>DECIMOCUARTO SUELDO</t>
  </si>
  <si>
    <t>REMUNERACIONES COMPENSATORIAS</t>
  </si>
  <si>
    <t>COMPENSACION POR TRANSPORTE</t>
  </si>
  <si>
    <t>COMISARIATO</t>
  </si>
  <si>
    <t>SUBSIDIOS</t>
  </si>
  <si>
    <t>POR CARGAS FAMILIARES</t>
  </si>
  <si>
    <t>REMUNERACIONES TEMPORALES</t>
  </si>
  <si>
    <t>510509</t>
  </si>
  <si>
    <t>HORAS EXTRAORDINARIAS Y SUPLEMENTARIAS</t>
  </si>
  <si>
    <t>APORTES A LA SEGURIDAD SOCIAL</t>
  </si>
  <si>
    <t>510601</t>
  </si>
  <si>
    <t xml:space="preserve">APORTE PATRONAL </t>
  </si>
  <si>
    <t>510602</t>
  </si>
  <si>
    <t xml:space="preserve">FONDO DE RESERVA </t>
  </si>
  <si>
    <t>510603</t>
  </si>
  <si>
    <t>FONDO DE JUBILACION PATRONAL</t>
  </si>
  <si>
    <t xml:space="preserve">INDEMNIZACIONES </t>
  </si>
  <si>
    <t>COMPENSACION POR DESAHUCIO</t>
  </si>
  <si>
    <t xml:space="preserve">POR JUBILACIÓN </t>
  </si>
  <si>
    <t>BIENES DE USO Y CONSUMO CORRIENTE</t>
  </si>
  <si>
    <t>VESTUARIO, LENCERIA Y PRENDAS DE PROTECCION</t>
  </si>
  <si>
    <t>FIRMA DEL ALCALDE DEL GAD HUAQUILLAS</t>
  </si>
  <si>
    <t>FIRMA DIRECTOR (A) FINANCIERO (A) DEL GAD</t>
  </si>
  <si>
    <r>
      <t>FORMULARIO 3:</t>
    </r>
    <r>
      <rPr>
        <sz val="12"/>
        <color indexed="8"/>
        <rFont val="Calibri"/>
        <family val="2"/>
      </rPr>
      <t xml:space="preserve"> </t>
    </r>
    <r>
      <rPr>
        <b/>
        <sz val="12"/>
        <color indexed="8"/>
        <rFont val="Calibri"/>
        <family val="2"/>
      </rPr>
      <t xml:space="preserve">"COMPARATIVO ENTRE REMUNERACIÓN UNIFICADA Y PROPUESTA" </t>
    </r>
  </si>
  <si>
    <t>DISTRIBUTIVO DE SALARIO UNIFICADO DESAGREGADO POR TRABAJADOR</t>
  </si>
  <si>
    <t>GAD MUNICIPAL DEL CANTON HUAQUILLAS</t>
  </si>
  <si>
    <t>CEDULA</t>
  </si>
  <si>
    <t>APELLIDOS Y NOMBRES</t>
  </si>
  <si>
    <t>No. TRABAJADOR</t>
  </si>
  <si>
    <t>GRADO DEL CARGO O PUESTO</t>
  </si>
  <si>
    <t>DENOMINACIÓN DEL PUESTO O CARGO DE OCUPACIÓN</t>
  </si>
  <si>
    <t>REMUNERACIÓN UNIFICADA CONTRATO COLECTIVO VIGENTE USD $</t>
  </si>
  <si>
    <t>REMUNERACIÓN UNIFICADA CONTRATO COLECTIVO PROPUESTO USD $  2018</t>
  </si>
  <si>
    <t>REMUNERACIÓN UNIFICADA CONTRATO COLECTIVO PROPUESTO USD $  2019</t>
  </si>
  <si>
    <t>REMUNERACIÓN UNIFICADA CONTRATO COLECTIVO PROPUESTO USD $  2020</t>
  </si>
  <si>
    <t>REMUNERACIÓN UNIFICADA CONTRATO COLECTIVO PROPUESTO USD $  2021</t>
  </si>
  <si>
    <t>120119702-5</t>
  </si>
  <si>
    <t>PEÑA DURAN JOSE LUIS</t>
  </si>
  <si>
    <t>CHOFER ADMINISTRATIVO 2</t>
  </si>
  <si>
    <t>070270194-7</t>
  </si>
  <si>
    <t>HERRERA CASTILLO OLGER ANIBAL</t>
  </si>
  <si>
    <t>GUARDIAN ALCANTARILLADO</t>
  </si>
  <si>
    <t>070183172-9</t>
  </si>
  <si>
    <t>CUEVA CALDERON RAFAEL ARCANGEL</t>
  </si>
  <si>
    <t>GUADIAN CAMAL</t>
  </si>
  <si>
    <t>070185440-8</t>
  </si>
  <si>
    <t>GARCIA RUIZ CARLOS AGUSTIN</t>
  </si>
  <si>
    <t>JORNALERO 1 HIGIENE</t>
  </si>
  <si>
    <t>070251968-7</t>
  </si>
  <si>
    <t>JIMBO ROJAS MANUEL JOSE</t>
  </si>
  <si>
    <t>GUARDIAN DES HIGIENE</t>
  </si>
  <si>
    <t>070134414-5</t>
  </si>
  <si>
    <t>ASTUDILLO ARMIJOS TEOFILO CLOTARIO</t>
  </si>
  <si>
    <t>AYUDANTE ALBAÑIL OP</t>
  </si>
  <si>
    <t>070065247-2</t>
  </si>
  <si>
    <t>CASTILLO HONORES EDGAR DAVID</t>
  </si>
  <si>
    <t>CHOFER CON LIC. ESP OP</t>
  </si>
  <si>
    <t>090601663-9</t>
  </si>
  <si>
    <t>CUENCA AMAYA WALTER BENITO</t>
  </si>
  <si>
    <t>OPERADOR MOTONIVELADORA OP</t>
  </si>
  <si>
    <t>070174731-3</t>
  </si>
  <si>
    <t>GOMEZ ORDOÑEZ  HERNAN SEGUNDO</t>
  </si>
  <si>
    <t>070155284-6</t>
  </si>
  <si>
    <t>GUTIERREZ  REY FEDERICO</t>
  </si>
  <si>
    <t>AYUDANTE DE MAQUINA OP</t>
  </si>
  <si>
    <t>070068143-0</t>
  </si>
  <si>
    <t>LOZANO  JOSE MANUEL</t>
  </si>
  <si>
    <t>070171827-2</t>
  </si>
  <si>
    <t>MALLA ARIAS ANGEL EDUARDO</t>
  </si>
  <si>
    <t>MECANICO OP</t>
  </si>
  <si>
    <t>080057889-0</t>
  </si>
  <si>
    <t>SANCHEZ ARELLANO RODOLFO MONFILIO</t>
  </si>
  <si>
    <t>GUARDIAN DIA OP OP</t>
  </si>
  <si>
    <t>070402020-5</t>
  </si>
  <si>
    <t>SIGCHO VASQUEZ FERNANDO HERMEL</t>
  </si>
  <si>
    <t>CADENERO OP</t>
  </si>
  <si>
    <t>070113733-3</t>
  </si>
  <si>
    <t>ZAMBRANO SINCHE LUVERLY CLEMENTE</t>
  </si>
  <si>
    <t>OPERADOR CARGADORA OP</t>
  </si>
  <si>
    <t>110156401-9</t>
  </si>
  <si>
    <t>CEMINARIO CHAMBA SEGUNDO ALFREDO</t>
  </si>
  <si>
    <t>CHOFER CON LIC. ESP RECOLECC</t>
  </si>
  <si>
    <t>070100046-5</t>
  </si>
  <si>
    <t>ESTRELLA CARRION HUGO ALBERTO</t>
  </si>
  <si>
    <t>JEFE DE  CUADRILLA RECOLECCION</t>
  </si>
  <si>
    <t>110275138-3</t>
  </si>
  <si>
    <t>GONZALEZ CALDERON SERGIO FLORO</t>
  </si>
  <si>
    <t>JORNALERO 1 RECOLECCION</t>
  </si>
  <si>
    <t>070173921-1</t>
  </si>
  <si>
    <t>LUNA RAMIREZ WILSON</t>
  </si>
  <si>
    <t>JORNALERO RECOLECCION</t>
  </si>
  <si>
    <t>110156286-4</t>
  </si>
  <si>
    <t>VIERA AGURTO JUAN FRANCISCO</t>
  </si>
  <si>
    <t>0701268575</t>
  </si>
  <si>
    <t>OVIEDO MORENO VICTOR ANTO</t>
  </si>
  <si>
    <t>CHOFER ADMINISTRATIVO 1</t>
  </si>
  <si>
    <t>1102418389</t>
  </si>
  <si>
    <t>DIAZ JARAMILLO JUAN AGUSTIN</t>
  </si>
  <si>
    <t>0702015710</t>
  </si>
  <si>
    <t>ALVARADO ROMERO JORGE WAS</t>
  </si>
  <si>
    <t>0705109866</t>
  </si>
  <si>
    <t>CEVALLOS MENDOZA PAOLA CL</t>
  </si>
  <si>
    <t>POLICIA TURISMO</t>
  </si>
  <si>
    <t>1101777967</t>
  </si>
  <si>
    <t>CELI BETTO ENRIQUE</t>
  </si>
  <si>
    <t>INSPECTOR MUNICIPAL</t>
  </si>
  <si>
    <t>1102637301</t>
  </si>
  <si>
    <t>MOTOCHE AGUILAR PACA MIRELL</t>
  </si>
  <si>
    <t>AUXILIAR DE SERVICIOS 1.1</t>
  </si>
  <si>
    <t>0703682807</t>
  </si>
  <si>
    <t>RODRIGUEZ RODRIGUEZ STALIN</t>
  </si>
  <si>
    <t>1103014724</t>
  </si>
  <si>
    <t>MEDINA MOTOCHE ULPIANO AR</t>
  </si>
  <si>
    <t>1103426803</t>
  </si>
  <si>
    <t>QUINDE VALAREZO FANNY ESPE</t>
  </si>
  <si>
    <t>1709643264</t>
  </si>
  <si>
    <t>MORENO MACAS ANGEL GABRIEL</t>
  </si>
  <si>
    <t>0701072886</t>
  </si>
  <si>
    <t>RAMIREZ ENCARNACION ANTONI</t>
  </si>
  <si>
    <t>1706114178</t>
  </si>
  <si>
    <t>MORENO MACAS FRANGIL ALC</t>
  </si>
  <si>
    <t>0703200410</t>
  </si>
  <si>
    <t>GONZABAY JURADO AURELIO CRIS</t>
  </si>
  <si>
    <t>1103715551</t>
  </si>
  <si>
    <t>PIEDRA LOAIZA MANUEL FRANCIS</t>
  </si>
  <si>
    <t>0703138750</t>
  </si>
  <si>
    <t>BRAVO GARCIA ISIDRO INDALEC</t>
  </si>
  <si>
    <t>0701894644</t>
  </si>
  <si>
    <t>ROGEL JUMBO FRANCISCO ALCI</t>
  </si>
  <si>
    <t>0702248279</t>
  </si>
  <si>
    <t>APONTE ARMIJOS RENE LEOMAR</t>
  </si>
  <si>
    <t>AUXILIAR ADMINISTRATIVO</t>
  </si>
  <si>
    <t>0703217836</t>
  </si>
  <si>
    <t xml:space="preserve">ANCHUNDIA CASTRO JULIO VICTOR </t>
  </si>
  <si>
    <t>OPERADOR CARGADORA</t>
  </si>
  <si>
    <t>0703646943</t>
  </si>
  <si>
    <t>RUEDA CAMACHO LUIS CRISTOB</t>
  </si>
  <si>
    <t>OPERADOR RETROEXCAVADORA</t>
  </si>
  <si>
    <t>SUMAN</t>
  </si>
  <si>
    <t xml:space="preserve">NOTA: </t>
  </si>
  <si>
    <t>EN EL SUELDO DE CADA FUNCIONARIO ESTA SUMADO RMU MAS DECIMO CUARTO,DECIMO TERCERO, FONDO DE RESERVA  Y APORTE PATRONAL.</t>
  </si>
  <si>
    <t>* De ser el caso,  se deberá incluir filas adicionales para detallar a todos los trabajadores del contrato colectivo.</t>
  </si>
  <si>
    <t>* La información deberá estar acorde a los techos presupuestarios establecidos por el MRL correspondiente a cada periodo.</t>
  </si>
  <si>
    <t>FIRMA ALCALDE DEL GAD MUNICIPAL HUAQUILLAS</t>
  </si>
  <si>
    <t>FIRMA DIRECTOR  FINANCIERO  DEL GAD</t>
  </si>
  <si>
    <t>FORMULARIO 4</t>
  </si>
  <si>
    <t>FLUJO PRESUPUESTARIO DE INGRESOS Y GASTOS</t>
  </si>
  <si>
    <t>GOBIERNO AUTÓNOMO DESCENTRALIZADO DEL CANTON HUAQUILLAS</t>
  </si>
  <si>
    <t>DETALLE DE GRUPOS Y SUBGRUPOS</t>
  </si>
  <si>
    <t>FLUJO HISTÓRICO (USD)</t>
  </si>
  <si>
    <t>FLUJO PROYECTADO (USD)</t>
  </si>
  <si>
    <t>Grupo y Subgrupo</t>
  </si>
  <si>
    <t xml:space="preserve">Descripción </t>
  </si>
  <si>
    <t>TOTAL INGRESOS CORRIENTES (1)</t>
  </si>
  <si>
    <t>Impuestos</t>
  </si>
  <si>
    <t xml:space="preserve">Tasas y contribuciones </t>
  </si>
  <si>
    <t>Venta de Bienes y Servicios</t>
  </si>
  <si>
    <t>Rentas de Invesiones y Multas</t>
  </si>
  <si>
    <t>Transferencias y Donaciones Corrientes</t>
  </si>
  <si>
    <t>Otros ingresos</t>
  </si>
  <si>
    <t>TOTAL GASTOS CORRIENTES (2)</t>
  </si>
  <si>
    <t>Gastos en personal</t>
  </si>
  <si>
    <t>Remuneraciones Básicas</t>
  </si>
  <si>
    <t>Remuneraciones Complementarias</t>
  </si>
  <si>
    <t>Remuneraciones Compensatorias</t>
  </si>
  <si>
    <t>Subsidios</t>
  </si>
  <si>
    <t>Remuneraciones Temporales</t>
  </si>
  <si>
    <t>Aportes Patronales a la Seguridad Social</t>
  </si>
  <si>
    <t>Indemnizaciones</t>
  </si>
  <si>
    <t>Asignaciones a distribuir</t>
  </si>
  <si>
    <t>Bienes y servicios de consumo</t>
  </si>
  <si>
    <t>Gastos Financieros</t>
  </si>
  <si>
    <t>Otros gastos corrientes</t>
  </si>
  <si>
    <t>Transferencias y donaciones corrientes</t>
  </si>
  <si>
    <t>Previsiones para reasignaciones</t>
  </si>
  <si>
    <t>SUPERAVIT/DEFICIT CORRIENTE (1) - (2) = (3)</t>
  </si>
  <si>
    <t>INGRESOS DE CAPITAL E INVERSIÓN (4)</t>
  </si>
  <si>
    <t>Venta de activos no financieros</t>
  </si>
  <si>
    <t>Transferencias y donaciones de capital e inversión</t>
  </si>
  <si>
    <t>GASTOS DE CAPITAL E INVERSIÓN (5)</t>
  </si>
  <si>
    <t>61</t>
  </si>
  <si>
    <t>Gastos en personal para producción</t>
  </si>
  <si>
    <t>63</t>
  </si>
  <si>
    <t>Bienes y servicios para producción</t>
  </si>
  <si>
    <t>67</t>
  </si>
  <si>
    <t>Otros gastos de producción</t>
  </si>
  <si>
    <t>Gastos en personal para Inversión</t>
  </si>
  <si>
    <t>Bienes y servicios para inversión</t>
  </si>
  <si>
    <t>Obras públicas</t>
  </si>
  <si>
    <t>Obras de Infraestructura</t>
  </si>
  <si>
    <t>Obras para generación de energía</t>
  </si>
  <si>
    <t>Obras Hidrocarburíferas y Mineras</t>
  </si>
  <si>
    <t>Obras en líneas, redes, e intalaciones eléctricas y de telecomunicaciones</t>
  </si>
  <si>
    <t>Mantenimiento y repaciones</t>
  </si>
  <si>
    <t>Otros Gastos de Inversión</t>
  </si>
  <si>
    <t>Transferencias y donaciones para inversión</t>
  </si>
  <si>
    <t>Bienes de larga duración</t>
  </si>
  <si>
    <t>Transferencias y donaciones de capital</t>
  </si>
  <si>
    <t>SUPERAVIT/DEFICIT DE CAPITAL E INVERSIÓN (4) - (5) = (6)</t>
  </si>
  <si>
    <t>SUPERAVIT/DEFICIT FISCAL  (3) + (6)</t>
  </si>
  <si>
    <t>FUENTES FINANCIERAS (7)</t>
  </si>
  <si>
    <t>Recuperación de inversiones</t>
  </si>
  <si>
    <t>Financiamiento Público</t>
  </si>
  <si>
    <t>Saldos disponibles</t>
  </si>
  <si>
    <t>Cuenta Pendientes por Cobrar</t>
  </si>
  <si>
    <t>USOS FINANCIEROS (8)</t>
  </si>
  <si>
    <t>Inversiones financieras</t>
  </si>
  <si>
    <t>Amortización de la deuda</t>
  </si>
  <si>
    <t>Pasivo Circulante</t>
  </si>
  <si>
    <t>Otros Pasivos</t>
  </si>
  <si>
    <t>SUPERAVIT/DEFICIT DE FINANCIAMIENTO (7) - (8)</t>
  </si>
  <si>
    <t xml:space="preserve"> CÁLCULO DE LÍMITES DE ENDEUDAMIENTO </t>
  </si>
  <si>
    <r>
      <t>* Se requiere d</t>
    </r>
    <r>
      <rPr>
        <sz val="8"/>
        <color indexed="8"/>
        <rFont val="Calibri"/>
        <family val="2"/>
      </rPr>
      <t>etallar claramente qué partida o partidas presupuestarias de ingresos y gastos sustentaran el egreso del contrato colectivo o acta transaccional (Si es necesario desglosando los datos en filas adicionales a nivel de item)</t>
    </r>
  </si>
  <si>
    <t>*La información histórica presentada en este anexo deberá corresponder a la que el GAD cargó a través del Módulo de Consolidación del E-sigef del Ministerio de Finanzas.</t>
  </si>
  <si>
    <t>* Se requiere incluir el cálculo de los límites de endeudamiento establecidos en el artículo 125 del Código Orgánico de Planificación y Finanzas Públicas.</t>
  </si>
  <si>
    <t>FIRMA MÁXIMA AUTORIDAD DEL GAD</t>
  </si>
  <si>
    <t>FIRMA DIRECTOR  FINANCIERO DEL GAD</t>
  </si>
  <si>
    <t>Nombre:</t>
  </si>
  <si>
    <t>Ronald Wilfrido Farfán Becerra</t>
  </si>
  <si>
    <t>CHOFER VEHICULO PESADO</t>
  </si>
  <si>
    <t>POLICIA MUNICIPAL</t>
  </si>
  <si>
    <t xml:space="preserve">AUXILIAR DE SERVICIOS </t>
  </si>
  <si>
    <t xml:space="preserve">CORRECCION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</si>
</sst>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indexed="8"/>
      <name val="Calibri"/>
      <family val="2"/>
    </font>
    <font>
      <b/>
      <sz val="12"/>
      <color indexed="8"/>
      <name val="Calibri"/>
      <family val="2"/>
    </font>
    <font>
      <sz val="10"/>
      <name val="Times New Roman"/>
      <family val="1"/>
    </font>
    <font>
      <b/>
      <sz val="12"/>
      <color indexed="9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8"/>
      <color indexed="8"/>
      <name val="Calibri"/>
      <family val="2"/>
    </font>
    <font>
      <sz val="11"/>
      <color indexed="8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8"/>
      <name val="Calibri"/>
      <family val="2"/>
    </font>
    <font>
      <sz val="10"/>
      <color indexed="81"/>
      <name val="Tahoma"/>
      <family val="2"/>
    </font>
    <font>
      <b/>
      <sz val="10"/>
      <color indexed="8"/>
      <name val="Times New Roman"/>
      <family val="1"/>
    </font>
    <font>
      <sz val="12"/>
      <color indexed="8"/>
      <name val="Calibri"/>
      <family val="2"/>
    </font>
    <font>
      <sz val="10"/>
      <color theme="1"/>
      <name val="Arial Narrow"/>
      <family val="2"/>
    </font>
    <font>
      <sz val="10"/>
      <color indexed="8"/>
      <name val="Arial Narrow"/>
      <family val="2"/>
    </font>
    <font>
      <sz val="10"/>
      <name val="Arial Narrow"/>
      <family val="2"/>
    </font>
    <font>
      <sz val="6"/>
      <color indexed="10"/>
      <name val="Times New Roman"/>
      <family val="1"/>
    </font>
    <font>
      <b/>
      <sz val="10"/>
      <color indexed="9"/>
      <name val="Calibri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sz val="8"/>
      <color indexed="29"/>
      <name val="Calibri"/>
      <family val="2"/>
    </font>
    <font>
      <sz val="8"/>
      <color theme="1"/>
      <name val="Calibri"/>
      <family val="2"/>
    </font>
    <font>
      <sz val="11"/>
      <color indexed="29"/>
      <name val="Calibri"/>
      <family val="2"/>
    </font>
    <font>
      <b/>
      <sz val="11"/>
      <color indexed="22"/>
      <name val="Calibri"/>
      <family val="2"/>
    </font>
    <font>
      <b/>
      <sz val="11"/>
      <color theme="0" tint="-4.9989318521683403E-2"/>
      <name val="Calibri"/>
      <family val="2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216">
    <xf numFmtId="0" fontId="0" fillId="0" borderId="0" xfId="0"/>
    <xf numFmtId="0" fontId="4" fillId="0" borderId="0" xfId="0" applyFont="1" applyFill="1" applyBorder="1" applyAlignment="1">
      <alignment horizontal="center"/>
    </xf>
    <xf numFmtId="0" fontId="5" fillId="0" borderId="0" xfId="0" applyFont="1"/>
    <xf numFmtId="0" fontId="4" fillId="0" borderId="0" xfId="0" applyFont="1" applyFill="1" applyBorder="1" applyAlignment="1"/>
    <xf numFmtId="0" fontId="4" fillId="0" borderId="0" xfId="0" applyFont="1" applyBorder="1" applyAlignment="1"/>
    <xf numFmtId="49" fontId="7" fillId="2" borderId="3" xfId="0" applyNumberFormat="1" applyFont="1" applyFill="1" applyBorder="1" applyAlignment="1">
      <alignment horizontal="center" vertical="center" wrapText="1"/>
    </xf>
    <xf numFmtId="49" fontId="7" fillId="2" borderId="4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left"/>
    </xf>
    <xf numFmtId="4" fontId="9" fillId="0" borderId="7" xfId="0" applyNumberFormat="1" applyFont="1" applyFill="1" applyBorder="1" applyAlignment="1">
      <alignment horizontal="center"/>
    </xf>
    <xf numFmtId="4" fontId="10" fillId="0" borderId="9" xfId="0" applyNumberFormat="1" applyFont="1" applyFill="1" applyBorder="1" applyAlignment="1">
      <alignment horizontal="center"/>
    </xf>
    <xf numFmtId="0" fontId="11" fillId="0" borderId="10" xfId="2" applyFont="1" applyBorder="1" applyAlignment="1">
      <alignment horizontal="left"/>
    </xf>
    <xf numFmtId="0" fontId="11" fillId="0" borderId="11" xfId="2" applyFont="1" applyBorder="1" applyAlignment="1">
      <alignment horizontal="left" indent="2"/>
    </xf>
    <xf numFmtId="4" fontId="10" fillId="0" borderId="10" xfId="0" applyNumberFormat="1" applyFont="1" applyFill="1" applyBorder="1" applyAlignment="1">
      <alignment horizontal="center"/>
    </xf>
    <xf numFmtId="4" fontId="10" fillId="0" borderId="12" xfId="0" applyNumberFormat="1" applyFont="1" applyFill="1" applyBorder="1" applyAlignment="1">
      <alignment horizontal="center"/>
    </xf>
    <xf numFmtId="0" fontId="11" fillId="0" borderId="10" xfId="2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left"/>
    </xf>
    <xf numFmtId="4" fontId="9" fillId="0" borderId="10" xfId="0" applyNumberFormat="1" applyFont="1" applyFill="1" applyBorder="1" applyAlignment="1">
      <alignment horizontal="center"/>
    </xf>
    <xf numFmtId="4" fontId="9" fillId="0" borderId="12" xfId="0" applyNumberFormat="1" applyFont="1" applyFill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left"/>
    </xf>
    <xf numFmtId="4" fontId="12" fillId="0" borderId="10" xfId="1" applyNumberFormat="1" applyFont="1" applyBorder="1" applyAlignment="1">
      <alignment horizontal="center"/>
    </xf>
    <xf numFmtId="4" fontId="12" fillId="0" borderId="12" xfId="1" applyNumberFormat="1" applyFont="1" applyBorder="1" applyAlignment="1">
      <alignment horizontal="center"/>
    </xf>
    <xf numFmtId="4" fontId="8" fillId="0" borderId="12" xfId="1" applyNumberFormat="1" applyFont="1" applyBorder="1" applyAlignment="1">
      <alignment horizontal="center"/>
    </xf>
    <xf numFmtId="49" fontId="10" fillId="0" borderId="10" xfId="0" applyNumberFormat="1" applyFont="1" applyBorder="1" applyAlignment="1">
      <alignment horizontal="center"/>
    </xf>
    <xf numFmtId="0" fontId="13" fillId="0" borderId="10" xfId="0" applyFont="1" applyBorder="1"/>
    <xf numFmtId="0" fontId="13" fillId="0" borderId="12" xfId="0" applyFont="1" applyBorder="1"/>
    <xf numFmtId="0" fontId="13" fillId="0" borderId="1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/>
    </xf>
    <xf numFmtId="4" fontId="13" fillId="0" borderId="10" xfId="0" applyNumberFormat="1" applyFont="1" applyBorder="1" applyAlignment="1">
      <alignment horizontal="center" vertical="center"/>
    </xf>
    <xf numFmtId="4" fontId="13" fillId="0" borderId="12" xfId="0" applyNumberFormat="1" applyFont="1" applyBorder="1" applyAlignment="1">
      <alignment horizontal="center"/>
    </xf>
    <xf numFmtId="4" fontId="13" fillId="0" borderId="12" xfId="0" applyNumberFormat="1" applyFont="1" applyBorder="1"/>
    <xf numFmtId="0" fontId="11" fillId="0" borderId="13" xfId="2" applyFont="1" applyBorder="1" applyAlignment="1">
      <alignment horizontal="center"/>
    </xf>
    <xf numFmtId="0" fontId="11" fillId="0" borderId="14" xfId="2" applyFont="1" applyBorder="1" applyAlignment="1">
      <alignment horizontal="left" indent="2"/>
    </xf>
    <xf numFmtId="0" fontId="13" fillId="0" borderId="13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/>
    </xf>
    <xf numFmtId="0" fontId="10" fillId="0" borderId="7" xfId="0" applyFont="1" applyBorder="1"/>
    <xf numFmtId="0" fontId="8" fillId="0" borderId="3" xfId="0" applyFont="1" applyBorder="1" applyAlignment="1">
      <alignment horizontal="center"/>
    </xf>
    <xf numFmtId="4" fontId="13" fillId="0" borderId="16" xfId="0" applyNumberFormat="1" applyFont="1" applyBorder="1"/>
    <xf numFmtId="0" fontId="13" fillId="0" borderId="17" xfId="0" applyFont="1" applyBorder="1"/>
    <xf numFmtId="0" fontId="13" fillId="0" borderId="18" xfId="0" applyFont="1" applyBorder="1"/>
    <xf numFmtId="0" fontId="14" fillId="0" borderId="19" xfId="0" applyFont="1" applyBorder="1" applyAlignment="1">
      <alignment horizontal="center"/>
    </xf>
    <xf numFmtId="0" fontId="13" fillId="0" borderId="20" xfId="0" applyFont="1" applyBorder="1"/>
    <xf numFmtId="0" fontId="13" fillId="0" borderId="21" xfId="0" applyFont="1" applyBorder="1"/>
    <xf numFmtId="0" fontId="13" fillId="0" borderId="0" xfId="0" applyFont="1" applyBorder="1"/>
    <xf numFmtId="0" fontId="14" fillId="0" borderId="0" xfId="0" applyFont="1" applyBorder="1" applyAlignment="1">
      <alignment horizontal="center"/>
    </xf>
    <xf numFmtId="0" fontId="15" fillId="0" borderId="0" xfId="0" applyFont="1" applyBorder="1"/>
    <xf numFmtId="0" fontId="8" fillId="0" borderId="14" xfId="2" applyFont="1" applyBorder="1" applyAlignment="1">
      <alignment horizontal="center"/>
    </xf>
    <xf numFmtId="0" fontId="8" fillId="0" borderId="0" xfId="2" applyFont="1" applyBorder="1" applyAlignment="1">
      <alignment horizontal="center"/>
    </xf>
    <xf numFmtId="0" fontId="8" fillId="0" borderId="0" xfId="2" applyFont="1"/>
    <xf numFmtId="0" fontId="17" fillId="0" borderId="0" xfId="0" applyFont="1" applyFill="1" applyBorder="1" applyAlignment="1"/>
    <xf numFmtId="0" fontId="9" fillId="0" borderId="0" xfId="0" applyFont="1" applyFill="1" applyBorder="1" applyAlignment="1">
      <alignment horizontal="left"/>
    </xf>
    <xf numFmtId="0" fontId="10" fillId="0" borderId="0" xfId="0" applyFont="1" applyFill="1" applyBorder="1" applyAlignment="1"/>
    <xf numFmtId="0" fontId="9" fillId="0" borderId="0" xfId="0" applyFont="1" applyFill="1" applyBorder="1" applyAlignment="1"/>
    <xf numFmtId="0" fontId="9" fillId="0" borderId="0" xfId="0" applyFont="1" applyBorder="1" applyAlignment="1"/>
    <xf numFmtId="49" fontId="6" fillId="2" borderId="22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left"/>
    </xf>
    <xf numFmtId="2" fontId="9" fillId="0" borderId="26" xfId="0" applyNumberFormat="1" applyFont="1" applyFill="1" applyBorder="1" applyAlignment="1">
      <alignment horizontal="center"/>
    </xf>
    <xf numFmtId="2" fontId="9" fillId="0" borderId="24" xfId="0" applyNumberFormat="1" applyFont="1" applyFill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5" xfId="0" applyFont="1" applyBorder="1" applyAlignment="1">
      <alignment horizontal="left"/>
    </xf>
    <xf numFmtId="4" fontId="10" fillId="0" borderId="27" xfId="1" applyNumberFormat="1" applyFont="1" applyFill="1" applyBorder="1" applyAlignment="1">
      <alignment horizontal="center"/>
    </xf>
    <xf numFmtId="4" fontId="10" fillId="0" borderId="10" xfId="1" applyNumberFormat="1" applyFont="1" applyFill="1" applyBorder="1" applyAlignment="1">
      <alignment horizontal="center"/>
    </xf>
    <xf numFmtId="4" fontId="10" fillId="0" borderId="27" xfId="0" applyNumberFormat="1" applyFont="1" applyFill="1" applyBorder="1" applyAlignment="1">
      <alignment horizontal="center"/>
    </xf>
    <xf numFmtId="49" fontId="10" fillId="0" borderId="24" xfId="0" applyNumberFormat="1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0" fillId="0" borderId="29" xfId="0" applyFont="1" applyBorder="1" applyAlignment="1">
      <alignment horizontal="left"/>
    </xf>
    <xf numFmtId="4" fontId="10" fillId="0" borderId="30" xfId="0" applyNumberFormat="1" applyFont="1" applyBorder="1" applyAlignment="1">
      <alignment horizontal="center"/>
    </xf>
    <xf numFmtId="4" fontId="10" fillId="0" borderId="28" xfId="0" applyNumberFormat="1" applyFont="1" applyBorder="1" applyAlignment="1">
      <alignment horizontal="center"/>
    </xf>
    <xf numFmtId="0" fontId="10" fillId="0" borderId="20" xfId="0" applyFont="1" applyBorder="1"/>
    <xf numFmtId="0" fontId="8" fillId="0" borderId="31" xfId="0" applyFont="1" applyBorder="1" applyAlignment="1">
      <alignment horizontal="center"/>
    </xf>
    <xf numFmtId="4" fontId="8" fillId="0" borderId="32" xfId="1" applyNumberFormat="1" applyFont="1" applyBorder="1" applyAlignment="1">
      <alignment horizontal="center"/>
    </xf>
    <xf numFmtId="4" fontId="8" fillId="0" borderId="20" xfId="1" applyNumberFormat="1" applyFont="1" applyBorder="1" applyAlignment="1">
      <alignment horizontal="center"/>
    </xf>
    <xf numFmtId="0" fontId="13" fillId="0" borderId="33" xfId="0" applyFont="1" applyBorder="1"/>
    <xf numFmtId="0" fontId="14" fillId="0" borderId="34" xfId="0" applyFont="1" applyBorder="1" applyAlignment="1">
      <alignment horizontal="center"/>
    </xf>
    <xf numFmtId="0" fontId="13" fillId="0" borderId="35" xfId="0" applyFont="1" applyBorder="1"/>
    <xf numFmtId="4" fontId="13" fillId="0" borderId="0" xfId="0" applyNumberFormat="1" applyFont="1" applyBorder="1"/>
    <xf numFmtId="0" fontId="5" fillId="0" borderId="0" xfId="0" applyFont="1" applyBorder="1"/>
    <xf numFmtId="0" fontId="8" fillId="0" borderId="14" xfId="2" applyFont="1" applyBorder="1" applyAlignment="1"/>
    <xf numFmtId="0" fontId="8" fillId="0" borderId="0" xfId="2" applyFont="1" applyBorder="1" applyAlignment="1"/>
    <xf numFmtId="0" fontId="1" fillId="0" borderId="0" xfId="2"/>
    <xf numFmtId="0" fontId="8" fillId="0" borderId="0" xfId="2" applyFont="1" applyAlignment="1">
      <alignment horizontal="center"/>
    </xf>
    <xf numFmtId="0" fontId="7" fillId="2" borderId="36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 wrapText="1"/>
    </xf>
    <xf numFmtId="0" fontId="19" fillId="0" borderId="39" xfId="0" applyFont="1" applyBorder="1"/>
    <xf numFmtId="0" fontId="20" fillId="0" borderId="40" xfId="0" applyFont="1" applyFill="1" applyBorder="1" applyAlignment="1">
      <alignment horizontal="center"/>
    </xf>
    <xf numFmtId="4" fontId="19" fillId="0" borderId="39" xfId="0" applyNumberFormat="1" applyFont="1" applyBorder="1"/>
    <xf numFmtId="4" fontId="20" fillId="0" borderId="40" xfId="0" applyNumberFormat="1" applyFont="1" applyFill="1" applyBorder="1" applyAlignment="1">
      <alignment horizontal="right"/>
    </xf>
    <xf numFmtId="4" fontId="10" fillId="0" borderId="40" xfId="0" applyNumberFormat="1" applyFont="1" applyFill="1" applyBorder="1" applyAlignment="1">
      <alignment horizontal="right"/>
    </xf>
    <xf numFmtId="0" fontId="20" fillId="0" borderId="39" xfId="0" applyFont="1" applyFill="1" applyBorder="1" applyAlignment="1">
      <alignment horizontal="center"/>
    </xf>
    <xf numFmtId="4" fontId="20" fillId="0" borderId="39" xfId="0" applyNumberFormat="1" applyFont="1" applyFill="1" applyBorder="1" applyAlignment="1">
      <alignment horizontal="right"/>
    </xf>
    <xf numFmtId="4" fontId="10" fillId="0" borderId="39" xfId="0" applyNumberFormat="1" applyFont="1" applyFill="1" applyBorder="1" applyAlignment="1">
      <alignment horizontal="right"/>
    </xf>
    <xf numFmtId="49" fontId="21" fillId="0" borderId="39" xfId="0" applyNumberFormat="1" applyFont="1" applyFill="1" applyBorder="1" applyAlignment="1">
      <alignment horizontal="left"/>
    </xf>
    <xf numFmtId="49" fontId="21" fillId="0" borderId="39" xfId="0" applyNumberFormat="1" applyFont="1" applyFill="1" applyBorder="1" applyAlignment="1"/>
    <xf numFmtId="49" fontId="19" fillId="0" borderId="39" xfId="0" applyNumberFormat="1" applyFont="1" applyFill="1" applyBorder="1" applyAlignment="1">
      <alignment horizontal="left"/>
    </xf>
    <xf numFmtId="0" fontId="19" fillId="0" borderId="39" xfId="0" applyFont="1" applyFill="1" applyBorder="1"/>
    <xf numFmtId="0" fontId="10" fillId="0" borderId="40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9" fillId="0" borderId="39" xfId="0" applyFont="1" applyFill="1" applyBorder="1" applyAlignment="1">
      <alignment horizontal="center"/>
    </xf>
    <xf numFmtId="4" fontId="9" fillId="0" borderId="39" xfId="0" applyNumberFormat="1" applyFont="1" applyFill="1" applyBorder="1" applyAlignment="1">
      <alignment horizontal="right" vertical="center" wrapText="1"/>
    </xf>
    <xf numFmtId="4" fontId="9" fillId="0" borderId="27" xfId="0" applyNumberFormat="1" applyFont="1" applyFill="1" applyBorder="1" applyAlignment="1">
      <alignment horizontal="right" vertical="center" wrapText="1"/>
    </xf>
    <xf numFmtId="0" fontId="9" fillId="0" borderId="0" xfId="0" applyFont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4" fontId="9" fillId="0" borderId="0" xfId="0" applyNumberFormat="1" applyFont="1" applyFill="1" applyBorder="1" applyAlignment="1">
      <alignment horizontal="right" vertical="center" wrapText="1"/>
    </xf>
    <xf numFmtId="0" fontId="10" fillId="0" borderId="0" xfId="0" applyFont="1" applyBorder="1" applyAlignment="1">
      <alignment horizontal="left"/>
    </xf>
    <xf numFmtId="0" fontId="22" fillId="0" borderId="0" xfId="0" applyFont="1" applyBorder="1"/>
    <xf numFmtId="43" fontId="13" fillId="0" borderId="0" xfId="1" applyFont="1" applyBorder="1"/>
    <xf numFmtId="0" fontId="13" fillId="0" borderId="0" xfId="0" applyFont="1"/>
    <xf numFmtId="0" fontId="14" fillId="0" borderId="14" xfId="0" applyFont="1" applyBorder="1"/>
    <xf numFmtId="0" fontId="14" fillId="0" borderId="0" xfId="0" applyFont="1"/>
    <xf numFmtId="0" fontId="13" fillId="0" borderId="0" xfId="0" applyFont="1" applyBorder="1" applyAlignment="1">
      <alignment horizontal="center" wrapText="1"/>
    </xf>
    <xf numFmtId="0" fontId="3" fillId="0" borderId="0" xfId="2" applyFont="1" applyAlignment="1">
      <alignment horizontal="center"/>
    </xf>
    <xf numFmtId="0" fontId="23" fillId="2" borderId="36" xfId="2" applyFont="1" applyFill="1" applyBorder="1" applyAlignment="1">
      <alignment horizontal="center" vertical="center" wrapText="1"/>
    </xf>
    <xf numFmtId="0" fontId="6" fillId="2" borderId="32" xfId="2" applyFont="1" applyFill="1" applyBorder="1" applyAlignment="1">
      <alignment horizontal="center" vertical="center"/>
    </xf>
    <xf numFmtId="0" fontId="6" fillId="2" borderId="20" xfId="2" applyFont="1" applyFill="1" applyBorder="1" applyAlignment="1">
      <alignment horizontal="center" vertical="center"/>
    </xf>
    <xf numFmtId="0" fontId="6" fillId="2" borderId="31" xfId="2" applyFont="1" applyFill="1" applyBorder="1" applyAlignment="1">
      <alignment horizontal="center" vertical="center"/>
    </xf>
    <xf numFmtId="0" fontId="6" fillId="2" borderId="38" xfId="2" applyFont="1" applyFill="1" applyBorder="1" applyAlignment="1">
      <alignment horizontal="center" vertical="center"/>
    </xf>
    <xf numFmtId="0" fontId="7" fillId="2" borderId="19" xfId="2" applyFont="1" applyFill="1" applyBorder="1" applyAlignment="1">
      <alignment horizontal="center" vertical="center" wrapText="1"/>
    </xf>
    <xf numFmtId="0" fontId="7" fillId="2" borderId="20" xfId="2" applyFont="1" applyFill="1" applyBorder="1" applyAlignment="1">
      <alignment horizontal="center" vertical="center" wrapText="1"/>
    </xf>
    <xf numFmtId="0" fontId="11" fillId="3" borderId="24" xfId="2" applyFont="1" applyFill="1" applyBorder="1"/>
    <xf numFmtId="4" fontId="11" fillId="3" borderId="24" xfId="2" applyNumberFormat="1" applyFont="1" applyFill="1" applyBorder="1"/>
    <xf numFmtId="0" fontId="24" fillId="0" borderId="44" xfId="2" applyFont="1" applyBorder="1" applyAlignment="1">
      <alignment horizontal="left"/>
    </xf>
    <xf numFmtId="0" fontId="24" fillId="0" borderId="7" xfId="2" applyFont="1" applyBorder="1"/>
    <xf numFmtId="0" fontId="11" fillId="0" borderId="10" xfId="2" applyFont="1" applyBorder="1"/>
    <xf numFmtId="4" fontId="11" fillId="0" borderId="10" xfId="2" applyNumberFormat="1" applyFont="1" applyBorder="1"/>
    <xf numFmtId="0" fontId="11" fillId="0" borderId="44" xfId="2" applyFont="1" applyBorder="1" applyAlignment="1">
      <alignment horizontal="center"/>
    </xf>
    <xf numFmtId="0" fontId="11" fillId="0" borderId="10" xfId="2" applyFont="1" applyBorder="1" applyAlignment="1">
      <alignment horizontal="left" indent="2"/>
    </xf>
    <xf numFmtId="0" fontId="11" fillId="0" borderId="45" xfId="2" applyFont="1" applyBorder="1"/>
    <xf numFmtId="4" fontId="10" fillId="0" borderId="10" xfId="0" applyNumberFormat="1" applyFont="1" applyFill="1" applyBorder="1" applyAlignment="1">
      <alignment horizontal="right"/>
    </xf>
    <xf numFmtId="0" fontId="1" fillId="0" borderId="46" xfId="2" applyBorder="1"/>
    <xf numFmtId="0" fontId="11" fillId="0" borderId="46" xfId="2" applyFont="1" applyBorder="1"/>
    <xf numFmtId="0" fontId="24" fillId="0" borderId="10" xfId="2" applyFont="1" applyBorder="1"/>
    <xf numFmtId="0" fontId="11" fillId="0" borderId="18" xfId="2" applyFont="1" applyBorder="1" applyAlignment="1">
      <alignment horizontal="left" indent="2"/>
    </xf>
    <xf numFmtId="0" fontId="11" fillId="3" borderId="10" xfId="2" applyFont="1" applyFill="1" applyBorder="1"/>
    <xf numFmtId="0" fontId="24" fillId="0" borderId="18" xfId="2" applyFont="1" applyBorder="1"/>
    <xf numFmtId="0" fontId="25" fillId="4" borderId="10" xfId="2" applyFont="1" applyFill="1" applyBorder="1"/>
    <xf numFmtId="4" fontId="25" fillId="4" borderId="10" xfId="2" applyNumberFormat="1" applyFont="1" applyFill="1" applyBorder="1"/>
    <xf numFmtId="0" fontId="11" fillId="3" borderId="45" xfId="2" applyFont="1" applyFill="1" applyBorder="1"/>
    <xf numFmtId="0" fontId="11" fillId="3" borderId="46" xfId="2" applyFont="1" applyFill="1" applyBorder="1"/>
    <xf numFmtId="0" fontId="1" fillId="3" borderId="46" xfId="2" applyFill="1" applyBorder="1"/>
    <xf numFmtId="0" fontId="24" fillId="0" borderId="43" xfId="2" applyFont="1" applyBorder="1" applyAlignment="1">
      <alignment horizontal="left"/>
    </xf>
    <xf numFmtId="0" fontId="24" fillId="0" borderId="27" xfId="2" applyFont="1" applyBorder="1"/>
    <xf numFmtId="0" fontId="24" fillId="0" borderId="10" xfId="2" applyFont="1" applyBorder="1" applyAlignment="1">
      <alignment horizontal="left"/>
    </xf>
    <xf numFmtId="0" fontId="11" fillId="0" borderId="13" xfId="2" applyFont="1" applyBorder="1"/>
    <xf numFmtId="0" fontId="26" fillId="4" borderId="7" xfId="2" applyFont="1" applyFill="1" applyBorder="1"/>
    <xf numFmtId="0" fontId="27" fillId="4" borderId="46" xfId="2" applyFont="1" applyFill="1" applyBorder="1"/>
    <xf numFmtId="0" fontId="28" fillId="4" borderId="46" xfId="2" applyFont="1" applyFill="1" applyBorder="1"/>
    <xf numFmtId="0" fontId="29" fillId="2" borderId="10" xfId="2" applyFont="1" applyFill="1" applyBorder="1"/>
    <xf numFmtId="4" fontId="29" fillId="2" borderId="10" xfId="2" applyNumberFormat="1" applyFont="1" applyFill="1" applyBorder="1"/>
    <xf numFmtId="0" fontId="24" fillId="0" borderId="39" xfId="2" applyFont="1" applyBorder="1" applyAlignment="1">
      <alignment horizontal="left"/>
    </xf>
    <xf numFmtId="0" fontId="24" fillId="0" borderId="49" xfId="2" applyFont="1" applyBorder="1" applyAlignment="1">
      <alignment horizontal="left"/>
    </xf>
    <xf numFmtId="0" fontId="24" fillId="0" borderId="26" xfId="2" applyFont="1" applyBorder="1"/>
    <xf numFmtId="0" fontId="24" fillId="0" borderId="50" xfId="2" applyFont="1" applyBorder="1" applyAlignment="1">
      <alignment horizontal="left"/>
    </xf>
    <xf numFmtId="0" fontId="24" fillId="0" borderId="51" xfId="2" applyFont="1" applyBorder="1"/>
    <xf numFmtId="0" fontId="29" fillId="2" borderId="18" xfId="2" applyFont="1" applyFill="1" applyBorder="1"/>
    <xf numFmtId="0" fontId="29" fillId="0" borderId="0" xfId="2" applyFont="1" applyFill="1" applyBorder="1" applyAlignment="1">
      <alignment horizontal="center"/>
    </xf>
    <xf numFmtId="0" fontId="29" fillId="0" borderId="0" xfId="2" applyFont="1" applyFill="1" applyBorder="1"/>
    <xf numFmtId="0" fontId="1" fillId="0" borderId="0" xfId="2" applyFill="1"/>
    <xf numFmtId="0" fontId="7" fillId="2" borderId="5" xfId="2" applyFont="1" applyFill="1" applyBorder="1" applyAlignment="1"/>
    <xf numFmtId="0" fontId="7" fillId="2" borderId="6" xfId="2" applyFont="1" applyFill="1" applyBorder="1" applyAlignment="1"/>
    <xf numFmtId="0" fontId="30" fillId="2" borderId="6" xfId="2" applyFont="1" applyFill="1" applyBorder="1" applyAlignment="1"/>
    <xf numFmtId="0" fontId="8" fillId="0" borderId="1" xfId="2" applyFont="1" applyFill="1" applyBorder="1" applyAlignment="1">
      <alignment horizontal="center"/>
    </xf>
    <xf numFmtId="0" fontId="8" fillId="0" borderId="3" xfId="2" applyFont="1" applyFill="1" applyBorder="1" applyAlignment="1">
      <alignment horizontal="center"/>
    </xf>
    <xf numFmtId="0" fontId="8" fillId="0" borderId="17" xfId="2" applyFont="1" applyFill="1" applyBorder="1" applyAlignment="1">
      <alignment horizontal="center"/>
    </xf>
    <xf numFmtId="0" fontId="8" fillId="0" borderId="5" xfId="2" applyFont="1" applyFill="1" applyBorder="1" applyAlignment="1">
      <alignment horizontal="center"/>
    </xf>
    <xf numFmtId="0" fontId="8" fillId="0" borderId="6" xfId="2" applyFont="1" applyFill="1" applyBorder="1" applyAlignment="1">
      <alignment horizontal="center"/>
    </xf>
    <xf numFmtId="0" fontId="29" fillId="0" borderId="6" xfId="2" applyFont="1" applyFill="1" applyBorder="1"/>
    <xf numFmtId="0" fontId="29" fillId="0" borderId="53" xfId="2" applyFont="1" applyFill="1" applyBorder="1"/>
    <xf numFmtId="0" fontId="11" fillId="0" borderId="0" xfId="2" applyFont="1" applyFill="1" applyBorder="1"/>
    <xf numFmtId="0" fontId="2" fillId="0" borderId="0" xfId="2" applyFont="1"/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0" borderId="14" xfId="2" applyFont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9" fillId="2" borderId="43" xfId="2" applyFont="1" applyFill="1" applyBorder="1" applyAlignment="1">
      <alignment horizontal="center"/>
    </xf>
    <xf numFmtId="0" fontId="29" fillId="2" borderId="27" xfId="2" applyFont="1" applyFill="1" applyBorder="1" applyAlignment="1">
      <alignment horizontal="center"/>
    </xf>
    <xf numFmtId="0" fontId="24" fillId="3" borderId="48" xfId="2" applyFont="1" applyFill="1" applyBorder="1" applyAlignment="1">
      <alignment horizontal="left"/>
    </xf>
    <xf numFmtId="0" fontId="24" fillId="3" borderId="47" xfId="2" applyFont="1" applyFill="1" applyBorder="1" applyAlignment="1">
      <alignment horizontal="left"/>
    </xf>
    <xf numFmtId="0" fontId="24" fillId="3" borderId="43" xfId="2" applyFont="1" applyFill="1" applyBorder="1" applyAlignment="1">
      <alignment horizontal="left"/>
    </xf>
    <xf numFmtId="0" fontId="24" fillId="3" borderId="27" xfId="2" applyFont="1" applyFill="1" applyBorder="1" applyAlignment="1">
      <alignment horizontal="left"/>
    </xf>
    <xf numFmtId="0" fontId="29" fillId="2" borderId="52" xfId="2" applyFont="1" applyFill="1" applyBorder="1" applyAlignment="1">
      <alignment horizontal="center"/>
    </xf>
    <xf numFmtId="0" fontId="29" fillId="2" borderId="35" xfId="2" applyFont="1" applyFill="1" applyBorder="1" applyAlignment="1">
      <alignment horizontal="center"/>
    </xf>
    <xf numFmtId="0" fontId="24" fillId="3" borderId="30" xfId="2" applyFont="1" applyFill="1" applyBorder="1" applyAlignment="1">
      <alignment horizontal="left"/>
    </xf>
    <xf numFmtId="0" fontId="24" fillId="4" borderId="43" xfId="2" applyFont="1" applyFill="1" applyBorder="1" applyAlignment="1">
      <alignment horizontal="center"/>
    </xf>
    <xf numFmtId="0" fontId="24" fillId="4" borderId="26" xfId="2" applyFont="1" applyFill="1" applyBorder="1" applyAlignment="1">
      <alignment horizontal="center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8" fillId="0" borderId="0" xfId="2" applyFont="1" applyAlignment="1">
      <alignment horizontal="center"/>
    </xf>
    <xf numFmtId="0" fontId="7" fillId="2" borderId="1" xfId="2" applyFont="1" applyFill="1" applyBorder="1" applyAlignment="1">
      <alignment horizontal="center" vertical="center" wrapText="1"/>
    </xf>
    <xf numFmtId="0" fontId="7" fillId="2" borderId="3" xfId="2" applyFont="1" applyFill="1" applyBorder="1" applyAlignment="1">
      <alignment horizontal="center" vertical="center" wrapText="1"/>
    </xf>
    <xf numFmtId="0" fontId="7" fillId="2" borderId="41" xfId="2" applyFont="1" applyFill="1" applyBorder="1" applyAlignment="1">
      <alignment horizontal="center" vertical="center" wrapText="1"/>
    </xf>
    <xf numFmtId="0" fontId="7" fillId="2" borderId="0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0" fontId="7" fillId="2" borderId="42" xfId="2" applyFont="1" applyFill="1" applyBorder="1" applyAlignment="1">
      <alignment horizontal="center" vertical="center" wrapText="1"/>
    </xf>
    <xf numFmtId="0" fontId="7" fillId="2" borderId="5" xfId="2" applyFont="1" applyFill="1" applyBorder="1" applyAlignment="1">
      <alignment horizontal="center" vertical="center" wrapText="1"/>
    </xf>
    <xf numFmtId="0" fontId="7" fillId="2" borderId="6" xfId="2" applyFont="1" applyFill="1" applyBorder="1" applyAlignment="1">
      <alignment horizontal="center" vertical="center" wrapText="1"/>
    </xf>
    <xf numFmtId="0" fontId="7" fillId="2" borderId="16" xfId="2" applyFont="1" applyFill="1" applyBorder="1" applyAlignment="1">
      <alignment horizontal="center" vertical="center" wrapText="1"/>
    </xf>
    <xf numFmtId="0" fontId="7" fillId="2" borderId="28" xfId="2" applyFont="1" applyFill="1" applyBorder="1" applyAlignment="1">
      <alignment horizontal="center" vertical="center" wrapText="1"/>
    </xf>
    <xf numFmtId="0" fontId="7" fillId="2" borderId="33" xfId="2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/>
    </xf>
  </cellXfs>
  <cellStyles count="3">
    <cellStyle name="Millares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2"/>
  <sheetViews>
    <sheetView workbookViewId="0">
      <selection sqref="A1:H52"/>
    </sheetView>
  </sheetViews>
  <sheetFormatPr baseColWidth="10" defaultRowHeight="15" x14ac:dyDescent="0.25"/>
  <cols>
    <col min="1" max="1" width="13.140625" customWidth="1"/>
    <col min="2" max="2" width="43.85546875" customWidth="1"/>
    <col min="3" max="7" width="23.140625" customWidth="1"/>
    <col min="8" max="8" width="27.5703125" customWidth="1"/>
  </cols>
  <sheetData>
    <row r="1" spans="1:8" ht="18.75" x14ac:dyDescent="0.3">
      <c r="A1" s="181" t="s">
        <v>0</v>
      </c>
      <c r="B1" s="181"/>
      <c r="C1" s="181"/>
      <c r="D1" s="181"/>
      <c r="E1" s="181"/>
      <c r="F1" s="181"/>
      <c r="G1" s="181"/>
      <c r="H1" s="181"/>
    </row>
    <row r="2" spans="1:8" ht="15.75" x14ac:dyDescent="0.25">
      <c r="A2" s="182" t="s">
        <v>1</v>
      </c>
      <c r="B2" s="182"/>
      <c r="C2" s="182"/>
      <c r="D2" s="182"/>
      <c r="E2" s="182"/>
      <c r="F2" s="182"/>
      <c r="G2" s="182"/>
      <c r="H2" s="182"/>
    </row>
    <row r="3" spans="1:8" ht="15.75" x14ac:dyDescent="0.25">
      <c r="A3" s="182" t="s">
        <v>2</v>
      </c>
      <c r="B3" s="182"/>
      <c r="C3" s="182"/>
      <c r="D3" s="182"/>
      <c r="E3" s="182"/>
      <c r="F3" s="182"/>
      <c r="G3" s="182"/>
      <c r="H3" s="182"/>
    </row>
    <row r="4" spans="1:8" ht="15.75" x14ac:dyDescent="0.25">
      <c r="A4" s="1"/>
      <c r="B4" s="1"/>
      <c r="C4" s="1"/>
      <c r="D4" s="1"/>
      <c r="E4" s="1"/>
      <c r="F4" s="1"/>
      <c r="G4" s="1"/>
      <c r="H4" s="2"/>
    </row>
    <row r="5" spans="1:8" ht="15.75" x14ac:dyDescent="0.25">
      <c r="A5" s="3" t="s">
        <v>3</v>
      </c>
      <c r="B5" s="1"/>
      <c r="C5" s="2"/>
      <c r="D5" s="3"/>
      <c r="E5" s="3"/>
      <c r="F5" s="3"/>
      <c r="G5" s="3"/>
      <c r="H5" s="2"/>
    </row>
    <row r="6" spans="1:8" ht="15.75" x14ac:dyDescent="0.25">
      <c r="A6" s="3" t="s">
        <v>4</v>
      </c>
      <c r="B6" s="1"/>
      <c r="C6" s="2"/>
      <c r="D6" s="3"/>
      <c r="E6" s="3"/>
      <c r="F6" s="3"/>
      <c r="G6" s="3"/>
      <c r="H6" s="2"/>
    </row>
    <row r="7" spans="1:8" ht="15.75" x14ac:dyDescent="0.25">
      <c r="A7" s="4" t="s">
        <v>5</v>
      </c>
      <c r="B7" s="4"/>
      <c r="C7" s="2"/>
      <c r="D7" s="4"/>
      <c r="E7" s="4"/>
      <c r="F7" s="4"/>
      <c r="G7" s="4"/>
      <c r="H7" s="2"/>
    </row>
    <row r="8" spans="1:8" ht="16.5" thickBot="1" x14ac:dyDescent="0.3">
      <c r="A8" s="4"/>
      <c r="B8" s="4"/>
      <c r="C8" s="2"/>
      <c r="D8" s="4"/>
      <c r="E8" s="4"/>
      <c r="F8" s="4"/>
      <c r="G8" s="4"/>
      <c r="H8" s="2"/>
    </row>
    <row r="9" spans="1:8" ht="135" x14ac:dyDescent="0.25">
      <c r="A9" s="183" t="s">
        <v>6</v>
      </c>
      <c r="B9" s="184"/>
      <c r="C9" s="5" t="s">
        <v>7</v>
      </c>
      <c r="D9" s="6" t="s">
        <v>8</v>
      </c>
      <c r="E9" s="6" t="s">
        <v>9</v>
      </c>
      <c r="F9" s="6" t="s">
        <v>10</v>
      </c>
      <c r="G9" s="6" t="s">
        <v>11</v>
      </c>
      <c r="H9" s="7" t="s">
        <v>12</v>
      </c>
    </row>
    <row r="10" spans="1:8" ht="15.75" thickBot="1" x14ac:dyDescent="0.3">
      <c r="A10" s="185" t="s">
        <v>13</v>
      </c>
      <c r="B10" s="186"/>
      <c r="C10" s="186"/>
      <c r="D10" s="186"/>
      <c r="E10" s="186"/>
      <c r="F10" s="186"/>
      <c r="G10" s="186"/>
      <c r="H10" s="186"/>
    </row>
    <row r="11" spans="1:8" x14ac:dyDescent="0.25">
      <c r="A11" s="8">
        <v>11</v>
      </c>
      <c r="B11" s="9" t="s">
        <v>14</v>
      </c>
      <c r="C11" s="10"/>
      <c r="D11" s="11"/>
      <c r="E11" s="11"/>
      <c r="F11" s="11"/>
      <c r="G11" s="11"/>
      <c r="H11" s="11"/>
    </row>
    <row r="12" spans="1:8" x14ac:dyDescent="0.25">
      <c r="A12" s="12">
        <v>1101</v>
      </c>
      <c r="B12" s="13" t="s">
        <v>15</v>
      </c>
      <c r="C12" s="14">
        <v>2000</v>
      </c>
      <c r="D12" s="15">
        <v>2500</v>
      </c>
      <c r="E12" s="15">
        <v>2500</v>
      </c>
      <c r="F12" s="15">
        <v>2500</v>
      </c>
      <c r="G12" s="15">
        <v>2500</v>
      </c>
      <c r="H12" s="15"/>
    </row>
    <row r="13" spans="1:8" x14ac:dyDescent="0.25">
      <c r="A13" s="12">
        <v>1102</v>
      </c>
      <c r="B13" s="13" t="s">
        <v>16</v>
      </c>
      <c r="C13" s="14"/>
      <c r="D13" s="15"/>
      <c r="E13" s="15"/>
      <c r="F13" s="15"/>
      <c r="G13" s="15"/>
      <c r="H13" s="15"/>
    </row>
    <row r="14" spans="1:8" x14ac:dyDescent="0.25">
      <c r="A14" s="16">
        <v>110201</v>
      </c>
      <c r="B14" s="13" t="s">
        <v>17</v>
      </c>
      <c r="C14" s="14">
        <v>20000</v>
      </c>
      <c r="D14" s="15">
        <v>25000</v>
      </c>
      <c r="E14" s="15">
        <v>25000</v>
      </c>
      <c r="F14" s="15">
        <v>25000</v>
      </c>
      <c r="G14" s="15">
        <v>25000</v>
      </c>
      <c r="H14" s="15"/>
    </row>
    <row r="15" spans="1:8" x14ac:dyDescent="0.25">
      <c r="A15" s="16">
        <v>110203</v>
      </c>
      <c r="B15" s="13" t="s">
        <v>18</v>
      </c>
      <c r="C15" s="14">
        <v>400</v>
      </c>
      <c r="D15" s="15">
        <v>600</v>
      </c>
      <c r="E15" s="15">
        <v>600</v>
      </c>
      <c r="F15" s="15">
        <v>600</v>
      </c>
      <c r="G15" s="15">
        <v>600</v>
      </c>
      <c r="H15" s="15"/>
    </row>
    <row r="16" spans="1:8" x14ac:dyDescent="0.25">
      <c r="A16" s="16">
        <v>110206</v>
      </c>
      <c r="B16" s="13" t="s">
        <v>19</v>
      </c>
      <c r="C16" s="14">
        <v>16000</v>
      </c>
      <c r="D16" s="15">
        <v>19000</v>
      </c>
      <c r="E16" s="15">
        <v>19000</v>
      </c>
      <c r="F16" s="15">
        <v>19000</v>
      </c>
      <c r="G16" s="15">
        <v>19000</v>
      </c>
      <c r="H16" s="15"/>
    </row>
    <row r="17" spans="1:8" x14ac:dyDescent="0.25">
      <c r="A17" s="16">
        <v>110207</v>
      </c>
      <c r="B17" s="13" t="s">
        <v>20</v>
      </c>
      <c r="C17" s="14">
        <v>4000</v>
      </c>
      <c r="D17" s="15">
        <v>5000</v>
      </c>
      <c r="E17" s="15">
        <v>5000</v>
      </c>
      <c r="F17" s="15">
        <v>5000</v>
      </c>
      <c r="G17" s="15">
        <v>5000</v>
      </c>
      <c r="H17" s="15"/>
    </row>
    <row r="18" spans="1:8" x14ac:dyDescent="0.25">
      <c r="A18" s="16">
        <v>1103</v>
      </c>
      <c r="B18" s="13" t="s">
        <v>21</v>
      </c>
      <c r="C18" s="14"/>
      <c r="D18" s="15"/>
      <c r="E18" s="15"/>
      <c r="F18" s="15"/>
      <c r="G18" s="15"/>
      <c r="H18" s="15"/>
    </row>
    <row r="19" spans="1:8" x14ac:dyDescent="0.25">
      <c r="A19" s="16">
        <v>1107</v>
      </c>
      <c r="B19" s="13" t="s">
        <v>22</v>
      </c>
      <c r="C19" s="14">
        <v>30000</v>
      </c>
      <c r="D19" s="15">
        <v>35000</v>
      </c>
      <c r="E19" s="15">
        <v>35000</v>
      </c>
      <c r="F19" s="15">
        <v>35000</v>
      </c>
      <c r="G19" s="15">
        <v>35000</v>
      </c>
      <c r="H19" s="15"/>
    </row>
    <row r="20" spans="1:8" x14ac:dyDescent="0.25">
      <c r="A20" s="17"/>
      <c r="B20" s="18"/>
      <c r="C20" s="19"/>
      <c r="D20" s="20"/>
      <c r="E20" s="20"/>
      <c r="F20" s="20"/>
      <c r="G20" s="20"/>
      <c r="H20" s="20"/>
    </row>
    <row r="21" spans="1:8" x14ac:dyDescent="0.25">
      <c r="A21" s="21">
        <v>13</v>
      </c>
      <c r="B21" s="22" t="s">
        <v>23</v>
      </c>
      <c r="C21" s="14"/>
      <c r="D21" s="15"/>
      <c r="E21" s="15"/>
      <c r="F21" s="15"/>
      <c r="G21" s="15"/>
      <c r="H21" s="15"/>
    </row>
    <row r="22" spans="1:8" x14ac:dyDescent="0.25">
      <c r="A22" s="16">
        <v>1301</v>
      </c>
      <c r="B22" s="13" t="s">
        <v>24</v>
      </c>
      <c r="C22" s="14">
        <v>55000</v>
      </c>
      <c r="D22" s="15">
        <v>58000</v>
      </c>
      <c r="E22" s="15">
        <v>58000</v>
      </c>
      <c r="F22" s="15">
        <v>58000</v>
      </c>
      <c r="G22" s="15">
        <v>58000</v>
      </c>
      <c r="H22" s="15"/>
    </row>
    <row r="23" spans="1:8" x14ac:dyDescent="0.25">
      <c r="A23" s="16">
        <v>1302</v>
      </c>
      <c r="B23" s="13" t="s">
        <v>25</v>
      </c>
      <c r="C23" s="14"/>
      <c r="D23" s="15"/>
      <c r="E23" s="15"/>
      <c r="F23" s="15"/>
      <c r="G23" s="15"/>
      <c r="H23" s="15"/>
    </row>
    <row r="24" spans="1:8" x14ac:dyDescent="0.25">
      <c r="A24" s="16">
        <v>1303</v>
      </c>
      <c r="B24" s="13" t="s">
        <v>26</v>
      </c>
      <c r="C24" s="19"/>
      <c r="D24" s="20"/>
      <c r="E24" s="20"/>
      <c r="F24" s="20"/>
      <c r="G24" s="20"/>
      <c r="H24" s="20"/>
    </row>
    <row r="25" spans="1:8" x14ac:dyDescent="0.25">
      <c r="A25" s="16">
        <v>1304</v>
      </c>
      <c r="B25" s="13" t="s">
        <v>27</v>
      </c>
      <c r="C25" s="14">
        <v>25000</v>
      </c>
      <c r="D25" s="15">
        <v>28000</v>
      </c>
      <c r="E25" s="15">
        <v>28000</v>
      </c>
      <c r="F25" s="15">
        <v>28000</v>
      </c>
      <c r="G25" s="15">
        <v>28000</v>
      </c>
      <c r="H25" s="20"/>
    </row>
    <row r="26" spans="1:8" x14ac:dyDescent="0.25">
      <c r="A26" s="17"/>
      <c r="B26" s="18"/>
      <c r="C26" s="19"/>
      <c r="D26" s="15"/>
      <c r="E26" s="15"/>
      <c r="F26" s="15"/>
      <c r="G26" s="15"/>
      <c r="H26" s="15"/>
    </row>
    <row r="27" spans="1:8" x14ac:dyDescent="0.25">
      <c r="A27" s="21">
        <v>14</v>
      </c>
      <c r="B27" s="22" t="s">
        <v>28</v>
      </c>
      <c r="C27" s="23">
        <v>8000</v>
      </c>
      <c r="D27" s="24">
        <v>10000</v>
      </c>
      <c r="E27" s="24">
        <v>10000</v>
      </c>
      <c r="F27" s="24">
        <v>10000</v>
      </c>
      <c r="G27" s="24">
        <v>10000</v>
      </c>
      <c r="H27" s="25"/>
    </row>
    <row r="28" spans="1:8" x14ac:dyDescent="0.25">
      <c r="A28" s="26"/>
      <c r="B28" s="18"/>
      <c r="C28" s="27"/>
      <c r="D28" s="28"/>
      <c r="E28" s="28"/>
      <c r="F28" s="28"/>
      <c r="G28" s="28"/>
      <c r="H28" s="28"/>
    </row>
    <row r="29" spans="1:8" x14ac:dyDescent="0.25">
      <c r="A29" s="21">
        <v>17</v>
      </c>
      <c r="B29" s="22" t="s">
        <v>29</v>
      </c>
      <c r="C29" s="29">
        <v>10000</v>
      </c>
      <c r="D29" s="30">
        <v>13000</v>
      </c>
      <c r="E29" s="30">
        <v>13000</v>
      </c>
      <c r="F29" s="30">
        <v>13000</v>
      </c>
      <c r="G29" s="30">
        <v>13000</v>
      </c>
      <c r="H29" s="28"/>
    </row>
    <row r="30" spans="1:8" x14ac:dyDescent="0.25">
      <c r="A30" s="17"/>
      <c r="B30" s="18"/>
      <c r="C30" s="31"/>
      <c r="D30" s="32"/>
      <c r="E30" s="32"/>
      <c r="F30" s="32"/>
      <c r="G30" s="32"/>
      <c r="H30" s="33"/>
    </row>
    <row r="31" spans="1:8" x14ac:dyDescent="0.25">
      <c r="A31" s="21">
        <v>18</v>
      </c>
      <c r="B31" s="22" t="s">
        <v>30</v>
      </c>
      <c r="C31" s="31">
        <v>138345.01999999999</v>
      </c>
      <c r="D31" s="32">
        <v>147838.70000000001</v>
      </c>
      <c r="E31" s="32">
        <v>183976.38</v>
      </c>
      <c r="F31" s="32">
        <v>183976.38</v>
      </c>
      <c r="G31" s="32">
        <v>183976.38</v>
      </c>
      <c r="H31" s="33"/>
    </row>
    <row r="32" spans="1:8" x14ac:dyDescent="0.25">
      <c r="A32" s="17"/>
      <c r="B32" s="13" t="s">
        <v>31</v>
      </c>
      <c r="C32" s="31"/>
      <c r="D32" s="33"/>
      <c r="E32" s="33"/>
      <c r="F32" s="33"/>
      <c r="G32" s="33"/>
      <c r="H32" s="33"/>
    </row>
    <row r="33" spans="1:8" x14ac:dyDescent="0.25">
      <c r="A33" s="21">
        <v>19</v>
      </c>
      <c r="B33" s="22" t="s">
        <v>32</v>
      </c>
      <c r="C33" s="31"/>
      <c r="D33" s="33"/>
      <c r="E33" s="33"/>
      <c r="F33" s="33"/>
      <c r="G33" s="33"/>
      <c r="H33" s="33"/>
    </row>
    <row r="34" spans="1:8" x14ac:dyDescent="0.25">
      <c r="A34" s="16">
        <v>1901</v>
      </c>
      <c r="B34" s="13" t="s">
        <v>33</v>
      </c>
      <c r="C34" s="31"/>
      <c r="D34" s="33"/>
      <c r="E34" s="33"/>
      <c r="F34" s="33"/>
      <c r="G34" s="33"/>
      <c r="H34" s="33"/>
    </row>
    <row r="35" spans="1:8" x14ac:dyDescent="0.25">
      <c r="A35" s="16">
        <v>1902</v>
      </c>
      <c r="B35" s="13" t="s">
        <v>34</v>
      </c>
      <c r="C35" s="29"/>
      <c r="D35" s="28"/>
      <c r="E35" s="28"/>
      <c r="F35" s="28"/>
      <c r="G35" s="28"/>
      <c r="H35" s="28"/>
    </row>
    <row r="36" spans="1:8" ht="15.75" thickBot="1" x14ac:dyDescent="0.3">
      <c r="A36" s="34">
        <v>1904</v>
      </c>
      <c r="B36" s="35" t="s">
        <v>35</v>
      </c>
      <c r="C36" s="36">
        <v>1000</v>
      </c>
      <c r="D36" s="37">
        <v>3000</v>
      </c>
      <c r="E36" s="37">
        <v>3000</v>
      </c>
      <c r="F36" s="37">
        <v>3000</v>
      </c>
      <c r="G36" s="37">
        <v>3000</v>
      </c>
      <c r="H36" s="37"/>
    </row>
    <row r="37" spans="1:8" ht="15.75" thickBot="1" x14ac:dyDescent="0.3">
      <c r="A37" s="38"/>
      <c r="B37" s="39" t="s">
        <v>36</v>
      </c>
      <c r="C37" s="40">
        <f>SUM(C12:C36)</f>
        <v>309745.02</v>
      </c>
      <c r="D37" s="40">
        <f>SUM(D12:D36)</f>
        <v>346938.7</v>
      </c>
      <c r="E37" s="40">
        <f>SUM(E12:E36)</f>
        <v>383076.38</v>
      </c>
      <c r="F37" s="40">
        <f t="shared" ref="F37:G37" si="0">SUM(F12:F36)</f>
        <v>383076.38</v>
      </c>
      <c r="G37" s="40">
        <f t="shared" si="0"/>
        <v>383076.38</v>
      </c>
      <c r="H37" s="41"/>
    </row>
    <row r="38" spans="1:8" ht="15.75" thickBot="1" x14ac:dyDescent="0.3">
      <c r="A38" s="42"/>
      <c r="B38" s="43" t="s">
        <v>37</v>
      </c>
      <c r="C38" s="44"/>
      <c r="D38" s="45"/>
      <c r="E38" s="45"/>
      <c r="F38" s="45"/>
      <c r="G38" s="45"/>
      <c r="H38" s="45"/>
    </row>
    <row r="39" spans="1:8" x14ac:dyDescent="0.25">
      <c r="A39" s="46"/>
      <c r="B39" s="47"/>
      <c r="C39" s="46"/>
      <c r="D39" s="46"/>
      <c r="E39" s="46"/>
      <c r="F39" s="46"/>
      <c r="G39" s="46"/>
      <c r="H39" s="2"/>
    </row>
    <row r="40" spans="1:8" x14ac:dyDescent="0.25">
      <c r="A40" s="48" t="s">
        <v>38</v>
      </c>
      <c r="B40" s="47"/>
      <c r="C40" s="46"/>
      <c r="D40" s="46"/>
      <c r="E40" s="46"/>
      <c r="F40" s="46"/>
      <c r="G40" s="46"/>
      <c r="H40" s="2"/>
    </row>
    <row r="41" spans="1:8" x14ac:dyDescent="0.25">
      <c r="A41" s="48" t="s">
        <v>39</v>
      </c>
      <c r="B41" s="47"/>
      <c r="C41" s="46"/>
      <c r="D41" s="46"/>
      <c r="E41" s="46"/>
      <c r="F41" s="46"/>
      <c r="G41" s="46"/>
      <c r="H41" s="2"/>
    </row>
    <row r="42" spans="1:8" x14ac:dyDescent="0.25">
      <c r="A42" s="48" t="s">
        <v>40</v>
      </c>
      <c r="B42" s="46"/>
      <c r="C42" s="46"/>
      <c r="D42" s="46"/>
      <c r="E42" s="46"/>
      <c r="F42" s="46"/>
      <c r="G42" s="46"/>
      <c r="H42" s="2"/>
    </row>
    <row r="43" spans="1:8" x14ac:dyDescent="0.25">
      <c r="A43" s="46"/>
      <c r="B43" s="47"/>
      <c r="C43" s="46"/>
      <c r="D43" s="46"/>
      <c r="E43" s="46"/>
      <c r="F43" s="46"/>
      <c r="G43" s="46"/>
      <c r="H43" s="2"/>
    </row>
    <row r="44" spans="1:8" x14ac:dyDescent="0.25">
      <c r="A44" s="46"/>
      <c r="B44" s="47"/>
      <c r="C44" s="46"/>
      <c r="D44" s="46"/>
      <c r="E44" s="46"/>
      <c r="F44" s="46"/>
      <c r="G44" s="46"/>
      <c r="H44" s="2"/>
    </row>
    <row r="45" spans="1:8" x14ac:dyDescent="0.25">
      <c r="A45" s="46"/>
      <c r="B45" s="46"/>
      <c r="C45" s="46"/>
      <c r="D45" s="46"/>
      <c r="E45" s="46"/>
      <c r="F45" s="46"/>
      <c r="G45" s="46"/>
      <c r="H45" s="2"/>
    </row>
    <row r="46" spans="1:8" x14ac:dyDescent="0.25">
      <c r="A46" s="46"/>
      <c r="B46" s="46"/>
      <c r="C46" s="46"/>
      <c r="D46" s="46"/>
      <c r="E46" s="46"/>
      <c r="F46" s="46"/>
      <c r="G46" s="46"/>
      <c r="H46" s="2"/>
    </row>
    <row r="47" spans="1:8" x14ac:dyDescent="0.25">
      <c r="A47" s="2"/>
      <c r="B47" s="49" t="s">
        <v>41</v>
      </c>
      <c r="C47" s="50"/>
      <c r="D47" s="187" t="s">
        <v>42</v>
      </c>
      <c r="E47" s="187"/>
      <c r="F47" s="187"/>
      <c r="G47" s="187"/>
      <c r="H47" s="187"/>
    </row>
    <row r="48" spans="1:8" x14ac:dyDescent="0.25">
      <c r="A48" s="2"/>
      <c r="B48" s="50"/>
      <c r="C48" s="50"/>
      <c r="D48" s="46"/>
      <c r="E48" s="46"/>
      <c r="F48" s="46"/>
      <c r="G48" s="46"/>
      <c r="H48" s="2"/>
    </row>
    <row r="49" spans="1:8" x14ac:dyDescent="0.25">
      <c r="A49" s="2"/>
      <c r="B49" s="51" t="s">
        <v>43</v>
      </c>
      <c r="C49" s="46"/>
      <c r="D49" s="51" t="s">
        <v>44</v>
      </c>
      <c r="E49" s="51"/>
      <c r="F49" s="51"/>
      <c r="G49" s="51"/>
      <c r="H49" s="2"/>
    </row>
    <row r="50" spans="1:8" x14ac:dyDescent="0.25">
      <c r="A50" s="2"/>
      <c r="B50" s="46"/>
      <c r="C50" s="46"/>
      <c r="D50" s="46"/>
      <c r="E50" s="46"/>
      <c r="F50" s="46"/>
      <c r="G50" s="46"/>
      <c r="H50" s="2"/>
    </row>
    <row r="51" spans="1:8" x14ac:dyDescent="0.25">
      <c r="A51" s="2"/>
      <c r="B51" s="51" t="s">
        <v>45</v>
      </c>
      <c r="C51" s="46"/>
      <c r="D51" s="46"/>
      <c r="E51" s="46"/>
      <c r="F51" s="46"/>
      <c r="G51" s="46"/>
      <c r="H51" s="2"/>
    </row>
    <row r="52" spans="1:8" x14ac:dyDescent="0.25">
      <c r="A52" s="2"/>
      <c r="B52" s="51" t="s">
        <v>46</v>
      </c>
      <c r="C52" s="46"/>
      <c r="D52" s="46"/>
      <c r="E52" s="46"/>
      <c r="F52" s="46"/>
      <c r="G52" s="46"/>
      <c r="H52" s="2"/>
    </row>
  </sheetData>
  <mergeCells count="6">
    <mergeCell ref="D47:H47"/>
    <mergeCell ref="A1:H1"/>
    <mergeCell ref="A2:H2"/>
    <mergeCell ref="A3:H3"/>
    <mergeCell ref="A9:B9"/>
    <mergeCell ref="A10:H1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5"/>
  <sheetViews>
    <sheetView workbookViewId="0">
      <selection sqref="A1:H55"/>
    </sheetView>
  </sheetViews>
  <sheetFormatPr baseColWidth="10" defaultRowHeight="15" x14ac:dyDescent="0.25"/>
  <cols>
    <col min="1" max="1" width="18" customWidth="1"/>
    <col min="2" max="2" width="42.28515625" customWidth="1"/>
    <col min="3" max="3" width="23" customWidth="1"/>
    <col min="4" max="4" width="21" customWidth="1"/>
    <col min="5" max="6" width="21.28515625" customWidth="1"/>
    <col min="7" max="7" width="20.7109375" customWidth="1"/>
    <col min="8" max="8" width="18.28515625" customWidth="1"/>
  </cols>
  <sheetData>
    <row r="1" spans="1:8" ht="18.75" x14ac:dyDescent="0.3">
      <c r="A1" s="181" t="s">
        <v>0</v>
      </c>
      <c r="B1" s="181"/>
      <c r="C1" s="181"/>
      <c r="D1" s="181"/>
      <c r="E1" s="181"/>
      <c r="F1" s="181"/>
      <c r="G1" s="181"/>
      <c r="H1" s="181"/>
    </row>
    <row r="2" spans="1:8" ht="15.75" x14ac:dyDescent="0.25">
      <c r="A2" s="182" t="s">
        <v>47</v>
      </c>
      <c r="B2" s="182"/>
      <c r="C2" s="182"/>
      <c r="D2" s="182"/>
      <c r="E2" s="182"/>
      <c r="F2" s="182"/>
      <c r="G2" s="182"/>
      <c r="H2" s="182"/>
    </row>
    <row r="3" spans="1:8" ht="15.75" x14ac:dyDescent="0.25">
      <c r="A3" s="1"/>
      <c r="B3" s="1"/>
      <c r="C3" s="1"/>
      <c r="D3" s="1"/>
      <c r="E3" s="1"/>
      <c r="F3" s="1"/>
      <c r="G3" s="1"/>
      <c r="H3" s="52"/>
    </row>
    <row r="4" spans="1:8" ht="15.75" x14ac:dyDescent="0.25">
      <c r="A4" s="3" t="s">
        <v>3</v>
      </c>
      <c r="B4" s="1"/>
      <c r="C4" s="1"/>
      <c r="D4" s="1"/>
      <c r="E4" s="1"/>
      <c r="F4" s="1"/>
      <c r="G4" s="1"/>
      <c r="H4" s="1"/>
    </row>
    <row r="5" spans="1:8" ht="15.75" x14ac:dyDescent="0.25">
      <c r="A5" s="3" t="s">
        <v>4</v>
      </c>
      <c r="B5" s="53"/>
      <c r="C5" s="54"/>
      <c r="D5" s="54"/>
      <c r="E5" s="54"/>
      <c r="F5" s="54"/>
      <c r="G5" s="54"/>
      <c r="H5" s="55"/>
    </row>
    <row r="6" spans="1:8" ht="15.75" x14ac:dyDescent="0.25">
      <c r="A6" s="4" t="s">
        <v>5</v>
      </c>
      <c r="B6" s="56"/>
      <c r="C6" s="56"/>
      <c r="D6" s="56"/>
      <c r="E6" s="56"/>
      <c r="F6" s="56"/>
      <c r="G6" s="56"/>
      <c r="H6" s="56"/>
    </row>
    <row r="7" spans="1:8" ht="16.5" thickBot="1" x14ac:dyDescent="0.3">
      <c r="A7" s="4"/>
      <c r="B7" s="56"/>
      <c r="C7" s="56"/>
      <c r="D7" s="56"/>
      <c r="E7" s="56"/>
      <c r="F7" s="56"/>
      <c r="G7" s="56"/>
      <c r="H7" s="56"/>
    </row>
    <row r="8" spans="1:8" ht="79.5" thickBot="1" x14ac:dyDescent="0.3">
      <c r="A8" s="57" t="s">
        <v>48</v>
      </c>
      <c r="B8" s="58" t="s">
        <v>49</v>
      </c>
      <c r="C8" s="59" t="s">
        <v>50</v>
      </c>
      <c r="D8" s="60" t="s">
        <v>51</v>
      </c>
      <c r="E8" s="60" t="s">
        <v>52</v>
      </c>
      <c r="F8" s="60" t="s">
        <v>53</v>
      </c>
      <c r="G8" s="60" t="s">
        <v>54</v>
      </c>
      <c r="H8" s="60" t="s">
        <v>12</v>
      </c>
    </row>
    <row r="9" spans="1:8" ht="15.75" thickBot="1" x14ac:dyDescent="0.3">
      <c r="A9" s="61" t="s">
        <v>55</v>
      </c>
      <c r="B9" s="62"/>
      <c r="C9" s="62"/>
      <c r="D9" s="62"/>
      <c r="E9" s="62"/>
      <c r="F9" s="62"/>
      <c r="G9" s="62"/>
      <c r="H9" s="63"/>
    </row>
    <row r="10" spans="1:8" x14ac:dyDescent="0.25">
      <c r="A10" s="64">
        <v>5101</v>
      </c>
      <c r="B10" s="65" t="s">
        <v>56</v>
      </c>
      <c r="C10" s="66"/>
      <c r="D10" s="67"/>
      <c r="E10" s="67"/>
      <c r="F10" s="67"/>
      <c r="G10" s="67"/>
      <c r="H10" s="67"/>
    </row>
    <row r="11" spans="1:8" x14ac:dyDescent="0.25">
      <c r="A11" s="68">
        <v>510106</v>
      </c>
      <c r="B11" s="69" t="s">
        <v>57</v>
      </c>
      <c r="C11" s="70">
        <f>18793.75*12</f>
        <v>225525</v>
      </c>
      <c r="D11" s="71">
        <f>21218.75*12</f>
        <v>254625</v>
      </c>
      <c r="E11" s="71">
        <f>23215*12</f>
        <v>278580</v>
      </c>
      <c r="F11" s="71">
        <f t="shared" ref="F11:G11" si="0">23215*12</f>
        <v>278580</v>
      </c>
      <c r="G11" s="71">
        <f t="shared" si="0"/>
        <v>278580</v>
      </c>
      <c r="H11" s="71"/>
    </row>
    <row r="12" spans="1:8" x14ac:dyDescent="0.25">
      <c r="A12" s="68"/>
      <c r="B12" s="69"/>
      <c r="C12" s="72"/>
      <c r="D12" s="14"/>
      <c r="E12" s="14"/>
      <c r="F12" s="14"/>
      <c r="G12" s="14"/>
      <c r="H12" s="14"/>
    </row>
    <row r="13" spans="1:8" x14ac:dyDescent="0.25">
      <c r="A13" s="64">
        <v>5102</v>
      </c>
      <c r="B13" s="65" t="s">
        <v>58</v>
      </c>
      <c r="C13" s="72"/>
      <c r="D13" s="14"/>
      <c r="E13" s="14"/>
      <c r="F13" s="14"/>
      <c r="G13" s="14"/>
      <c r="H13" s="14"/>
    </row>
    <row r="14" spans="1:8" x14ac:dyDescent="0.25">
      <c r="A14" s="68">
        <v>510203</v>
      </c>
      <c r="B14" s="69" t="s">
        <v>59</v>
      </c>
      <c r="C14" s="70">
        <v>18793.75</v>
      </c>
      <c r="D14" s="71">
        <v>21218.75</v>
      </c>
      <c r="E14" s="71">
        <v>23215</v>
      </c>
      <c r="F14" s="71">
        <v>23215</v>
      </c>
      <c r="G14" s="71">
        <v>23215</v>
      </c>
      <c r="H14" s="71"/>
    </row>
    <row r="15" spans="1:8" x14ac:dyDescent="0.25">
      <c r="A15" s="68">
        <v>510204</v>
      </c>
      <c r="B15" s="69" t="s">
        <v>60</v>
      </c>
      <c r="C15" s="70">
        <v>15054</v>
      </c>
      <c r="D15" s="70">
        <v>15054</v>
      </c>
      <c r="E15" s="70">
        <v>15054</v>
      </c>
      <c r="F15" s="70">
        <v>15054</v>
      </c>
      <c r="G15" s="70">
        <v>15054</v>
      </c>
      <c r="H15" s="71"/>
    </row>
    <row r="16" spans="1:8" x14ac:dyDescent="0.25">
      <c r="A16" s="68"/>
      <c r="B16" s="69"/>
      <c r="C16" s="70"/>
      <c r="D16" s="71"/>
      <c r="E16" s="71"/>
      <c r="F16" s="71"/>
      <c r="G16" s="71"/>
      <c r="H16" s="71"/>
    </row>
    <row r="17" spans="1:8" x14ac:dyDescent="0.25">
      <c r="A17" s="64">
        <v>5103</v>
      </c>
      <c r="B17" s="65" t="s">
        <v>61</v>
      </c>
      <c r="C17" s="70"/>
      <c r="D17" s="71"/>
      <c r="E17" s="71"/>
      <c r="F17" s="71"/>
      <c r="G17" s="71"/>
      <c r="H17" s="71"/>
    </row>
    <row r="18" spans="1:8" x14ac:dyDescent="0.25">
      <c r="A18" s="68">
        <v>510304</v>
      </c>
      <c r="B18" s="69" t="s">
        <v>62</v>
      </c>
      <c r="C18" s="70">
        <v>0</v>
      </c>
      <c r="D18" s="71">
        <v>0</v>
      </c>
      <c r="E18" s="71">
        <v>5520</v>
      </c>
      <c r="F18" s="71">
        <v>5520</v>
      </c>
      <c r="G18" s="71">
        <v>5520</v>
      </c>
      <c r="H18" s="71"/>
    </row>
    <row r="19" spans="1:8" x14ac:dyDescent="0.25">
      <c r="A19" s="68">
        <v>510307</v>
      </c>
      <c r="B19" s="69" t="s">
        <v>63</v>
      </c>
      <c r="C19" s="70">
        <v>0</v>
      </c>
      <c r="D19" s="71">
        <v>0</v>
      </c>
      <c r="E19" s="71">
        <v>0</v>
      </c>
      <c r="F19" s="71">
        <v>0</v>
      </c>
      <c r="G19" s="71">
        <v>0</v>
      </c>
      <c r="H19" s="71"/>
    </row>
    <row r="20" spans="1:8" x14ac:dyDescent="0.25">
      <c r="A20" s="68"/>
      <c r="B20" s="69"/>
      <c r="C20" s="70"/>
      <c r="D20" s="71"/>
      <c r="E20" s="71"/>
      <c r="F20" s="71"/>
      <c r="G20" s="71"/>
      <c r="H20" s="71"/>
    </row>
    <row r="21" spans="1:8" x14ac:dyDescent="0.25">
      <c r="A21" s="64">
        <v>5104</v>
      </c>
      <c r="B21" s="65" t="s">
        <v>64</v>
      </c>
      <c r="C21" s="70"/>
      <c r="D21" s="71"/>
      <c r="E21" s="71"/>
      <c r="F21" s="71"/>
      <c r="G21" s="71"/>
      <c r="H21" s="71"/>
    </row>
    <row r="22" spans="1:8" x14ac:dyDescent="0.25">
      <c r="A22" s="68">
        <v>510401</v>
      </c>
      <c r="B22" s="69" t="s">
        <v>65</v>
      </c>
      <c r="C22" s="70">
        <v>0</v>
      </c>
      <c r="D22" s="71">
        <v>0</v>
      </c>
      <c r="E22" s="71">
        <v>0</v>
      </c>
      <c r="F22" s="71">
        <v>0</v>
      </c>
      <c r="G22" s="71">
        <v>0</v>
      </c>
      <c r="H22" s="71"/>
    </row>
    <row r="23" spans="1:8" x14ac:dyDescent="0.25">
      <c r="A23" s="68"/>
      <c r="B23" s="65"/>
      <c r="C23" s="70"/>
      <c r="D23" s="71"/>
      <c r="E23" s="71"/>
      <c r="F23" s="71"/>
      <c r="G23" s="71"/>
      <c r="H23" s="71"/>
    </row>
    <row r="24" spans="1:8" x14ac:dyDescent="0.25">
      <c r="A24" s="64">
        <v>5105</v>
      </c>
      <c r="B24" s="65" t="s">
        <v>66</v>
      </c>
      <c r="C24" s="72"/>
      <c r="D24" s="14"/>
      <c r="E24" s="14"/>
      <c r="F24" s="14"/>
      <c r="G24" s="14"/>
      <c r="H24" s="14"/>
    </row>
    <row r="25" spans="1:8" x14ac:dyDescent="0.25">
      <c r="A25" s="73" t="s">
        <v>67</v>
      </c>
      <c r="B25" s="69" t="s">
        <v>68</v>
      </c>
      <c r="C25" s="72">
        <v>0</v>
      </c>
      <c r="D25" s="14">
        <v>0</v>
      </c>
      <c r="E25" s="14">
        <v>0</v>
      </c>
      <c r="F25" s="14">
        <v>0</v>
      </c>
      <c r="G25" s="14">
        <v>0</v>
      </c>
      <c r="H25" s="14"/>
    </row>
    <row r="26" spans="1:8" x14ac:dyDescent="0.25">
      <c r="A26" s="68"/>
      <c r="B26" s="69"/>
      <c r="C26" s="72"/>
      <c r="D26" s="14"/>
      <c r="E26" s="14"/>
      <c r="F26" s="14"/>
      <c r="G26" s="14"/>
      <c r="H26" s="14"/>
    </row>
    <row r="27" spans="1:8" x14ac:dyDescent="0.25">
      <c r="A27" s="64">
        <v>5106</v>
      </c>
      <c r="B27" s="65" t="s">
        <v>69</v>
      </c>
      <c r="C27" s="72"/>
      <c r="D27" s="14"/>
      <c r="E27" s="14"/>
      <c r="F27" s="14"/>
      <c r="G27" s="14"/>
      <c r="H27" s="14"/>
    </row>
    <row r="28" spans="1:8" x14ac:dyDescent="0.25">
      <c r="A28" s="73" t="s">
        <v>70</v>
      </c>
      <c r="B28" s="69" t="s">
        <v>71</v>
      </c>
      <c r="C28" s="70">
        <f>C11*11.15/100</f>
        <v>25146.037499999999</v>
      </c>
      <c r="D28" s="70">
        <f t="shared" ref="D28:G28" si="1">D11*11.15/100</f>
        <v>28390.6875</v>
      </c>
      <c r="E28" s="70">
        <f t="shared" si="1"/>
        <v>31061.67</v>
      </c>
      <c r="F28" s="70">
        <f t="shared" si="1"/>
        <v>31061.67</v>
      </c>
      <c r="G28" s="70">
        <f t="shared" si="1"/>
        <v>31061.67</v>
      </c>
      <c r="H28" s="71"/>
    </row>
    <row r="29" spans="1:8" x14ac:dyDescent="0.25">
      <c r="A29" s="73" t="s">
        <v>72</v>
      </c>
      <c r="B29" s="69" t="s">
        <v>73</v>
      </c>
      <c r="C29" s="70">
        <f>C11*8.33/100</f>
        <v>18786.232499999998</v>
      </c>
      <c r="D29" s="70">
        <f t="shared" ref="D29:G29" si="2">D11*8.33/100</f>
        <v>21210.262500000001</v>
      </c>
      <c r="E29" s="70">
        <f t="shared" si="2"/>
        <v>23205.714</v>
      </c>
      <c r="F29" s="70">
        <f t="shared" si="2"/>
        <v>23205.714</v>
      </c>
      <c r="G29" s="70">
        <f t="shared" si="2"/>
        <v>23205.714</v>
      </c>
      <c r="H29" s="71"/>
    </row>
    <row r="30" spans="1:8" x14ac:dyDescent="0.25">
      <c r="A30" s="73" t="s">
        <v>74</v>
      </c>
      <c r="B30" s="69" t="s">
        <v>75</v>
      </c>
      <c r="C30" s="70">
        <v>0</v>
      </c>
      <c r="D30" s="71">
        <v>0</v>
      </c>
      <c r="E30" s="71">
        <v>0</v>
      </c>
      <c r="F30" s="71">
        <v>0</v>
      </c>
      <c r="G30" s="71">
        <v>0</v>
      </c>
      <c r="H30" s="71"/>
    </row>
    <row r="31" spans="1:8" x14ac:dyDescent="0.25">
      <c r="A31" s="68"/>
      <c r="B31" s="69"/>
      <c r="C31" s="72"/>
      <c r="D31" s="14"/>
      <c r="E31" s="14"/>
      <c r="F31" s="14"/>
      <c r="G31" s="14"/>
      <c r="H31" s="14"/>
    </row>
    <row r="32" spans="1:8" x14ac:dyDescent="0.25">
      <c r="A32" s="64">
        <v>5107</v>
      </c>
      <c r="B32" s="65" t="s">
        <v>76</v>
      </c>
      <c r="C32" s="72"/>
      <c r="D32" s="14"/>
      <c r="E32" s="14"/>
      <c r="F32" s="14"/>
      <c r="G32" s="14"/>
      <c r="H32" s="14"/>
    </row>
    <row r="33" spans="1:8" x14ac:dyDescent="0.25">
      <c r="A33" s="68">
        <v>510704</v>
      </c>
      <c r="B33" s="69" t="s">
        <v>77</v>
      </c>
      <c r="C33" s="72">
        <v>0</v>
      </c>
      <c r="D33" s="14">
        <v>0</v>
      </c>
      <c r="E33" s="14">
        <v>0</v>
      </c>
      <c r="F33" s="14">
        <v>0</v>
      </c>
      <c r="G33" s="14">
        <v>0</v>
      </c>
      <c r="H33" s="14"/>
    </row>
    <row r="34" spans="1:8" x14ac:dyDescent="0.25">
      <c r="A34" s="68">
        <v>510705</v>
      </c>
      <c r="B34" s="69" t="s">
        <v>78</v>
      </c>
      <c r="C34" s="72">
        <v>0</v>
      </c>
      <c r="D34" s="14">
        <v>0</v>
      </c>
      <c r="E34" s="14">
        <v>0</v>
      </c>
      <c r="F34" s="14">
        <v>0</v>
      </c>
      <c r="G34" s="14">
        <v>0</v>
      </c>
      <c r="H34" s="14"/>
    </row>
    <row r="35" spans="1:8" x14ac:dyDescent="0.25">
      <c r="A35" s="68"/>
      <c r="B35" s="69"/>
      <c r="C35" s="72"/>
      <c r="D35" s="14"/>
      <c r="E35" s="14"/>
      <c r="F35" s="14"/>
      <c r="G35" s="14"/>
      <c r="H35" s="14"/>
    </row>
    <row r="36" spans="1:8" x14ac:dyDescent="0.25">
      <c r="A36" s="64">
        <v>5308</v>
      </c>
      <c r="B36" s="65" t="s">
        <v>79</v>
      </c>
      <c r="C36" s="72"/>
      <c r="D36" s="14"/>
      <c r="E36" s="14"/>
      <c r="F36" s="14"/>
      <c r="G36" s="14"/>
      <c r="H36" s="14"/>
    </row>
    <row r="37" spans="1:8" x14ac:dyDescent="0.25">
      <c r="A37" s="68">
        <v>530802</v>
      </c>
      <c r="B37" s="69" t="s">
        <v>80</v>
      </c>
      <c r="C37" s="72">
        <v>6440</v>
      </c>
      <c r="D37" s="72">
        <v>6440</v>
      </c>
      <c r="E37" s="72">
        <v>6440</v>
      </c>
      <c r="F37" s="72">
        <v>6440</v>
      </c>
      <c r="G37" s="72">
        <v>6440</v>
      </c>
      <c r="H37" s="14"/>
    </row>
    <row r="38" spans="1:8" x14ac:dyDescent="0.25">
      <c r="A38" s="68"/>
      <c r="B38" s="69"/>
      <c r="C38" s="72"/>
      <c r="D38" s="14"/>
      <c r="E38" s="14"/>
      <c r="F38" s="14"/>
      <c r="G38" s="14"/>
      <c r="H38" s="14"/>
    </row>
    <row r="39" spans="1:8" x14ac:dyDescent="0.25">
      <c r="A39" s="68"/>
      <c r="B39" s="69"/>
      <c r="C39" s="72"/>
      <c r="D39" s="14"/>
      <c r="E39" s="14"/>
      <c r="F39" s="14"/>
      <c r="G39" s="14"/>
      <c r="H39" s="14"/>
    </row>
    <row r="40" spans="1:8" ht="15.75" thickBot="1" x14ac:dyDescent="0.3">
      <c r="A40" s="74"/>
      <c r="B40" s="75"/>
      <c r="C40" s="76"/>
      <c r="D40" s="77"/>
      <c r="E40" s="77"/>
      <c r="F40" s="77"/>
      <c r="G40" s="77"/>
      <c r="H40" s="77"/>
    </row>
    <row r="41" spans="1:8" ht="15.75" thickBot="1" x14ac:dyDescent="0.3">
      <c r="A41" s="78"/>
      <c r="B41" s="79" t="s">
        <v>36</v>
      </c>
      <c r="C41" s="80">
        <f>SUM(C10:C40)</f>
        <v>309745.01999999996</v>
      </c>
      <c r="D41" s="80">
        <f>SUM(D10:D40)</f>
        <v>346938.7</v>
      </c>
      <c r="E41" s="80">
        <f>SUM(E10:E40)</f>
        <v>383076.38399999996</v>
      </c>
      <c r="F41" s="80">
        <f t="shared" ref="F41:G41" si="3">SUM(F10:F40)</f>
        <v>383076.38399999996</v>
      </c>
      <c r="G41" s="80">
        <f t="shared" si="3"/>
        <v>383076.38399999996</v>
      </c>
      <c r="H41" s="81"/>
    </row>
    <row r="42" spans="1:8" ht="15.75" thickBot="1" x14ac:dyDescent="0.3">
      <c r="A42" s="82"/>
      <c r="B42" s="83" t="s">
        <v>37</v>
      </c>
      <c r="C42" s="84"/>
      <c r="D42" s="82"/>
      <c r="E42" s="82"/>
      <c r="F42" s="82"/>
      <c r="G42" s="82"/>
      <c r="H42" s="82"/>
    </row>
    <row r="43" spans="1:8" x14ac:dyDescent="0.25">
      <c r="A43" s="46"/>
      <c r="B43" s="47"/>
      <c r="C43" s="46"/>
      <c r="D43" s="46"/>
      <c r="E43" s="46"/>
      <c r="F43" s="46"/>
      <c r="G43" s="46"/>
      <c r="H43" s="2"/>
    </row>
    <row r="44" spans="1:8" x14ac:dyDescent="0.25">
      <c r="A44" s="48" t="s">
        <v>38</v>
      </c>
      <c r="B44" s="47"/>
      <c r="C44" s="46"/>
      <c r="D44" s="46"/>
      <c r="E44" s="85"/>
      <c r="F44" s="85"/>
      <c r="G44" s="85"/>
      <c r="H44" s="86"/>
    </row>
    <row r="45" spans="1:8" x14ac:dyDescent="0.25">
      <c r="A45" s="48" t="s">
        <v>39</v>
      </c>
      <c r="B45" s="46"/>
      <c r="C45" s="46"/>
      <c r="D45" s="85"/>
      <c r="E45" s="85"/>
      <c r="F45" s="85"/>
      <c r="G45" s="85"/>
      <c r="H45" s="86"/>
    </row>
    <row r="46" spans="1:8" x14ac:dyDescent="0.25">
      <c r="A46" s="48" t="s">
        <v>40</v>
      </c>
      <c r="B46" s="46"/>
      <c r="C46" s="46"/>
      <c r="D46" s="85"/>
      <c r="E46" s="85"/>
      <c r="F46" s="85"/>
      <c r="G46" s="85"/>
      <c r="H46" s="86"/>
    </row>
    <row r="47" spans="1:8" x14ac:dyDescent="0.25">
      <c r="A47" s="46"/>
      <c r="B47" s="46"/>
      <c r="C47" s="46"/>
      <c r="D47" s="85"/>
      <c r="E47" s="85"/>
      <c r="F47" s="85"/>
      <c r="G47" s="85"/>
      <c r="H47" s="86"/>
    </row>
    <row r="48" spans="1:8" x14ac:dyDescent="0.25">
      <c r="A48" s="46"/>
      <c r="B48" s="46"/>
      <c r="C48" s="46"/>
      <c r="D48" s="85"/>
      <c r="E48" s="85"/>
      <c r="F48" s="85"/>
      <c r="G48" s="85"/>
      <c r="H48" s="86"/>
    </row>
    <row r="49" spans="1:8" x14ac:dyDescent="0.25">
      <c r="A49" s="46"/>
      <c r="B49" s="46"/>
      <c r="C49" s="46"/>
      <c r="D49" s="85"/>
      <c r="E49" s="85"/>
      <c r="F49" s="85"/>
      <c r="G49" s="85"/>
      <c r="H49" s="86"/>
    </row>
    <row r="50" spans="1:8" x14ac:dyDescent="0.25">
      <c r="A50" s="2"/>
      <c r="B50" s="46"/>
      <c r="C50" s="46"/>
      <c r="D50" s="46"/>
      <c r="E50" s="46"/>
      <c r="F50" s="46"/>
      <c r="G50" s="46"/>
      <c r="H50" s="86"/>
    </row>
    <row r="51" spans="1:8" x14ac:dyDescent="0.25">
      <c r="A51" s="2"/>
      <c r="B51" s="87" t="s">
        <v>81</v>
      </c>
      <c r="C51" s="88"/>
      <c r="D51" s="49" t="s">
        <v>82</v>
      </c>
      <c r="E51" s="49"/>
      <c r="F51" s="49"/>
      <c r="G51" s="49"/>
      <c r="H51" s="49"/>
    </row>
    <row r="52" spans="1:8" x14ac:dyDescent="0.25">
      <c r="A52" s="2"/>
      <c r="B52" s="50"/>
      <c r="C52" s="50"/>
      <c r="D52" s="50"/>
      <c r="E52" s="50"/>
      <c r="F52" s="50"/>
      <c r="G52" s="50"/>
      <c r="H52" s="86"/>
    </row>
    <row r="53" spans="1:8" x14ac:dyDescent="0.25">
      <c r="A53" s="2"/>
      <c r="B53" s="51" t="s">
        <v>43</v>
      </c>
      <c r="C53" s="89"/>
      <c r="D53" s="90" t="s">
        <v>44</v>
      </c>
      <c r="E53" s="90"/>
      <c r="F53" s="90"/>
      <c r="G53" s="90"/>
      <c r="H53" s="90"/>
    </row>
    <row r="54" spans="1:8" x14ac:dyDescent="0.25">
      <c r="A54" s="2"/>
      <c r="B54" s="51" t="s">
        <v>45</v>
      </c>
      <c r="C54" s="46"/>
      <c r="D54" s="46"/>
      <c r="E54" s="46"/>
      <c r="F54" s="46"/>
      <c r="G54" s="46"/>
      <c r="H54" s="2"/>
    </row>
    <row r="55" spans="1:8" x14ac:dyDescent="0.25">
      <c r="A55" s="2"/>
      <c r="B55" s="51" t="s">
        <v>46</v>
      </c>
      <c r="C55" s="46"/>
      <c r="D55" s="46"/>
      <c r="E55" s="46"/>
      <c r="F55" s="46"/>
      <c r="G55" s="46"/>
      <c r="H55" s="2"/>
    </row>
  </sheetData>
  <mergeCells count="2">
    <mergeCell ref="A1:H1"/>
    <mergeCell ref="A2:H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34"/>
  <sheetViews>
    <sheetView tabSelected="1" topLeftCell="A38" workbookViewId="0">
      <selection activeCell="A69" sqref="A69:K69"/>
    </sheetView>
  </sheetViews>
  <sheetFormatPr baseColWidth="10" defaultRowHeight="15" x14ac:dyDescent="0.25"/>
  <cols>
    <col min="1" max="1" width="13.85546875" customWidth="1"/>
    <col min="2" max="2" width="40.42578125" customWidth="1"/>
    <col min="3" max="3" width="12.5703125" customWidth="1"/>
    <col min="4" max="4" width="9.28515625" customWidth="1"/>
    <col min="5" max="5" width="36" bestFit="1" customWidth="1"/>
    <col min="6" max="10" width="15.7109375" customWidth="1"/>
    <col min="11" max="11" width="18.7109375" customWidth="1"/>
  </cols>
  <sheetData>
    <row r="1" spans="1:11" ht="18.75" x14ac:dyDescent="0.25">
      <c r="A1" s="188" t="s">
        <v>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1" ht="15.75" x14ac:dyDescent="0.25">
      <c r="A2" s="189" t="s">
        <v>83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</row>
    <row r="3" spans="1:11" ht="15.75" x14ac:dyDescent="0.25">
      <c r="A3" s="182" t="s">
        <v>84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</row>
    <row r="4" spans="1:11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2"/>
    </row>
    <row r="5" spans="1:11" ht="15.75" x14ac:dyDescent="0.25">
      <c r="A5" s="182" t="s">
        <v>85</v>
      </c>
      <c r="B5" s="182"/>
      <c r="C5" s="182"/>
      <c r="D5" s="182"/>
      <c r="E5" s="182"/>
      <c r="F5" s="182"/>
      <c r="G5" s="182"/>
      <c r="H5" s="182"/>
      <c r="I5" s="182"/>
      <c r="J5" s="182"/>
      <c r="K5" s="182"/>
    </row>
    <row r="6" spans="1:11" ht="15.75" x14ac:dyDescent="0.25">
      <c r="A6" s="3" t="s">
        <v>4</v>
      </c>
      <c r="B6" s="53"/>
      <c r="C6" s="54"/>
      <c r="D6" s="54"/>
      <c r="E6" s="55"/>
      <c r="F6" s="55"/>
      <c r="G6" s="55"/>
      <c r="H6" s="55"/>
      <c r="I6" s="55"/>
      <c r="J6" s="55"/>
      <c r="K6" s="2"/>
    </row>
    <row r="7" spans="1:11" ht="15.75" x14ac:dyDescent="0.25">
      <c r="A7" s="4" t="s">
        <v>5</v>
      </c>
      <c r="B7" s="56"/>
      <c r="C7" s="56"/>
      <c r="D7" s="56"/>
      <c r="E7" s="56"/>
      <c r="F7" s="56"/>
      <c r="G7" s="56"/>
      <c r="H7" s="56"/>
      <c r="I7" s="56"/>
      <c r="J7" s="56"/>
      <c r="K7" s="2"/>
    </row>
    <row r="8" spans="1:11" ht="16.5" thickBot="1" x14ac:dyDescent="0.3">
      <c r="A8" s="4"/>
      <c r="B8" s="56"/>
      <c r="C8" s="56"/>
      <c r="D8" s="56"/>
      <c r="E8" s="56"/>
      <c r="F8" s="56"/>
      <c r="G8" s="56"/>
      <c r="H8" s="56"/>
      <c r="I8" s="56"/>
      <c r="J8" s="56"/>
      <c r="K8" s="2"/>
    </row>
    <row r="9" spans="1:11" ht="90.75" thickBot="1" x14ac:dyDescent="0.3">
      <c r="A9" s="91" t="s">
        <v>86</v>
      </c>
      <c r="B9" s="92" t="s">
        <v>87</v>
      </c>
      <c r="C9" s="92" t="s">
        <v>88</v>
      </c>
      <c r="D9" s="92" t="s">
        <v>89</v>
      </c>
      <c r="E9" s="92" t="s">
        <v>90</v>
      </c>
      <c r="F9" s="92" t="s">
        <v>91</v>
      </c>
      <c r="G9" s="93" t="s">
        <v>92</v>
      </c>
      <c r="H9" s="93" t="s">
        <v>93</v>
      </c>
      <c r="I9" s="93" t="s">
        <v>94</v>
      </c>
      <c r="J9" s="93" t="s">
        <v>95</v>
      </c>
      <c r="K9" s="93" t="s">
        <v>12</v>
      </c>
    </row>
    <row r="10" spans="1:11" x14ac:dyDescent="0.25">
      <c r="A10" s="94" t="s">
        <v>96</v>
      </c>
      <c r="B10" s="94" t="s">
        <v>97</v>
      </c>
      <c r="C10" s="95">
        <v>1</v>
      </c>
      <c r="D10" s="95">
        <v>3</v>
      </c>
      <c r="E10" s="94" t="s">
        <v>98</v>
      </c>
      <c r="F10" s="96">
        <v>495</v>
      </c>
      <c r="G10" s="97">
        <v>545</v>
      </c>
      <c r="H10" s="97">
        <f>G10+69</f>
        <v>614</v>
      </c>
      <c r="I10" s="97">
        <v>614</v>
      </c>
      <c r="J10" s="97">
        <v>614</v>
      </c>
      <c r="K10" s="98"/>
    </row>
    <row r="11" spans="1:11" x14ac:dyDescent="0.25">
      <c r="A11" s="94" t="s">
        <v>99</v>
      </c>
      <c r="B11" s="94" t="s">
        <v>100</v>
      </c>
      <c r="C11" s="95">
        <v>2</v>
      </c>
      <c r="D11" s="99">
        <v>1</v>
      </c>
      <c r="E11" s="94" t="s">
        <v>101</v>
      </c>
      <c r="F11" s="96">
        <v>468.75</v>
      </c>
      <c r="G11" s="100">
        <f>F11+50</f>
        <v>518.75</v>
      </c>
      <c r="H11" s="97">
        <f t="shared" ref="H11" si="0">G11+42.25</f>
        <v>561</v>
      </c>
      <c r="I11" s="97">
        <v>561</v>
      </c>
      <c r="J11" s="97">
        <v>561</v>
      </c>
      <c r="K11" s="101"/>
    </row>
    <row r="12" spans="1:11" x14ac:dyDescent="0.25">
      <c r="A12" s="94" t="s">
        <v>102</v>
      </c>
      <c r="B12" s="94" t="s">
        <v>103</v>
      </c>
      <c r="C12" s="95">
        <v>3</v>
      </c>
      <c r="D12" s="99">
        <v>1</v>
      </c>
      <c r="E12" s="94" t="s">
        <v>104</v>
      </c>
      <c r="F12" s="96">
        <v>750</v>
      </c>
      <c r="G12" s="100">
        <v>750</v>
      </c>
      <c r="H12" s="97">
        <v>750</v>
      </c>
      <c r="I12" s="97">
        <v>750</v>
      </c>
      <c r="J12" s="97">
        <v>750</v>
      </c>
      <c r="K12" s="101"/>
    </row>
    <row r="13" spans="1:11" x14ac:dyDescent="0.25">
      <c r="A13" s="94" t="s">
        <v>105</v>
      </c>
      <c r="B13" s="94" t="s">
        <v>106</v>
      </c>
      <c r="C13" s="95">
        <v>4</v>
      </c>
      <c r="D13" s="99">
        <v>1</v>
      </c>
      <c r="E13" s="94" t="s">
        <v>107</v>
      </c>
      <c r="F13" s="96">
        <v>750</v>
      </c>
      <c r="G13" s="100">
        <v>750</v>
      </c>
      <c r="H13" s="97">
        <v>750</v>
      </c>
      <c r="I13" s="97">
        <v>750</v>
      </c>
      <c r="J13" s="97">
        <v>750</v>
      </c>
      <c r="K13" s="101"/>
    </row>
    <row r="14" spans="1:11" x14ac:dyDescent="0.25">
      <c r="A14" s="94" t="s">
        <v>108</v>
      </c>
      <c r="B14" s="94" t="s">
        <v>109</v>
      </c>
      <c r="C14" s="95">
        <v>5</v>
      </c>
      <c r="D14" s="99">
        <v>1</v>
      </c>
      <c r="E14" s="94" t="s">
        <v>110</v>
      </c>
      <c r="F14" s="96">
        <v>468.75</v>
      </c>
      <c r="G14" s="100">
        <f t="shared" ref="G14:G15" si="1">F14+50</f>
        <v>518.75</v>
      </c>
      <c r="H14" s="97">
        <f t="shared" ref="H14:H15" si="2">G14+42.25</f>
        <v>561</v>
      </c>
      <c r="I14" s="97">
        <v>561</v>
      </c>
      <c r="J14" s="97">
        <v>561</v>
      </c>
      <c r="K14" s="101"/>
    </row>
    <row r="15" spans="1:11" x14ac:dyDescent="0.25">
      <c r="A15" s="94" t="s">
        <v>111</v>
      </c>
      <c r="B15" s="94" t="s">
        <v>112</v>
      </c>
      <c r="C15" s="95">
        <v>6</v>
      </c>
      <c r="D15" s="99">
        <v>1</v>
      </c>
      <c r="E15" s="94" t="s">
        <v>113</v>
      </c>
      <c r="F15" s="96">
        <v>468.75</v>
      </c>
      <c r="G15" s="100">
        <f t="shared" si="1"/>
        <v>518.75</v>
      </c>
      <c r="H15" s="97">
        <f t="shared" si="2"/>
        <v>561</v>
      </c>
      <c r="I15" s="97">
        <v>561</v>
      </c>
      <c r="J15" s="97">
        <v>561</v>
      </c>
      <c r="K15" s="101"/>
    </row>
    <row r="16" spans="1:11" x14ac:dyDescent="0.25">
      <c r="A16" s="94" t="s">
        <v>114</v>
      </c>
      <c r="B16" s="94" t="s">
        <v>115</v>
      </c>
      <c r="C16" s="95">
        <v>7</v>
      </c>
      <c r="D16" s="99">
        <v>4</v>
      </c>
      <c r="E16" s="94" t="s">
        <v>116</v>
      </c>
      <c r="F16" s="96">
        <v>495</v>
      </c>
      <c r="G16" s="100">
        <f>F16+75</f>
        <v>570</v>
      </c>
      <c r="H16" s="97">
        <f>G16+44</f>
        <v>614</v>
      </c>
      <c r="I16" s="97">
        <v>614</v>
      </c>
      <c r="J16" s="97">
        <v>614</v>
      </c>
      <c r="K16" s="101"/>
    </row>
    <row r="17" spans="1:11" x14ac:dyDescent="0.25">
      <c r="A17" s="94" t="s">
        <v>117</v>
      </c>
      <c r="B17" s="94" t="s">
        <v>118</v>
      </c>
      <c r="C17" s="95">
        <v>8</v>
      </c>
      <c r="D17" s="99">
        <v>5</v>
      </c>
      <c r="E17" s="94" t="s">
        <v>119</v>
      </c>
      <c r="F17" s="96">
        <v>517.5</v>
      </c>
      <c r="G17" s="100">
        <f>F17+100</f>
        <v>617.5</v>
      </c>
      <c r="H17" s="97">
        <f>G17+100</f>
        <v>717.5</v>
      </c>
      <c r="I17" s="97">
        <v>717.5</v>
      </c>
      <c r="J17" s="97">
        <v>717.5</v>
      </c>
      <c r="K17" s="101"/>
    </row>
    <row r="18" spans="1:11" x14ac:dyDescent="0.25">
      <c r="A18" s="94" t="s">
        <v>120</v>
      </c>
      <c r="B18" s="94" t="s">
        <v>121</v>
      </c>
      <c r="C18" s="95">
        <v>9</v>
      </c>
      <c r="D18" s="99">
        <v>4</v>
      </c>
      <c r="E18" s="94" t="s">
        <v>116</v>
      </c>
      <c r="F18" s="96">
        <v>495</v>
      </c>
      <c r="G18" s="100">
        <f t="shared" ref="G18:G24" si="3">F18+50</f>
        <v>545</v>
      </c>
      <c r="H18" s="97">
        <f>G18+50</f>
        <v>595</v>
      </c>
      <c r="I18" s="97">
        <v>595</v>
      </c>
      <c r="J18" s="97">
        <v>595</v>
      </c>
      <c r="K18" s="101"/>
    </row>
    <row r="19" spans="1:11" x14ac:dyDescent="0.25">
      <c r="A19" s="94" t="s">
        <v>122</v>
      </c>
      <c r="B19" s="94" t="s">
        <v>123</v>
      </c>
      <c r="C19" s="95">
        <v>10</v>
      </c>
      <c r="D19" s="99">
        <v>1</v>
      </c>
      <c r="E19" s="94" t="s">
        <v>124</v>
      </c>
      <c r="F19" s="96">
        <v>468.75</v>
      </c>
      <c r="G19" s="100">
        <f t="shared" si="3"/>
        <v>518.75</v>
      </c>
      <c r="H19" s="97">
        <f t="shared" ref="H19:H20" si="4">G19+42.25</f>
        <v>561</v>
      </c>
      <c r="I19" s="97">
        <v>561</v>
      </c>
      <c r="J19" s="97">
        <v>561</v>
      </c>
      <c r="K19" s="101"/>
    </row>
    <row r="20" spans="1:11" x14ac:dyDescent="0.25">
      <c r="A20" s="94" t="s">
        <v>125</v>
      </c>
      <c r="B20" s="94" t="s">
        <v>126</v>
      </c>
      <c r="C20" s="95">
        <v>11</v>
      </c>
      <c r="D20" s="99">
        <v>1</v>
      </c>
      <c r="E20" s="94" t="s">
        <v>124</v>
      </c>
      <c r="F20" s="96">
        <v>468.75</v>
      </c>
      <c r="G20" s="100">
        <f t="shared" si="3"/>
        <v>518.75</v>
      </c>
      <c r="H20" s="97">
        <f t="shared" si="4"/>
        <v>561</v>
      </c>
      <c r="I20" s="97">
        <v>561</v>
      </c>
      <c r="J20" s="97">
        <v>561</v>
      </c>
      <c r="K20" s="101"/>
    </row>
    <row r="21" spans="1:11" x14ac:dyDescent="0.25">
      <c r="A21" s="94" t="s">
        <v>127</v>
      </c>
      <c r="B21" s="94" t="s">
        <v>128</v>
      </c>
      <c r="C21" s="95">
        <v>12</v>
      </c>
      <c r="D21" s="99">
        <v>2</v>
      </c>
      <c r="E21" s="94" t="s">
        <v>129</v>
      </c>
      <c r="F21" s="96">
        <v>517.5</v>
      </c>
      <c r="G21" s="100">
        <f t="shared" si="3"/>
        <v>567.5</v>
      </c>
      <c r="H21" s="97">
        <f>G21+10.5</f>
        <v>578</v>
      </c>
      <c r="I21" s="97">
        <v>578</v>
      </c>
      <c r="J21" s="97">
        <v>578</v>
      </c>
      <c r="K21" s="101"/>
    </row>
    <row r="22" spans="1:11" x14ac:dyDescent="0.25">
      <c r="A22" s="94" t="s">
        <v>130</v>
      </c>
      <c r="B22" s="94" t="s">
        <v>131</v>
      </c>
      <c r="C22" s="95">
        <v>13</v>
      </c>
      <c r="D22" s="99">
        <v>1</v>
      </c>
      <c r="E22" s="94" t="s">
        <v>132</v>
      </c>
      <c r="F22" s="96">
        <v>480</v>
      </c>
      <c r="G22" s="100">
        <f t="shared" si="3"/>
        <v>530</v>
      </c>
      <c r="H22" s="97">
        <f>G22+31</f>
        <v>561</v>
      </c>
      <c r="I22" s="97">
        <v>561</v>
      </c>
      <c r="J22" s="97">
        <v>561</v>
      </c>
      <c r="K22" s="101"/>
    </row>
    <row r="23" spans="1:11" x14ac:dyDescent="0.25">
      <c r="A23" s="94" t="s">
        <v>133</v>
      </c>
      <c r="B23" s="94" t="s">
        <v>134</v>
      </c>
      <c r="C23" s="95">
        <v>14</v>
      </c>
      <c r="D23" s="99">
        <v>1</v>
      </c>
      <c r="E23" s="94" t="s">
        <v>135</v>
      </c>
      <c r="F23" s="96">
        <v>468.75</v>
      </c>
      <c r="G23" s="100">
        <f t="shared" si="3"/>
        <v>518.75</v>
      </c>
      <c r="H23" s="97">
        <f t="shared" ref="H23" si="5">G23+42.25</f>
        <v>561</v>
      </c>
      <c r="I23" s="97">
        <v>561</v>
      </c>
      <c r="J23" s="97">
        <v>561</v>
      </c>
      <c r="K23" s="101"/>
    </row>
    <row r="24" spans="1:11" x14ac:dyDescent="0.25">
      <c r="A24" s="94" t="s">
        <v>136</v>
      </c>
      <c r="B24" s="94" t="s">
        <v>137</v>
      </c>
      <c r="C24" s="95">
        <v>15</v>
      </c>
      <c r="D24" s="99">
        <v>5</v>
      </c>
      <c r="E24" s="94" t="s">
        <v>138</v>
      </c>
      <c r="F24" s="96">
        <v>517.5</v>
      </c>
      <c r="G24" s="100">
        <f t="shared" si="3"/>
        <v>567.5</v>
      </c>
      <c r="H24" s="97">
        <f>G24+100</f>
        <v>667.5</v>
      </c>
      <c r="I24" s="97">
        <v>667.5</v>
      </c>
      <c r="J24" s="97">
        <v>667.5</v>
      </c>
      <c r="K24" s="101"/>
    </row>
    <row r="25" spans="1:11" x14ac:dyDescent="0.25">
      <c r="A25" s="94" t="s">
        <v>139</v>
      </c>
      <c r="B25" s="94" t="s">
        <v>140</v>
      </c>
      <c r="C25" s="95">
        <v>16</v>
      </c>
      <c r="D25" s="99">
        <v>4</v>
      </c>
      <c r="E25" s="94" t="s">
        <v>141</v>
      </c>
      <c r="F25" s="96">
        <v>495</v>
      </c>
      <c r="G25" s="100">
        <f>F25+75</f>
        <v>570</v>
      </c>
      <c r="H25" s="97">
        <f>G25+44</f>
        <v>614</v>
      </c>
      <c r="I25" s="97">
        <v>614</v>
      </c>
      <c r="J25" s="97">
        <v>614</v>
      </c>
      <c r="K25" s="101"/>
    </row>
    <row r="26" spans="1:11" x14ac:dyDescent="0.25">
      <c r="A26" s="94" t="s">
        <v>142</v>
      </c>
      <c r="B26" s="94" t="s">
        <v>143</v>
      </c>
      <c r="C26" s="95">
        <v>17</v>
      </c>
      <c r="D26" s="99">
        <v>5</v>
      </c>
      <c r="E26" s="94" t="s">
        <v>144</v>
      </c>
      <c r="F26" s="96">
        <v>480</v>
      </c>
      <c r="G26" s="100">
        <f t="shared" ref="G26:G29" si="6">F26+50</f>
        <v>530</v>
      </c>
      <c r="H26" s="97">
        <f>G26+31</f>
        <v>561</v>
      </c>
      <c r="I26" s="97">
        <v>561</v>
      </c>
      <c r="J26" s="97">
        <v>561</v>
      </c>
      <c r="K26" s="101"/>
    </row>
    <row r="27" spans="1:11" x14ac:dyDescent="0.25">
      <c r="A27" s="94" t="s">
        <v>145</v>
      </c>
      <c r="B27" s="94" t="s">
        <v>146</v>
      </c>
      <c r="C27" s="95">
        <v>18</v>
      </c>
      <c r="D27" s="99">
        <v>1</v>
      </c>
      <c r="E27" s="94" t="s">
        <v>147</v>
      </c>
      <c r="F27" s="96">
        <v>476.25</v>
      </c>
      <c r="G27" s="100">
        <f t="shared" si="6"/>
        <v>526.25</v>
      </c>
      <c r="H27" s="97">
        <f>G27+34.75</f>
        <v>561</v>
      </c>
      <c r="I27" s="97">
        <v>561</v>
      </c>
      <c r="J27" s="97">
        <v>561</v>
      </c>
      <c r="K27" s="101"/>
    </row>
    <row r="28" spans="1:11" x14ac:dyDescent="0.25">
      <c r="A28" s="94" t="s">
        <v>148</v>
      </c>
      <c r="B28" s="94" t="s">
        <v>149</v>
      </c>
      <c r="C28" s="95">
        <v>19</v>
      </c>
      <c r="D28" s="99">
        <v>1</v>
      </c>
      <c r="E28" s="94" t="s">
        <v>150</v>
      </c>
      <c r="F28" s="96">
        <v>468.75</v>
      </c>
      <c r="G28" s="100">
        <f t="shared" si="6"/>
        <v>518.75</v>
      </c>
      <c r="H28" s="97">
        <f t="shared" ref="H28:H29" si="7">G28+42.25</f>
        <v>561</v>
      </c>
      <c r="I28" s="97">
        <v>561</v>
      </c>
      <c r="J28" s="97">
        <v>561</v>
      </c>
      <c r="K28" s="101"/>
    </row>
    <row r="29" spans="1:11" x14ac:dyDescent="0.25">
      <c r="A29" s="94" t="s">
        <v>151</v>
      </c>
      <c r="B29" s="94" t="s">
        <v>152</v>
      </c>
      <c r="C29" s="95">
        <v>20</v>
      </c>
      <c r="D29" s="99">
        <v>1</v>
      </c>
      <c r="E29" s="94" t="s">
        <v>150</v>
      </c>
      <c r="F29" s="96">
        <v>468.75</v>
      </c>
      <c r="G29" s="100">
        <f t="shared" si="6"/>
        <v>518.75</v>
      </c>
      <c r="H29" s="97">
        <f t="shared" si="7"/>
        <v>561</v>
      </c>
      <c r="I29" s="97">
        <v>561</v>
      </c>
      <c r="J29" s="97">
        <v>561</v>
      </c>
      <c r="K29" s="101"/>
    </row>
    <row r="30" spans="1:11" x14ac:dyDescent="0.25">
      <c r="A30" s="102" t="s">
        <v>153</v>
      </c>
      <c r="B30" s="103" t="s">
        <v>154</v>
      </c>
      <c r="C30" s="95">
        <v>21</v>
      </c>
      <c r="D30" s="95">
        <v>3</v>
      </c>
      <c r="E30" s="94" t="s">
        <v>155</v>
      </c>
      <c r="F30" s="96">
        <v>481</v>
      </c>
      <c r="G30" s="97">
        <f>F30+75</f>
        <v>556</v>
      </c>
      <c r="H30" s="97">
        <f>G30+40</f>
        <v>596</v>
      </c>
      <c r="I30" s="97">
        <v>596</v>
      </c>
      <c r="J30" s="97">
        <v>596</v>
      </c>
      <c r="K30" s="98"/>
    </row>
    <row r="31" spans="1:11" x14ac:dyDescent="0.25">
      <c r="A31" s="102" t="s">
        <v>156</v>
      </c>
      <c r="B31" s="103" t="s">
        <v>157</v>
      </c>
      <c r="C31" s="95">
        <v>22</v>
      </c>
      <c r="D31" s="99">
        <v>3</v>
      </c>
      <c r="E31" s="94" t="s">
        <v>155</v>
      </c>
      <c r="F31" s="96">
        <v>481</v>
      </c>
      <c r="G31" s="97">
        <f t="shared" ref="G31:G33" si="8">F31+75</f>
        <v>556</v>
      </c>
      <c r="H31" s="97">
        <f t="shared" ref="H31:H32" si="9">G31+40</f>
        <v>596</v>
      </c>
      <c r="I31" s="97">
        <v>596</v>
      </c>
      <c r="J31" s="97">
        <v>596</v>
      </c>
      <c r="K31" s="101"/>
    </row>
    <row r="32" spans="1:11" x14ac:dyDescent="0.25">
      <c r="A32" s="102" t="s">
        <v>158</v>
      </c>
      <c r="B32" s="103" t="s">
        <v>159</v>
      </c>
      <c r="C32" s="95">
        <v>23</v>
      </c>
      <c r="D32" s="99">
        <v>3</v>
      </c>
      <c r="E32" s="94" t="s">
        <v>155</v>
      </c>
      <c r="F32" s="96">
        <v>481</v>
      </c>
      <c r="G32" s="97">
        <f t="shared" si="8"/>
        <v>556</v>
      </c>
      <c r="H32" s="97">
        <f t="shared" si="9"/>
        <v>596</v>
      </c>
      <c r="I32" s="97">
        <v>596</v>
      </c>
      <c r="J32" s="97">
        <v>596</v>
      </c>
      <c r="K32" s="101"/>
    </row>
    <row r="33" spans="1:11" x14ac:dyDescent="0.25">
      <c r="A33" s="102" t="s">
        <v>160</v>
      </c>
      <c r="B33" s="103" t="s">
        <v>161</v>
      </c>
      <c r="C33" s="95">
        <v>24</v>
      </c>
      <c r="D33" s="99">
        <v>3</v>
      </c>
      <c r="E33" s="94" t="s">
        <v>162</v>
      </c>
      <c r="F33" s="96">
        <v>400</v>
      </c>
      <c r="G33" s="97">
        <f t="shared" si="8"/>
        <v>475</v>
      </c>
      <c r="H33" s="97">
        <f>G33+75</f>
        <v>550</v>
      </c>
      <c r="I33" s="97">
        <v>550</v>
      </c>
      <c r="J33" s="97">
        <v>550</v>
      </c>
      <c r="K33" s="101"/>
    </row>
    <row r="34" spans="1:11" x14ac:dyDescent="0.25">
      <c r="A34" s="102" t="s">
        <v>163</v>
      </c>
      <c r="B34" s="103" t="s">
        <v>164</v>
      </c>
      <c r="C34" s="95">
        <v>25</v>
      </c>
      <c r="D34" s="99">
        <v>6</v>
      </c>
      <c r="E34" s="94" t="s">
        <v>165</v>
      </c>
      <c r="F34" s="96">
        <v>503</v>
      </c>
      <c r="G34" s="100">
        <f>F34+100</f>
        <v>603</v>
      </c>
      <c r="H34" s="100">
        <f>G34+100</f>
        <v>703</v>
      </c>
      <c r="I34" s="97">
        <v>703</v>
      </c>
      <c r="J34" s="97">
        <v>703</v>
      </c>
      <c r="K34" s="101"/>
    </row>
    <row r="35" spans="1:11" x14ac:dyDescent="0.25">
      <c r="A35" s="102" t="s">
        <v>166</v>
      </c>
      <c r="B35" s="103" t="s">
        <v>167</v>
      </c>
      <c r="C35" s="95">
        <v>26</v>
      </c>
      <c r="D35" s="99">
        <v>1</v>
      </c>
      <c r="E35" s="94" t="s">
        <v>168</v>
      </c>
      <c r="F35" s="96">
        <v>386</v>
      </c>
      <c r="G35" s="100">
        <f>F35+75</f>
        <v>461</v>
      </c>
      <c r="H35" s="97">
        <f>G35+75</f>
        <v>536</v>
      </c>
      <c r="I35" s="97">
        <v>536</v>
      </c>
      <c r="J35" s="97">
        <v>536</v>
      </c>
      <c r="K35" s="101"/>
    </row>
    <row r="36" spans="1:11" x14ac:dyDescent="0.25">
      <c r="A36" s="102" t="s">
        <v>169</v>
      </c>
      <c r="B36" s="103" t="s">
        <v>170</v>
      </c>
      <c r="C36" s="95">
        <v>27</v>
      </c>
      <c r="D36" s="99">
        <v>1</v>
      </c>
      <c r="E36" s="94" t="s">
        <v>168</v>
      </c>
      <c r="F36" s="96">
        <v>435</v>
      </c>
      <c r="G36" s="100">
        <f t="shared" ref="G36:G45" si="10">F36+75</f>
        <v>510</v>
      </c>
      <c r="H36" s="97">
        <f>G36+51</f>
        <v>561</v>
      </c>
      <c r="I36" s="97">
        <v>561</v>
      </c>
      <c r="J36" s="97">
        <v>561</v>
      </c>
      <c r="K36" s="101"/>
    </row>
    <row r="37" spans="1:11" x14ac:dyDescent="0.25">
      <c r="A37" s="102" t="s">
        <v>171</v>
      </c>
      <c r="B37" s="103" t="s">
        <v>172</v>
      </c>
      <c r="C37" s="95">
        <v>28</v>
      </c>
      <c r="D37" s="99">
        <v>1</v>
      </c>
      <c r="E37" s="94" t="s">
        <v>168</v>
      </c>
      <c r="F37" s="96">
        <v>386</v>
      </c>
      <c r="G37" s="100">
        <f t="shared" si="10"/>
        <v>461</v>
      </c>
      <c r="H37" s="97">
        <f>G37+75</f>
        <v>536</v>
      </c>
      <c r="I37" s="97">
        <v>536</v>
      </c>
      <c r="J37" s="97">
        <v>536</v>
      </c>
      <c r="K37" s="101"/>
    </row>
    <row r="38" spans="1:11" x14ac:dyDescent="0.25">
      <c r="A38" s="102" t="s">
        <v>173</v>
      </c>
      <c r="B38" s="103" t="s">
        <v>174</v>
      </c>
      <c r="C38" s="95">
        <v>29</v>
      </c>
      <c r="D38" s="99">
        <v>1</v>
      </c>
      <c r="E38" s="94" t="s">
        <v>168</v>
      </c>
      <c r="F38" s="96">
        <v>386</v>
      </c>
      <c r="G38" s="100">
        <f t="shared" si="10"/>
        <v>461</v>
      </c>
      <c r="H38" s="97">
        <f>G38+75</f>
        <v>536</v>
      </c>
      <c r="I38" s="97">
        <v>536</v>
      </c>
      <c r="J38" s="97">
        <v>536</v>
      </c>
      <c r="K38" s="101"/>
    </row>
    <row r="39" spans="1:11" x14ac:dyDescent="0.25">
      <c r="A39" s="102" t="s">
        <v>175</v>
      </c>
      <c r="B39" s="103" t="s">
        <v>176</v>
      </c>
      <c r="C39" s="95">
        <v>30</v>
      </c>
      <c r="D39" s="99">
        <v>1</v>
      </c>
      <c r="E39" s="94" t="s">
        <v>168</v>
      </c>
      <c r="F39" s="96">
        <v>451</v>
      </c>
      <c r="G39" s="100">
        <f t="shared" si="10"/>
        <v>526</v>
      </c>
      <c r="H39" s="97">
        <f>G39+35</f>
        <v>561</v>
      </c>
      <c r="I39" s="97">
        <v>561</v>
      </c>
      <c r="J39" s="97">
        <v>561</v>
      </c>
      <c r="K39" s="101"/>
    </row>
    <row r="40" spans="1:11" x14ac:dyDescent="0.25">
      <c r="A40" s="104" t="s">
        <v>177</v>
      </c>
      <c r="B40" s="105" t="s">
        <v>178</v>
      </c>
      <c r="C40" s="95">
        <v>31</v>
      </c>
      <c r="D40" s="99">
        <v>1</v>
      </c>
      <c r="E40" s="94" t="s">
        <v>168</v>
      </c>
      <c r="F40" s="96">
        <v>435</v>
      </c>
      <c r="G40" s="100">
        <f t="shared" si="10"/>
        <v>510</v>
      </c>
      <c r="H40" s="97">
        <f>G40+51</f>
        <v>561</v>
      </c>
      <c r="I40" s="97">
        <v>561</v>
      </c>
      <c r="J40" s="97">
        <v>561</v>
      </c>
      <c r="K40" s="101"/>
    </row>
    <row r="41" spans="1:11" x14ac:dyDescent="0.25">
      <c r="A41" s="102" t="s">
        <v>179</v>
      </c>
      <c r="B41" s="103" t="s">
        <v>180</v>
      </c>
      <c r="C41" s="95">
        <v>32</v>
      </c>
      <c r="D41" s="99">
        <v>1</v>
      </c>
      <c r="E41" s="94" t="s">
        <v>168</v>
      </c>
      <c r="F41" s="96">
        <v>451</v>
      </c>
      <c r="G41" s="100">
        <f t="shared" si="10"/>
        <v>526</v>
      </c>
      <c r="H41" s="97">
        <f>G41+35</f>
        <v>561</v>
      </c>
      <c r="I41" s="97">
        <v>561</v>
      </c>
      <c r="J41" s="97">
        <v>561</v>
      </c>
      <c r="K41" s="101"/>
    </row>
    <row r="42" spans="1:11" x14ac:dyDescent="0.25">
      <c r="A42" s="104" t="s">
        <v>181</v>
      </c>
      <c r="B42" s="105" t="s">
        <v>182</v>
      </c>
      <c r="C42" s="95">
        <v>33</v>
      </c>
      <c r="D42" s="99">
        <v>1</v>
      </c>
      <c r="E42" s="94" t="s">
        <v>168</v>
      </c>
      <c r="F42" s="96">
        <v>386</v>
      </c>
      <c r="G42" s="100">
        <f t="shared" si="10"/>
        <v>461</v>
      </c>
      <c r="H42" s="97">
        <f>G42+75</f>
        <v>536</v>
      </c>
      <c r="I42" s="97">
        <v>536</v>
      </c>
      <c r="J42" s="97">
        <v>536</v>
      </c>
      <c r="K42" s="101"/>
    </row>
    <row r="43" spans="1:11" x14ac:dyDescent="0.25">
      <c r="A43" s="102" t="s">
        <v>183</v>
      </c>
      <c r="B43" s="103" t="s">
        <v>184</v>
      </c>
      <c r="C43" s="95">
        <v>34</v>
      </c>
      <c r="D43" s="99">
        <v>1</v>
      </c>
      <c r="E43" s="94" t="s">
        <v>168</v>
      </c>
      <c r="F43" s="96">
        <v>435</v>
      </c>
      <c r="G43" s="100">
        <f t="shared" si="10"/>
        <v>510</v>
      </c>
      <c r="H43" s="97">
        <f>G43+51</f>
        <v>561</v>
      </c>
      <c r="I43" s="97">
        <v>561</v>
      </c>
      <c r="J43" s="97">
        <v>561</v>
      </c>
      <c r="K43" s="101"/>
    </row>
    <row r="44" spans="1:11" x14ac:dyDescent="0.25">
      <c r="A44" s="102" t="s">
        <v>185</v>
      </c>
      <c r="B44" s="103" t="s">
        <v>186</v>
      </c>
      <c r="C44" s="95">
        <v>35</v>
      </c>
      <c r="D44" s="99">
        <v>1</v>
      </c>
      <c r="E44" s="94" t="s">
        <v>168</v>
      </c>
      <c r="F44" s="96">
        <v>386</v>
      </c>
      <c r="G44" s="100">
        <f t="shared" si="10"/>
        <v>461</v>
      </c>
      <c r="H44" s="97">
        <f>G44+75</f>
        <v>536</v>
      </c>
      <c r="I44" s="97">
        <v>536</v>
      </c>
      <c r="J44" s="97">
        <v>536</v>
      </c>
      <c r="K44" s="101"/>
    </row>
    <row r="45" spans="1:11" x14ac:dyDescent="0.25">
      <c r="A45" s="102" t="s">
        <v>187</v>
      </c>
      <c r="B45" s="103" t="s">
        <v>188</v>
      </c>
      <c r="C45" s="95">
        <v>36</v>
      </c>
      <c r="D45" s="99">
        <v>1</v>
      </c>
      <c r="E45" s="94" t="s">
        <v>168</v>
      </c>
      <c r="F45" s="96">
        <v>435</v>
      </c>
      <c r="G45" s="100">
        <f t="shared" si="10"/>
        <v>510</v>
      </c>
      <c r="H45" s="97">
        <f>G45+51</f>
        <v>561</v>
      </c>
      <c r="I45" s="97">
        <v>561</v>
      </c>
      <c r="J45" s="97">
        <v>561</v>
      </c>
      <c r="K45" s="101"/>
    </row>
    <row r="46" spans="1:11" x14ac:dyDescent="0.25">
      <c r="A46" s="102" t="s">
        <v>189</v>
      </c>
      <c r="B46" s="103" t="s">
        <v>190</v>
      </c>
      <c r="C46" s="95">
        <v>37</v>
      </c>
      <c r="D46" s="99">
        <v>1</v>
      </c>
      <c r="E46" s="94" t="s">
        <v>191</v>
      </c>
      <c r="F46" s="96">
        <v>622</v>
      </c>
      <c r="G46" s="100">
        <v>622</v>
      </c>
      <c r="H46" s="97">
        <v>622</v>
      </c>
      <c r="I46" s="97">
        <v>622</v>
      </c>
      <c r="J46" s="97">
        <v>622</v>
      </c>
      <c r="K46" s="101"/>
    </row>
    <row r="47" spans="1:11" x14ac:dyDescent="0.25">
      <c r="A47" s="104" t="s">
        <v>192</v>
      </c>
      <c r="B47" s="105" t="s">
        <v>193</v>
      </c>
      <c r="C47" s="95">
        <v>38</v>
      </c>
      <c r="D47" s="99">
        <v>5</v>
      </c>
      <c r="E47" s="94" t="s">
        <v>194</v>
      </c>
      <c r="F47" s="96">
        <v>517.5</v>
      </c>
      <c r="G47" s="100">
        <f>F47+100</f>
        <v>617.5</v>
      </c>
      <c r="H47" s="97">
        <f>G47+100</f>
        <v>717.5</v>
      </c>
      <c r="I47" s="97">
        <v>717.5</v>
      </c>
      <c r="J47" s="97">
        <v>717.5</v>
      </c>
      <c r="K47" s="101"/>
    </row>
    <row r="48" spans="1:11" x14ac:dyDescent="0.25">
      <c r="A48" s="102" t="s">
        <v>195</v>
      </c>
      <c r="B48" s="103" t="s">
        <v>196</v>
      </c>
      <c r="C48" s="95">
        <v>39</v>
      </c>
      <c r="D48" s="99">
        <v>5</v>
      </c>
      <c r="E48" s="94" t="s">
        <v>197</v>
      </c>
      <c r="F48" s="96">
        <v>517.5</v>
      </c>
      <c r="G48" s="100">
        <f>F48+100</f>
        <v>617.5</v>
      </c>
      <c r="H48" s="97">
        <f>G48+100</f>
        <v>717.5</v>
      </c>
      <c r="I48" s="97">
        <v>717.5</v>
      </c>
      <c r="J48" s="97">
        <v>717.5</v>
      </c>
      <c r="K48" s="101"/>
    </row>
    <row r="49" spans="1:11" x14ac:dyDescent="0.25">
      <c r="A49" s="94"/>
      <c r="B49" s="94"/>
      <c r="C49" s="106"/>
      <c r="D49" s="107"/>
      <c r="E49" s="94"/>
      <c r="F49" s="96"/>
      <c r="G49" s="101"/>
      <c r="H49" s="98"/>
      <c r="I49" s="98"/>
      <c r="J49" s="98"/>
      <c r="K49" s="101"/>
    </row>
    <row r="50" spans="1:11" x14ac:dyDescent="0.25">
      <c r="A50" s="94"/>
      <c r="B50" s="94"/>
      <c r="C50" s="106"/>
      <c r="D50" s="107"/>
      <c r="E50" s="94"/>
      <c r="F50" s="96"/>
      <c r="G50" s="101"/>
      <c r="H50" s="98"/>
      <c r="I50" s="98"/>
      <c r="J50" s="98"/>
      <c r="K50" s="101"/>
    </row>
    <row r="51" spans="1:11" x14ac:dyDescent="0.25">
      <c r="A51" s="108"/>
      <c r="B51" s="108"/>
      <c r="C51" s="108"/>
      <c r="D51" s="108"/>
      <c r="E51" s="109" t="s">
        <v>198</v>
      </c>
      <c r="F51" s="110">
        <f>SUM(F10:F50)</f>
        <v>18793.75</v>
      </c>
      <c r="G51" s="110">
        <f>SUM(G10:G50)</f>
        <v>21218.75</v>
      </c>
      <c r="H51" s="110">
        <f>SUM(H10:H50)</f>
        <v>23215</v>
      </c>
      <c r="I51" s="110">
        <f>SUM(I10:I50)</f>
        <v>23215</v>
      </c>
      <c r="J51" s="110">
        <f>SUM(J10:J50)</f>
        <v>23215</v>
      </c>
      <c r="K51" s="111"/>
    </row>
    <row r="52" spans="1:11" x14ac:dyDescent="0.25">
      <c r="A52" s="112"/>
      <c r="B52" s="112"/>
      <c r="C52" s="112"/>
      <c r="D52" s="112"/>
      <c r="E52" s="113"/>
      <c r="F52" s="114"/>
      <c r="G52" s="114"/>
      <c r="H52" s="114"/>
      <c r="I52" s="114"/>
      <c r="J52" s="114"/>
      <c r="K52" s="114"/>
    </row>
    <row r="53" spans="1:11" x14ac:dyDescent="0.25">
      <c r="A53" s="112" t="s">
        <v>199</v>
      </c>
      <c r="B53" s="115" t="s">
        <v>200</v>
      </c>
      <c r="C53" s="112"/>
      <c r="D53" s="112"/>
      <c r="E53" s="113"/>
      <c r="F53" s="114"/>
      <c r="G53" s="114"/>
      <c r="H53" s="114"/>
      <c r="I53" s="114"/>
      <c r="J53" s="114"/>
      <c r="K53" s="116"/>
    </row>
    <row r="54" spans="1:11" x14ac:dyDescent="0.25">
      <c r="A54" s="48" t="s">
        <v>201</v>
      </c>
      <c r="B54" s="112"/>
      <c r="C54" s="112"/>
      <c r="D54" s="112"/>
      <c r="E54" s="113"/>
      <c r="F54" s="114"/>
      <c r="G54" s="114"/>
      <c r="H54" s="114"/>
      <c r="I54" s="114"/>
      <c r="J54" s="114"/>
      <c r="K54" s="116"/>
    </row>
    <row r="55" spans="1:11" x14ac:dyDescent="0.25">
      <c r="A55" s="48" t="s">
        <v>202</v>
      </c>
      <c r="B55" s="112"/>
      <c r="C55" s="112"/>
      <c r="D55" s="112"/>
      <c r="E55" s="113"/>
      <c r="F55" s="114"/>
      <c r="G55" s="114"/>
      <c r="H55" s="114"/>
      <c r="I55" s="114"/>
      <c r="J55" s="114"/>
      <c r="K55" s="116"/>
    </row>
    <row r="56" spans="1:11" x14ac:dyDescent="0.25">
      <c r="A56" s="48" t="s">
        <v>40</v>
      </c>
      <c r="B56" s="46"/>
      <c r="C56" s="46"/>
      <c r="D56" s="46"/>
      <c r="E56" s="46"/>
      <c r="F56" s="46"/>
      <c r="G56" s="46"/>
      <c r="H56" s="46"/>
      <c r="I56" s="46"/>
      <c r="J56" s="46"/>
      <c r="K56" s="2"/>
    </row>
    <row r="57" spans="1:11" x14ac:dyDescent="0.25">
      <c r="A57" s="48"/>
      <c r="B57" s="46"/>
      <c r="C57" s="46"/>
      <c r="D57" s="46"/>
      <c r="E57" s="46"/>
      <c r="F57" s="46"/>
      <c r="G57" s="46"/>
      <c r="H57" s="46"/>
      <c r="I57" s="46"/>
      <c r="J57" s="46"/>
      <c r="K57" s="2"/>
    </row>
    <row r="58" spans="1:11" x14ac:dyDescent="0.25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2"/>
    </row>
    <row r="59" spans="1:11" x14ac:dyDescent="0.25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2"/>
    </row>
    <row r="60" spans="1:11" x14ac:dyDescent="0.25">
      <c r="A60" s="46"/>
      <c r="B60" s="46"/>
      <c r="C60" s="46"/>
      <c r="D60" s="46"/>
      <c r="E60" s="46"/>
      <c r="F60" s="117"/>
      <c r="G60" s="117"/>
      <c r="H60" s="117"/>
      <c r="I60" s="117"/>
      <c r="J60" s="117"/>
      <c r="K60" s="2"/>
    </row>
    <row r="61" spans="1:11" x14ac:dyDescent="0.25">
      <c r="A61" s="2"/>
      <c r="B61" s="46"/>
      <c r="C61" s="118"/>
      <c r="D61" s="46"/>
      <c r="E61" s="118"/>
      <c r="F61" s="118"/>
      <c r="G61" s="46"/>
      <c r="H61" s="46"/>
      <c r="I61" s="46"/>
      <c r="J61" s="46"/>
      <c r="K61" s="2"/>
    </row>
    <row r="62" spans="1:11" x14ac:dyDescent="0.25">
      <c r="A62" s="2"/>
      <c r="B62" s="119" t="s">
        <v>203</v>
      </c>
      <c r="C62" s="118"/>
      <c r="D62" s="118"/>
      <c r="E62" s="46"/>
      <c r="F62" s="187" t="s">
        <v>204</v>
      </c>
      <c r="G62" s="187"/>
      <c r="H62" s="187"/>
      <c r="I62" s="187"/>
      <c r="J62" s="187"/>
      <c r="K62" s="187"/>
    </row>
    <row r="63" spans="1:11" x14ac:dyDescent="0.25">
      <c r="A63" s="2"/>
      <c r="B63" s="118"/>
      <c r="C63" s="118"/>
      <c r="D63" s="118"/>
      <c r="E63" s="46"/>
      <c r="F63" s="50"/>
      <c r="G63" s="50"/>
      <c r="H63" s="50"/>
      <c r="I63" s="50"/>
      <c r="J63" s="50"/>
      <c r="K63" s="50"/>
    </row>
    <row r="64" spans="1:11" x14ac:dyDescent="0.25">
      <c r="A64" s="2"/>
      <c r="B64" s="120" t="s">
        <v>43</v>
      </c>
      <c r="C64" s="118"/>
      <c r="D64" s="118"/>
      <c r="E64" s="121"/>
      <c r="F64" s="51" t="s">
        <v>44</v>
      </c>
      <c r="G64" s="89"/>
      <c r="H64" s="89"/>
      <c r="I64" s="89"/>
      <c r="J64" s="89"/>
      <c r="K64" s="89"/>
    </row>
    <row r="65" spans="1:11" x14ac:dyDescent="0.25">
      <c r="A65" s="2"/>
      <c r="B65" s="51" t="s">
        <v>45</v>
      </c>
      <c r="C65" s="46"/>
      <c r="D65" s="46"/>
      <c r="E65" s="2"/>
      <c r="F65" s="2"/>
      <c r="G65" s="2"/>
      <c r="H65" s="2"/>
      <c r="I65" s="2"/>
      <c r="J65" s="2"/>
      <c r="K65" s="2"/>
    </row>
    <row r="66" spans="1:11" x14ac:dyDescent="0.25">
      <c r="A66" s="2"/>
      <c r="B66" s="51" t="s">
        <v>46</v>
      </c>
      <c r="C66" s="46"/>
      <c r="D66" s="46"/>
      <c r="E66" s="2"/>
      <c r="F66" s="2"/>
      <c r="G66" s="2"/>
      <c r="H66" s="2"/>
      <c r="I66" s="2"/>
      <c r="J66" s="2"/>
      <c r="K66" s="2"/>
    </row>
    <row r="68" spans="1:11" ht="28.5" x14ac:dyDescent="0.45">
      <c r="E68" s="215" t="s">
        <v>282</v>
      </c>
    </row>
    <row r="69" spans="1:11" ht="18.75" x14ac:dyDescent="0.25">
      <c r="A69" s="188" t="s">
        <v>0</v>
      </c>
      <c r="B69" s="188"/>
      <c r="C69" s="188"/>
      <c r="D69" s="188"/>
      <c r="E69" s="188"/>
      <c r="F69" s="188"/>
      <c r="G69" s="188"/>
      <c r="H69" s="188"/>
      <c r="I69" s="188"/>
      <c r="J69" s="188"/>
      <c r="K69" s="188"/>
    </row>
    <row r="70" spans="1:11" ht="15.75" x14ac:dyDescent="0.25">
      <c r="A70" s="189" t="s">
        <v>83</v>
      </c>
      <c r="B70" s="189"/>
      <c r="C70" s="189"/>
      <c r="D70" s="189"/>
      <c r="E70" s="189"/>
      <c r="F70" s="189"/>
      <c r="G70" s="189"/>
      <c r="H70" s="189"/>
      <c r="I70" s="189"/>
      <c r="J70" s="189"/>
      <c r="K70" s="189"/>
    </row>
    <row r="71" spans="1:11" ht="15.75" x14ac:dyDescent="0.25">
      <c r="A71" s="182" t="s">
        <v>84</v>
      </c>
      <c r="B71" s="182"/>
      <c r="C71" s="182"/>
      <c r="D71" s="182"/>
      <c r="E71" s="182"/>
      <c r="F71" s="182"/>
      <c r="G71" s="182"/>
      <c r="H71" s="182"/>
      <c r="I71" s="182"/>
      <c r="J71" s="182"/>
      <c r="K71" s="182"/>
    </row>
    <row r="72" spans="1:11" ht="15.7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2"/>
    </row>
    <row r="73" spans="1:11" ht="15.75" x14ac:dyDescent="0.25">
      <c r="A73" s="182" t="s">
        <v>85</v>
      </c>
      <c r="B73" s="182"/>
      <c r="C73" s="182"/>
      <c r="D73" s="182"/>
      <c r="E73" s="182"/>
      <c r="F73" s="182"/>
      <c r="G73" s="182"/>
      <c r="H73" s="182"/>
      <c r="I73" s="182"/>
      <c r="J73" s="182"/>
      <c r="K73" s="182"/>
    </row>
    <row r="74" spans="1:11" ht="15.75" x14ac:dyDescent="0.25">
      <c r="A74" s="3" t="s">
        <v>4</v>
      </c>
      <c r="B74" s="53"/>
      <c r="C74" s="54"/>
      <c r="D74" s="54"/>
      <c r="E74" s="55"/>
      <c r="F74" s="55"/>
      <c r="G74" s="55"/>
      <c r="H74" s="55"/>
      <c r="I74" s="55"/>
      <c r="J74" s="55"/>
      <c r="K74" s="2"/>
    </row>
    <row r="75" spans="1:11" ht="15.75" x14ac:dyDescent="0.25">
      <c r="A75" s="4" t="s">
        <v>5</v>
      </c>
      <c r="B75" s="56"/>
      <c r="C75" s="56"/>
      <c r="D75" s="56"/>
      <c r="E75" s="56"/>
      <c r="F75" s="56"/>
      <c r="G75" s="56"/>
      <c r="H75" s="56"/>
      <c r="I75" s="56"/>
      <c r="J75" s="56"/>
      <c r="K75" s="2"/>
    </row>
    <row r="76" spans="1:11" ht="16.5" thickBot="1" x14ac:dyDescent="0.3">
      <c r="A76" s="4"/>
      <c r="B76" s="56"/>
      <c r="C76" s="56"/>
      <c r="D76" s="56"/>
      <c r="E76" s="56"/>
      <c r="F76" s="56"/>
      <c r="G76" s="56"/>
      <c r="H76" s="56"/>
      <c r="I76" s="56"/>
      <c r="J76" s="56"/>
      <c r="K76" s="2"/>
    </row>
    <row r="77" spans="1:11" ht="90.75" thickBot="1" x14ac:dyDescent="0.3">
      <c r="A77" s="91" t="s">
        <v>86</v>
      </c>
      <c r="B77" s="92" t="s">
        <v>87</v>
      </c>
      <c r="C77" s="92" t="s">
        <v>88</v>
      </c>
      <c r="D77" s="92" t="s">
        <v>89</v>
      </c>
      <c r="E77" s="92" t="s">
        <v>90</v>
      </c>
      <c r="F77" s="92" t="s">
        <v>91</v>
      </c>
      <c r="G77" s="93" t="s">
        <v>92</v>
      </c>
      <c r="H77" s="93" t="s">
        <v>93</v>
      </c>
      <c r="I77" s="93" t="s">
        <v>94</v>
      </c>
      <c r="J77" s="93" t="s">
        <v>95</v>
      </c>
      <c r="K77" s="93" t="s">
        <v>12</v>
      </c>
    </row>
    <row r="78" spans="1:11" x14ac:dyDescent="0.25">
      <c r="A78" s="94" t="s">
        <v>96</v>
      </c>
      <c r="B78" s="94" t="s">
        <v>97</v>
      </c>
      <c r="C78" s="95">
        <v>1</v>
      </c>
      <c r="D78" s="95">
        <v>3</v>
      </c>
      <c r="E78" s="94" t="s">
        <v>279</v>
      </c>
      <c r="F78" s="96">
        <v>495</v>
      </c>
      <c r="G78" s="97">
        <v>545</v>
      </c>
      <c r="H78" s="97">
        <f>G78+69</f>
        <v>614</v>
      </c>
      <c r="I78" s="97">
        <v>614</v>
      </c>
      <c r="J78" s="97">
        <v>614</v>
      </c>
      <c r="K78" s="98"/>
    </row>
    <row r="79" spans="1:11" x14ac:dyDescent="0.25">
      <c r="A79" s="94" t="s">
        <v>99</v>
      </c>
      <c r="B79" s="94" t="s">
        <v>100</v>
      </c>
      <c r="C79" s="95">
        <v>2</v>
      </c>
      <c r="D79" s="99">
        <v>1</v>
      </c>
      <c r="E79" s="94" t="s">
        <v>101</v>
      </c>
      <c r="F79" s="96">
        <v>468.75</v>
      </c>
      <c r="G79" s="100">
        <f>F79+50</f>
        <v>518.75</v>
      </c>
      <c r="H79" s="97">
        <f t="shared" ref="H79" si="11">G79+42.25</f>
        <v>561</v>
      </c>
      <c r="I79" s="97">
        <v>561</v>
      </c>
      <c r="J79" s="97">
        <v>561</v>
      </c>
      <c r="K79" s="101"/>
    </row>
    <row r="80" spans="1:11" x14ac:dyDescent="0.25">
      <c r="A80" s="94" t="s">
        <v>102</v>
      </c>
      <c r="B80" s="94" t="s">
        <v>103</v>
      </c>
      <c r="C80" s="95">
        <v>3</v>
      </c>
      <c r="D80" s="99">
        <v>1</v>
      </c>
      <c r="E80" s="94" t="s">
        <v>104</v>
      </c>
      <c r="F80" s="96">
        <v>750</v>
      </c>
      <c r="G80" s="100">
        <v>750</v>
      </c>
      <c r="H80" s="97">
        <v>750</v>
      </c>
      <c r="I80" s="97">
        <v>750</v>
      </c>
      <c r="J80" s="97">
        <v>750</v>
      </c>
      <c r="K80" s="101"/>
    </row>
    <row r="81" spans="1:11" x14ac:dyDescent="0.25">
      <c r="A81" s="94" t="s">
        <v>105</v>
      </c>
      <c r="B81" s="94" t="s">
        <v>106</v>
      </c>
      <c r="C81" s="95">
        <v>4</v>
      </c>
      <c r="D81" s="99">
        <v>1</v>
      </c>
      <c r="E81" s="94" t="s">
        <v>107</v>
      </c>
      <c r="F81" s="96">
        <v>750</v>
      </c>
      <c r="G81" s="100">
        <v>750</v>
      </c>
      <c r="H81" s="97">
        <v>750</v>
      </c>
      <c r="I81" s="97">
        <v>750</v>
      </c>
      <c r="J81" s="97">
        <v>750</v>
      </c>
      <c r="K81" s="101"/>
    </row>
    <row r="82" spans="1:11" x14ac:dyDescent="0.25">
      <c r="A82" s="94" t="s">
        <v>108</v>
      </c>
      <c r="B82" s="94" t="s">
        <v>109</v>
      </c>
      <c r="C82" s="95">
        <v>5</v>
      </c>
      <c r="D82" s="99">
        <v>1</v>
      </c>
      <c r="E82" s="94" t="s">
        <v>110</v>
      </c>
      <c r="F82" s="96">
        <v>468.75</v>
      </c>
      <c r="G82" s="100">
        <f t="shared" ref="G82:G83" si="12">F82+50</f>
        <v>518.75</v>
      </c>
      <c r="H82" s="97">
        <f t="shared" ref="H82:H83" si="13">G82+42.25</f>
        <v>561</v>
      </c>
      <c r="I82" s="97">
        <v>561</v>
      </c>
      <c r="J82" s="97">
        <v>561</v>
      </c>
      <c r="K82" s="101"/>
    </row>
    <row r="83" spans="1:11" x14ac:dyDescent="0.25">
      <c r="A83" s="94" t="s">
        <v>111</v>
      </c>
      <c r="B83" s="94" t="s">
        <v>112</v>
      </c>
      <c r="C83" s="95">
        <v>6</v>
      </c>
      <c r="D83" s="99">
        <v>1</v>
      </c>
      <c r="E83" s="94" t="s">
        <v>113</v>
      </c>
      <c r="F83" s="96">
        <v>468.75</v>
      </c>
      <c r="G83" s="100">
        <f t="shared" si="12"/>
        <v>518.75</v>
      </c>
      <c r="H83" s="97">
        <f t="shared" si="13"/>
        <v>561</v>
      </c>
      <c r="I83" s="97">
        <v>561</v>
      </c>
      <c r="J83" s="97">
        <v>561</v>
      </c>
      <c r="K83" s="101"/>
    </row>
    <row r="84" spans="1:11" x14ac:dyDescent="0.25">
      <c r="A84" s="94" t="s">
        <v>114</v>
      </c>
      <c r="B84" s="94" t="s">
        <v>115</v>
      </c>
      <c r="C84" s="95">
        <v>7</v>
      </c>
      <c r="D84" s="99">
        <v>4</v>
      </c>
      <c r="E84" s="94" t="s">
        <v>279</v>
      </c>
      <c r="F84" s="96">
        <v>495</v>
      </c>
      <c r="G84" s="100">
        <f>F84+75</f>
        <v>570</v>
      </c>
      <c r="H84" s="97">
        <f>G84+44</f>
        <v>614</v>
      </c>
      <c r="I84" s="97">
        <v>614</v>
      </c>
      <c r="J84" s="97">
        <v>614</v>
      </c>
      <c r="K84" s="101"/>
    </row>
    <row r="85" spans="1:11" x14ac:dyDescent="0.25">
      <c r="A85" s="94" t="s">
        <v>117</v>
      </c>
      <c r="B85" s="94" t="s">
        <v>118</v>
      </c>
      <c r="C85" s="95">
        <v>8</v>
      </c>
      <c r="D85" s="99">
        <v>5</v>
      </c>
      <c r="E85" s="94" t="s">
        <v>119</v>
      </c>
      <c r="F85" s="96">
        <v>517.5</v>
      </c>
      <c r="G85" s="100">
        <f>F85+100</f>
        <v>617.5</v>
      </c>
      <c r="H85" s="97">
        <f>G85+100</f>
        <v>717.5</v>
      </c>
      <c r="I85" s="97">
        <v>717.5</v>
      </c>
      <c r="J85" s="97">
        <v>717.5</v>
      </c>
      <c r="K85" s="101"/>
    </row>
    <row r="86" spans="1:11" x14ac:dyDescent="0.25">
      <c r="A86" s="94" t="s">
        <v>120</v>
      </c>
      <c r="B86" s="94" t="s">
        <v>121</v>
      </c>
      <c r="C86" s="95">
        <v>9</v>
      </c>
      <c r="D86" s="99">
        <v>4</v>
      </c>
      <c r="E86" s="94" t="s">
        <v>279</v>
      </c>
      <c r="F86" s="96">
        <v>495</v>
      </c>
      <c r="G86" s="100">
        <f t="shared" ref="G86:G92" si="14">F86+50</f>
        <v>545</v>
      </c>
      <c r="H86" s="97">
        <f>G86+50</f>
        <v>595</v>
      </c>
      <c r="I86" s="97">
        <v>595</v>
      </c>
      <c r="J86" s="97">
        <v>595</v>
      </c>
      <c r="K86" s="101"/>
    </row>
    <row r="87" spans="1:11" x14ac:dyDescent="0.25">
      <c r="A87" s="94" t="s">
        <v>122</v>
      </c>
      <c r="B87" s="94" t="s">
        <v>123</v>
      </c>
      <c r="C87" s="95">
        <v>10</v>
      </c>
      <c r="D87" s="99">
        <v>1</v>
      </c>
      <c r="E87" s="94" t="s">
        <v>124</v>
      </c>
      <c r="F87" s="96">
        <v>468.75</v>
      </c>
      <c r="G87" s="100">
        <f t="shared" si="14"/>
        <v>518.75</v>
      </c>
      <c r="H87" s="97">
        <f t="shared" ref="H87:H88" si="15">G87+42.25</f>
        <v>561</v>
      </c>
      <c r="I87" s="97">
        <v>561</v>
      </c>
      <c r="J87" s="97">
        <v>561</v>
      </c>
      <c r="K87" s="101"/>
    </row>
    <row r="88" spans="1:11" x14ac:dyDescent="0.25">
      <c r="A88" s="94" t="s">
        <v>125</v>
      </c>
      <c r="B88" s="94" t="s">
        <v>126</v>
      </c>
      <c r="C88" s="95">
        <v>11</v>
      </c>
      <c r="D88" s="99">
        <v>1</v>
      </c>
      <c r="E88" s="94" t="s">
        <v>124</v>
      </c>
      <c r="F88" s="96">
        <v>468.75</v>
      </c>
      <c r="G88" s="100">
        <f t="shared" si="14"/>
        <v>518.75</v>
      </c>
      <c r="H88" s="97">
        <f t="shared" si="15"/>
        <v>561</v>
      </c>
      <c r="I88" s="97">
        <v>561</v>
      </c>
      <c r="J88" s="97">
        <v>561</v>
      </c>
      <c r="K88" s="101"/>
    </row>
    <row r="89" spans="1:11" x14ac:dyDescent="0.25">
      <c r="A89" s="94" t="s">
        <v>127</v>
      </c>
      <c r="B89" s="94" t="s">
        <v>128</v>
      </c>
      <c r="C89" s="95">
        <v>12</v>
      </c>
      <c r="D89" s="99">
        <v>2</v>
      </c>
      <c r="E89" s="94" t="s">
        <v>129</v>
      </c>
      <c r="F89" s="96">
        <v>517.5</v>
      </c>
      <c r="G89" s="100">
        <f t="shared" si="14"/>
        <v>567.5</v>
      </c>
      <c r="H89" s="97">
        <f>G89+10.5</f>
        <v>578</v>
      </c>
      <c r="I89" s="97">
        <v>578</v>
      </c>
      <c r="J89" s="97">
        <v>578</v>
      </c>
      <c r="K89" s="101"/>
    </row>
    <row r="90" spans="1:11" x14ac:dyDescent="0.25">
      <c r="A90" s="94" t="s">
        <v>130</v>
      </c>
      <c r="B90" s="94" t="s">
        <v>131</v>
      </c>
      <c r="C90" s="95">
        <v>13</v>
      </c>
      <c r="D90" s="99">
        <v>1</v>
      </c>
      <c r="E90" s="94" t="s">
        <v>132</v>
      </c>
      <c r="F90" s="96">
        <v>480</v>
      </c>
      <c r="G90" s="100">
        <f t="shared" si="14"/>
        <v>530</v>
      </c>
      <c r="H90" s="97">
        <f>G90+31</f>
        <v>561</v>
      </c>
      <c r="I90" s="97">
        <v>561</v>
      </c>
      <c r="J90" s="97">
        <v>561</v>
      </c>
      <c r="K90" s="101"/>
    </row>
    <row r="91" spans="1:11" x14ac:dyDescent="0.25">
      <c r="A91" s="94" t="s">
        <v>133</v>
      </c>
      <c r="B91" s="94" t="s">
        <v>134</v>
      </c>
      <c r="C91" s="95">
        <v>14</v>
      </c>
      <c r="D91" s="99">
        <v>1</v>
      </c>
      <c r="E91" s="94" t="s">
        <v>135</v>
      </c>
      <c r="F91" s="96">
        <v>468.75</v>
      </c>
      <c r="G91" s="100">
        <f t="shared" si="14"/>
        <v>518.75</v>
      </c>
      <c r="H91" s="97">
        <f t="shared" ref="H91" si="16">G91+42.25</f>
        <v>561</v>
      </c>
      <c r="I91" s="97">
        <v>561</v>
      </c>
      <c r="J91" s="97">
        <v>561</v>
      </c>
      <c r="K91" s="101"/>
    </row>
    <row r="92" spans="1:11" x14ac:dyDescent="0.25">
      <c r="A92" s="94" t="s">
        <v>136</v>
      </c>
      <c r="B92" s="94" t="s">
        <v>137</v>
      </c>
      <c r="C92" s="95">
        <v>15</v>
      </c>
      <c r="D92" s="99">
        <v>5</v>
      </c>
      <c r="E92" s="94" t="s">
        <v>138</v>
      </c>
      <c r="F92" s="96">
        <v>517.5</v>
      </c>
      <c r="G92" s="100">
        <f t="shared" si="14"/>
        <v>567.5</v>
      </c>
      <c r="H92" s="97">
        <f>G92+100</f>
        <v>667.5</v>
      </c>
      <c r="I92" s="97">
        <v>667.5</v>
      </c>
      <c r="J92" s="97">
        <v>667.5</v>
      </c>
      <c r="K92" s="101"/>
    </row>
    <row r="93" spans="1:11" x14ac:dyDescent="0.25">
      <c r="A93" s="94" t="s">
        <v>139</v>
      </c>
      <c r="B93" s="94" t="s">
        <v>140</v>
      </c>
      <c r="C93" s="95">
        <v>16</v>
      </c>
      <c r="D93" s="99">
        <v>4</v>
      </c>
      <c r="E93" s="94" t="s">
        <v>279</v>
      </c>
      <c r="F93" s="96">
        <v>495</v>
      </c>
      <c r="G93" s="100">
        <f>F93+75</f>
        <v>570</v>
      </c>
      <c r="H93" s="97">
        <f>G93+44</f>
        <v>614</v>
      </c>
      <c r="I93" s="97">
        <v>614</v>
      </c>
      <c r="J93" s="97">
        <v>614</v>
      </c>
      <c r="K93" s="101"/>
    </row>
    <row r="94" spans="1:11" x14ac:dyDescent="0.25">
      <c r="A94" s="94" t="s">
        <v>142</v>
      </c>
      <c r="B94" s="94" t="s">
        <v>143</v>
      </c>
      <c r="C94" s="95">
        <v>17</v>
      </c>
      <c r="D94" s="99">
        <v>5</v>
      </c>
      <c r="E94" s="94" t="s">
        <v>144</v>
      </c>
      <c r="F94" s="96">
        <v>480</v>
      </c>
      <c r="G94" s="100">
        <f t="shared" ref="G94:G97" si="17">F94+50</f>
        <v>530</v>
      </c>
      <c r="H94" s="97">
        <f>G94+31</f>
        <v>561</v>
      </c>
      <c r="I94" s="97">
        <v>561</v>
      </c>
      <c r="J94" s="97">
        <v>561</v>
      </c>
      <c r="K94" s="101"/>
    </row>
    <row r="95" spans="1:11" x14ac:dyDescent="0.25">
      <c r="A95" s="94" t="s">
        <v>145</v>
      </c>
      <c r="B95" s="94" t="s">
        <v>146</v>
      </c>
      <c r="C95" s="95">
        <v>18</v>
      </c>
      <c r="D95" s="99">
        <v>1</v>
      </c>
      <c r="E95" s="94" t="s">
        <v>147</v>
      </c>
      <c r="F95" s="96">
        <v>476.25</v>
      </c>
      <c r="G95" s="100">
        <f t="shared" si="17"/>
        <v>526.25</v>
      </c>
      <c r="H95" s="97">
        <f>G95+34.75</f>
        <v>561</v>
      </c>
      <c r="I95" s="97">
        <v>561</v>
      </c>
      <c r="J95" s="97">
        <v>561</v>
      </c>
      <c r="K95" s="101"/>
    </row>
    <row r="96" spans="1:11" x14ac:dyDescent="0.25">
      <c r="A96" s="94" t="s">
        <v>148</v>
      </c>
      <c r="B96" s="94" t="s">
        <v>149</v>
      </c>
      <c r="C96" s="95">
        <v>19</v>
      </c>
      <c r="D96" s="99">
        <v>1</v>
      </c>
      <c r="E96" s="94" t="s">
        <v>150</v>
      </c>
      <c r="F96" s="96">
        <v>468.75</v>
      </c>
      <c r="G96" s="100">
        <f t="shared" si="17"/>
        <v>518.75</v>
      </c>
      <c r="H96" s="97">
        <f t="shared" ref="H96:H97" si="18">G96+42.25</f>
        <v>561</v>
      </c>
      <c r="I96" s="97">
        <v>561</v>
      </c>
      <c r="J96" s="97">
        <v>561</v>
      </c>
      <c r="K96" s="101"/>
    </row>
    <row r="97" spans="1:11" x14ac:dyDescent="0.25">
      <c r="A97" s="94" t="s">
        <v>151</v>
      </c>
      <c r="B97" s="94" t="s">
        <v>152</v>
      </c>
      <c r="C97" s="95">
        <v>20</v>
      </c>
      <c r="D97" s="99">
        <v>1</v>
      </c>
      <c r="E97" s="94" t="s">
        <v>150</v>
      </c>
      <c r="F97" s="96">
        <v>468.75</v>
      </c>
      <c r="G97" s="100">
        <f t="shared" si="17"/>
        <v>518.75</v>
      </c>
      <c r="H97" s="97">
        <f t="shared" si="18"/>
        <v>561</v>
      </c>
      <c r="I97" s="97">
        <v>561</v>
      </c>
      <c r="J97" s="97">
        <v>561</v>
      </c>
      <c r="K97" s="101"/>
    </row>
    <row r="98" spans="1:11" x14ac:dyDescent="0.25">
      <c r="A98" s="102" t="s">
        <v>153</v>
      </c>
      <c r="B98" s="103" t="s">
        <v>154</v>
      </c>
      <c r="C98" s="95">
        <v>21</v>
      </c>
      <c r="D98" s="95">
        <v>3</v>
      </c>
      <c r="E98" s="94" t="s">
        <v>279</v>
      </c>
      <c r="F98" s="96">
        <v>481</v>
      </c>
      <c r="G98" s="97">
        <f>F98+75</f>
        <v>556</v>
      </c>
      <c r="H98" s="97">
        <f>G98+40</f>
        <v>596</v>
      </c>
      <c r="I98" s="97">
        <v>596</v>
      </c>
      <c r="J98" s="97">
        <v>596</v>
      </c>
      <c r="K98" s="98"/>
    </row>
    <row r="99" spans="1:11" x14ac:dyDescent="0.25">
      <c r="A99" s="102" t="s">
        <v>156</v>
      </c>
      <c r="B99" s="103" t="s">
        <v>157</v>
      </c>
      <c r="C99" s="95">
        <v>22</v>
      </c>
      <c r="D99" s="99">
        <v>3</v>
      </c>
      <c r="E99" s="94" t="s">
        <v>279</v>
      </c>
      <c r="F99" s="96">
        <v>481</v>
      </c>
      <c r="G99" s="97">
        <f t="shared" ref="G99:G101" si="19">F99+75</f>
        <v>556</v>
      </c>
      <c r="H99" s="97">
        <f t="shared" ref="H99:H100" si="20">G99+40</f>
        <v>596</v>
      </c>
      <c r="I99" s="97">
        <v>596</v>
      </c>
      <c r="J99" s="97">
        <v>596</v>
      </c>
      <c r="K99" s="101"/>
    </row>
    <row r="100" spans="1:11" x14ac:dyDescent="0.25">
      <c r="A100" s="102" t="s">
        <v>158</v>
      </c>
      <c r="B100" s="103" t="s">
        <v>159</v>
      </c>
      <c r="C100" s="95">
        <v>23</v>
      </c>
      <c r="D100" s="99">
        <v>3</v>
      </c>
      <c r="E100" s="94" t="s">
        <v>279</v>
      </c>
      <c r="F100" s="96">
        <v>481</v>
      </c>
      <c r="G100" s="97">
        <f t="shared" si="19"/>
        <v>556</v>
      </c>
      <c r="H100" s="97">
        <f t="shared" si="20"/>
        <v>596</v>
      </c>
      <c r="I100" s="97">
        <v>596</v>
      </c>
      <c r="J100" s="97">
        <v>596</v>
      </c>
      <c r="K100" s="101"/>
    </row>
    <row r="101" spans="1:11" x14ac:dyDescent="0.25">
      <c r="A101" s="102" t="s">
        <v>160</v>
      </c>
      <c r="B101" s="103" t="s">
        <v>161</v>
      </c>
      <c r="C101" s="95">
        <v>24</v>
      </c>
      <c r="D101" s="99">
        <v>3</v>
      </c>
      <c r="E101" s="94" t="s">
        <v>280</v>
      </c>
      <c r="F101" s="96">
        <v>400</v>
      </c>
      <c r="G101" s="97">
        <f t="shared" si="19"/>
        <v>475</v>
      </c>
      <c r="H101" s="97">
        <f>G101+75</f>
        <v>550</v>
      </c>
      <c r="I101" s="97">
        <v>550</v>
      </c>
      <c r="J101" s="97">
        <v>550</v>
      </c>
      <c r="K101" s="101"/>
    </row>
    <row r="102" spans="1:11" x14ac:dyDescent="0.25">
      <c r="A102" s="102" t="s">
        <v>163</v>
      </c>
      <c r="B102" s="103" t="s">
        <v>164</v>
      </c>
      <c r="C102" s="95">
        <v>25</v>
      </c>
      <c r="D102" s="99">
        <v>6</v>
      </c>
      <c r="E102" s="94" t="s">
        <v>165</v>
      </c>
      <c r="F102" s="96">
        <v>503</v>
      </c>
      <c r="G102" s="100">
        <f>F102+100</f>
        <v>603</v>
      </c>
      <c r="H102" s="100">
        <f>G102+100</f>
        <v>703</v>
      </c>
      <c r="I102" s="97">
        <v>703</v>
      </c>
      <c r="J102" s="97">
        <v>703</v>
      </c>
      <c r="K102" s="101"/>
    </row>
    <row r="103" spans="1:11" x14ac:dyDescent="0.25">
      <c r="A103" s="102" t="s">
        <v>166</v>
      </c>
      <c r="B103" s="103" t="s">
        <v>167</v>
      </c>
      <c r="C103" s="95">
        <v>26</v>
      </c>
      <c r="D103" s="99">
        <v>1</v>
      </c>
      <c r="E103" s="94" t="s">
        <v>281</v>
      </c>
      <c r="F103" s="96">
        <v>386</v>
      </c>
      <c r="G103" s="100">
        <f>F103+75</f>
        <v>461</v>
      </c>
      <c r="H103" s="97">
        <f>G103+75</f>
        <v>536</v>
      </c>
      <c r="I103" s="97">
        <v>536</v>
      </c>
      <c r="J103" s="97">
        <v>536</v>
      </c>
      <c r="K103" s="101"/>
    </row>
    <row r="104" spans="1:11" x14ac:dyDescent="0.25">
      <c r="A104" s="102" t="s">
        <v>169</v>
      </c>
      <c r="B104" s="103" t="s">
        <v>170</v>
      </c>
      <c r="C104" s="95">
        <v>27</v>
      </c>
      <c r="D104" s="99">
        <v>1</v>
      </c>
      <c r="E104" s="94" t="s">
        <v>281</v>
      </c>
      <c r="F104" s="96">
        <v>435</v>
      </c>
      <c r="G104" s="100">
        <f t="shared" ref="G104:G113" si="21">F104+75</f>
        <v>510</v>
      </c>
      <c r="H104" s="97">
        <f>G104+51</f>
        <v>561</v>
      </c>
      <c r="I104" s="97">
        <v>561</v>
      </c>
      <c r="J104" s="97">
        <v>561</v>
      </c>
      <c r="K104" s="101"/>
    </row>
    <row r="105" spans="1:11" x14ac:dyDescent="0.25">
      <c r="A105" s="102" t="s">
        <v>171</v>
      </c>
      <c r="B105" s="103" t="s">
        <v>172</v>
      </c>
      <c r="C105" s="95">
        <v>28</v>
      </c>
      <c r="D105" s="99">
        <v>1</v>
      </c>
      <c r="E105" s="94" t="s">
        <v>281</v>
      </c>
      <c r="F105" s="96">
        <v>386</v>
      </c>
      <c r="G105" s="100">
        <f t="shared" si="21"/>
        <v>461</v>
      </c>
      <c r="H105" s="97">
        <f>G105+75</f>
        <v>536</v>
      </c>
      <c r="I105" s="97">
        <v>536</v>
      </c>
      <c r="J105" s="97">
        <v>536</v>
      </c>
      <c r="K105" s="101"/>
    </row>
    <row r="106" spans="1:11" x14ac:dyDescent="0.25">
      <c r="A106" s="102" t="s">
        <v>173</v>
      </c>
      <c r="B106" s="103" t="s">
        <v>174</v>
      </c>
      <c r="C106" s="95">
        <v>29</v>
      </c>
      <c r="D106" s="99">
        <v>1</v>
      </c>
      <c r="E106" s="94" t="s">
        <v>281</v>
      </c>
      <c r="F106" s="96">
        <v>386</v>
      </c>
      <c r="G106" s="100">
        <f t="shared" si="21"/>
        <v>461</v>
      </c>
      <c r="H106" s="97">
        <f>G106+75</f>
        <v>536</v>
      </c>
      <c r="I106" s="97">
        <v>536</v>
      </c>
      <c r="J106" s="97">
        <v>536</v>
      </c>
      <c r="K106" s="101"/>
    </row>
    <row r="107" spans="1:11" x14ac:dyDescent="0.25">
      <c r="A107" s="102" t="s">
        <v>175</v>
      </c>
      <c r="B107" s="103" t="s">
        <v>176</v>
      </c>
      <c r="C107" s="95">
        <v>30</v>
      </c>
      <c r="D107" s="99">
        <v>1</v>
      </c>
      <c r="E107" s="94" t="s">
        <v>281</v>
      </c>
      <c r="F107" s="96">
        <v>451</v>
      </c>
      <c r="G107" s="100">
        <f t="shared" si="21"/>
        <v>526</v>
      </c>
      <c r="H107" s="97">
        <f>G107+35</f>
        <v>561</v>
      </c>
      <c r="I107" s="97">
        <v>561</v>
      </c>
      <c r="J107" s="97">
        <v>561</v>
      </c>
      <c r="K107" s="101"/>
    </row>
    <row r="108" spans="1:11" x14ac:dyDescent="0.25">
      <c r="A108" s="104" t="s">
        <v>177</v>
      </c>
      <c r="B108" s="105" t="s">
        <v>178</v>
      </c>
      <c r="C108" s="95">
        <v>31</v>
      </c>
      <c r="D108" s="99">
        <v>1</v>
      </c>
      <c r="E108" s="94" t="s">
        <v>281</v>
      </c>
      <c r="F108" s="96">
        <v>435</v>
      </c>
      <c r="G108" s="100">
        <f t="shared" si="21"/>
        <v>510</v>
      </c>
      <c r="H108" s="97">
        <f>G108+51</f>
        <v>561</v>
      </c>
      <c r="I108" s="97">
        <v>561</v>
      </c>
      <c r="J108" s="97">
        <v>561</v>
      </c>
      <c r="K108" s="101"/>
    </row>
    <row r="109" spans="1:11" x14ac:dyDescent="0.25">
      <c r="A109" s="102" t="s">
        <v>179</v>
      </c>
      <c r="B109" s="103" t="s">
        <v>180</v>
      </c>
      <c r="C109" s="95">
        <v>32</v>
      </c>
      <c r="D109" s="99">
        <v>1</v>
      </c>
      <c r="E109" s="94" t="s">
        <v>281</v>
      </c>
      <c r="F109" s="96">
        <v>451</v>
      </c>
      <c r="G109" s="100">
        <f t="shared" si="21"/>
        <v>526</v>
      </c>
      <c r="H109" s="97">
        <f>G109+35</f>
        <v>561</v>
      </c>
      <c r="I109" s="97">
        <v>561</v>
      </c>
      <c r="J109" s="97">
        <v>561</v>
      </c>
      <c r="K109" s="101"/>
    </row>
    <row r="110" spans="1:11" x14ac:dyDescent="0.25">
      <c r="A110" s="104" t="s">
        <v>181</v>
      </c>
      <c r="B110" s="105" t="s">
        <v>182</v>
      </c>
      <c r="C110" s="95">
        <v>33</v>
      </c>
      <c r="D110" s="99">
        <v>1</v>
      </c>
      <c r="E110" s="94" t="s">
        <v>281</v>
      </c>
      <c r="F110" s="96">
        <v>386</v>
      </c>
      <c r="G110" s="100">
        <f t="shared" si="21"/>
        <v>461</v>
      </c>
      <c r="H110" s="97">
        <f>G110+75</f>
        <v>536</v>
      </c>
      <c r="I110" s="97">
        <v>536</v>
      </c>
      <c r="J110" s="97">
        <v>536</v>
      </c>
      <c r="K110" s="101"/>
    </row>
    <row r="111" spans="1:11" x14ac:dyDescent="0.25">
      <c r="A111" s="102" t="s">
        <v>183</v>
      </c>
      <c r="B111" s="103" t="s">
        <v>184</v>
      </c>
      <c r="C111" s="95">
        <v>34</v>
      </c>
      <c r="D111" s="99">
        <v>1</v>
      </c>
      <c r="E111" s="94" t="s">
        <v>281</v>
      </c>
      <c r="F111" s="96">
        <v>435</v>
      </c>
      <c r="G111" s="100">
        <f t="shared" si="21"/>
        <v>510</v>
      </c>
      <c r="H111" s="97">
        <f>G111+51</f>
        <v>561</v>
      </c>
      <c r="I111" s="97">
        <v>561</v>
      </c>
      <c r="J111" s="97">
        <v>561</v>
      </c>
      <c r="K111" s="101"/>
    </row>
    <row r="112" spans="1:11" x14ac:dyDescent="0.25">
      <c r="A112" s="102" t="s">
        <v>185</v>
      </c>
      <c r="B112" s="103" t="s">
        <v>186</v>
      </c>
      <c r="C112" s="95">
        <v>35</v>
      </c>
      <c r="D112" s="99">
        <v>1</v>
      </c>
      <c r="E112" s="94" t="s">
        <v>281</v>
      </c>
      <c r="F112" s="96">
        <v>386</v>
      </c>
      <c r="G112" s="100">
        <f t="shared" si="21"/>
        <v>461</v>
      </c>
      <c r="H112" s="97">
        <f>G112+75</f>
        <v>536</v>
      </c>
      <c r="I112" s="97">
        <v>536</v>
      </c>
      <c r="J112" s="97">
        <v>536</v>
      </c>
      <c r="K112" s="101"/>
    </row>
    <row r="113" spans="1:11" x14ac:dyDescent="0.25">
      <c r="A113" s="102" t="s">
        <v>187</v>
      </c>
      <c r="B113" s="103" t="s">
        <v>188</v>
      </c>
      <c r="C113" s="95">
        <v>36</v>
      </c>
      <c r="D113" s="99">
        <v>1</v>
      </c>
      <c r="E113" s="94" t="s">
        <v>281</v>
      </c>
      <c r="F113" s="96">
        <v>435</v>
      </c>
      <c r="G113" s="100">
        <f t="shared" si="21"/>
        <v>510</v>
      </c>
      <c r="H113" s="97">
        <f>G113+51</f>
        <v>561</v>
      </c>
      <c r="I113" s="97">
        <v>561</v>
      </c>
      <c r="J113" s="97">
        <v>561</v>
      </c>
      <c r="K113" s="101"/>
    </row>
    <row r="114" spans="1:11" x14ac:dyDescent="0.25">
      <c r="A114" s="102" t="s">
        <v>189</v>
      </c>
      <c r="B114" s="103" t="s">
        <v>190</v>
      </c>
      <c r="C114" s="95">
        <v>37</v>
      </c>
      <c r="D114" s="99">
        <v>1</v>
      </c>
      <c r="E114" s="94" t="s">
        <v>191</v>
      </c>
      <c r="F114" s="96">
        <v>622</v>
      </c>
      <c r="G114" s="100">
        <v>622</v>
      </c>
      <c r="H114" s="97">
        <v>622</v>
      </c>
      <c r="I114" s="97">
        <v>622</v>
      </c>
      <c r="J114" s="97">
        <v>622</v>
      </c>
      <c r="K114" s="101"/>
    </row>
    <row r="115" spans="1:11" x14ac:dyDescent="0.25">
      <c r="A115" s="104" t="s">
        <v>192</v>
      </c>
      <c r="B115" s="105" t="s">
        <v>193</v>
      </c>
      <c r="C115" s="95">
        <v>38</v>
      </c>
      <c r="D115" s="99">
        <v>5</v>
      </c>
      <c r="E115" s="94" t="s">
        <v>194</v>
      </c>
      <c r="F115" s="96">
        <v>517.5</v>
      </c>
      <c r="G115" s="100">
        <f>F115+100</f>
        <v>617.5</v>
      </c>
      <c r="H115" s="97">
        <f>G115+100</f>
        <v>717.5</v>
      </c>
      <c r="I115" s="97">
        <v>717.5</v>
      </c>
      <c r="J115" s="97">
        <v>717.5</v>
      </c>
      <c r="K115" s="101"/>
    </row>
    <row r="116" spans="1:11" x14ac:dyDescent="0.25">
      <c r="A116" s="102" t="s">
        <v>195</v>
      </c>
      <c r="B116" s="103" t="s">
        <v>196</v>
      </c>
      <c r="C116" s="95">
        <v>39</v>
      </c>
      <c r="D116" s="99">
        <v>5</v>
      </c>
      <c r="E116" s="94" t="s">
        <v>197</v>
      </c>
      <c r="F116" s="96">
        <v>517.5</v>
      </c>
      <c r="G116" s="100">
        <f>F116+100</f>
        <v>617.5</v>
      </c>
      <c r="H116" s="97">
        <f>G116+100</f>
        <v>717.5</v>
      </c>
      <c r="I116" s="97">
        <v>717.5</v>
      </c>
      <c r="J116" s="97">
        <v>717.5</v>
      </c>
      <c r="K116" s="101"/>
    </row>
    <row r="117" spans="1:11" x14ac:dyDescent="0.25">
      <c r="A117" s="94"/>
      <c r="B117" s="94"/>
      <c r="C117" s="106"/>
      <c r="D117" s="107"/>
      <c r="E117" s="94"/>
      <c r="F117" s="96"/>
      <c r="G117" s="101"/>
      <c r="H117" s="98"/>
      <c r="I117" s="98"/>
      <c r="J117" s="98"/>
      <c r="K117" s="101"/>
    </row>
    <row r="118" spans="1:11" x14ac:dyDescent="0.25">
      <c r="A118" s="94"/>
      <c r="B118" s="94"/>
      <c r="C118" s="106"/>
      <c r="D118" s="107"/>
      <c r="E118" s="94"/>
      <c r="F118" s="96"/>
      <c r="G118" s="101"/>
      <c r="H118" s="98"/>
      <c r="I118" s="98"/>
      <c r="J118" s="98"/>
      <c r="K118" s="101"/>
    </row>
    <row r="119" spans="1:11" x14ac:dyDescent="0.25">
      <c r="A119" s="108"/>
      <c r="B119" s="108"/>
      <c r="C119" s="108"/>
      <c r="D119" s="108"/>
      <c r="E119" s="109" t="s">
        <v>198</v>
      </c>
      <c r="F119" s="110">
        <f>SUM(F78:F118)</f>
        <v>18793.75</v>
      </c>
      <c r="G119" s="110">
        <f>SUM(G78:G118)</f>
        <v>21218.75</v>
      </c>
      <c r="H119" s="110">
        <f>SUM(H78:H118)</f>
        <v>23215</v>
      </c>
      <c r="I119" s="110">
        <f>SUM(I78:I118)</f>
        <v>23215</v>
      </c>
      <c r="J119" s="110">
        <f>SUM(J78:J118)</f>
        <v>23215</v>
      </c>
      <c r="K119" s="111"/>
    </row>
    <row r="120" spans="1:11" x14ac:dyDescent="0.25">
      <c r="A120" s="112"/>
      <c r="B120" s="112"/>
      <c r="C120" s="112"/>
      <c r="D120" s="112"/>
      <c r="E120" s="113"/>
      <c r="F120" s="114"/>
      <c r="G120" s="114"/>
      <c r="H120" s="114"/>
      <c r="I120" s="114"/>
      <c r="J120" s="114"/>
      <c r="K120" s="114"/>
    </row>
    <row r="121" spans="1:11" x14ac:dyDescent="0.25">
      <c r="A121" s="112" t="s">
        <v>199</v>
      </c>
      <c r="B121" s="115" t="s">
        <v>200</v>
      </c>
      <c r="C121" s="112"/>
      <c r="D121" s="112"/>
      <c r="E121" s="113"/>
      <c r="F121" s="114"/>
      <c r="G121" s="114"/>
      <c r="H121" s="114"/>
      <c r="I121" s="114"/>
      <c r="J121" s="114"/>
      <c r="K121" s="116"/>
    </row>
    <row r="122" spans="1:11" x14ac:dyDescent="0.25">
      <c r="A122" s="48" t="s">
        <v>201</v>
      </c>
      <c r="B122" s="112"/>
      <c r="C122" s="112"/>
      <c r="D122" s="112"/>
      <c r="E122" s="113"/>
      <c r="F122" s="114"/>
      <c r="G122" s="114"/>
      <c r="H122" s="114"/>
      <c r="I122" s="114"/>
      <c r="J122" s="114"/>
      <c r="K122" s="116"/>
    </row>
    <row r="123" spans="1:11" x14ac:dyDescent="0.25">
      <c r="A123" s="48" t="s">
        <v>202</v>
      </c>
      <c r="B123" s="112"/>
      <c r="C123" s="112"/>
      <c r="D123" s="112"/>
      <c r="E123" s="113"/>
      <c r="F123" s="114"/>
      <c r="G123" s="114"/>
      <c r="H123" s="114"/>
      <c r="I123" s="114"/>
      <c r="J123" s="114"/>
      <c r="K123" s="116"/>
    </row>
    <row r="124" spans="1:11" x14ac:dyDescent="0.25">
      <c r="A124" s="48" t="s">
        <v>40</v>
      </c>
      <c r="B124" s="46"/>
      <c r="C124" s="46"/>
      <c r="D124" s="46"/>
      <c r="E124" s="46"/>
      <c r="F124" s="46"/>
      <c r="G124" s="46"/>
      <c r="H124" s="46"/>
      <c r="I124" s="46"/>
      <c r="J124" s="46"/>
      <c r="K124" s="2"/>
    </row>
    <row r="125" spans="1:11" x14ac:dyDescent="0.25">
      <c r="A125" s="48"/>
      <c r="B125" s="46"/>
      <c r="C125" s="46"/>
      <c r="D125" s="46"/>
      <c r="E125" s="46"/>
      <c r="F125" s="46"/>
      <c r="G125" s="46"/>
      <c r="H125" s="46"/>
      <c r="I125" s="46"/>
      <c r="J125" s="46"/>
      <c r="K125" s="2"/>
    </row>
    <row r="126" spans="1:11" x14ac:dyDescent="0.25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2"/>
    </row>
    <row r="127" spans="1:11" x14ac:dyDescent="0.25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2"/>
    </row>
    <row r="128" spans="1:11" x14ac:dyDescent="0.25">
      <c r="A128" s="46"/>
      <c r="B128" s="46"/>
      <c r="C128" s="46"/>
      <c r="D128" s="46"/>
      <c r="E128" s="46"/>
      <c r="F128" s="117"/>
      <c r="G128" s="117"/>
      <c r="H128" s="117"/>
      <c r="I128" s="117"/>
      <c r="J128" s="117"/>
      <c r="K128" s="2"/>
    </row>
    <row r="129" spans="1:11" x14ac:dyDescent="0.25">
      <c r="A129" s="2"/>
      <c r="B129" s="46"/>
      <c r="C129" s="118"/>
      <c r="D129" s="46"/>
      <c r="E129" s="118"/>
      <c r="F129" s="118"/>
      <c r="G129" s="46"/>
      <c r="H129" s="46"/>
      <c r="I129" s="46"/>
      <c r="J129" s="46"/>
      <c r="K129" s="2"/>
    </row>
    <row r="130" spans="1:11" x14ac:dyDescent="0.25">
      <c r="A130" s="2"/>
      <c r="B130" s="119" t="s">
        <v>203</v>
      </c>
      <c r="C130" s="118"/>
      <c r="D130" s="118"/>
      <c r="E130" s="46"/>
      <c r="F130" s="187" t="s">
        <v>204</v>
      </c>
      <c r="G130" s="187"/>
      <c r="H130" s="187"/>
      <c r="I130" s="187"/>
      <c r="J130" s="187"/>
      <c r="K130" s="187"/>
    </row>
    <row r="131" spans="1:11" x14ac:dyDescent="0.25">
      <c r="A131" s="2"/>
      <c r="B131" s="118"/>
      <c r="C131" s="118"/>
      <c r="D131" s="118"/>
      <c r="E131" s="46"/>
      <c r="F131" s="50"/>
      <c r="G131" s="50"/>
      <c r="H131" s="50"/>
      <c r="I131" s="50"/>
      <c r="J131" s="50"/>
      <c r="K131" s="50"/>
    </row>
    <row r="132" spans="1:11" x14ac:dyDescent="0.25">
      <c r="A132" s="2"/>
      <c r="B132" s="120" t="s">
        <v>43</v>
      </c>
      <c r="C132" s="118"/>
      <c r="D132" s="118"/>
      <c r="E132" s="121"/>
      <c r="F132" s="51" t="s">
        <v>44</v>
      </c>
      <c r="G132" s="89"/>
      <c r="H132" s="89"/>
      <c r="I132" s="89"/>
      <c r="J132" s="89"/>
      <c r="K132" s="89"/>
    </row>
    <row r="133" spans="1:11" x14ac:dyDescent="0.25">
      <c r="A133" s="2"/>
      <c r="B133" s="51" t="s">
        <v>45</v>
      </c>
      <c r="C133" s="46"/>
      <c r="D133" s="46"/>
      <c r="E133" s="2"/>
      <c r="F133" s="2"/>
      <c r="G133" s="2"/>
      <c r="H133" s="2"/>
      <c r="I133" s="2"/>
      <c r="J133" s="2"/>
      <c r="K133" s="2"/>
    </row>
    <row r="134" spans="1:11" x14ac:dyDescent="0.25">
      <c r="A134" s="2"/>
      <c r="B134" s="51" t="s">
        <v>46</v>
      </c>
      <c r="C134" s="46"/>
      <c r="D134" s="46"/>
      <c r="E134" s="2"/>
      <c r="F134" s="2"/>
      <c r="G134" s="2"/>
      <c r="H134" s="2"/>
      <c r="I134" s="2"/>
      <c r="J134" s="2"/>
      <c r="K134" s="2"/>
    </row>
  </sheetData>
  <mergeCells count="10">
    <mergeCell ref="A69:K69"/>
    <mergeCell ref="A70:K70"/>
    <mergeCell ref="A71:K71"/>
    <mergeCell ref="A73:K73"/>
    <mergeCell ref="F130:K130"/>
    <mergeCell ref="A1:K1"/>
    <mergeCell ref="A2:K2"/>
    <mergeCell ref="A3:K3"/>
    <mergeCell ref="A5:K5"/>
    <mergeCell ref="F62:K62"/>
  </mergeCells>
  <pageMargins left="0.11811023622047245" right="0.11811023622047245" top="0.15748031496062992" bottom="0" header="0.31496062992125984" footer="0.31496062992125984"/>
  <pageSetup paperSize="9" scale="70" orientation="landscape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workbookViewId="0">
      <selection activeCell="B16" sqref="B16"/>
    </sheetView>
  </sheetViews>
  <sheetFormatPr baseColWidth="10" defaultRowHeight="15" x14ac:dyDescent="0.25"/>
  <cols>
    <col min="1" max="1" width="11.28515625" style="89" customWidth="1"/>
    <col min="2" max="2" width="53.5703125" style="89" customWidth="1"/>
    <col min="3" max="5" width="21.42578125" style="89" customWidth="1"/>
    <col min="6" max="8" width="20.5703125" style="89" customWidth="1"/>
    <col min="9" max="9" width="15.5703125" style="89" customWidth="1"/>
    <col min="10" max="10" width="20.42578125" style="89" customWidth="1"/>
    <col min="11" max="16384" width="11.42578125" style="89"/>
  </cols>
  <sheetData>
    <row r="1" spans="1:10" ht="18.75" x14ac:dyDescent="0.3">
      <c r="A1" s="201" t="s">
        <v>205</v>
      </c>
      <c r="B1" s="201"/>
      <c r="C1" s="201"/>
      <c r="D1" s="201"/>
      <c r="E1" s="201"/>
      <c r="F1" s="201"/>
      <c r="G1" s="201"/>
      <c r="H1" s="201"/>
      <c r="I1" s="201"/>
      <c r="J1" s="201"/>
    </row>
    <row r="2" spans="1:10" ht="18.75" x14ac:dyDescent="0.3">
      <c r="A2" s="201" t="s">
        <v>206</v>
      </c>
      <c r="B2" s="201"/>
      <c r="C2" s="201"/>
      <c r="D2" s="201"/>
      <c r="E2" s="201"/>
      <c r="F2" s="201"/>
      <c r="G2" s="201"/>
      <c r="H2" s="201"/>
      <c r="I2" s="201"/>
      <c r="J2" s="201"/>
    </row>
    <row r="3" spans="1:10" ht="18.75" x14ac:dyDescent="0.3">
      <c r="A3" s="122"/>
      <c r="B3" s="122"/>
      <c r="C3" s="122"/>
      <c r="D3" s="122"/>
      <c r="E3" s="122"/>
      <c r="F3" s="122"/>
      <c r="G3" s="122"/>
      <c r="H3" s="122"/>
    </row>
    <row r="4" spans="1:10" ht="18.75" x14ac:dyDescent="0.3">
      <c r="A4" s="202" t="s">
        <v>207</v>
      </c>
      <c r="B4" s="202"/>
      <c r="C4" s="202"/>
      <c r="D4" s="202"/>
      <c r="E4" s="202"/>
      <c r="F4" s="202"/>
      <c r="G4" s="202"/>
      <c r="H4" s="202"/>
    </row>
    <row r="5" spans="1:10" ht="15.75" thickBot="1" x14ac:dyDescent="0.3">
      <c r="A5" s="203"/>
      <c r="B5" s="203"/>
      <c r="C5" s="203"/>
      <c r="D5" s="203"/>
      <c r="E5" s="203"/>
      <c r="F5" s="203"/>
      <c r="G5" s="203"/>
      <c r="H5" s="203"/>
    </row>
    <row r="6" spans="1:10" ht="15" customHeight="1" x14ac:dyDescent="0.25">
      <c r="A6" s="204" t="s">
        <v>208</v>
      </c>
      <c r="B6" s="205"/>
      <c r="C6" s="204" t="s">
        <v>209</v>
      </c>
      <c r="D6" s="205"/>
      <c r="E6" s="208"/>
      <c r="F6" s="206" t="s">
        <v>210</v>
      </c>
      <c r="G6" s="207"/>
      <c r="H6" s="207"/>
      <c r="I6" s="207"/>
      <c r="J6" s="212" t="s">
        <v>12</v>
      </c>
    </row>
    <row r="7" spans="1:10" ht="15.75" customHeight="1" thickBot="1" x14ac:dyDescent="0.3">
      <c r="A7" s="206"/>
      <c r="B7" s="207"/>
      <c r="C7" s="206"/>
      <c r="D7" s="207"/>
      <c r="E7" s="209"/>
      <c r="F7" s="210"/>
      <c r="G7" s="211"/>
      <c r="H7" s="211"/>
      <c r="I7" s="211"/>
      <c r="J7" s="213"/>
    </row>
    <row r="8" spans="1:10" ht="28.5" customHeight="1" thickBot="1" x14ac:dyDescent="0.3">
      <c r="A8" s="123" t="s">
        <v>211</v>
      </c>
      <c r="B8" s="124" t="s">
        <v>212</v>
      </c>
      <c r="C8" s="125">
        <v>2015</v>
      </c>
      <c r="D8" s="126">
        <v>2016</v>
      </c>
      <c r="E8" s="127">
        <v>2017</v>
      </c>
      <c r="F8" s="128">
        <v>2018</v>
      </c>
      <c r="G8" s="128">
        <v>2019</v>
      </c>
      <c r="H8" s="129">
        <v>2020</v>
      </c>
      <c r="I8" s="129">
        <v>2021</v>
      </c>
      <c r="J8" s="214"/>
    </row>
    <row r="9" spans="1:10" ht="15.75" thickBot="1" x14ac:dyDescent="0.3">
      <c r="A9" s="194" t="s">
        <v>213</v>
      </c>
      <c r="B9" s="198"/>
      <c r="C9" s="130">
        <f t="shared" ref="C9:I9" si="0">+C10+C15+C20+C21+C22+C23</f>
        <v>0</v>
      </c>
      <c r="D9" s="131">
        <f t="shared" si="0"/>
        <v>2228648.4899999998</v>
      </c>
      <c r="E9" s="131">
        <f t="shared" si="0"/>
        <v>3287278</v>
      </c>
      <c r="F9" s="131">
        <f t="shared" si="0"/>
        <v>3287278</v>
      </c>
      <c r="G9" s="131">
        <f t="shared" si="0"/>
        <v>3461951.69</v>
      </c>
      <c r="H9" s="131">
        <f t="shared" si="0"/>
        <v>3513951.69</v>
      </c>
      <c r="I9" s="131">
        <f t="shared" si="0"/>
        <v>3513951.69</v>
      </c>
      <c r="J9" s="130"/>
    </row>
    <row r="10" spans="1:10" x14ac:dyDescent="0.25">
      <c r="A10" s="132">
        <v>11</v>
      </c>
      <c r="B10" s="133" t="s">
        <v>214</v>
      </c>
      <c r="C10" s="134"/>
      <c r="D10" s="135">
        <f t="shared" ref="D10:I10" si="1">D11+D12+D13+D14</f>
        <v>262794.76</v>
      </c>
      <c r="E10" s="135">
        <f t="shared" si="1"/>
        <v>475599.17000000004</v>
      </c>
      <c r="F10" s="135">
        <f t="shared" si="1"/>
        <v>475599.17000000004</v>
      </c>
      <c r="G10" s="135">
        <f t="shared" si="1"/>
        <v>568500</v>
      </c>
      <c r="H10" s="135">
        <f t="shared" si="1"/>
        <v>570500</v>
      </c>
      <c r="I10" s="135">
        <f t="shared" si="1"/>
        <v>570500</v>
      </c>
      <c r="J10" s="134"/>
    </row>
    <row r="11" spans="1:10" x14ac:dyDescent="0.25">
      <c r="A11" s="136">
        <v>1101</v>
      </c>
      <c r="B11" s="137" t="s">
        <v>15</v>
      </c>
      <c r="C11" s="134"/>
      <c r="D11" s="138">
        <v>12376.7</v>
      </c>
      <c r="E11" s="139">
        <v>14993.39</v>
      </c>
      <c r="F11" s="139">
        <v>14993.39</v>
      </c>
      <c r="G11" s="139">
        <v>18000</v>
      </c>
      <c r="H11" s="139">
        <v>20000</v>
      </c>
      <c r="I11" s="139">
        <v>20000</v>
      </c>
      <c r="J11" s="140"/>
    </row>
    <row r="12" spans="1:10" x14ac:dyDescent="0.25">
      <c r="A12" s="136">
        <v>1102</v>
      </c>
      <c r="B12" s="137" t="s">
        <v>16</v>
      </c>
      <c r="C12" s="134"/>
      <c r="D12" s="138">
        <v>97264.53</v>
      </c>
      <c r="E12" s="141">
        <v>317645.18</v>
      </c>
      <c r="F12" s="141">
        <v>317645.18</v>
      </c>
      <c r="G12" s="141">
        <v>400000</v>
      </c>
      <c r="H12" s="141">
        <v>400000</v>
      </c>
      <c r="I12" s="141">
        <v>400000</v>
      </c>
      <c r="J12" s="140"/>
    </row>
    <row r="13" spans="1:10" x14ac:dyDescent="0.25">
      <c r="A13" s="136">
        <v>1103</v>
      </c>
      <c r="B13" s="137" t="s">
        <v>21</v>
      </c>
      <c r="C13" s="134"/>
      <c r="D13" s="138"/>
      <c r="E13" s="141"/>
      <c r="F13" s="141"/>
      <c r="G13" s="141"/>
      <c r="H13" s="141"/>
      <c r="I13" s="141"/>
      <c r="J13" s="140"/>
    </row>
    <row r="14" spans="1:10" x14ac:dyDescent="0.25">
      <c r="A14" s="136">
        <v>1107</v>
      </c>
      <c r="B14" s="137" t="s">
        <v>22</v>
      </c>
      <c r="C14" s="134"/>
      <c r="D14" s="138">
        <v>153153.53</v>
      </c>
      <c r="E14" s="141">
        <v>142960.6</v>
      </c>
      <c r="F14" s="141">
        <v>142960.6</v>
      </c>
      <c r="G14" s="141">
        <v>150500</v>
      </c>
      <c r="H14" s="141">
        <v>150500</v>
      </c>
      <c r="I14" s="141">
        <v>150500</v>
      </c>
      <c r="J14" s="140"/>
    </row>
    <row r="15" spans="1:10" x14ac:dyDescent="0.25">
      <c r="A15" s="132">
        <v>13</v>
      </c>
      <c r="B15" s="142" t="s">
        <v>215</v>
      </c>
      <c r="C15" s="134"/>
      <c r="D15" s="141">
        <f t="shared" ref="D15:I15" si="2">+D16+D17+D18+D19</f>
        <v>358717.52</v>
      </c>
      <c r="E15" s="141">
        <f t="shared" si="2"/>
        <v>1236197.3099999998</v>
      </c>
      <c r="F15" s="141">
        <f t="shared" si="2"/>
        <v>1236197.3099999998</v>
      </c>
      <c r="G15" s="141">
        <f t="shared" si="2"/>
        <v>1295000</v>
      </c>
      <c r="H15" s="141">
        <f t="shared" si="2"/>
        <v>1345000</v>
      </c>
      <c r="I15" s="141">
        <f t="shared" si="2"/>
        <v>1345000</v>
      </c>
      <c r="J15" s="140"/>
    </row>
    <row r="16" spans="1:10" x14ac:dyDescent="0.25">
      <c r="A16" s="136">
        <v>1301</v>
      </c>
      <c r="B16" s="137" t="s">
        <v>24</v>
      </c>
      <c r="C16" s="134"/>
      <c r="D16" s="138">
        <v>119407.08</v>
      </c>
      <c r="E16" s="141">
        <v>1098209.9099999999</v>
      </c>
      <c r="F16" s="141">
        <v>1098209.9099999999</v>
      </c>
      <c r="G16" s="141">
        <v>1150000</v>
      </c>
      <c r="H16" s="141">
        <v>1200000</v>
      </c>
      <c r="I16" s="141">
        <v>1200000</v>
      </c>
      <c r="J16" s="140"/>
    </row>
    <row r="17" spans="1:10" x14ac:dyDescent="0.25">
      <c r="A17" s="136">
        <v>1302</v>
      </c>
      <c r="B17" s="137" t="s">
        <v>25</v>
      </c>
      <c r="C17" s="134"/>
      <c r="D17" s="138"/>
      <c r="E17" s="141"/>
      <c r="F17" s="141"/>
      <c r="G17" s="141"/>
      <c r="H17" s="141"/>
      <c r="I17" s="141"/>
      <c r="J17" s="140"/>
    </row>
    <row r="18" spans="1:10" x14ac:dyDescent="0.25">
      <c r="A18" s="136">
        <v>1303</v>
      </c>
      <c r="B18" s="137" t="s">
        <v>26</v>
      </c>
      <c r="C18" s="134"/>
      <c r="D18" s="138"/>
      <c r="E18" s="141"/>
      <c r="F18" s="141"/>
      <c r="G18" s="141"/>
      <c r="H18" s="141"/>
      <c r="I18" s="141"/>
      <c r="J18" s="140"/>
    </row>
    <row r="19" spans="1:10" x14ac:dyDescent="0.25">
      <c r="A19" s="136">
        <v>1304</v>
      </c>
      <c r="B19" s="137" t="s">
        <v>27</v>
      </c>
      <c r="C19" s="134"/>
      <c r="D19" s="138">
        <v>239310.44</v>
      </c>
      <c r="E19" s="141">
        <v>137987.4</v>
      </c>
      <c r="F19" s="141">
        <v>137987.4</v>
      </c>
      <c r="G19" s="141">
        <v>145000</v>
      </c>
      <c r="H19" s="141">
        <v>145000</v>
      </c>
      <c r="I19" s="141">
        <v>145000</v>
      </c>
      <c r="J19" s="140"/>
    </row>
    <row r="20" spans="1:10" x14ac:dyDescent="0.25">
      <c r="A20" s="132">
        <v>14</v>
      </c>
      <c r="B20" s="142" t="s">
        <v>216</v>
      </c>
      <c r="C20" s="134"/>
      <c r="D20" s="138">
        <v>32369.31</v>
      </c>
      <c r="E20" s="141">
        <v>30416.959999999999</v>
      </c>
      <c r="F20" s="141">
        <v>30416.959999999999</v>
      </c>
      <c r="G20" s="141">
        <v>35000</v>
      </c>
      <c r="H20" s="141">
        <v>35000</v>
      </c>
      <c r="I20" s="141">
        <v>35000</v>
      </c>
      <c r="J20" s="140"/>
    </row>
    <row r="21" spans="1:10" x14ac:dyDescent="0.25">
      <c r="A21" s="132">
        <v>17</v>
      </c>
      <c r="B21" s="142" t="s">
        <v>217</v>
      </c>
      <c r="C21" s="134"/>
      <c r="D21" s="138">
        <v>157635.31</v>
      </c>
      <c r="E21" s="141">
        <v>62297.11</v>
      </c>
      <c r="F21" s="141">
        <v>62297.11</v>
      </c>
      <c r="G21" s="141">
        <v>68000</v>
      </c>
      <c r="H21" s="141">
        <v>68000</v>
      </c>
      <c r="I21" s="141">
        <v>68000</v>
      </c>
      <c r="J21" s="140"/>
    </row>
    <row r="22" spans="1:10" x14ac:dyDescent="0.25">
      <c r="A22" s="132">
        <v>18</v>
      </c>
      <c r="B22" s="142" t="s">
        <v>218</v>
      </c>
      <c r="C22" s="134"/>
      <c r="D22" s="138">
        <v>1367720.44</v>
      </c>
      <c r="E22" s="141">
        <v>1435451.69</v>
      </c>
      <c r="F22" s="141">
        <v>1435451.69</v>
      </c>
      <c r="G22" s="141">
        <v>1435451.69</v>
      </c>
      <c r="H22" s="141">
        <v>1435451.69</v>
      </c>
      <c r="I22" s="141">
        <v>1435451.69</v>
      </c>
      <c r="J22" s="140"/>
    </row>
    <row r="23" spans="1:10" x14ac:dyDescent="0.25">
      <c r="A23" s="132">
        <v>19</v>
      </c>
      <c r="B23" s="142" t="s">
        <v>219</v>
      </c>
      <c r="C23" s="134"/>
      <c r="D23" s="138">
        <v>49411.15</v>
      </c>
      <c r="E23" s="141">
        <f>E24+E25+E26</f>
        <v>47315.76</v>
      </c>
      <c r="F23" s="141">
        <f>F24+F25+F26</f>
        <v>47315.76</v>
      </c>
      <c r="G23" s="141">
        <f>G24+G25+G26</f>
        <v>60000</v>
      </c>
      <c r="H23" s="141">
        <f>H24+H25+H26</f>
        <v>60000</v>
      </c>
      <c r="I23" s="141">
        <f>I24+I25+I26</f>
        <v>60000</v>
      </c>
      <c r="J23" s="140"/>
    </row>
    <row r="24" spans="1:10" x14ac:dyDescent="0.25">
      <c r="A24" s="136">
        <v>1901</v>
      </c>
      <c r="B24" s="137" t="s">
        <v>33</v>
      </c>
      <c r="C24" s="134"/>
      <c r="D24" s="138"/>
      <c r="E24" s="141"/>
      <c r="F24" s="141"/>
      <c r="G24" s="141"/>
      <c r="H24" s="141"/>
      <c r="I24" s="141"/>
      <c r="J24" s="140"/>
    </row>
    <row r="25" spans="1:10" x14ac:dyDescent="0.25">
      <c r="A25" s="136">
        <v>1902</v>
      </c>
      <c r="B25" s="137" t="s">
        <v>34</v>
      </c>
      <c r="C25" s="134"/>
      <c r="D25" s="138"/>
      <c r="E25" s="141"/>
      <c r="F25" s="141"/>
      <c r="G25" s="141"/>
      <c r="H25" s="141"/>
      <c r="I25" s="141"/>
      <c r="J25" s="140"/>
    </row>
    <row r="26" spans="1:10" ht="15.75" thickBot="1" x14ac:dyDescent="0.3">
      <c r="A26" s="136">
        <v>1904</v>
      </c>
      <c r="B26" s="143" t="s">
        <v>35</v>
      </c>
      <c r="C26" s="134"/>
      <c r="D26" s="138"/>
      <c r="E26" s="141">
        <v>47315.76</v>
      </c>
      <c r="F26" s="141">
        <v>47315.76</v>
      </c>
      <c r="G26" s="141">
        <v>60000</v>
      </c>
      <c r="H26" s="141">
        <v>60000</v>
      </c>
      <c r="I26" s="141">
        <v>60000</v>
      </c>
      <c r="J26" s="140"/>
    </row>
    <row r="27" spans="1:10" ht="15.75" thickBot="1" x14ac:dyDescent="0.3">
      <c r="A27" s="194" t="s">
        <v>220</v>
      </c>
      <c r="B27" s="198"/>
      <c r="C27" s="144">
        <f t="shared" ref="C27:I27" si="3">+C28+C37+C38+C39+C40+C41</f>
        <v>0</v>
      </c>
      <c r="D27" s="144">
        <f t="shared" si="3"/>
        <v>2730658.85</v>
      </c>
      <c r="E27" s="144">
        <f t="shared" si="3"/>
        <v>4477582.7700000005</v>
      </c>
      <c r="F27" s="144">
        <f t="shared" si="3"/>
        <v>4477582.7700000005</v>
      </c>
      <c r="G27" s="144">
        <f t="shared" si="3"/>
        <v>4477582.7700000005</v>
      </c>
      <c r="H27" s="144">
        <f t="shared" si="3"/>
        <v>4477582.7700000005</v>
      </c>
      <c r="I27" s="144">
        <f t="shared" si="3"/>
        <v>4477582.7700000005</v>
      </c>
      <c r="J27" s="144"/>
    </row>
    <row r="28" spans="1:10" x14ac:dyDescent="0.25">
      <c r="A28" s="132">
        <v>51</v>
      </c>
      <c r="B28" s="133" t="s">
        <v>221</v>
      </c>
      <c r="C28" s="134"/>
      <c r="D28" s="141">
        <f t="shared" ref="D28:I28" si="4">D29+D30+D31+D32+D33+D34+D35+D36</f>
        <v>2666155.5700000003</v>
      </c>
      <c r="E28" s="141">
        <f t="shared" si="4"/>
        <v>3406422.3000000003</v>
      </c>
      <c r="F28" s="141">
        <f t="shared" si="4"/>
        <v>3406422.3000000003</v>
      </c>
      <c r="G28" s="141">
        <f t="shared" si="4"/>
        <v>3406422.3000000003</v>
      </c>
      <c r="H28" s="141">
        <f t="shared" si="4"/>
        <v>3406422.3000000003</v>
      </c>
      <c r="I28" s="141">
        <f t="shared" si="4"/>
        <v>3406422.3000000003</v>
      </c>
      <c r="J28" s="140"/>
    </row>
    <row r="29" spans="1:10" x14ac:dyDescent="0.25">
      <c r="A29" s="136">
        <v>5101</v>
      </c>
      <c r="B29" s="137" t="s">
        <v>222</v>
      </c>
      <c r="C29" s="134"/>
      <c r="D29" s="138">
        <v>1752504.43</v>
      </c>
      <c r="E29" s="141">
        <v>2460280.7799999998</v>
      </c>
      <c r="F29" s="141">
        <v>2460280.7799999998</v>
      </c>
      <c r="G29" s="141">
        <v>2460280.7799999998</v>
      </c>
      <c r="H29" s="141">
        <v>2460280.7799999998</v>
      </c>
      <c r="I29" s="141">
        <v>2460280.7799999998</v>
      </c>
      <c r="J29" s="140"/>
    </row>
    <row r="30" spans="1:10" x14ac:dyDescent="0.25">
      <c r="A30" s="136">
        <v>5102</v>
      </c>
      <c r="B30" s="137" t="s">
        <v>223</v>
      </c>
      <c r="C30" s="134"/>
      <c r="D30" s="138">
        <v>182843.76</v>
      </c>
      <c r="E30" s="141">
        <v>299768.87</v>
      </c>
      <c r="F30" s="141">
        <v>299768.87</v>
      </c>
      <c r="G30" s="141">
        <v>299768.87</v>
      </c>
      <c r="H30" s="141">
        <v>299768.87</v>
      </c>
      <c r="I30" s="141">
        <v>299768.87</v>
      </c>
      <c r="J30" s="140"/>
    </row>
    <row r="31" spans="1:10" x14ac:dyDescent="0.25">
      <c r="A31" s="136">
        <v>5103</v>
      </c>
      <c r="B31" s="137" t="s">
        <v>224</v>
      </c>
      <c r="C31" s="134"/>
      <c r="D31" s="138"/>
      <c r="E31" s="141"/>
      <c r="F31" s="141"/>
      <c r="G31" s="141"/>
      <c r="H31" s="141"/>
      <c r="I31" s="141"/>
      <c r="J31" s="140"/>
    </row>
    <row r="32" spans="1:10" x14ac:dyDescent="0.25">
      <c r="A32" s="136">
        <v>5104</v>
      </c>
      <c r="B32" s="137" t="s">
        <v>225</v>
      </c>
      <c r="C32" s="134"/>
      <c r="D32" s="138"/>
      <c r="E32" s="141"/>
      <c r="F32" s="141"/>
      <c r="G32" s="141"/>
      <c r="H32" s="141"/>
      <c r="I32" s="141"/>
      <c r="J32" s="140"/>
    </row>
    <row r="33" spans="1:10" x14ac:dyDescent="0.25">
      <c r="A33" s="136">
        <v>5105</v>
      </c>
      <c r="B33" s="137" t="s">
        <v>226</v>
      </c>
      <c r="C33" s="134"/>
      <c r="D33" s="138">
        <v>78878.97</v>
      </c>
      <c r="E33" s="141">
        <v>98909.02</v>
      </c>
      <c r="F33" s="141">
        <v>98909.02</v>
      </c>
      <c r="G33" s="141">
        <v>98909.02</v>
      </c>
      <c r="H33" s="141">
        <v>98909.02</v>
      </c>
      <c r="I33" s="141">
        <v>98909.02</v>
      </c>
      <c r="J33" s="140"/>
    </row>
    <row r="34" spans="1:10" x14ac:dyDescent="0.25">
      <c r="A34" s="136">
        <v>5106</v>
      </c>
      <c r="B34" s="137" t="s">
        <v>227</v>
      </c>
      <c r="C34" s="134"/>
      <c r="D34" s="138">
        <v>647260</v>
      </c>
      <c r="E34" s="141">
        <v>396770.24</v>
      </c>
      <c r="F34" s="141">
        <v>396770.24</v>
      </c>
      <c r="G34" s="141">
        <v>396770.24</v>
      </c>
      <c r="H34" s="141">
        <v>396770.24</v>
      </c>
      <c r="I34" s="141">
        <v>396770.24</v>
      </c>
      <c r="J34" s="140"/>
    </row>
    <row r="35" spans="1:10" x14ac:dyDescent="0.25">
      <c r="A35" s="136">
        <v>5107</v>
      </c>
      <c r="B35" s="137" t="s">
        <v>228</v>
      </c>
      <c r="C35" s="134"/>
      <c r="D35" s="138">
        <v>4668.41</v>
      </c>
      <c r="E35" s="141">
        <v>150693.39000000001</v>
      </c>
      <c r="F35" s="141">
        <v>150693.39000000001</v>
      </c>
      <c r="G35" s="141">
        <v>150693.39000000001</v>
      </c>
      <c r="H35" s="141">
        <v>150693.39000000001</v>
      </c>
      <c r="I35" s="141">
        <v>150693.39000000001</v>
      </c>
      <c r="J35" s="140"/>
    </row>
    <row r="36" spans="1:10" x14ac:dyDescent="0.25">
      <c r="A36" s="136">
        <v>5199</v>
      </c>
      <c r="B36" s="137" t="s">
        <v>229</v>
      </c>
      <c r="C36" s="134"/>
      <c r="D36" s="138"/>
      <c r="E36" s="141"/>
      <c r="F36" s="141"/>
      <c r="G36" s="141"/>
      <c r="H36" s="141"/>
      <c r="I36" s="141"/>
      <c r="J36" s="140"/>
    </row>
    <row r="37" spans="1:10" x14ac:dyDescent="0.25">
      <c r="A37" s="132">
        <v>53</v>
      </c>
      <c r="B37" s="142" t="s">
        <v>230</v>
      </c>
      <c r="C37" s="134"/>
      <c r="D37" s="138"/>
      <c r="E37" s="141">
        <v>733436.33</v>
      </c>
      <c r="F37" s="141">
        <v>733436.33</v>
      </c>
      <c r="G37" s="141">
        <v>733436.33</v>
      </c>
      <c r="H37" s="141">
        <v>733436.33</v>
      </c>
      <c r="I37" s="141">
        <v>733436.33</v>
      </c>
      <c r="J37" s="140"/>
    </row>
    <row r="38" spans="1:10" x14ac:dyDescent="0.25">
      <c r="A38" s="132">
        <v>56</v>
      </c>
      <c r="B38" s="142" t="s">
        <v>231</v>
      </c>
      <c r="C38" s="134"/>
      <c r="D38" s="138">
        <v>64503.28</v>
      </c>
      <c r="E38" s="141"/>
      <c r="F38" s="141"/>
      <c r="G38" s="141"/>
      <c r="H38" s="141"/>
      <c r="I38" s="141"/>
      <c r="J38" s="140"/>
    </row>
    <row r="39" spans="1:10" x14ac:dyDescent="0.25">
      <c r="A39" s="132">
        <v>57</v>
      </c>
      <c r="B39" s="142" t="s">
        <v>232</v>
      </c>
      <c r="C39" s="134"/>
      <c r="D39" s="138"/>
      <c r="E39" s="141">
        <v>2335.1999999999998</v>
      </c>
      <c r="F39" s="141">
        <v>2335.1999999999998</v>
      </c>
      <c r="G39" s="141">
        <v>2335.1999999999998</v>
      </c>
      <c r="H39" s="141">
        <v>2335.1999999999998</v>
      </c>
      <c r="I39" s="141">
        <v>2335.1999999999998</v>
      </c>
      <c r="J39" s="140"/>
    </row>
    <row r="40" spans="1:10" x14ac:dyDescent="0.25">
      <c r="A40" s="132">
        <v>58</v>
      </c>
      <c r="B40" s="142" t="s">
        <v>233</v>
      </c>
      <c r="C40" s="134"/>
      <c r="D40" s="138"/>
      <c r="E40" s="141">
        <v>335388.94</v>
      </c>
      <c r="F40" s="141">
        <v>335388.94</v>
      </c>
      <c r="G40" s="141">
        <v>335388.94</v>
      </c>
      <c r="H40" s="141">
        <v>335388.94</v>
      </c>
      <c r="I40" s="141">
        <v>335388.94</v>
      </c>
      <c r="J40" s="140"/>
    </row>
    <row r="41" spans="1:10" ht="15.75" thickBot="1" x14ac:dyDescent="0.3">
      <c r="A41" s="132">
        <v>59</v>
      </c>
      <c r="B41" s="145" t="s">
        <v>234</v>
      </c>
      <c r="C41" s="134"/>
      <c r="D41" s="138"/>
      <c r="E41" s="141"/>
      <c r="F41" s="141"/>
      <c r="G41" s="141"/>
      <c r="H41" s="141"/>
      <c r="I41" s="141"/>
      <c r="J41" s="140"/>
    </row>
    <row r="42" spans="1:10" x14ac:dyDescent="0.25">
      <c r="A42" s="199" t="s">
        <v>235</v>
      </c>
      <c r="B42" s="200"/>
      <c r="C42" s="146">
        <f t="shared" ref="C42:I42" si="5">+C9-C27</f>
        <v>0</v>
      </c>
      <c r="D42" s="147">
        <f t="shared" si="5"/>
        <v>-502010.36000000034</v>
      </c>
      <c r="E42" s="147">
        <f t="shared" si="5"/>
        <v>-1190304.7700000005</v>
      </c>
      <c r="F42" s="147">
        <f t="shared" si="5"/>
        <v>-1190304.7700000005</v>
      </c>
      <c r="G42" s="147">
        <f t="shared" si="5"/>
        <v>-1015631.0800000005</v>
      </c>
      <c r="H42" s="147">
        <f t="shared" si="5"/>
        <v>-963631.08000000054</v>
      </c>
      <c r="I42" s="147">
        <f t="shared" si="5"/>
        <v>-963631.08000000054</v>
      </c>
      <c r="J42" s="146"/>
    </row>
    <row r="43" spans="1:10" x14ac:dyDescent="0.25">
      <c r="A43" s="194" t="s">
        <v>236</v>
      </c>
      <c r="B43" s="195"/>
      <c r="C43" s="144"/>
      <c r="D43" s="148"/>
      <c r="E43" s="149">
        <f>E44+E45</f>
        <v>6813433.96</v>
      </c>
      <c r="F43" s="149">
        <f>F44+F45</f>
        <v>6813433.96</v>
      </c>
      <c r="G43" s="149">
        <f>G44+G45</f>
        <v>6814195.2400000002</v>
      </c>
      <c r="H43" s="149">
        <f>H44+H45</f>
        <v>6814195.2400000002</v>
      </c>
      <c r="I43" s="149">
        <f>I44+I45</f>
        <v>6814195.2400000002</v>
      </c>
      <c r="J43" s="150"/>
    </row>
    <row r="44" spans="1:10" x14ac:dyDescent="0.25">
      <c r="A44" s="151">
        <v>24</v>
      </c>
      <c r="B44" s="152" t="s">
        <v>237</v>
      </c>
      <c r="C44" s="134"/>
      <c r="D44" s="138">
        <v>14128.82</v>
      </c>
      <c r="E44" s="141">
        <v>64238.720000000001</v>
      </c>
      <c r="F44" s="141">
        <v>64238.720000000001</v>
      </c>
      <c r="G44" s="141">
        <v>65000</v>
      </c>
      <c r="H44" s="141">
        <v>65000</v>
      </c>
      <c r="I44" s="141">
        <v>65000</v>
      </c>
      <c r="J44" s="140"/>
    </row>
    <row r="45" spans="1:10" x14ac:dyDescent="0.25">
      <c r="A45" s="151">
        <v>28</v>
      </c>
      <c r="B45" s="152" t="s">
        <v>238</v>
      </c>
      <c r="C45" s="134"/>
      <c r="D45" s="138">
        <v>5470881.7999999998</v>
      </c>
      <c r="E45" s="141">
        <v>6749195.2400000002</v>
      </c>
      <c r="F45" s="141">
        <v>6749195.2400000002</v>
      </c>
      <c r="G45" s="141">
        <v>6749195.2400000002</v>
      </c>
      <c r="H45" s="141">
        <v>6749195.2400000002</v>
      </c>
      <c r="I45" s="141">
        <v>6749195.2400000002</v>
      </c>
      <c r="J45" s="140"/>
    </row>
    <row r="46" spans="1:10" ht="15.75" thickBot="1" x14ac:dyDescent="0.3">
      <c r="A46" s="194" t="s">
        <v>239</v>
      </c>
      <c r="B46" s="193"/>
      <c r="C46" s="144"/>
      <c r="D46" s="149">
        <f t="shared" ref="D46:I46" si="6">SUM(D48:D70)</f>
        <v>1008537.1299999999</v>
      </c>
      <c r="E46" s="149">
        <f t="shared" si="6"/>
        <v>6010199.0200000005</v>
      </c>
      <c r="F46" s="149">
        <f t="shared" si="6"/>
        <v>6010199.0200000005</v>
      </c>
      <c r="G46" s="149">
        <f t="shared" si="6"/>
        <v>6210199.0200000005</v>
      </c>
      <c r="H46" s="149">
        <f t="shared" si="6"/>
        <v>6210199.0200000005</v>
      </c>
      <c r="I46" s="149">
        <f t="shared" si="6"/>
        <v>6210199.0200000005</v>
      </c>
      <c r="J46" s="150"/>
    </row>
    <row r="47" spans="1:10" x14ac:dyDescent="0.25">
      <c r="A47" s="132" t="s">
        <v>240</v>
      </c>
      <c r="B47" s="133" t="s">
        <v>241</v>
      </c>
      <c r="C47" s="134"/>
      <c r="D47" s="138"/>
      <c r="E47" s="141"/>
      <c r="F47" s="141"/>
      <c r="G47" s="141"/>
      <c r="H47" s="141"/>
      <c r="I47" s="141"/>
      <c r="J47" s="140"/>
    </row>
    <row r="48" spans="1:10" x14ac:dyDescent="0.25">
      <c r="A48" s="132" t="s">
        <v>242</v>
      </c>
      <c r="B48" s="142" t="s">
        <v>243</v>
      </c>
      <c r="C48" s="134"/>
      <c r="D48" s="138"/>
      <c r="E48" s="141"/>
      <c r="F48" s="141"/>
      <c r="G48" s="141"/>
      <c r="H48" s="141"/>
      <c r="I48" s="141"/>
      <c r="J48" s="140"/>
    </row>
    <row r="49" spans="1:10" x14ac:dyDescent="0.25">
      <c r="A49" s="132" t="s">
        <v>244</v>
      </c>
      <c r="B49" s="142" t="s">
        <v>245</v>
      </c>
      <c r="C49" s="134"/>
      <c r="D49" s="138"/>
      <c r="E49" s="141"/>
      <c r="F49" s="141"/>
      <c r="G49" s="141"/>
      <c r="H49" s="141"/>
      <c r="I49" s="141"/>
      <c r="J49" s="140"/>
    </row>
    <row r="50" spans="1:10" x14ac:dyDescent="0.25">
      <c r="A50" s="132">
        <v>71</v>
      </c>
      <c r="B50" s="142" t="s">
        <v>246</v>
      </c>
      <c r="C50" s="134"/>
      <c r="D50" s="138"/>
      <c r="E50" s="141"/>
      <c r="F50" s="141"/>
      <c r="G50" s="141"/>
      <c r="H50" s="141"/>
      <c r="I50" s="141"/>
      <c r="J50" s="140"/>
    </row>
    <row r="51" spans="1:10" x14ac:dyDescent="0.25">
      <c r="A51" s="136">
        <v>7101</v>
      </c>
      <c r="B51" s="137" t="s">
        <v>222</v>
      </c>
      <c r="C51" s="134"/>
      <c r="D51" s="138"/>
      <c r="E51" s="141">
        <v>271876.32</v>
      </c>
      <c r="F51" s="141">
        <v>271876.32</v>
      </c>
      <c r="G51" s="141">
        <v>271876.32</v>
      </c>
      <c r="H51" s="141">
        <v>271876.32</v>
      </c>
      <c r="I51" s="141">
        <v>271876.32</v>
      </c>
      <c r="J51" s="140"/>
    </row>
    <row r="52" spans="1:10" x14ac:dyDescent="0.25">
      <c r="A52" s="136">
        <v>7102</v>
      </c>
      <c r="B52" s="137" t="s">
        <v>223</v>
      </c>
      <c r="C52" s="134"/>
      <c r="D52" s="138"/>
      <c r="E52" s="141">
        <v>36588.230000000003</v>
      </c>
      <c r="F52" s="141">
        <v>36588.230000000003</v>
      </c>
      <c r="G52" s="141">
        <v>36588.230000000003</v>
      </c>
      <c r="H52" s="141">
        <v>36588.230000000003</v>
      </c>
      <c r="I52" s="141">
        <v>36588.230000000003</v>
      </c>
      <c r="J52" s="140"/>
    </row>
    <row r="53" spans="1:10" x14ac:dyDescent="0.25">
      <c r="A53" s="136">
        <v>7103</v>
      </c>
      <c r="B53" s="137" t="s">
        <v>224</v>
      </c>
      <c r="C53" s="134"/>
      <c r="D53" s="138"/>
      <c r="E53" s="141"/>
      <c r="F53" s="141"/>
      <c r="G53" s="141"/>
      <c r="H53" s="141"/>
      <c r="I53" s="141"/>
      <c r="J53" s="140"/>
    </row>
    <row r="54" spans="1:10" x14ac:dyDescent="0.25">
      <c r="A54" s="136">
        <v>7104</v>
      </c>
      <c r="B54" s="137" t="s">
        <v>225</v>
      </c>
      <c r="C54" s="134"/>
      <c r="D54" s="138"/>
      <c r="E54" s="141"/>
      <c r="F54" s="141"/>
      <c r="G54" s="141"/>
      <c r="H54" s="141"/>
      <c r="I54" s="141"/>
      <c r="J54" s="140"/>
    </row>
    <row r="55" spans="1:10" x14ac:dyDescent="0.25">
      <c r="A55" s="136">
        <v>7105</v>
      </c>
      <c r="B55" s="137" t="s">
        <v>226</v>
      </c>
      <c r="C55" s="134"/>
      <c r="D55" s="138"/>
      <c r="E55" s="141">
        <v>49640.5</v>
      </c>
      <c r="F55" s="141">
        <v>49640.5</v>
      </c>
      <c r="G55" s="141">
        <v>49640.5</v>
      </c>
      <c r="H55" s="141">
        <v>49640.5</v>
      </c>
      <c r="I55" s="141">
        <v>49640.5</v>
      </c>
      <c r="J55" s="140"/>
    </row>
    <row r="56" spans="1:10" x14ac:dyDescent="0.25">
      <c r="A56" s="136">
        <v>7106</v>
      </c>
      <c r="B56" s="137" t="s">
        <v>227</v>
      </c>
      <c r="C56" s="134"/>
      <c r="D56" s="138"/>
      <c r="E56" s="141">
        <v>44633.03</v>
      </c>
      <c r="F56" s="141">
        <v>44633.03</v>
      </c>
      <c r="G56" s="141">
        <v>44633.03</v>
      </c>
      <c r="H56" s="141">
        <v>44633.03</v>
      </c>
      <c r="I56" s="141">
        <v>44633.03</v>
      </c>
      <c r="J56" s="140"/>
    </row>
    <row r="57" spans="1:10" x14ac:dyDescent="0.25">
      <c r="A57" s="136">
        <v>7107</v>
      </c>
      <c r="B57" s="137" t="s">
        <v>228</v>
      </c>
      <c r="C57" s="134"/>
      <c r="D57" s="138"/>
      <c r="E57" s="141">
        <v>127906.67</v>
      </c>
      <c r="F57" s="141">
        <v>127906.67</v>
      </c>
      <c r="G57" s="141">
        <v>127906.67</v>
      </c>
      <c r="H57" s="141">
        <v>127906.67</v>
      </c>
      <c r="I57" s="141">
        <v>127906.67</v>
      </c>
      <c r="J57" s="140"/>
    </row>
    <row r="58" spans="1:10" x14ac:dyDescent="0.25">
      <c r="A58" s="136">
        <v>7199</v>
      </c>
      <c r="B58" s="137" t="s">
        <v>229</v>
      </c>
      <c r="C58" s="134"/>
      <c r="D58" s="138"/>
      <c r="E58" s="141"/>
      <c r="F58" s="141"/>
      <c r="G58" s="141"/>
      <c r="H58" s="141"/>
      <c r="I58" s="141"/>
      <c r="J58" s="140"/>
    </row>
    <row r="59" spans="1:10" x14ac:dyDescent="0.25">
      <c r="A59" s="132">
        <v>73</v>
      </c>
      <c r="B59" s="142" t="s">
        <v>247</v>
      </c>
      <c r="C59" s="134"/>
      <c r="D59" s="138"/>
      <c r="E59" s="141">
        <v>291352.38</v>
      </c>
      <c r="F59" s="141">
        <v>291352.38</v>
      </c>
      <c r="G59" s="141">
        <v>291352.38</v>
      </c>
      <c r="H59" s="141">
        <v>291352.38</v>
      </c>
      <c r="I59" s="141">
        <v>291352.38</v>
      </c>
      <c r="J59" s="140"/>
    </row>
    <row r="60" spans="1:10" x14ac:dyDescent="0.25">
      <c r="A60" s="132">
        <v>75</v>
      </c>
      <c r="B60" s="142" t="s">
        <v>248</v>
      </c>
      <c r="C60" s="134"/>
      <c r="D60" s="138"/>
      <c r="E60" s="141">
        <v>4614745.09</v>
      </c>
      <c r="F60" s="141">
        <v>4614745.09</v>
      </c>
      <c r="G60" s="141">
        <v>4814745.09</v>
      </c>
      <c r="H60" s="141">
        <v>4814745.09</v>
      </c>
      <c r="I60" s="141">
        <v>4814745.09</v>
      </c>
      <c r="J60" s="140"/>
    </row>
    <row r="61" spans="1:10" x14ac:dyDescent="0.25">
      <c r="A61" s="136">
        <v>7501</v>
      </c>
      <c r="B61" s="137" t="s">
        <v>249</v>
      </c>
      <c r="C61" s="134"/>
      <c r="D61" s="138"/>
      <c r="E61" s="141"/>
      <c r="F61" s="141"/>
      <c r="G61" s="141"/>
      <c r="H61" s="141"/>
      <c r="I61" s="141"/>
      <c r="J61" s="140"/>
    </row>
    <row r="62" spans="1:10" x14ac:dyDescent="0.25">
      <c r="A62" s="136">
        <v>7502</v>
      </c>
      <c r="B62" s="137" t="s">
        <v>250</v>
      </c>
      <c r="C62" s="134"/>
      <c r="D62" s="138"/>
      <c r="E62" s="141"/>
      <c r="F62" s="141"/>
      <c r="G62" s="141"/>
      <c r="H62" s="141"/>
      <c r="I62" s="141"/>
      <c r="J62" s="140"/>
    </row>
    <row r="63" spans="1:10" x14ac:dyDescent="0.25">
      <c r="A63" s="136">
        <v>7503</v>
      </c>
      <c r="B63" s="137" t="s">
        <v>251</v>
      </c>
      <c r="C63" s="134"/>
      <c r="D63" s="138"/>
      <c r="E63" s="141"/>
      <c r="F63" s="141"/>
      <c r="G63" s="141"/>
      <c r="H63" s="141"/>
      <c r="I63" s="141"/>
      <c r="J63" s="140"/>
    </row>
    <row r="64" spans="1:10" x14ac:dyDescent="0.25">
      <c r="A64" s="136">
        <v>7504</v>
      </c>
      <c r="B64" s="137" t="s">
        <v>252</v>
      </c>
      <c r="C64" s="134"/>
      <c r="D64" s="138"/>
      <c r="E64" s="141"/>
      <c r="F64" s="141"/>
      <c r="G64" s="141"/>
      <c r="H64" s="141"/>
      <c r="I64" s="141"/>
      <c r="J64" s="140"/>
    </row>
    <row r="65" spans="1:10" x14ac:dyDescent="0.25">
      <c r="A65" s="136">
        <v>7505</v>
      </c>
      <c r="B65" s="137" t="s">
        <v>253</v>
      </c>
      <c r="C65" s="134"/>
      <c r="D65" s="138"/>
      <c r="E65" s="141"/>
      <c r="F65" s="141"/>
      <c r="G65" s="141"/>
      <c r="H65" s="141"/>
      <c r="I65" s="141"/>
      <c r="J65" s="140"/>
    </row>
    <row r="66" spans="1:10" x14ac:dyDescent="0.25">
      <c r="A66" s="136">
        <v>7599</v>
      </c>
      <c r="B66" s="137" t="s">
        <v>229</v>
      </c>
      <c r="C66" s="134"/>
      <c r="D66" s="138"/>
      <c r="E66" s="141"/>
      <c r="F66" s="141"/>
      <c r="G66" s="141"/>
      <c r="H66" s="141"/>
      <c r="I66" s="141"/>
      <c r="J66" s="140"/>
    </row>
    <row r="67" spans="1:10" x14ac:dyDescent="0.25">
      <c r="A67" s="132">
        <v>77</v>
      </c>
      <c r="B67" s="153" t="s">
        <v>254</v>
      </c>
      <c r="C67" s="134"/>
      <c r="D67" s="138"/>
      <c r="E67" s="141"/>
      <c r="F67" s="141"/>
      <c r="G67" s="141"/>
      <c r="H67" s="141"/>
      <c r="I67" s="141"/>
      <c r="J67" s="140"/>
    </row>
    <row r="68" spans="1:10" x14ac:dyDescent="0.25">
      <c r="A68" s="132">
        <v>78</v>
      </c>
      <c r="B68" s="142" t="s">
        <v>255</v>
      </c>
      <c r="C68" s="134"/>
      <c r="D68" s="138">
        <f>433292.38+362562.55</f>
        <v>795854.92999999993</v>
      </c>
      <c r="E68" s="141">
        <f>335388.94+4760</f>
        <v>340148.94</v>
      </c>
      <c r="F68" s="141">
        <f>335388.94+4760</f>
        <v>340148.94</v>
      </c>
      <c r="G68" s="141">
        <f>335388.94+4760</f>
        <v>340148.94</v>
      </c>
      <c r="H68" s="141">
        <f>335388.94+4760</f>
        <v>340148.94</v>
      </c>
      <c r="I68" s="141">
        <f>335388.94+4760</f>
        <v>340148.94</v>
      </c>
      <c r="J68" s="140"/>
    </row>
    <row r="69" spans="1:10" x14ac:dyDescent="0.25">
      <c r="A69" s="132">
        <v>84</v>
      </c>
      <c r="B69" s="142" t="s">
        <v>256</v>
      </c>
      <c r="C69" s="134"/>
      <c r="D69" s="138">
        <v>212682.2</v>
      </c>
      <c r="E69" s="141">
        <f>188869.05+44438.81</f>
        <v>233307.86</v>
      </c>
      <c r="F69" s="141">
        <f>188869.05+44438.81</f>
        <v>233307.86</v>
      </c>
      <c r="G69" s="141">
        <f>188869.05+44438.81</f>
        <v>233307.86</v>
      </c>
      <c r="H69" s="141">
        <f>188869.05+44438.81</f>
        <v>233307.86</v>
      </c>
      <c r="I69" s="141">
        <f>188869.05+44438.81</f>
        <v>233307.86</v>
      </c>
      <c r="J69" s="140"/>
    </row>
    <row r="70" spans="1:10" ht="15.75" thickBot="1" x14ac:dyDescent="0.3">
      <c r="A70" s="132">
        <v>88</v>
      </c>
      <c r="B70" s="145" t="s">
        <v>257</v>
      </c>
      <c r="C70" s="154"/>
      <c r="D70" s="138"/>
      <c r="E70" s="141"/>
      <c r="F70" s="141"/>
      <c r="G70" s="141"/>
      <c r="H70" s="141"/>
      <c r="I70" s="141"/>
      <c r="J70" s="140"/>
    </row>
    <row r="71" spans="1:10" x14ac:dyDescent="0.25">
      <c r="A71" s="199" t="s">
        <v>258</v>
      </c>
      <c r="B71" s="200"/>
      <c r="C71" s="155"/>
      <c r="D71" s="156">
        <f t="shared" ref="D71:I71" si="7">D43-D46</f>
        <v>-1008537.1299999999</v>
      </c>
      <c r="E71" s="156">
        <f t="shared" si="7"/>
        <v>803234.93999999948</v>
      </c>
      <c r="F71" s="156">
        <f t="shared" si="7"/>
        <v>803234.93999999948</v>
      </c>
      <c r="G71" s="156">
        <f t="shared" si="7"/>
        <v>603996.21999999974</v>
      </c>
      <c r="H71" s="156">
        <f t="shared" si="7"/>
        <v>603996.21999999974</v>
      </c>
      <c r="I71" s="156">
        <f t="shared" si="7"/>
        <v>603996.21999999974</v>
      </c>
      <c r="J71" s="157"/>
    </row>
    <row r="72" spans="1:10" x14ac:dyDescent="0.25">
      <c r="A72" s="190" t="s">
        <v>259</v>
      </c>
      <c r="B72" s="191"/>
      <c r="C72" s="158">
        <f>+C42+C71</f>
        <v>0</v>
      </c>
      <c r="D72" s="159">
        <f t="shared" ref="D72:I72" si="8">D42+D71</f>
        <v>-1510547.4900000002</v>
      </c>
      <c r="E72" s="159">
        <f t="shared" si="8"/>
        <v>-387069.83000000101</v>
      </c>
      <c r="F72" s="159">
        <f t="shared" si="8"/>
        <v>-387069.83000000101</v>
      </c>
      <c r="G72" s="159">
        <f t="shared" si="8"/>
        <v>-411634.8600000008</v>
      </c>
      <c r="H72" s="159">
        <f t="shared" si="8"/>
        <v>-359634.8600000008</v>
      </c>
      <c r="I72" s="159">
        <f t="shared" si="8"/>
        <v>-359634.8600000008</v>
      </c>
      <c r="J72" s="158"/>
    </row>
    <row r="73" spans="1:10" x14ac:dyDescent="0.25">
      <c r="A73" s="192" t="s">
        <v>260</v>
      </c>
      <c r="B73" s="193"/>
      <c r="C73" s="144"/>
      <c r="D73" s="149">
        <f t="shared" ref="D73:I73" si="9">D74+D75+D76+D77</f>
        <v>492769.5</v>
      </c>
      <c r="E73" s="149">
        <f t="shared" si="9"/>
        <v>798143.73</v>
      </c>
      <c r="F73" s="149">
        <f t="shared" si="9"/>
        <v>798143.73</v>
      </c>
      <c r="G73" s="149">
        <f t="shared" si="9"/>
        <v>798143.73</v>
      </c>
      <c r="H73" s="149">
        <f t="shared" si="9"/>
        <v>798143.73</v>
      </c>
      <c r="I73" s="149">
        <f t="shared" si="9"/>
        <v>798143.73</v>
      </c>
      <c r="J73" s="150"/>
    </row>
    <row r="74" spans="1:10" x14ac:dyDescent="0.25">
      <c r="A74" s="160">
        <v>27</v>
      </c>
      <c r="B74" s="152" t="s">
        <v>261</v>
      </c>
      <c r="C74" s="134"/>
      <c r="D74" s="138"/>
      <c r="E74" s="141"/>
      <c r="F74" s="141"/>
      <c r="G74" s="141"/>
      <c r="H74" s="141"/>
      <c r="I74" s="141"/>
      <c r="J74" s="140"/>
    </row>
    <row r="75" spans="1:10" x14ac:dyDescent="0.25">
      <c r="A75" s="161">
        <v>36</v>
      </c>
      <c r="B75" s="162" t="s">
        <v>262</v>
      </c>
      <c r="C75" s="134"/>
      <c r="D75" s="138"/>
      <c r="E75" s="141">
        <v>361395.20000000001</v>
      </c>
      <c r="F75" s="141">
        <v>361395.20000000001</v>
      </c>
      <c r="G75" s="141">
        <v>361395.20000000001</v>
      </c>
      <c r="H75" s="141">
        <v>361395.20000000001</v>
      </c>
      <c r="I75" s="141">
        <v>361395.20000000001</v>
      </c>
      <c r="J75" s="140"/>
    </row>
    <row r="76" spans="1:10" x14ac:dyDescent="0.25">
      <c r="A76" s="151">
        <v>37</v>
      </c>
      <c r="B76" s="152" t="s">
        <v>263</v>
      </c>
      <c r="C76" s="134"/>
      <c r="D76" s="138"/>
      <c r="E76" s="141"/>
      <c r="F76" s="141"/>
      <c r="G76" s="141"/>
      <c r="H76" s="141"/>
      <c r="I76" s="141"/>
      <c r="J76" s="140"/>
    </row>
    <row r="77" spans="1:10" x14ac:dyDescent="0.25">
      <c r="A77" s="151">
        <v>38</v>
      </c>
      <c r="B77" s="152" t="s">
        <v>264</v>
      </c>
      <c r="C77" s="134"/>
      <c r="D77" s="138">
        <v>492769.5</v>
      </c>
      <c r="E77" s="141">
        <v>436748.53</v>
      </c>
      <c r="F77" s="141">
        <v>436748.53</v>
      </c>
      <c r="G77" s="141">
        <v>436748.53</v>
      </c>
      <c r="H77" s="141">
        <v>436748.53</v>
      </c>
      <c r="I77" s="141">
        <v>436748.53</v>
      </c>
      <c r="J77" s="140"/>
    </row>
    <row r="78" spans="1:10" x14ac:dyDescent="0.25">
      <c r="A78" s="194" t="s">
        <v>265</v>
      </c>
      <c r="B78" s="195"/>
      <c r="C78" s="144"/>
      <c r="D78" s="149">
        <f>D79+D80+D81+D82</f>
        <v>1737078.7</v>
      </c>
      <c r="E78" s="149">
        <f>E79+E80+E81+E82</f>
        <v>295615.93</v>
      </c>
      <c r="F78" s="149">
        <f>F79+F80+F81+F82</f>
        <v>395615.93000000005</v>
      </c>
      <c r="G78" s="149">
        <f>G79+G80+G81+G82</f>
        <v>395615.93000000005</v>
      </c>
      <c r="H78" s="149">
        <f t="shared" ref="H78:I78" si="10">H79+H80+H81+H82</f>
        <v>395615.93000000005</v>
      </c>
      <c r="I78" s="149">
        <f t="shared" si="10"/>
        <v>395615.93000000005</v>
      </c>
      <c r="J78" s="150"/>
    </row>
    <row r="79" spans="1:10" x14ac:dyDescent="0.25">
      <c r="A79" s="151">
        <v>87</v>
      </c>
      <c r="B79" s="152" t="s">
        <v>266</v>
      </c>
      <c r="C79" s="134"/>
      <c r="D79" s="138"/>
      <c r="E79" s="141"/>
      <c r="F79" s="141"/>
      <c r="G79" s="141"/>
      <c r="H79" s="141"/>
      <c r="I79" s="141"/>
      <c r="J79" s="140"/>
    </row>
    <row r="80" spans="1:10" x14ac:dyDescent="0.25">
      <c r="A80" s="151">
        <v>96</v>
      </c>
      <c r="B80" s="152" t="s">
        <v>267</v>
      </c>
      <c r="C80" s="134"/>
      <c r="D80" s="138">
        <v>298294.32</v>
      </c>
      <c r="E80" s="141">
        <v>237367.03</v>
      </c>
      <c r="F80" s="141">
        <v>337367.03</v>
      </c>
      <c r="G80" s="141">
        <v>337367.03</v>
      </c>
      <c r="H80" s="141">
        <v>337367.03</v>
      </c>
      <c r="I80" s="141">
        <v>337367.03</v>
      </c>
      <c r="J80" s="140"/>
    </row>
    <row r="81" spans="1:10" x14ac:dyDescent="0.25">
      <c r="A81" s="151">
        <v>97</v>
      </c>
      <c r="B81" s="152" t="s">
        <v>268</v>
      </c>
      <c r="C81" s="134"/>
      <c r="D81" s="138">
        <v>1438784.38</v>
      </c>
      <c r="E81" s="141">
        <v>58248.9</v>
      </c>
      <c r="F81" s="141">
        <v>58248.9</v>
      </c>
      <c r="G81" s="141">
        <v>58248.9</v>
      </c>
      <c r="H81" s="141">
        <v>58248.9</v>
      </c>
      <c r="I81" s="141">
        <v>58248.9</v>
      </c>
      <c r="J81" s="140"/>
    </row>
    <row r="82" spans="1:10" ht="15.75" thickBot="1" x14ac:dyDescent="0.3">
      <c r="A82" s="163">
        <v>99</v>
      </c>
      <c r="B82" s="164" t="s">
        <v>269</v>
      </c>
      <c r="C82" s="134"/>
      <c r="D82" s="138"/>
      <c r="E82" s="141"/>
      <c r="F82" s="141"/>
      <c r="G82" s="141"/>
      <c r="H82" s="141"/>
      <c r="I82" s="141"/>
      <c r="J82" s="140"/>
    </row>
    <row r="83" spans="1:10" ht="15.75" thickBot="1" x14ac:dyDescent="0.3">
      <c r="A83" s="196" t="s">
        <v>270</v>
      </c>
      <c r="B83" s="197"/>
      <c r="C83" s="165">
        <f t="shared" ref="C83:I83" si="11">+C73-C78</f>
        <v>0</v>
      </c>
      <c r="D83" s="165">
        <f t="shared" si="11"/>
        <v>-1244309.2</v>
      </c>
      <c r="E83" s="165">
        <f t="shared" si="11"/>
        <v>502527.8</v>
      </c>
      <c r="F83" s="165">
        <f t="shared" si="11"/>
        <v>402527.79999999993</v>
      </c>
      <c r="G83" s="165">
        <f t="shared" si="11"/>
        <v>402527.79999999993</v>
      </c>
      <c r="H83" s="165">
        <f t="shared" si="11"/>
        <v>402527.79999999993</v>
      </c>
      <c r="I83" s="165">
        <f t="shared" si="11"/>
        <v>402527.79999999993</v>
      </c>
      <c r="J83" s="165"/>
    </row>
    <row r="84" spans="1:10" s="168" customFormat="1" x14ac:dyDescent="0.25">
      <c r="A84" s="166"/>
      <c r="B84" s="166"/>
      <c r="C84" s="167"/>
      <c r="D84" s="167"/>
      <c r="E84" s="167"/>
      <c r="F84" s="167"/>
      <c r="G84" s="167"/>
      <c r="H84" s="167"/>
    </row>
    <row r="85" spans="1:10" s="168" customFormat="1" ht="15.75" thickBot="1" x14ac:dyDescent="0.3">
      <c r="A85" s="169" t="s">
        <v>271</v>
      </c>
      <c r="B85" s="170"/>
      <c r="C85" s="170"/>
      <c r="D85" s="170"/>
      <c r="E85" s="171"/>
      <c r="F85" s="170"/>
      <c r="G85" s="170"/>
      <c r="H85" s="170"/>
      <c r="I85" s="170"/>
    </row>
    <row r="86" spans="1:10" s="168" customFormat="1" x14ac:dyDescent="0.25">
      <c r="A86" s="172"/>
      <c r="B86" s="173"/>
      <c r="C86" s="173"/>
      <c r="D86" s="173"/>
      <c r="E86" s="173"/>
      <c r="F86" s="173"/>
      <c r="G86" s="173"/>
      <c r="H86" s="173"/>
      <c r="I86" s="174"/>
    </row>
    <row r="87" spans="1:10" s="168" customFormat="1" ht="15.75" thickBot="1" x14ac:dyDescent="0.3">
      <c r="A87" s="175"/>
      <c r="B87" s="176"/>
      <c r="C87" s="177"/>
      <c r="D87" s="177"/>
      <c r="E87" s="177"/>
      <c r="F87" s="177"/>
      <c r="G87" s="177"/>
      <c r="H87" s="177"/>
      <c r="I87" s="178"/>
    </row>
    <row r="88" spans="1:10" s="168" customFormat="1" x14ac:dyDescent="0.25">
      <c r="A88" s="166"/>
      <c r="B88" s="166"/>
      <c r="C88" s="167"/>
      <c r="D88" s="167"/>
      <c r="E88" s="167"/>
      <c r="F88" s="167"/>
      <c r="G88" s="167"/>
      <c r="H88" s="167"/>
    </row>
    <row r="89" spans="1:10" x14ac:dyDescent="0.25">
      <c r="A89" s="179" t="s">
        <v>272</v>
      </c>
    </row>
    <row r="90" spans="1:10" x14ac:dyDescent="0.25">
      <c r="A90" s="179" t="s">
        <v>273</v>
      </c>
    </row>
    <row r="91" spans="1:10" x14ac:dyDescent="0.25">
      <c r="A91" s="179" t="s">
        <v>274</v>
      </c>
    </row>
    <row r="92" spans="1:10" x14ac:dyDescent="0.25">
      <c r="A92" s="179" t="s">
        <v>40</v>
      </c>
    </row>
    <row r="97" spans="1:7" x14ac:dyDescent="0.25">
      <c r="A97" s="187" t="s">
        <v>275</v>
      </c>
      <c r="B97" s="187"/>
      <c r="C97" s="187"/>
      <c r="E97" s="187" t="s">
        <v>276</v>
      </c>
      <c r="F97" s="187"/>
      <c r="G97" s="187"/>
    </row>
    <row r="98" spans="1:7" x14ac:dyDescent="0.25">
      <c r="A98" s="51" t="s">
        <v>277</v>
      </c>
      <c r="B98" s="180" t="s">
        <v>278</v>
      </c>
      <c r="E98" s="51" t="s">
        <v>44</v>
      </c>
    </row>
    <row r="100" spans="1:7" x14ac:dyDescent="0.25">
      <c r="A100" s="51" t="s">
        <v>45</v>
      </c>
    </row>
    <row r="101" spans="1:7" x14ac:dyDescent="0.25">
      <c r="A101" s="51" t="s">
        <v>46</v>
      </c>
    </row>
  </sheetData>
  <mergeCells count="20">
    <mergeCell ref="A1:J1"/>
    <mergeCell ref="A2:J2"/>
    <mergeCell ref="A4:H4"/>
    <mergeCell ref="A5:H5"/>
    <mergeCell ref="A6:B7"/>
    <mergeCell ref="C6:E7"/>
    <mergeCell ref="F6:I7"/>
    <mergeCell ref="J6:J8"/>
    <mergeCell ref="E97:G97"/>
    <mergeCell ref="A9:B9"/>
    <mergeCell ref="A27:B27"/>
    <mergeCell ref="A42:B42"/>
    <mergeCell ref="A43:B43"/>
    <mergeCell ref="A46:B46"/>
    <mergeCell ref="A71:B71"/>
    <mergeCell ref="A72:B72"/>
    <mergeCell ref="A73:B73"/>
    <mergeCell ref="A78:B78"/>
    <mergeCell ref="A83:B83"/>
    <mergeCell ref="A97:C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FORMULARIO 1</vt:lpstr>
      <vt:lpstr>FORMULARIO 2</vt:lpstr>
      <vt:lpstr>FORMULARIO 3</vt:lpstr>
      <vt:lpstr>FORMULARIO 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2018-11-28T14:19:59Z</cp:lastPrinted>
  <dcterms:created xsi:type="dcterms:W3CDTF">2018-11-19T20:34:02Z</dcterms:created>
  <dcterms:modified xsi:type="dcterms:W3CDTF">2018-11-28T14:21:01Z</dcterms:modified>
</cp:coreProperties>
</file>