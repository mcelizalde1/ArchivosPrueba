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915" windowHeight="7230" activeTab="3"/>
  </bookViews>
  <sheets>
    <sheet name="FORMULARIO 1" sheetId="1" r:id="rId1"/>
    <sheet name="FORMULARIO 2" sheetId="2" r:id="rId2"/>
    <sheet name="FORMULARIO 3" sheetId="3" r:id="rId3"/>
    <sheet name="FORMUALRIO 4" sheetId="4" r:id="rId4"/>
  </sheets>
  <calcPr calcId="145621"/>
</workbook>
</file>

<file path=xl/calcChain.xml><?xml version="1.0" encoding="utf-8"?>
<calcChain xmlns="http://schemas.openxmlformats.org/spreadsheetml/2006/main">
  <c r="F83" i="4" l="1"/>
  <c r="C83" i="4"/>
  <c r="I78" i="4"/>
  <c r="I83" i="4" s="1"/>
  <c r="H78" i="4"/>
  <c r="G78" i="4"/>
  <c r="F78" i="4"/>
  <c r="E78" i="4"/>
  <c r="E83" i="4" s="1"/>
  <c r="D78" i="4"/>
  <c r="I73" i="4"/>
  <c r="H73" i="4"/>
  <c r="H83" i="4" s="1"/>
  <c r="G73" i="4"/>
  <c r="G83" i="4" s="1"/>
  <c r="F73" i="4"/>
  <c r="E73" i="4"/>
  <c r="D73" i="4"/>
  <c r="D83" i="4" s="1"/>
  <c r="I69" i="4"/>
  <c r="H69" i="4"/>
  <c r="G69" i="4"/>
  <c r="F69" i="4"/>
  <c r="F46" i="4" s="1"/>
  <c r="E69" i="4"/>
  <c r="I68" i="4"/>
  <c r="H68" i="4"/>
  <c r="H46" i="4" s="1"/>
  <c r="H71" i="4" s="1"/>
  <c r="G68" i="4"/>
  <c r="G46" i="4" s="1"/>
  <c r="F68" i="4"/>
  <c r="E68" i="4"/>
  <c r="D68" i="4"/>
  <c r="D46" i="4" s="1"/>
  <c r="D71" i="4" s="1"/>
  <c r="I46" i="4"/>
  <c r="I71" i="4" s="1"/>
  <c r="E46" i="4"/>
  <c r="E71" i="4" s="1"/>
  <c r="I43" i="4"/>
  <c r="H43" i="4"/>
  <c r="G43" i="4"/>
  <c r="G71" i="4" s="1"/>
  <c r="F43" i="4"/>
  <c r="F71" i="4" s="1"/>
  <c r="E43" i="4"/>
  <c r="I28" i="4"/>
  <c r="H28" i="4"/>
  <c r="H27" i="4" s="1"/>
  <c r="G28" i="4"/>
  <c r="G27" i="4" s="1"/>
  <c r="F28" i="4"/>
  <c r="E28" i="4"/>
  <c r="D28" i="4"/>
  <c r="D27" i="4" s="1"/>
  <c r="I27" i="4"/>
  <c r="F27" i="4"/>
  <c r="E27" i="4"/>
  <c r="C27" i="4"/>
  <c r="I23" i="4"/>
  <c r="H23" i="4"/>
  <c r="G23" i="4"/>
  <c r="F23" i="4"/>
  <c r="E23" i="4"/>
  <c r="I15" i="4"/>
  <c r="H15" i="4"/>
  <c r="G15" i="4"/>
  <c r="F15" i="4"/>
  <c r="E15" i="4"/>
  <c r="D15" i="4"/>
  <c r="I10" i="4"/>
  <c r="H10" i="4"/>
  <c r="H9" i="4" s="1"/>
  <c r="H42" i="4" s="1"/>
  <c r="G10" i="4"/>
  <c r="G9" i="4" s="1"/>
  <c r="G42" i="4" s="1"/>
  <c r="G72" i="4" s="1"/>
  <c r="F10" i="4"/>
  <c r="E10" i="4"/>
  <c r="D10" i="4"/>
  <c r="D9" i="4" s="1"/>
  <c r="D42" i="4" s="1"/>
  <c r="I9" i="4"/>
  <c r="I42" i="4" s="1"/>
  <c r="I72" i="4" s="1"/>
  <c r="F9" i="4"/>
  <c r="F42" i="4" s="1"/>
  <c r="F72" i="4" s="1"/>
  <c r="E9" i="4"/>
  <c r="E42" i="4" s="1"/>
  <c r="C9" i="4"/>
  <c r="C42" i="4" s="1"/>
  <c r="C72" i="4" s="1"/>
  <c r="J80" i="3"/>
  <c r="I80" i="3"/>
  <c r="G80" i="3"/>
  <c r="F80" i="3"/>
  <c r="G76" i="3"/>
  <c r="H76" i="3" s="1"/>
  <c r="H75" i="3"/>
  <c r="G75" i="3"/>
  <c r="G73" i="3"/>
  <c r="H73" i="3" s="1"/>
  <c r="H72" i="3"/>
  <c r="G72" i="3"/>
  <c r="G71" i="3"/>
  <c r="H71" i="3" s="1"/>
  <c r="H70" i="3"/>
  <c r="G70" i="3"/>
  <c r="G69" i="3"/>
  <c r="H69" i="3" s="1"/>
  <c r="H68" i="3"/>
  <c r="G68" i="3"/>
  <c r="G67" i="3"/>
  <c r="H67" i="3" s="1"/>
  <c r="H66" i="3"/>
  <c r="G66" i="3"/>
  <c r="G65" i="3"/>
  <c r="H65" i="3" s="1"/>
  <c r="H64" i="3"/>
  <c r="G64" i="3"/>
  <c r="G63" i="3"/>
  <c r="H63" i="3" s="1"/>
  <c r="H62" i="3"/>
  <c r="G62" i="3"/>
  <c r="G61" i="3"/>
  <c r="H61" i="3" s="1"/>
  <c r="H60" i="3"/>
  <c r="G60" i="3"/>
  <c r="G59" i="3"/>
  <c r="H59" i="3" s="1"/>
  <c r="H58" i="3"/>
  <c r="G58" i="3"/>
  <c r="J32" i="3"/>
  <c r="I32" i="3"/>
  <c r="F32" i="3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H20" i="3"/>
  <c r="G20" i="3"/>
  <c r="G19" i="3"/>
  <c r="H19" i="3" s="1"/>
  <c r="H18" i="3"/>
  <c r="G18" i="3"/>
  <c r="G17" i="3"/>
  <c r="H17" i="3" s="1"/>
  <c r="H16" i="3"/>
  <c r="G16" i="3"/>
  <c r="G15" i="3"/>
  <c r="H15" i="3" s="1"/>
  <c r="H14" i="3"/>
  <c r="G14" i="3"/>
  <c r="G11" i="3"/>
  <c r="G32" i="3" s="1"/>
  <c r="H10" i="3"/>
  <c r="E86" i="2"/>
  <c r="D86" i="2"/>
  <c r="E85" i="2"/>
  <c r="E98" i="2" s="1"/>
  <c r="G68" i="2"/>
  <c r="F68" i="2"/>
  <c r="E68" i="2"/>
  <c r="D68" i="2"/>
  <c r="D85" i="2" s="1"/>
  <c r="D98" i="2" s="1"/>
  <c r="C68" i="2"/>
  <c r="E29" i="2"/>
  <c r="D29" i="2"/>
  <c r="E28" i="2"/>
  <c r="E41" i="2" s="1"/>
  <c r="G11" i="2"/>
  <c r="F11" i="2"/>
  <c r="E11" i="2"/>
  <c r="D11" i="2"/>
  <c r="D28" i="2" s="1"/>
  <c r="D41" i="2" s="1"/>
  <c r="C11" i="2"/>
  <c r="G92" i="1"/>
  <c r="F92" i="1"/>
  <c r="E92" i="1"/>
  <c r="D92" i="1"/>
  <c r="C92" i="1"/>
  <c r="G37" i="1"/>
  <c r="F37" i="1"/>
  <c r="E37" i="1"/>
  <c r="D37" i="1"/>
  <c r="C37" i="1"/>
  <c r="D72" i="4" l="1"/>
  <c r="H72" i="4"/>
  <c r="E72" i="4"/>
  <c r="H80" i="3"/>
  <c r="H11" i="3"/>
  <c r="H32" i="3" s="1"/>
  <c r="F41" i="2"/>
  <c r="F28" i="2"/>
  <c r="F85" i="2"/>
  <c r="F98" i="2" s="1"/>
  <c r="C28" i="2"/>
  <c r="C41" i="2" s="1"/>
  <c r="G28" i="2"/>
  <c r="F29" i="2"/>
  <c r="C85" i="2"/>
  <c r="G85" i="2"/>
  <c r="G98" i="2" s="1"/>
  <c r="F86" i="2"/>
  <c r="C29" i="2"/>
  <c r="G29" i="2"/>
  <c r="G41" i="2" s="1"/>
  <c r="C86" i="2"/>
  <c r="C98" i="2" s="1"/>
  <c r="G86" i="2"/>
</calcChain>
</file>

<file path=xl/comments1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C64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64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64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64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64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C65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65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65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65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65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C57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57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57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57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5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5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5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<sst xmlns="http://schemas.openxmlformats.org/spreadsheetml/2006/main" count="468" uniqueCount="279">
  <si>
    <t>MINISTERIO DE FINANZAS</t>
  </si>
  <si>
    <t>FORMULARIO 1: "FUENTES DE FINANCIAMIENTO DEL PROYECTO DE CONTRATO COLECTIVO"</t>
  </si>
  <si>
    <t>DETALLE DE INGRESOS</t>
  </si>
  <si>
    <t>GOBIERNO AUTÓNOMO DESCENTRALIZADO MUNICIPAL DEL CANTON HUAQUILLAS</t>
  </si>
  <si>
    <t>Nº PROYECTO CONTRATO COLECTIVO __________________</t>
  </si>
  <si>
    <t xml:space="preserve"> Nº ACTA TRANSACCIONAL ___________________________</t>
  </si>
  <si>
    <t>FUENTES DE FINANCIAMIENTO</t>
  </si>
  <si>
    <t>FINANCIAMIENTO REAL DEL CONTRATO COLECTIVO VIGENTE USD</t>
  </si>
  <si>
    <t>FINANCIAMIENTO ESTIMADO DEL   CONTRATO COLECTIVO PROPUESTO USD $            2018</t>
  </si>
  <si>
    <t>FINANCIAMIENTO ESTIMADO DEL   CONTRATO COLECTIVO PROPUESTO USD $            2019</t>
  </si>
  <si>
    <t>FINANCIAMIENTO ESTIMADO DEL   CONTRATO COLECTIVO PROPUESTO USD $            2020</t>
  </si>
  <si>
    <t>FINANCIAMIENTO ESTIMADO DEL   CONTRATO COLECTIVO PROPUESTO USD $            2021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</si>
  <si>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</si>
  <si>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</si>
  <si>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</si>
  <si>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</si>
  <si>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</si>
  <si>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Impuesto Basico</t>
  </si>
  <si>
    <t>Uso de Solares sin transferencia de dominio</t>
  </si>
  <si>
    <t>Impuesto de Alcabalas</t>
  </si>
  <si>
    <t>A los Activos Totales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</si>
  <si>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</si>
  <si>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</si>
  <si>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</si>
  <si>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</si>
  <si>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</si>
  <si>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</si>
  <si>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</si>
  <si>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</si>
  <si>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</si>
  <si>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</si>
  <si>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</si>
  <si>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</si>
  <si>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</si>
  <si>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</si>
  <si>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</si>
  <si>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</si>
  <si>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</si>
  <si>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</si>
  <si>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</si>
  <si>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</si>
  <si>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ALCALDE GAD HUAQUILLAS</t>
  </si>
  <si>
    <t>FIRMA DIRECTOR FINANCIERO  DEL GAD</t>
  </si>
  <si>
    <t>Nombre: Ronald Wilfrido Farfán Becerra</t>
  </si>
  <si>
    <t>Nombre: Econ. Jaime Bolivar Florin Vinces</t>
  </si>
  <si>
    <t>Lugar y Fecha: Huaquillas 31 de julio del 2018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</si>
  <si>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</si>
  <si>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</si>
  <si>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</si>
  <si>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</si>
  <si>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</si>
  <si>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   2018</t>
  </si>
  <si>
    <t>COSTO ESTIMADO DEL CONTRATO COLECTIVO PROPUESTO USD   2019</t>
  </si>
  <si>
    <t>COSTO ESTIMADO DEL CONTRATO COLECTIVO PROPUESTO USD   2020</t>
  </si>
  <si>
    <t>COSTO ESTIMADO DEL CONTRATO COLECTIVO PROPUESTO USD   2021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</si>
  <si>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</si>
  <si>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</si>
  <si>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</si>
  <si>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</si>
  <si>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</si>
  <si>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</si>
  <si>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</si>
  <si>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</si>
  <si>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</si>
  <si>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</si>
  <si>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</si>
  <si>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</si>
  <si>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510509</t>
  </si>
  <si>
    <t>HORAS EXTRAORDINARIAS Y SUPLEMENTARIAS</t>
  </si>
  <si>
    <t>APORTES A LA SEGURIDAD SOCIAL</t>
  </si>
  <si>
    <t>510601</t>
  </si>
  <si>
    <t xml:space="preserve">APORTE PATRONAL </t>
  </si>
  <si>
    <t>510602</t>
  </si>
  <si>
    <t xml:space="preserve">FONDO DE RESERVA </t>
  </si>
  <si>
    <t>510603</t>
  </si>
  <si>
    <t>FONDO DE JUBILACION PATRONAL</t>
  </si>
  <si>
    <t xml:space="preserve">INDEMNIZACIONES </t>
  </si>
  <si>
    <t>COMPENSACION POR DESAHUCIO</t>
  </si>
  <si>
    <t xml:space="preserve">POR JUBILACIÓN </t>
  </si>
  <si>
    <t>BIENES DE USO Y CONSUMO CORRIENTE</t>
  </si>
  <si>
    <t>VESTUARIO, LENCERIA Y PRENDAS DE PROTECCION</t>
  </si>
  <si>
    <t>FIRMA DEL ALCALDE DEL GAD HUAQUILLAS</t>
  </si>
  <si>
    <t>FIRMA DIRECTOR (A) FINANCIERO (A) DEL GAD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</si>
  <si>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</si>
  <si>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</si>
  <si>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GAD MUNICIPAL DEL CANTON HUAQUILLAS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</si>
  <si>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</si>
  <si>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</si>
  <si>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</si>
  <si>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</si>
  <si>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</si>
  <si>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</si>
  <si>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REMUNERACIÓN UNIFICADA CONTRATO COLECTIVO PROPUESTO USD $  2018</t>
  </si>
  <si>
    <t>REMUNERACIÓN UNIFICADA CONTRATO COLECTIVO PROPUESTO USD $  2019</t>
  </si>
  <si>
    <t>REMUNERACIÓN UNIFICADA CONTRATO COLECTIVO PROPUESTO USD $  2020</t>
  </si>
  <si>
    <t>REMUNERACIÓN UNIFICADA CONTRATO COLECTIVO PROPUESTO USD $  2021</t>
  </si>
  <si>
    <t>120119702-5</t>
  </si>
  <si>
    <t>PEÑA DURAN JOSE LUIS</t>
  </si>
  <si>
    <t>CHOFER ADMINISTRATIVO 2</t>
  </si>
  <si>
    <t>070270194-7</t>
  </si>
  <si>
    <t>HERRERA CASTILLO OLGER ANIBAL</t>
  </si>
  <si>
    <t>GUARDIAN ALCANTARILLADO</t>
  </si>
  <si>
    <t>070183172-9</t>
  </si>
  <si>
    <t>CUEVA CALDERON RAFAEL ARCANGEL</t>
  </si>
  <si>
    <t>GUADIAN CAMAL</t>
  </si>
  <si>
    <t>070185440-8</t>
  </si>
  <si>
    <t>GARCIA RUIZ CARLOS AGUSTIN</t>
  </si>
  <si>
    <t>JORNALERO 1 HIGIENE</t>
  </si>
  <si>
    <t>070251968-7</t>
  </si>
  <si>
    <t>JIMBO ROJAS MANUEL JOSE</t>
  </si>
  <si>
    <t>GUARDIAN DES HIGIENE</t>
  </si>
  <si>
    <t>070134414-5</t>
  </si>
  <si>
    <t>ASTUDILLO ARMIJOS TEOFILO CLOTARIO</t>
  </si>
  <si>
    <t>AYUDANTE ALBAÑIL OP</t>
  </si>
  <si>
    <t>070065247-2</t>
  </si>
  <si>
    <t>CASTILLO HONORES EDGAR DAVID</t>
  </si>
  <si>
    <t>CHOFER CON LIC. ESP OP</t>
  </si>
  <si>
    <t>090601663-9</t>
  </si>
  <si>
    <t>CUENCA AMAYA WALTER BENITO</t>
  </si>
  <si>
    <t>OPERADOR MOTONIVELADORA OP</t>
  </si>
  <si>
    <t>070174731-3</t>
  </si>
  <si>
    <t>GOMEZ ORDOÑEZ  HERNAN SEGUNDO</t>
  </si>
  <si>
    <t>070155284-6</t>
  </si>
  <si>
    <t>GUTIERREZ  REY FEDERICO</t>
  </si>
  <si>
    <t>AYUDANTE DE MAQUINA OP</t>
  </si>
  <si>
    <t>070068143-0</t>
  </si>
  <si>
    <t>LOZANO  JOSE MANUEL</t>
  </si>
  <si>
    <t>070171827-2</t>
  </si>
  <si>
    <t>MALLA ARIAS ANGEL EDUARDO</t>
  </si>
  <si>
    <t>MECANICO OP</t>
  </si>
  <si>
    <t>080057889-0</t>
  </si>
  <si>
    <t>SANCHEZ ARELLANO RODOLFO MONFILIO</t>
  </si>
  <si>
    <t>GUARDIAN DIA OP OP</t>
  </si>
  <si>
    <t>070402020-5</t>
  </si>
  <si>
    <t>SIGCHO VASQUEZ FERNANDO HERMEL</t>
  </si>
  <si>
    <t>CADENERO OP</t>
  </si>
  <si>
    <t>070113733-3</t>
  </si>
  <si>
    <t>ZAMBRANO SINCHE LUVERLY CLEMENTE</t>
  </si>
  <si>
    <t>OPERADOR CARGADORA OP</t>
  </si>
  <si>
    <t>110156401-9</t>
  </si>
  <si>
    <t>CEMINARIO CHAMBA SEGUNDO ALFREDO</t>
  </si>
  <si>
    <t>CHOFER CON LIC. ESP RECOLECC</t>
  </si>
  <si>
    <t>070100046-5</t>
  </si>
  <si>
    <t>ESTRELLA CARRION HUGO ALBERTO</t>
  </si>
  <si>
    <t>JEFE DE  CUADRILLA RECOLECCION</t>
  </si>
  <si>
    <t>110275138-3</t>
  </si>
  <si>
    <t>GONZALEZ CALDERON SERGIO FLORO</t>
  </si>
  <si>
    <t>JORNALERO 1 RECOLECCION</t>
  </si>
  <si>
    <t>070173921-1</t>
  </si>
  <si>
    <t>LUNA RAMIREZ WILSON</t>
  </si>
  <si>
    <t>JORNALERO RECOLECCION</t>
  </si>
  <si>
    <t>110156286-4</t>
  </si>
  <si>
    <t>VIERA AGURTO JUAN FRANCISCO</t>
  </si>
  <si>
    <t>SUMAN</t>
  </si>
  <si>
    <t xml:space="preserve">NOTA: </t>
  </si>
  <si>
    <t>EN EL SUELDO DE CADA FUNCIONARIO ESTA SUMADO RMU MAS DECIMO CUARTO,DECIMO TERCERO, FONDO DE RESERVA  Y APORTE PATRONAL.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</si>
  <si>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</si>
  <si>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</si>
  <si>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FIRMA ALCALDE DEL GAD MUNICIPAL HUAQUILLAS</t>
  </si>
  <si>
    <t>FIRMA DIRECTOR  FINANCIERO  DEL GAD</t>
  </si>
  <si>
    <t>0701268575</t>
  </si>
  <si>
    <t>OVIEDO MORENO VICTOR ANTO</t>
  </si>
  <si>
    <t>CHOFER ADMINISTRATIVO 1</t>
  </si>
  <si>
    <t>1102418389</t>
  </si>
  <si>
    <t>DIAZ JARAMILLO JUAN AGUSTIN</t>
  </si>
  <si>
    <t>0702015710</t>
  </si>
  <si>
    <t>ALVARADO ROMERO JORGE WAS</t>
  </si>
  <si>
    <t>0705109866</t>
  </si>
  <si>
    <t>CEVALLOS MENDOZA PAOLA CL</t>
  </si>
  <si>
    <t>POLICIA TURISMO</t>
  </si>
  <si>
    <t>1101777967</t>
  </si>
  <si>
    <t>CELI BETTO ENRIQUE</t>
  </si>
  <si>
    <t>INSPECTOR MUNICIPAL</t>
  </si>
  <si>
    <t>1102637301</t>
  </si>
  <si>
    <t>MOTOCHE AGUILAR PACA MIRELL</t>
  </si>
  <si>
    <t>AUXILIAR DE SERVICIOS 1.1</t>
  </si>
  <si>
    <t>0703682807</t>
  </si>
  <si>
    <t>RODRIGUEZ RODRIGUEZ STALIN</t>
  </si>
  <si>
    <t>1103014724</t>
  </si>
  <si>
    <t>MEDINA MOTOCHE ULPIANO AR</t>
  </si>
  <si>
    <t>1103426803</t>
  </si>
  <si>
    <t>QUINDE VALAREZO FANNY ESPE</t>
  </si>
  <si>
    <t>1709643264</t>
  </si>
  <si>
    <t>MORENO MACAS ANGEL GABRIEL</t>
  </si>
  <si>
    <t>0701072886</t>
  </si>
  <si>
    <t>RAMIREZ ENCARNACION ANTONI</t>
  </si>
  <si>
    <t>1706114178</t>
  </si>
  <si>
    <t>MORENO MACAS FRANGIL ALC</t>
  </si>
  <si>
    <t>0703200410</t>
  </si>
  <si>
    <t>GONZABAY JURADO AURELIO CRIS</t>
  </si>
  <si>
    <t>1103715551</t>
  </si>
  <si>
    <t>PIEDRA LOAIZA MANUEL FRANCIS</t>
  </si>
  <si>
    <t>0703138750</t>
  </si>
  <si>
    <t>BRAVO GARCIA ISIDRO INDALEC</t>
  </si>
  <si>
    <t>0701894644</t>
  </si>
  <si>
    <t>ROGEL JUMBO FRANCISCO ALCI</t>
  </si>
  <si>
    <t>0702248279</t>
  </si>
  <si>
    <t>APONTE ARMIJOS RENE LEOMAR</t>
  </si>
  <si>
    <t>AUXILIAR ADMINISTRATIVO</t>
  </si>
  <si>
    <t>0703217836</t>
  </si>
  <si>
    <t xml:space="preserve">ANCHUNDIA CASTRO JULIO VICTOR </t>
  </si>
  <si>
    <t>OPERADOR CARGADORA</t>
  </si>
  <si>
    <t>0703646943</t>
  </si>
  <si>
    <t>RUEDA CAMACHO LUIS CRISTOB</t>
  </si>
  <si>
    <t>OPERADOR RETROEXCAVADORA</t>
  </si>
  <si>
    <t>FORMULARIO 4</t>
  </si>
  <si>
    <t>FLUJO PRESUPUESTARIO DE INGRESOS Y GASTOS</t>
  </si>
  <si>
    <t>GOBIERNO AUTÓNOMO DESCENTRALIZADO DEL CANTON HUAQUILLAS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</si>
  <si>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</si>
  <si>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</si>
  <si>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</si>
  <si>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</si>
  <si>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</si>
  <si>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</si>
  <si>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</si>
  <si>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</si>
  <si>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</si>
  <si>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</si>
  <si>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</si>
  <si>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</si>
  <si>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</si>
  <si>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</si>
  <si>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</si>
  <si>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</si>
  <si>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</si>
  <si>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</si>
  <si>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</si>
  <si>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</si>
  <si>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</si>
  <si>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</si>
  <si>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</si>
  <si>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</si>
  <si>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</si>
  <si>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</si>
  <si>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</si>
  <si>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</si>
  <si>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</si>
  <si>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</si>
  <si>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</si>
  <si>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</si>
  <si>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</si>
  <si>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</si>
  <si>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</si>
  <si>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</si>
  <si>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</si>
  <si>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</si>
  <si>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</si>
  <si>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</si>
  <si>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</si>
  <si>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</si>
  <si>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</si>
  <si>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</si>
  <si>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</si>
  <si>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</si>
  <si>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</si>
  <si>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</si>
  <si>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</si>
  <si>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</si>
  <si>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</si>
  <si>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</si>
  <si>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</si>
  <si>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</si>
  <si>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</si>
  <si>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</si>
  <si>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</si>
  <si>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</si>
  <si>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</si>
  <si>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</si>
  <si>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</si>
  <si>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</si>
  <si>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</si>
  <si>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</si>
  <si>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</si>
  <si>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</si>
  <si>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Públicas.</t>
  </si>
  <si>
    <t>FIRMA MÁXIMA AUTORIDAD DEL GAD</t>
  </si>
  <si>
    <t>FIRMA DIRECTOR  FINANCIERO DEL GAD</t>
  </si>
  <si>
    <t>Nombre:</t>
  </si>
  <si>
    <t>Ronald Wilfrido Farfán Becerra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</si>
</sst>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0"/>
      <name val="Times New Roman"/>
      <family val="1"/>
    </font>
    <font>
      <b/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color indexed="81"/>
      <name val="Tahoma"/>
      <family val="2"/>
    </font>
    <font>
      <b/>
      <sz val="10"/>
      <color indexed="8"/>
      <name val="Times New Roman"/>
      <family val="1"/>
    </font>
    <font>
      <sz val="12"/>
      <color indexed="8"/>
      <name val="Calibri"/>
      <family val="2"/>
    </font>
    <font>
      <sz val="9"/>
      <name val="Times New Roman"/>
      <family val="1"/>
    </font>
    <font>
      <sz val="10"/>
      <color theme="1"/>
      <name val="Arial Narrow"/>
      <family val="2"/>
    </font>
    <font>
      <sz val="6"/>
      <color indexed="10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sz val="10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8"/>
      <color indexed="29"/>
      <name val="Calibri"/>
      <family val="2"/>
    </font>
    <font>
      <sz val="8"/>
      <color theme="1"/>
      <name val="Calibri"/>
      <family val="2"/>
    </font>
    <font>
      <sz val="11"/>
      <color indexed="29"/>
      <name val="Calibri"/>
      <family val="2"/>
    </font>
    <font>
      <b/>
      <sz val="11"/>
      <color indexed="22"/>
      <name val="Calibri"/>
      <family val="2"/>
    </font>
    <font>
      <b/>
      <sz val="11"/>
      <color theme="0" tint="-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2" fillId="0" borderId="0" applyNumberFormat="0" applyFont="0" applyBorder="0" applyProtection="0"/>
  </cellStyleXfs>
  <cellXfs count="218">
    <xf numFmtId="0" fontId="0" fillId="0" borderId="0" xfId="0"/>
    <xf numFmtId="0" fontId="3" fillId="0" borderId="0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Border="1" applyAlignment="1"/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4" fontId="9" fillId="0" borderId="7" xfId="0" applyNumberFormat="1" applyFont="1" applyFill="1" applyBorder="1" applyAlignment="1">
      <alignment horizontal="center"/>
    </xf>
    <xf numFmtId="4" fontId="10" fillId="0" borderId="9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left"/>
    </xf>
    <xf numFmtId="0" fontId="11" fillId="0" borderId="11" xfId="2" applyFont="1" applyBorder="1" applyAlignment="1">
      <alignment horizontal="left" indent="2"/>
    </xf>
    <xf numFmtId="4" fontId="10" fillId="0" borderId="10" xfId="0" applyNumberFormat="1" applyFont="1" applyFill="1" applyBorder="1" applyAlignment="1">
      <alignment horizontal="center"/>
    </xf>
    <xf numFmtId="4" fontId="10" fillId="0" borderId="12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4" fontId="9" fillId="0" borderId="10" xfId="0" applyNumberFormat="1" applyFont="1" applyFill="1" applyBorder="1" applyAlignment="1">
      <alignment horizontal="center"/>
    </xf>
    <xf numFmtId="4" fontId="9" fillId="0" borderId="12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4" fontId="12" fillId="0" borderId="10" xfId="1" applyNumberFormat="1" applyFont="1" applyBorder="1" applyAlignment="1">
      <alignment horizontal="center"/>
    </xf>
    <xf numFmtId="4" fontId="12" fillId="0" borderId="12" xfId="1" applyNumberFormat="1" applyFont="1" applyBorder="1" applyAlignment="1">
      <alignment horizontal="center"/>
    </xf>
    <xf numFmtId="4" fontId="8" fillId="0" borderId="12" xfId="1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3" fillId="0" borderId="10" xfId="0" applyFont="1" applyBorder="1"/>
    <xf numFmtId="0" fontId="13" fillId="0" borderId="12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/>
    </xf>
    <xf numFmtId="4" fontId="13" fillId="0" borderId="12" xfId="0" applyNumberFormat="1" applyFont="1" applyBorder="1"/>
    <xf numFmtId="0" fontId="11" fillId="0" borderId="13" xfId="2" applyFont="1" applyBorder="1" applyAlignment="1">
      <alignment horizontal="center"/>
    </xf>
    <xf numFmtId="0" fontId="11" fillId="0" borderId="14" xfId="2" applyFont="1" applyBorder="1" applyAlignment="1">
      <alignment horizontal="left" indent="2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0" fillId="0" borderId="7" xfId="0" applyFont="1" applyBorder="1"/>
    <xf numFmtId="0" fontId="8" fillId="0" borderId="3" xfId="0" applyFont="1" applyBorder="1" applyAlignment="1">
      <alignment horizontal="center"/>
    </xf>
    <xf numFmtId="4" fontId="13" fillId="0" borderId="16" xfId="0" applyNumberFormat="1" applyFont="1" applyBorder="1"/>
    <xf numFmtId="0" fontId="13" fillId="0" borderId="17" xfId="0" applyFont="1" applyBorder="1"/>
    <xf numFmtId="0" fontId="13" fillId="0" borderId="18" xfId="0" applyFont="1" applyBorder="1"/>
    <xf numFmtId="0" fontId="14" fillId="0" borderId="19" xfId="0" applyFont="1" applyBorder="1" applyAlignment="1">
      <alignment horizontal="center"/>
    </xf>
    <xf numFmtId="0" fontId="13" fillId="0" borderId="20" xfId="0" applyFont="1" applyBorder="1"/>
    <xf numFmtId="0" fontId="13" fillId="0" borderId="21" xfId="0" applyFont="1" applyBorder="1"/>
    <xf numFmtId="0" fontId="13" fillId="0" borderId="0" xfId="0" applyFont="1" applyBorder="1"/>
    <xf numFmtId="0" fontId="14" fillId="0" borderId="0" xfId="0" applyFont="1" applyBorder="1" applyAlignment="1">
      <alignment horizontal="center"/>
    </xf>
    <xf numFmtId="0" fontId="15" fillId="0" borderId="0" xfId="0" applyFont="1" applyBorder="1"/>
    <xf numFmtId="0" fontId="8" fillId="0" borderId="14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0" xfId="2" applyFont="1"/>
    <xf numFmtId="0" fontId="13" fillId="0" borderId="0" xfId="0" applyFont="1"/>
    <xf numFmtId="0" fontId="17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Border="1" applyAlignment="1"/>
    <xf numFmtId="0" fontId="17" fillId="0" borderId="0" xfId="0" applyFont="1" applyBorder="1" applyAlignment="1"/>
    <xf numFmtId="0" fontId="4" fillId="0" borderId="0" xfId="0" applyFont="1" applyBorder="1"/>
    <xf numFmtId="49" fontId="6" fillId="2" borderId="2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2" fontId="9" fillId="0" borderId="26" xfId="0" applyNumberFormat="1" applyFont="1" applyFill="1" applyBorder="1" applyAlignment="1">
      <alignment horizontal="center"/>
    </xf>
    <xf numFmtId="2" fontId="9" fillId="0" borderId="24" xfId="0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4" fontId="10" fillId="0" borderId="27" xfId="1" applyNumberFormat="1" applyFont="1" applyFill="1" applyBorder="1" applyAlignment="1">
      <alignment horizontal="center"/>
    </xf>
    <xf numFmtId="4" fontId="10" fillId="0" borderId="10" xfId="1" applyNumberFormat="1" applyFont="1" applyFill="1" applyBorder="1" applyAlignment="1">
      <alignment horizontal="center"/>
    </xf>
    <xf numFmtId="4" fontId="10" fillId="0" borderId="27" xfId="0" applyNumberFormat="1" applyFont="1" applyFill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4" fontId="10" fillId="0" borderId="30" xfId="0" applyNumberFormat="1" applyFont="1" applyBorder="1" applyAlignment="1">
      <alignment horizontal="center"/>
    </xf>
    <xf numFmtId="4" fontId="10" fillId="0" borderId="28" xfId="0" applyNumberFormat="1" applyFont="1" applyBorder="1" applyAlignment="1">
      <alignment horizontal="center"/>
    </xf>
    <xf numFmtId="0" fontId="10" fillId="0" borderId="20" xfId="0" applyFont="1" applyBorder="1"/>
    <xf numFmtId="0" fontId="8" fillId="0" borderId="31" xfId="0" applyFont="1" applyBorder="1" applyAlignment="1">
      <alignment horizontal="center"/>
    </xf>
    <xf numFmtId="4" fontId="8" fillId="0" borderId="32" xfId="1" applyNumberFormat="1" applyFont="1" applyBorder="1" applyAlignment="1">
      <alignment horizontal="center"/>
    </xf>
    <xf numFmtId="4" fontId="8" fillId="0" borderId="20" xfId="1" applyNumberFormat="1" applyFont="1" applyBorder="1" applyAlignment="1">
      <alignment horizontal="center"/>
    </xf>
    <xf numFmtId="0" fontId="13" fillId="0" borderId="33" xfId="0" applyFont="1" applyBorder="1"/>
    <xf numFmtId="0" fontId="14" fillId="0" borderId="34" xfId="0" applyFont="1" applyBorder="1" applyAlignment="1">
      <alignment horizontal="center"/>
    </xf>
    <xf numFmtId="0" fontId="13" fillId="0" borderId="35" xfId="0" applyFont="1" applyBorder="1"/>
    <xf numFmtId="4" fontId="13" fillId="0" borderId="0" xfId="0" applyNumberFormat="1" applyFont="1" applyBorder="1"/>
    <xf numFmtId="0" fontId="8" fillId="0" borderId="14" xfId="2" applyFont="1" applyBorder="1" applyAlignment="1"/>
    <xf numFmtId="0" fontId="8" fillId="0" borderId="0" xfId="2" applyFont="1" applyBorder="1" applyAlignment="1"/>
    <xf numFmtId="0" fontId="1" fillId="0" borderId="0" xfId="2"/>
    <xf numFmtId="0" fontId="8" fillId="0" borderId="0" xfId="2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39" xfId="0" applyFont="1" applyBorder="1"/>
    <xf numFmtId="0" fontId="10" fillId="0" borderId="40" xfId="0" applyFont="1" applyFill="1" applyBorder="1" applyAlignment="1">
      <alignment horizontal="center"/>
    </xf>
    <xf numFmtId="4" fontId="20" fillId="0" borderId="39" xfId="0" applyNumberFormat="1" applyFont="1" applyBorder="1"/>
    <xf numFmtId="4" fontId="10" fillId="0" borderId="40" xfId="0" applyNumberFormat="1" applyFont="1" applyFill="1" applyBorder="1" applyAlignment="1">
      <alignment horizontal="right"/>
    </xf>
    <xf numFmtId="4" fontId="4" fillId="0" borderId="0" xfId="0" applyNumberFormat="1" applyFont="1"/>
    <xf numFmtId="0" fontId="10" fillId="0" borderId="39" xfId="0" applyFont="1" applyFill="1" applyBorder="1" applyAlignment="1">
      <alignment horizontal="center"/>
    </xf>
    <xf numFmtId="4" fontId="10" fillId="0" borderId="39" xfId="0" applyNumberFormat="1" applyFont="1" applyFill="1" applyBorder="1" applyAlignment="1">
      <alignment horizontal="right"/>
    </xf>
    <xf numFmtId="0" fontId="10" fillId="0" borderId="39" xfId="0" applyFont="1" applyFill="1" applyBorder="1" applyAlignment="1">
      <alignment horizontal="left"/>
    </xf>
    <xf numFmtId="0" fontId="10" fillId="0" borderId="39" xfId="3" applyFont="1" applyFill="1" applyBorder="1" applyAlignment="1">
      <alignment horizontal="left" vertical="center" wrapText="1"/>
    </xf>
    <xf numFmtId="0" fontId="9" fillId="0" borderId="39" xfId="0" applyFont="1" applyBorder="1" applyAlignment="1">
      <alignment horizontal="center"/>
    </xf>
    <xf numFmtId="0" fontId="9" fillId="0" borderId="39" xfId="0" applyFont="1" applyFill="1" applyBorder="1" applyAlignment="1">
      <alignment horizontal="center"/>
    </xf>
    <xf numFmtId="4" fontId="9" fillId="0" borderId="39" xfId="0" applyNumberFormat="1" applyFont="1" applyFill="1" applyBorder="1" applyAlignment="1">
      <alignment horizontal="right" vertical="center" wrapText="1"/>
    </xf>
    <xf numFmtId="4" fontId="9" fillId="0" borderId="27" xfId="0" applyNumberFormat="1" applyFont="1" applyFill="1" applyBorder="1" applyAlignment="1">
      <alignment horizontal="right" vertical="center" wrapText="1"/>
    </xf>
    <xf numFmtId="4" fontId="9" fillId="0" borderId="30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4" fontId="9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left"/>
    </xf>
    <xf numFmtId="0" fontId="21" fillId="0" borderId="0" xfId="0" applyFont="1" applyBorder="1"/>
    <xf numFmtId="43" fontId="13" fillId="0" borderId="0" xfId="1" applyFont="1" applyBorder="1"/>
    <xf numFmtId="0" fontId="14" fillId="0" borderId="14" xfId="0" applyFont="1" applyBorder="1"/>
    <xf numFmtId="0" fontId="14" fillId="0" borderId="0" xfId="0" applyFont="1"/>
    <xf numFmtId="0" fontId="13" fillId="0" borderId="0" xfId="0" applyFont="1" applyBorder="1" applyAlignment="1">
      <alignment horizont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49" fontId="22" fillId="0" borderId="39" xfId="0" applyNumberFormat="1" applyFont="1" applyFill="1" applyBorder="1" applyAlignment="1">
      <alignment horizontal="right"/>
    </xf>
    <xf numFmtId="49" fontId="22" fillId="0" borderId="39" xfId="0" applyNumberFormat="1" applyFont="1" applyFill="1" applyBorder="1" applyAlignment="1"/>
    <xf numFmtId="49" fontId="23" fillId="0" borderId="39" xfId="0" applyNumberFormat="1" applyFont="1" applyFill="1" applyBorder="1" applyAlignment="1">
      <alignment horizontal="right"/>
    </xf>
    <xf numFmtId="0" fontId="23" fillId="0" borderId="39" xfId="0" applyFont="1" applyFill="1" applyBorder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7" fillId="2" borderId="1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0" fontId="7" fillId="2" borderId="42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7" fillId="2" borderId="43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24" fillId="2" borderId="36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center" vertical="center" wrapText="1"/>
    </xf>
    <xf numFmtId="0" fontId="25" fillId="3" borderId="44" xfId="2" applyFont="1" applyFill="1" applyBorder="1" applyAlignment="1">
      <alignment horizontal="left"/>
    </xf>
    <xf numFmtId="0" fontId="25" fillId="3" borderId="30" xfId="2" applyFont="1" applyFill="1" applyBorder="1" applyAlignment="1">
      <alignment horizontal="left"/>
    </xf>
    <xf numFmtId="0" fontId="11" fillId="3" borderId="24" xfId="2" applyFont="1" applyFill="1" applyBorder="1"/>
    <xf numFmtId="4" fontId="11" fillId="3" borderId="24" xfId="2" applyNumberFormat="1" applyFont="1" applyFill="1" applyBorder="1"/>
    <xf numFmtId="0" fontId="25" fillId="0" borderId="45" xfId="2" applyFont="1" applyBorder="1" applyAlignment="1">
      <alignment horizontal="left"/>
    </xf>
    <xf numFmtId="0" fontId="25" fillId="0" borderId="7" xfId="2" applyFont="1" applyBorder="1"/>
    <xf numFmtId="0" fontId="11" fillId="0" borderId="10" xfId="2" applyFont="1" applyBorder="1"/>
    <xf numFmtId="4" fontId="11" fillId="0" borderId="10" xfId="2" applyNumberFormat="1" applyFont="1" applyBorder="1"/>
    <xf numFmtId="0" fontId="11" fillId="0" borderId="45" xfId="2" applyFont="1" applyBorder="1" applyAlignment="1">
      <alignment horizontal="center"/>
    </xf>
    <xf numFmtId="0" fontId="11" fillId="0" borderId="10" xfId="2" applyFont="1" applyBorder="1" applyAlignment="1">
      <alignment horizontal="left" indent="2"/>
    </xf>
    <xf numFmtId="0" fontId="11" fillId="0" borderId="46" xfId="2" applyFont="1" applyBorder="1"/>
    <xf numFmtId="4" fontId="10" fillId="0" borderId="10" xfId="0" applyNumberFormat="1" applyFont="1" applyFill="1" applyBorder="1" applyAlignment="1">
      <alignment horizontal="right"/>
    </xf>
    <xf numFmtId="0" fontId="1" fillId="0" borderId="47" xfId="2" applyBorder="1"/>
    <xf numFmtId="0" fontId="11" fillId="0" borderId="47" xfId="2" applyFont="1" applyBorder="1"/>
    <xf numFmtId="0" fontId="25" fillId="0" borderId="10" xfId="2" applyFont="1" applyBorder="1"/>
    <xf numFmtId="0" fontId="11" fillId="0" borderId="18" xfId="2" applyFont="1" applyBorder="1" applyAlignment="1">
      <alignment horizontal="left" indent="2"/>
    </xf>
    <xf numFmtId="0" fontId="11" fillId="3" borderId="10" xfId="2" applyFont="1" applyFill="1" applyBorder="1"/>
    <xf numFmtId="0" fontId="25" fillId="0" borderId="18" xfId="2" applyFont="1" applyBorder="1"/>
    <xf numFmtId="0" fontId="25" fillId="4" borderId="44" xfId="2" applyFont="1" applyFill="1" applyBorder="1" applyAlignment="1">
      <alignment horizontal="center"/>
    </xf>
    <xf numFmtId="0" fontId="25" fillId="4" borderId="26" xfId="2" applyFont="1" applyFill="1" applyBorder="1" applyAlignment="1">
      <alignment horizontal="center"/>
    </xf>
    <xf numFmtId="0" fontId="26" fillId="4" borderId="10" xfId="2" applyFont="1" applyFill="1" applyBorder="1"/>
    <xf numFmtId="4" fontId="26" fillId="4" borderId="10" xfId="2" applyNumberFormat="1" applyFont="1" applyFill="1" applyBorder="1"/>
    <xf numFmtId="0" fontId="25" fillId="3" borderId="27" xfId="2" applyFont="1" applyFill="1" applyBorder="1" applyAlignment="1">
      <alignment horizontal="left"/>
    </xf>
    <xf numFmtId="0" fontId="11" fillId="3" borderId="46" xfId="2" applyFont="1" applyFill="1" applyBorder="1"/>
    <xf numFmtId="0" fontId="11" fillId="3" borderId="47" xfId="2" applyFont="1" applyFill="1" applyBorder="1"/>
    <xf numFmtId="0" fontId="1" fillId="3" borderId="47" xfId="2" applyFill="1" applyBorder="1"/>
    <xf numFmtId="0" fontId="25" fillId="0" borderId="44" xfId="2" applyFont="1" applyBorder="1" applyAlignment="1">
      <alignment horizontal="left"/>
    </xf>
    <xf numFmtId="0" fontId="25" fillId="0" borderId="27" xfId="2" applyFont="1" applyBorder="1"/>
    <xf numFmtId="0" fontId="25" fillId="3" borderId="48" xfId="2" applyFont="1" applyFill="1" applyBorder="1" applyAlignment="1">
      <alignment horizontal="left"/>
    </xf>
    <xf numFmtId="0" fontId="25" fillId="0" borderId="10" xfId="2" applyFont="1" applyBorder="1" applyAlignment="1">
      <alignment horizontal="left"/>
    </xf>
    <xf numFmtId="0" fontId="11" fillId="0" borderId="13" xfId="2" applyFont="1" applyBorder="1"/>
    <xf numFmtId="0" fontId="27" fillId="4" borderId="7" xfId="2" applyFont="1" applyFill="1" applyBorder="1"/>
    <xf numFmtId="0" fontId="28" fillId="4" borderId="47" xfId="2" applyFont="1" applyFill="1" applyBorder="1"/>
    <xf numFmtId="0" fontId="29" fillId="4" borderId="47" xfId="2" applyFont="1" applyFill="1" applyBorder="1"/>
    <xf numFmtId="0" fontId="30" fillId="2" borderId="44" xfId="2" applyFont="1" applyFill="1" applyBorder="1" applyAlignment="1">
      <alignment horizontal="center"/>
    </xf>
    <xf numFmtId="0" fontId="30" fillId="2" borderId="27" xfId="2" applyFont="1" applyFill="1" applyBorder="1" applyAlignment="1">
      <alignment horizontal="center"/>
    </xf>
    <xf numFmtId="0" fontId="30" fillId="2" borderId="10" xfId="2" applyFont="1" applyFill="1" applyBorder="1"/>
    <xf numFmtId="4" fontId="30" fillId="2" borderId="10" xfId="2" applyNumberFormat="1" applyFont="1" applyFill="1" applyBorder="1"/>
    <xf numFmtId="0" fontId="25" fillId="3" borderId="49" xfId="2" applyFont="1" applyFill="1" applyBorder="1" applyAlignment="1">
      <alignment horizontal="left"/>
    </xf>
    <xf numFmtId="0" fontId="25" fillId="0" borderId="39" xfId="2" applyFont="1" applyBorder="1" applyAlignment="1">
      <alignment horizontal="left"/>
    </xf>
    <xf numFmtId="0" fontId="25" fillId="0" borderId="50" xfId="2" applyFont="1" applyBorder="1" applyAlignment="1">
      <alignment horizontal="left"/>
    </xf>
    <xf numFmtId="0" fontId="25" fillId="0" borderId="26" xfId="2" applyFont="1" applyBorder="1"/>
    <xf numFmtId="0" fontId="25" fillId="0" borderId="51" xfId="2" applyFont="1" applyBorder="1" applyAlignment="1">
      <alignment horizontal="left"/>
    </xf>
    <xf numFmtId="0" fontId="25" fillId="0" borderId="52" xfId="2" applyFont="1" applyBorder="1"/>
    <xf numFmtId="0" fontId="30" fillId="2" borderId="53" xfId="2" applyFont="1" applyFill="1" applyBorder="1" applyAlignment="1">
      <alignment horizontal="center"/>
    </xf>
    <xf numFmtId="0" fontId="30" fillId="2" borderId="35" xfId="2" applyFont="1" applyFill="1" applyBorder="1" applyAlignment="1">
      <alignment horizontal="center"/>
    </xf>
    <xf numFmtId="0" fontId="30" fillId="2" borderId="18" xfId="2" applyFont="1" applyFill="1" applyBorder="1"/>
    <xf numFmtId="0" fontId="30" fillId="0" borderId="0" xfId="2" applyFont="1" applyFill="1" applyBorder="1" applyAlignment="1">
      <alignment horizontal="center"/>
    </xf>
    <xf numFmtId="0" fontId="30" fillId="0" borderId="0" xfId="2" applyFont="1" applyFill="1" applyBorder="1"/>
    <xf numFmtId="0" fontId="1" fillId="0" borderId="0" xfId="2" applyFill="1"/>
    <xf numFmtId="0" fontId="7" fillId="2" borderId="5" xfId="2" applyFont="1" applyFill="1" applyBorder="1" applyAlignment="1"/>
    <xf numFmtId="0" fontId="7" fillId="2" borderId="6" xfId="2" applyFont="1" applyFill="1" applyBorder="1" applyAlignment="1"/>
    <xf numFmtId="0" fontId="31" fillId="2" borderId="6" xfId="2" applyFont="1" applyFill="1" applyBorder="1" applyAlignment="1"/>
    <xf numFmtId="0" fontId="8" fillId="0" borderId="1" xfId="2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17" xfId="2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0" fontId="30" fillId="0" borderId="6" xfId="2" applyFont="1" applyFill="1" applyBorder="1"/>
    <xf numFmtId="0" fontId="30" fillId="0" borderId="54" xfId="2" applyFont="1" applyFill="1" applyBorder="1"/>
    <xf numFmtId="0" fontId="11" fillId="0" borderId="0" xfId="2" applyFont="1" applyFill="1" applyBorder="1"/>
    <xf numFmtId="0" fontId="2" fillId="0" borderId="0" xfId="2" applyFont="1"/>
  </cellXfs>
  <cellStyles count="4">
    <cellStyle name="Millares" xfId="1" builtinId="3"/>
    <cellStyle name="Normal" xfId="0" builtinId="0"/>
    <cellStyle name="Normal 2" xfId="2"/>
    <cellStyle name="Normal_201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5"/>
  <sheetViews>
    <sheetView workbookViewId="0">
      <selection activeCell="D8" sqref="D8"/>
    </sheetView>
  </sheetViews>
  <sheetFormatPr baseColWidth="10" defaultRowHeight="12.75" x14ac:dyDescent="0.2"/>
  <cols>
    <col min="1" max="1" width="13.140625" style="59" customWidth="1"/>
    <col min="2" max="2" width="43.85546875" style="59" customWidth="1"/>
    <col min="3" max="7" width="23.140625" style="59" customWidth="1"/>
    <col min="8" max="8" width="27.5703125" style="2" customWidth="1"/>
    <col min="9" max="16384" width="11.42578125" style="2"/>
  </cols>
  <sheetData>
    <row r="1" spans="1:8" ht="20.100000000000001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20.100000000000001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ht="20.100000000000001" customHeigh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ht="20.100000000000001" customHeight="1" x14ac:dyDescent="0.25">
      <c r="A4" s="4"/>
      <c r="B4" s="4"/>
      <c r="C4" s="4"/>
      <c r="D4" s="4"/>
      <c r="E4" s="4"/>
      <c r="F4" s="4"/>
      <c r="G4" s="4"/>
    </row>
    <row r="5" spans="1:8" ht="20.100000000000001" customHeight="1" x14ac:dyDescent="0.25">
      <c r="A5" s="5" t="s">
        <v>3</v>
      </c>
      <c r="B5" s="4"/>
      <c r="C5" s="2"/>
      <c r="D5" s="5"/>
      <c r="E5" s="5"/>
      <c r="F5" s="5"/>
      <c r="G5" s="5"/>
    </row>
    <row r="6" spans="1:8" ht="20.100000000000001" customHeight="1" x14ac:dyDescent="0.25">
      <c r="A6" s="5" t="s">
        <v>4</v>
      </c>
      <c r="B6" s="4"/>
      <c r="C6" s="2"/>
      <c r="D6" s="5"/>
      <c r="E6" s="5"/>
      <c r="F6" s="5"/>
      <c r="G6" s="5"/>
    </row>
    <row r="7" spans="1:8" ht="20.100000000000001" customHeight="1" x14ac:dyDescent="0.25">
      <c r="A7" s="6" t="s">
        <v>5</v>
      </c>
      <c r="B7" s="6"/>
      <c r="C7" s="2"/>
      <c r="D7" s="6"/>
      <c r="E7" s="6"/>
      <c r="F7" s="6"/>
      <c r="G7" s="6"/>
    </row>
    <row r="8" spans="1:8" ht="20.100000000000001" customHeight="1" thickBot="1" x14ac:dyDescent="0.3">
      <c r="A8" s="6"/>
      <c r="B8" s="6"/>
      <c r="C8" s="2"/>
      <c r="D8" s="6"/>
      <c r="E8" s="6"/>
      <c r="F8" s="6"/>
      <c r="G8" s="6"/>
    </row>
    <row r="9" spans="1:8" ht="77.25" customHeight="1" x14ac:dyDescent="0.2">
      <c r="A9" s="7" t="s">
        <v>6</v>
      </c>
      <c r="B9" s="8"/>
      <c r="C9" s="9" t="s">
        <v>7</v>
      </c>
      <c r="D9" s="10" t="s">
        <v>8</v>
      </c>
      <c r="E9" s="10" t="s">
        <v>9</v>
      </c>
      <c r="F9" s="10" t="s">
        <v>10</v>
      </c>
      <c r="G9" s="10" t="s">
        <v>11</v>
      </c>
      <c r="H9" s="11" t="s">
        <v>12</v>
      </c>
    </row>
    <row r="10" spans="1:8" ht="20.100000000000001" customHeight="1" thickBot="1" x14ac:dyDescent="0.3">
      <c r="A10" s="12" t="s">
        <v>13</v>
      </c>
      <c r="B10" s="13"/>
      <c r="C10" s="13"/>
      <c r="D10" s="13"/>
      <c r="E10" s="13"/>
      <c r="F10" s="13"/>
      <c r="G10" s="13"/>
      <c r="H10" s="13"/>
    </row>
    <row r="11" spans="1:8" ht="20.100000000000001" customHeight="1" x14ac:dyDescent="0.2">
      <c r="A11" s="14">
        <v>11</v>
      </c>
      <c r="B11" s="15" t="s">
        <v>14</v>
      </c>
      <c r="C11" s="16"/>
      <c r="D11" s="17"/>
      <c r="E11" s="17"/>
      <c r="F11" s="17"/>
      <c r="G11" s="17"/>
      <c r="H11" s="17"/>
    </row>
    <row r="12" spans="1:8" ht="20.100000000000001" customHeight="1" x14ac:dyDescent="0.2">
      <c r="A12" s="18">
        <v>1101</v>
      </c>
      <c r="B12" s="19" t="s">
        <v>15</v>
      </c>
      <c r="C12" s="20">
        <v>1000</v>
      </c>
      <c r="D12" s="21">
        <v>1500</v>
      </c>
      <c r="E12" s="21">
        <v>1500</v>
      </c>
      <c r="F12" s="21">
        <v>1500</v>
      </c>
      <c r="G12" s="21">
        <v>1500</v>
      </c>
      <c r="H12" s="21"/>
    </row>
    <row r="13" spans="1:8" ht="20.100000000000001" customHeight="1" x14ac:dyDescent="0.2">
      <c r="A13" s="18">
        <v>1102</v>
      </c>
      <c r="B13" s="19" t="s">
        <v>16</v>
      </c>
      <c r="C13" s="20"/>
      <c r="D13" s="21"/>
      <c r="E13" s="21"/>
      <c r="F13" s="21"/>
      <c r="G13" s="21"/>
      <c r="H13" s="21"/>
    </row>
    <row r="14" spans="1:8" ht="20.100000000000001" customHeight="1" x14ac:dyDescent="0.2">
      <c r="A14" s="22">
        <v>110201</v>
      </c>
      <c r="B14" s="19" t="s">
        <v>17</v>
      </c>
      <c r="C14" s="20">
        <v>10000</v>
      </c>
      <c r="D14" s="21">
        <v>11000</v>
      </c>
      <c r="E14" s="21">
        <v>12000</v>
      </c>
      <c r="F14" s="21">
        <v>12000</v>
      </c>
      <c r="G14" s="21">
        <v>12000</v>
      </c>
      <c r="H14" s="21"/>
    </row>
    <row r="15" spans="1:8" ht="20.100000000000001" customHeight="1" x14ac:dyDescent="0.2">
      <c r="A15" s="22">
        <v>110203</v>
      </c>
      <c r="B15" s="19" t="s">
        <v>18</v>
      </c>
      <c r="C15" s="20">
        <v>200</v>
      </c>
      <c r="D15" s="21">
        <v>500</v>
      </c>
      <c r="E15" s="21">
        <v>500</v>
      </c>
      <c r="F15" s="21">
        <v>500</v>
      </c>
      <c r="G15" s="21">
        <v>500</v>
      </c>
      <c r="H15" s="21"/>
    </row>
    <row r="16" spans="1:8" ht="20.100000000000001" customHeight="1" x14ac:dyDescent="0.2">
      <c r="A16" s="22">
        <v>110206</v>
      </c>
      <c r="B16" s="19" t="s">
        <v>19</v>
      </c>
      <c r="C16" s="20">
        <v>8000</v>
      </c>
      <c r="D16" s="21">
        <v>10000</v>
      </c>
      <c r="E16" s="21">
        <v>10000</v>
      </c>
      <c r="F16" s="21">
        <v>10000</v>
      </c>
      <c r="G16" s="21">
        <v>10000</v>
      </c>
      <c r="H16" s="21"/>
    </row>
    <row r="17" spans="1:8" ht="20.100000000000001" customHeight="1" x14ac:dyDescent="0.2">
      <c r="A17" s="22">
        <v>110207</v>
      </c>
      <c r="B17" s="19" t="s">
        <v>20</v>
      </c>
      <c r="C17" s="20">
        <v>2000</v>
      </c>
      <c r="D17" s="21">
        <v>2500</v>
      </c>
      <c r="E17" s="21">
        <v>2500</v>
      </c>
      <c r="F17" s="21">
        <v>2500</v>
      </c>
      <c r="G17" s="21">
        <v>2500</v>
      </c>
      <c r="H17" s="21"/>
    </row>
    <row r="18" spans="1:8" ht="20.100000000000001" customHeight="1" x14ac:dyDescent="0.2">
      <c r="A18" s="22">
        <v>1103</v>
      </c>
      <c r="B18" s="19" t="s">
        <v>21</v>
      </c>
      <c r="C18" s="20"/>
      <c r="D18" s="21"/>
      <c r="E18" s="21"/>
      <c r="F18" s="21"/>
      <c r="G18" s="21"/>
      <c r="H18" s="21"/>
    </row>
    <row r="19" spans="1:8" ht="20.100000000000001" customHeight="1" x14ac:dyDescent="0.2">
      <c r="A19" s="22">
        <v>1107</v>
      </c>
      <c r="B19" s="19" t="s">
        <v>22</v>
      </c>
      <c r="C19" s="20">
        <v>15000</v>
      </c>
      <c r="D19" s="21">
        <v>20000</v>
      </c>
      <c r="E19" s="21">
        <v>25520</v>
      </c>
      <c r="F19" s="21">
        <v>25520</v>
      </c>
      <c r="G19" s="21">
        <v>25520</v>
      </c>
      <c r="H19" s="21"/>
    </row>
    <row r="20" spans="1:8" ht="20.100000000000001" customHeight="1" x14ac:dyDescent="0.2">
      <c r="A20" s="23"/>
      <c r="B20" s="24"/>
      <c r="C20" s="25"/>
      <c r="D20" s="26"/>
      <c r="E20" s="26"/>
      <c r="F20" s="26"/>
      <c r="G20" s="26"/>
      <c r="H20" s="26"/>
    </row>
    <row r="21" spans="1:8" ht="20.100000000000001" customHeight="1" x14ac:dyDescent="0.2">
      <c r="A21" s="27">
        <v>13</v>
      </c>
      <c r="B21" s="28" t="s">
        <v>23</v>
      </c>
      <c r="C21" s="20"/>
      <c r="D21" s="21"/>
      <c r="E21" s="21"/>
      <c r="F21" s="21"/>
      <c r="G21" s="21"/>
      <c r="H21" s="21"/>
    </row>
    <row r="22" spans="1:8" ht="20.100000000000001" customHeight="1" x14ac:dyDescent="0.2">
      <c r="A22" s="22">
        <v>1301</v>
      </c>
      <c r="B22" s="19" t="s">
        <v>24</v>
      </c>
      <c r="C22" s="20">
        <v>45000</v>
      </c>
      <c r="D22" s="21">
        <v>55000</v>
      </c>
      <c r="E22" s="21">
        <v>55000</v>
      </c>
      <c r="F22" s="21">
        <v>55000</v>
      </c>
      <c r="G22" s="21">
        <v>55000</v>
      </c>
      <c r="H22" s="21"/>
    </row>
    <row r="23" spans="1:8" ht="20.100000000000001" customHeight="1" x14ac:dyDescent="0.2">
      <c r="A23" s="22">
        <v>1302</v>
      </c>
      <c r="B23" s="19" t="s">
        <v>25</v>
      </c>
      <c r="C23" s="20"/>
      <c r="D23" s="21"/>
      <c r="E23" s="21"/>
      <c r="F23" s="21"/>
      <c r="G23" s="21"/>
      <c r="H23" s="21"/>
    </row>
    <row r="24" spans="1:8" ht="20.100000000000001" customHeight="1" x14ac:dyDescent="0.2">
      <c r="A24" s="22">
        <v>1303</v>
      </c>
      <c r="B24" s="19" t="s">
        <v>26</v>
      </c>
      <c r="C24" s="25"/>
      <c r="D24" s="26"/>
      <c r="E24" s="26"/>
      <c r="F24" s="26"/>
      <c r="G24" s="26"/>
      <c r="H24" s="26"/>
    </row>
    <row r="25" spans="1:8" ht="20.100000000000001" customHeight="1" x14ac:dyDescent="0.2">
      <c r="A25" s="22">
        <v>1304</v>
      </c>
      <c r="B25" s="19" t="s">
        <v>27</v>
      </c>
      <c r="C25" s="20">
        <v>15000</v>
      </c>
      <c r="D25" s="21">
        <v>20000</v>
      </c>
      <c r="E25" s="21">
        <v>20000</v>
      </c>
      <c r="F25" s="21">
        <v>20000</v>
      </c>
      <c r="G25" s="21">
        <v>20000</v>
      </c>
      <c r="H25" s="26"/>
    </row>
    <row r="26" spans="1:8" ht="20.100000000000001" customHeight="1" x14ac:dyDescent="0.2">
      <c r="A26" s="23"/>
      <c r="B26" s="24"/>
      <c r="C26" s="25"/>
      <c r="D26" s="21"/>
      <c r="E26" s="21"/>
      <c r="F26" s="21"/>
      <c r="G26" s="21"/>
      <c r="H26" s="21"/>
    </row>
    <row r="27" spans="1:8" ht="20.100000000000001" customHeight="1" x14ac:dyDescent="0.25">
      <c r="A27" s="27">
        <v>14</v>
      </c>
      <c r="B27" s="28" t="s">
        <v>28</v>
      </c>
      <c r="C27" s="29">
        <v>4000</v>
      </c>
      <c r="D27" s="30">
        <v>8000</v>
      </c>
      <c r="E27" s="30">
        <v>8000</v>
      </c>
      <c r="F27" s="30">
        <v>8000</v>
      </c>
      <c r="G27" s="30">
        <v>8000</v>
      </c>
      <c r="H27" s="31"/>
    </row>
    <row r="28" spans="1:8" ht="20.100000000000001" customHeight="1" x14ac:dyDescent="0.2">
      <c r="A28" s="32"/>
      <c r="B28" s="24"/>
      <c r="C28" s="33"/>
      <c r="D28" s="34"/>
      <c r="E28" s="34"/>
      <c r="F28" s="34"/>
      <c r="G28" s="34"/>
      <c r="H28" s="34"/>
    </row>
    <row r="29" spans="1:8" ht="20.100000000000001" customHeight="1" x14ac:dyDescent="0.2">
      <c r="A29" s="27">
        <v>17</v>
      </c>
      <c r="B29" s="28" t="s">
        <v>29</v>
      </c>
      <c r="C29" s="35">
        <v>5000</v>
      </c>
      <c r="D29" s="36">
        <v>6500</v>
      </c>
      <c r="E29" s="36">
        <v>6500</v>
      </c>
      <c r="F29" s="36">
        <v>6500</v>
      </c>
      <c r="G29" s="36">
        <v>6500</v>
      </c>
      <c r="H29" s="34"/>
    </row>
    <row r="30" spans="1:8" ht="20.100000000000001" customHeight="1" x14ac:dyDescent="0.2">
      <c r="A30" s="23"/>
      <c r="B30" s="24"/>
      <c r="C30" s="37"/>
      <c r="D30" s="38"/>
      <c r="E30" s="38"/>
      <c r="F30" s="38"/>
      <c r="G30" s="38"/>
      <c r="H30" s="39"/>
    </row>
    <row r="31" spans="1:8" ht="20.100000000000001" customHeight="1" x14ac:dyDescent="0.2">
      <c r="A31" s="27">
        <v>18</v>
      </c>
      <c r="B31" s="28" t="s">
        <v>30</v>
      </c>
      <c r="C31" s="37">
        <v>61971.1</v>
      </c>
      <c r="D31" s="38">
        <v>45008.7</v>
      </c>
      <c r="E31" s="38">
        <v>57080.17</v>
      </c>
      <c r="F31" s="38">
        <v>57080.17</v>
      </c>
      <c r="G31" s="38">
        <v>57080.17</v>
      </c>
      <c r="H31" s="39"/>
    </row>
    <row r="32" spans="1:8" ht="20.100000000000001" customHeight="1" x14ac:dyDescent="0.2">
      <c r="A32" s="23"/>
      <c r="B32" s="19" t="s">
        <v>31</v>
      </c>
      <c r="C32" s="37"/>
      <c r="D32" s="39"/>
      <c r="E32" s="39"/>
      <c r="F32" s="39"/>
      <c r="G32" s="39"/>
      <c r="H32" s="39"/>
    </row>
    <row r="33" spans="1:8" ht="20.100000000000001" customHeight="1" x14ac:dyDescent="0.2">
      <c r="A33" s="27">
        <v>19</v>
      </c>
      <c r="B33" s="28" t="s">
        <v>32</v>
      </c>
      <c r="C33" s="37"/>
      <c r="D33" s="39"/>
      <c r="E33" s="39"/>
      <c r="F33" s="39"/>
      <c r="G33" s="39"/>
      <c r="H33" s="39"/>
    </row>
    <row r="34" spans="1:8" ht="20.100000000000001" customHeight="1" x14ac:dyDescent="0.2">
      <c r="A34" s="22">
        <v>1901</v>
      </c>
      <c r="B34" s="19" t="s">
        <v>33</v>
      </c>
      <c r="C34" s="37"/>
      <c r="D34" s="39"/>
      <c r="E34" s="39"/>
      <c r="F34" s="39"/>
      <c r="G34" s="39"/>
      <c r="H34" s="39"/>
    </row>
    <row r="35" spans="1:8" ht="20.100000000000001" customHeight="1" x14ac:dyDescent="0.2">
      <c r="A35" s="22">
        <v>1902</v>
      </c>
      <c r="B35" s="19" t="s">
        <v>34</v>
      </c>
      <c r="C35" s="35"/>
      <c r="D35" s="34"/>
      <c r="E35" s="34"/>
      <c r="F35" s="34"/>
      <c r="G35" s="34"/>
      <c r="H35" s="34"/>
    </row>
    <row r="36" spans="1:8" ht="20.100000000000001" customHeight="1" thickBot="1" x14ac:dyDescent="0.25">
      <c r="A36" s="40">
        <v>1904</v>
      </c>
      <c r="B36" s="41" t="s">
        <v>35</v>
      </c>
      <c r="C36" s="42">
        <v>500</v>
      </c>
      <c r="D36" s="43">
        <v>3000</v>
      </c>
      <c r="E36" s="43">
        <v>3000</v>
      </c>
      <c r="F36" s="43">
        <v>3000</v>
      </c>
      <c r="G36" s="43">
        <v>3000</v>
      </c>
      <c r="H36" s="43"/>
    </row>
    <row r="37" spans="1:8" ht="20.100000000000001" customHeight="1" thickBot="1" x14ac:dyDescent="0.3">
      <c r="A37" s="44"/>
      <c r="B37" s="45" t="s">
        <v>36</v>
      </c>
      <c r="C37" s="46">
        <f>SUM(C12:C36)</f>
        <v>167671.1</v>
      </c>
      <c r="D37" s="46">
        <f>SUM(D12:D36)</f>
        <v>183008.7</v>
      </c>
      <c r="E37" s="46">
        <f>SUM(E12:E36)</f>
        <v>201600.16999999998</v>
      </c>
      <c r="F37" s="46">
        <f t="shared" ref="F37:G37" si="0">SUM(F12:F36)</f>
        <v>201600.16999999998</v>
      </c>
      <c r="G37" s="46">
        <f t="shared" si="0"/>
        <v>201600.16999999998</v>
      </c>
      <c r="H37" s="47"/>
    </row>
    <row r="38" spans="1:8" ht="20.100000000000001" customHeight="1" thickBot="1" x14ac:dyDescent="0.25">
      <c r="A38" s="48"/>
      <c r="B38" s="49" t="s">
        <v>37</v>
      </c>
      <c r="C38" s="50"/>
      <c r="D38" s="51"/>
      <c r="E38" s="51"/>
      <c r="F38" s="51"/>
      <c r="G38" s="51"/>
      <c r="H38" s="51"/>
    </row>
    <row r="39" spans="1:8" ht="20.100000000000001" customHeight="1" x14ac:dyDescent="0.2">
      <c r="A39" s="52"/>
      <c r="B39" s="53"/>
      <c r="C39" s="52"/>
      <c r="D39" s="52"/>
      <c r="E39" s="52"/>
      <c r="F39" s="52"/>
      <c r="G39" s="52"/>
    </row>
    <row r="40" spans="1:8" ht="20.100000000000001" customHeight="1" x14ac:dyDescent="0.2">
      <c r="A40" s="54" t="s">
        <v>38</v>
      </c>
      <c r="B40" s="53"/>
      <c r="C40" s="52"/>
      <c r="D40" s="52"/>
      <c r="E40" s="52"/>
      <c r="F40" s="52"/>
      <c r="G40" s="52"/>
    </row>
    <row r="41" spans="1:8" ht="20.100000000000001" customHeight="1" x14ac:dyDescent="0.2">
      <c r="A41" s="54" t="s">
        <v>39</v>
      </c>
      <c r="B41" s="53"/>
      <c r="C41" s="52"/>
      <c r="D41" s="52"/>
      <c r="E41" s="52"/>
      <c r="F41" s="52"/>
      <c r="G41" s="52"/>
    </row>
    <row r="42" spans="1:8" ht="20.100000000000001" customHeight="1" x14ac:dyDescent="0.2">
      <c r="A42" s="54" t="s">
        <v>40</v>
      </c>
      <c r="B42" s="52"/>
      <c r="C42" s="52"/>
      <c r="D42" s="52"/>
      <c r="E42" s="52"/>
      <c r="F42" s="52"/>
      <c r="G42" s="52"/>
    </row>
    <row r="43" spans="1:8" ht="20.100000000000001" customHeight="1" x14ac:dyDescent="0.2">
      <c r="A43" s="52"/>
      <c r="B43" s="53"/>
      <c r="C43" s="52"/>
      <c r="D43" s="52"/>
      <c r="E43" s="52"/>
      <c r="F43" s="52"/>
      <c r="G43" s="52"/>
    </row>
    <row r="44" spans="1:8" ht="20.100000000000001" customHeight="1" x14ac:dyDescent="0.2">
      <c r="A44" s="52"/>
      <c r="B44" s="53"/>
      <c r="C44" s="52"/>
      <c r="D44" s="52"/>
      <c r="E44" s="52"/>
      <c r="F44" s="52"/>
      <c r="G44" s="52"/>
    </row>
    <row r="45" spans="1:8" ht="20.100000000000001" customHeight="1" x14ac:dyDescent="0.2">
      <c r="A45" s="52"/>
      <c r="B45" s="52"/>
      <c r="C45" s="52"/>
      <c r="D45" s="52"/>
      <c r="E45" s="52"/>
      <c r="F45" s="52"/>
      <c r="G45" s="52"/>
    </row>
    <row r="46" spans="1:8" ht="20.100000000000001" customHeight="1" x14ac:dyDescent="0.2">
      <c r="A46" s="52"/>
      <c r="B46" s="52"/>
      <c r="C46" s="52"/>
      <c r="D46" s="52"/>
      <c r="E46" s="52"/>
      <c r="F46" s="52"/>
      <c r="G46" s="52"/>
    </row>
    <row r="47" spans="1:8" ht="20.100000000000001" customHeight="1" x14ac:dyDescent="0.25">
      <c r="A47" s="2"/>
      <c r="B47" s="55" t="s">
        <v>41</v>
      </c>
      <c r="C47" s="56"/>
      <c r="D47" s="57" t="s">
        <v>42</v>
      </c>
      <c r="E47" s="57"/>
      <c r="F47" s="57"/>
      <c r="G47" s="57"/>
      <c r="H47" s="57"/>
    </row>
    <row r="48" spans="1:8" ht="20.100000000000001" customHeight="1" x14ac:dyDescent="0.25">
      <c r="A48" s="2"/>
      <c r="B48" s="56"/>
      <c r="C48" s="56"/>
      <c r="D48" s="52"/>
      <c r="E48" s="52"/>
      <c r="F48" s="52"/>
      <c r="G48" s="52"/>
    </row>
    <row r="49" spans="1:8" ht="15" x14ac:dyDescent="0.25">
      <c r="A49" s="2"/>
      <c r="B49" s="58" t="s">
        <v>43</v>
      </c>
      <c r="C49" s="52"/>
      <c r="D49" s="58" t="s">
        <v>44</v>
      </c>
      <c r="E49" s="58"/>
      <c r="F49" s="58"/>
      <c r="G49" s="58"/>
    </row>
    <row r="50" spans="1:8" x14ac:dyDescent="0.2">
      <c r="A50" s="2"/>
      <c r="B50" s="52"/>
      <c r="C50" s="52"/>
      <c r="D50" s="52"/>
      <c r="E50" s="52"/>
      <c r="F50" s="52"/>
      <c r="G50" s="52"/>
    </row>
    <row r="51" spans="1:8" ht="15" x14ac:dyDescent="0.25">
      <c r="A51" s="2"/>
      <c r="B51" s="58" t="s">
        <v>45</v>
      </c>
      <c r="C51" s="52"/>
      <c r="D51" s="52"/>
      <c r="E51" s="52"/>
      <c r="F51" s="52"/>
      <c r="G51" s="52"/>
    </row>
    <row r="52" spans="1:8" ht="15" x14ac:dyDescent="0.25">
      <c r="A52" s="2"/>
      <c r="B52" s="58" t="s">
        <v>46</v>
      </c>
      <c r="C52" s="52"/>
      <c r="D52" s="52"/>
      <c r="E52" s="52"/>
      <c r="F52" s="52"/>
      <c r="G52" s="52"/>
    </row>
    <row r="53" spans="1:8" x14ac:dyDescent="0.2">
      <c r="A53" s="52"/>
      <c r="B53" s="52"/>
    </row>
    <row r="54" spans="1:8" x14ac:dyDescent="0.2">
      <c r="A54" s="52"/>
      <c r="B54" s="52"/>
    </row>
    <row r="55" spans="1:8" x14ac:dyDescent="0.2">
      <c r="A55" s="52"/>
      <c r="B55" s="52"/>
    </row>
    <row r="56" spans="1:8" ht="18.75" x14ac:dyDescent="0.3">
      <c r="A56" s="1" t="s">
        <v>0</v>
      </c>
      <c r="B56" s="1"/>
      <c r="C56" s="1"/>
      <c r="D56" s="1"/>
      <c r="E56" s="1"/>
      <c r="F56" s="1"/>
      <c r="G56" s="1"/>
      <c r="H56" s="1"/>
    </row>
    <row r="57" spans="1:8" ht="15.75" x14ac:dyDescent="0.25">
      <c r="A57" s="3" t="s">
        <v>1</v>
      </c>
      <c r="B57" s="3"/>
      <c r="C57" s="3"/>
      <c r="D57" s="3"/>
      <c r="E57" s="3"/>
      <c r="F57" s="3"/>
      <c r="G57" s="3"/>
      <c r="H57" s="3"/>
    </row>
    <row r="58" spans="1:8" ht="15.75" x14ac:dyDescent="0.25">
      <c r="A58" s="3" t="s">
        <v>2</v>
      </c>
      <c r="B58" s="3"/>
      <c r="C58" s="3"/>
      <c r="D58" s="3"/>
      <c r="E58" s="3"/>
      <c r="F58" s="3"/>
      <c r="G58" s="3"/>
      <c r="H58" s="3"/>
    </row>
    <row r="59" spans="1:8" ht="15.75" x14ac:dyDescent="0.25">
      <c r="A59" s="4"/>
      <c r="B59" s="4"/>
      <c r="C59" s="4"/>
      <c r="D59" s="4"/>
      <c r="E59" s="4"/>
      <c r="F59" s="4"/>
      <c r="G59" s="4"/>
    </row>
    <row r="60" spans="1:8" ht="15.75" x14ac:dyDescent="0.25">
      <c r="A60" s="5" t="s">
        <v>3</v>
      </c>
      <c r="B60" s="4"/>
      <c r="C60" s="2"/>
      <c r="D60" s="5"/>
      <c r="E60" s="5"/>
      <c r="F60" s="5"/>
      <c r="G60" s="5"/>
    </row>
    <row r="61" spans="1:8" ht="15.75" x14ac:dyDescent="0.25">
      <c r="A61" s="5" t="s">
        <v>4</v>
      </c>
      <c r="B61" s="4"/>
      <c r="C61" s="2"/>
      <c r="D61" s="5"/>
      <c r="E61" s="5"/>
      <c r="F61" s="5"/>
      <c r="G61" s="5"/>
    </row>
    <row r="62" spans="1:8" ht="15.75" x14ac:dyDescent="0.25">
      <c r="A62" s="6" t="s">
        <v>5</v>
      </c>
      <c r="B62" s="6"/>
      <c r="C62" s="2"/>
      <c r="D62" s="6"/>
      <c r="E62" s="6"/>
      <c r="F62" s="6"/>
      <c r="G62" s="6"/>
    </row>
    <row r="63" spans="1:8" ht="16.5" thickBot="1" x14ac:dyDescent="0.3">
      <c r="A63" s="6"/>
      <c r="B63" s="6"/>
      <c r="C63" s="2"/>
      <c r="D63" s="6"/>
      <c r="E63" s="6"/>
      <c r="F63" s="6"/>
      <c r="G63" s="6"/>
    </row>
    <row r="64" spans="1:8" ht="75" x14ac:dyDescent="0.2">
      <c r="A64" s="7" t="s">
        <v>6</v>
      </c>
      <c r="B64" s="8"/>
      <c r="C64" s="9" t="s">
        <v>7</v>
      </c>
      <c r="D64" s="10" t="s">
        <v>8</v>
      </c>
      <c r="E64" s="10" t="s">
        <v>9</v>
      </c>
      <c r="F64" s="10" t="s">
        <v>10</v>
      </c>
      <c r="G64" s="10" t="s">
        <v>11</v>
      </c>
      <c r="H64" s="11" t="s">
        <v>12</v>
      </c>
    </row>
    <row r="65" spans="1:8" ht="15.75" thickBot="1" x14ac:dyDescent="0.3">
      <c r="A65" s="12" t="s">
        <v>13</v>
      </c>
      <c r="B65" s="13"/>
      <c r="C65" s="13"/>
      <c r="D65" s="13"/>
      <c r="E65" s="13"/>
      <c r="F65" s="13"/>
      <c r="G65" s="13"/>
      <c r="H65" s="13"/>
    </row>
    <row r="66" spans="1:8" x14ac:dyDescent="0.2">
      <c r="A66" s="14">
        <v>11</v>
      </c>
      <c r="B66" s="15" t="s">
        <v>14</v>
      </c>
      <c r="C66" s="16"/>
      <c r="D66" s="17"/>
      <c r="E66" s="17"/>
      <c r="F66" s="17"/>
      <c r="G66" s="17"/>
      <c r="H66" s="17"/>
    </row>
    <row r="67" spans="1:8" x14ac:dyDescent="0.2">
      <c r="A67" s="18">
        <v>1101</v>
      </c>
      <c r="B67" s="19" t="s">
        <v>15</v>
      </c>
      <c r="C67" s="20">
        <v>1000</v>
      </c>
      <c r="D67" s="21">
        <v>1500</v>
      </c>
      <c r="E67" s="21">
        <v>1500</v>
      </c>
      <c r="F67" s="21">
        <v>1500</v>
      </c>
      <c r="G67" s="21">
        <v>1500</v>
      </c>
      <c r="H67" s="21"/>
    </row>
    <row r="68" spans="1:8" x14ac:dyDescent="0.2">
      <c r="A68" s="18">
        <v>1102</v>
      </c>
      <c r="B68" s="19" t="s">
        <v>16</v>
      </c>
      <c r="C68" s="20"/>
      <c r="D68" s="21"/>
      <c r="E68" s="21"/>
      <c r="F68" s="21"/>
      <c r="G68" s="21"/>
      <c r="H68" s="21"/>
    </row>
    <row r="69" spans="1:8" x14ac:dyDescent="0.2">
      <c r="A69" s="22">
        <v>110201</v>
      </c>
      <c r="B69" s="19" t="s">
        <v>17</v>
      </c>
      <c r="C69" s="20">
        <v>10000</v>
      </c>
      <c r="D69" s="21">
        <v>11000</v>
      </c>
      <c r="E69" s="21">
        <v>12000</v>
      </c>
      <c r="F69" s="21">
        <v>12000</v>
      </c>
      <c r="G69" s="21">
        <v>12000</v>
      </c>
      <c r="H69" s="21"/>
    </row>
    <row r="70" spans="1:8" x14ac:dyDescent="0.2">
      <c r="A70" s="22">
        <v>110203</v>
      </c>
      <c r="B70" s="19" t="s">
        <v>18</v>
      </c>
      <c r="C70" s="20">
        <v>200</v>
      </c>
      <c r="D70" s="21">
        <v>500</v>
      </c>
      <c r="E70" s="21">
        <v>500</v>
      </c>
      <c r="F70" s="21">
        <v>500</v>
      </c>
      <c r="G70" s="21">
        <v>500</v>
      </c>
      <c r="H70" s="21"/>
    </row>
    <row r="71" spans="1:8" x14ac:dyDescent="0.2">
      <c r="A71" s="22">
        <v>110206</v>
      </c>
      <c r="B71" s="19" t="s">
        <v>19</v>
      </c>
      <c r="C71" s="20">
        <v>8000</v>
      </c>
      <c r="D71" s="21">
        <v>10000</v>
      </c>
      <c r="E71" s="21">
        <v>10000</v>
      </c>
      <c r="F71" s="21">
        <v>10000</v>
      </c>
      <c r="G71" s="21">
        <v>10000</v>
      </c>
      <c r="H71" s="21"/>
    </row>
    <row r="72" spans="1:8" x14ac:dyDescent="0.2">
      <c r="A72" s="22">
        <v>110207</v>
      </c>
      <c r="B72" s="19" t="s">
        <v>20</v>
      </c>
      <c r="C72" s="20">
        <v>2000</v>
      </c>
      <c r="D72" s="21">
        <v>2500</v>
      </c>
      <c r="E72" s="21">
        <v>2500</v>
      </c>
      <c r="F72" s="21">
        <v>2500</v>
      </c>
      <c r="G72" s="21">
        <v>2500</v>
      </c>
      <c r="H72" s="21"/>
    </row>
    <row r="73" spans="1:8" x14ac:dyDescent="0.2">
      <c r="A73" s="22">
        <v>1103</v>
      </c>
      <c r="B73" s="19" t="s">
        <v>21</v>
      </c>
      <c r="C73" s="20"/>
      <c r="D73" s="21"/>
      <c r="E73" s="21"/>
      <c r="F73" s="21"/>
      <c r="G73" s="21"/>
      <c r="H73" s="21"/>
    </row>
    <row r="74" spans="1:8" x14ac:dyDescent="0.2">
      <c r="A74" s="22">
        <v>1107</v>
      </c>
      <c r="B74" s="19" t="s">
        <v>22</v>
      </c>
      <c r="C74" s="20">
        <v>15000</v>
      </c>
      <c r="D74" s="21">
        <v>20000</v>
      </c>
      <c r="E74" s="21">
        <v>25520</v>
      </c>
      <c r="F74" s="21">
        <v>25520</v>
      </c>
      <c r="G74" s="21">
        <v>25520</v>
      </c>
      <c r="H74" s="21"/>
    </row>
    <row r="75" spans="1:8" x14ac:dyDescent="0.2">
      <c r="A75" s="23"/>
      <c r="B75" s="24"/>
      <c r="C75" s="25"/>
      <c r="D75" s="26"/>
      <c r="E75" s="26"/>
      <c r="F75" s="26"/>
      <c r="G75" s="26"/>
      <c r="H75" s="26"/>
    </row>
    <row r="76" spans="1:8" x14ac:dyDescent="0.2">
      <c r="A76" s="27">
        <v>13</v>
      </c>
      <c r="B76" s="28" t="s">
        <v>23</v>
      </c>
      <c r="C76" s="20"/>
      <c r="D76" s="21"/>
      <c r="E76" s="21"/>
      <c r="F76" s="21"/>
      <c r="G76" s="21"/>
      <c r="H76" s="21"/>
    </row>
    <row r="77" spans="1:8" x14ac:dyDescent="0.2">
      <c r="A77" s="22">
        <v>1301</v>
      </c>
      <c r="B77" s="19" t="s">
        <v>24</v>
      </c>
      <c r="C77" s="20">
        <v>45000</v>
      </c>
      <c r="D77" s="21">
        <v>55000</v>
      </c>
      <c r="E77" s="21">
        <v>55000</v>
      </c>
      <c r="F77" s="21">
        <v>55000</v>
      </c>
      <c r="G77" s="21">
        <v>55000</v>
      </c>
      <c r="H77" s="21"/>
    </row>
    <row r="78" spans="1:8" x14ac:dyDescent="0.2">
      <c r="A78" s="22">
        <v>1302</v>
      </c>
      <c r="B78" s="19" t="s">
        <v>25</v>
      </c>
      <c r="C78" s="20"/>
      <c r="D78" s="21"/>
      <c r="E78" s="21"/>
      <c r="F78" s="21"/>
      <c r="G78" s="21"/>
      <c r="H78" s="21"/>
    </row>
    <row r="79" spans="1:8" x14ac:dyDescent="0.2">
      <c r="A79" s="22">
        <v>1303</v>
      </c>
      <c r="B79" s="19" t="s">
        <v>26</v>
      </c>
      <c r="C79" s="25"/>
      <c r="D79" s="26"/>
      <c r="E79" s="26"/>
      <c r="F79" s="26"/>
      <c r="G79" s="26"/>
      <c r="H79" s="26"/>
    </row>
    <row r="80" spans="1:8" x14ac:dyDescent="0.2">
      <c r="A80" s="22">
        <v>1304</v>
      </c>
      <c r="B80" s="19" t="s">
        <v>27</v>
      </c>
      <c r="C80" s="20">
        <v>15000</v>
      </c>
      <c r="D80" s="21">
        <v>20000</v>
      </c>
      <c r="E80" s="21">
        <v>20000</v>
      </c>
      <c r="F80" s="21">
        <v>20000</v>
      </c>
      <c r="G80" s="21">
        <v>20000</v>
      </c>
      <c r="H80" s="26"/>
    </row>
    <row r="81" spans="1:8" x14ac:dyDescent="0.2">
      <c r="A81" s="23"/>
      <c r="B81" s="24"/>
      <c r="C81" s="25"/>
      <c r="D81" s="21"/>
      <c r="E81" s="21"/>
      <c r="F81" s="21"/>
      <c r="G81" s="21"/>
      <c r="H81" s="21"/>
    </row>
    <row r="82" spans="1:8" ht="15" x14ac:dyDescent="0.25">
      <c r="A82" s="27">
        <v>14</v>
      </c>
      <c r="B82" s="28" t="s">
        <v>28</v>
      </c>
      <c r="C82" s="29">
        <v>4000</v>
      </c>
      <c r="D82" s="30">
        <v>8000</v>
      </c>
      <c r="E82" s="30">
        <v>8000</v>
      </c>
      <c r="F82" s="30">
        <v>8000</v>
      </c>
      <c r="G82" s="30">
        <v>8000</v>
      </c>
      <c r="H82" s="31"/>
    </row>
    <row r="83" spans="1:8" x14ac:dyDescent="0.2">
      <c r="A83" s="32"/>
      <c r="B83" s="24"/>
      <c r="C83" s="33"/>
      <c r="D83" s="34"/>
      <c r="E83" s="34"/>
      <c r="F83" s="34"/>
      <c r="G83" s="34"/>
      <c r="H83" s="34"/>
    </row>
    <row r="84" spans="1:8" x14ac:dyDescent="0.2">
      <c r="A84" s="27">
        <v>17</v>
      </c>
      <c r="B84" s="28" t="s">
        <v>29</v>
      </c>
      <c r="C84" s="35">
        <v>5000</v>
      </c>
      <c r="D84" s="36">
        <v>6500</v>
      </c>
      <c r="E84" s="36">
        <v>6500</v>
      </c>
      <c r="F84" s="36">
        <v>6500</v>
      </c>
      <c r="G84" s="36">
        <v>6500</v>
      </c>
      <c r="H84" s="34"/>
    </row>
    <row r="85" spans="1:8" x14ac:dyDescent="0.2">
      <c r="A85" s="23"/>
      <c r="B85" s="24"/>
      <c r="C85" s="37"/>
      <c r="D85" s="38"/>
      <c r="E85" s="38"/>
      <c r="F85" s="38"/>
      <c r="G85" s="38"/>
      <c r="H85" s="39"/>
    </row>
    <row r="86" spans="1:8" x14ac:dyDescent="0.2">
      <c r="A86" s="27">
        <v>18</v>
      </c>
      <c r="B86" s="28" t="s">
        <v>30</v>
      </c>
      <c r="C86" s="37">
        <v>36212.92</v>
      </c>
      <c r="D86" s="38">
        <v>25769</v>
      </c>
      <c r="E86" s="38">
        <v>42315.21</v>
      </c>
      <c r="F86" s="38">
        <v>42315.21</v>
      </c>
      <c r="G86" s="38">
        <v>42315.21</v>
      </c>
      <c r="H86" s="39"/>
    </row>
    <row r="87" spans="1:8" x14ac:dyDescent="0.2">
      <c r="A87" s="23"/>
      <c r="B87" s="19" t="s">
        <v>31</v>
      </c>
      <c r="C87" s="37"/>
      <c r="D87" s="39"/>
      <c r="E87" s="39"/>
      <c r="F87" s="39"/>
      <c r="G87" s="39"/>
      <c r="H87" s="39"/>
    </row>
    <row r="88" spans="1:8" x14ac:dyDescent="0.2">
      <c r="A88" s="27">
        <v>19</v>
      </c>
      <c r="B88" s="28" t="s">
        <v>32</v>
      </c>
      <c r="C88" s="37"/>
      <c r="D88" s="39"/>
      <c r="E88" s="39"/>
      <c r="F88" s="39"/>
      <c r="G88" s="39"/>
      <c r="H88" s="39"/>
    </row>
    <row r="89" spans="1:8" x14ac:dyDescent="0.2">
      <c r="A89" s="22">
        <v>1901</v>
      </c>
      <c r="B89" s="19" t="s">
        <v>33</v>
      </c>
      <c r="C89" s="37"/>
      <c r="D89" s="39"/>
      <c r="E89" s="39"/>
      <c r="F89" s="39"/>
      <c r="G89" s="39"/>
      <c r="H89" s="39"/>
    </row>
    <row r="90" spans="1:8" x14ac:dyDescent="0.2">
      <c r="A90" s="22">
        <v>1902</v>
      </c>
      <c r="B90" s="19" t="s">
        <v>34</v>
      </c>
      <c r="C90" s="35"/>
      <c r="D90" s="34"/>
      <c r="E90" s="34"/>
      <c r="F90" s="34"/>
      <c r="G90" s="34"/>
      <c r="H90" s="34"/>
    </row>
    <row r="91" spans="1:8" ht="13.5" thickBot="1" x14ac:dyDescent="0.25">
      <c r="A91" s="40">
        <v>1904</v>
      </c>
      <c r="B91" s="41" t="s">
        <v>35</v>
      </c>
      <c r="C91" s="42">
        <v>500</v>
      </c>
      <c r="D91" s="43">
        <v>3000</v>
      </c>
      <c r="E91" s="43">
        <v>3000</v>
      </c>
      <c r="F91" s="43">
        <v>3000</v>
      </c>
      <c r="G91" s="43">
        <v>3000</v>
      </c>
      <c r="H91" s="43"/>
    </row>
    <row r="92" spans="1:8" ht="15.75" thickBot="1" x14ac:dyDescent="0.3">
      <c r="A92" s="44"/>
      <c r="B92" s="45" t="s">
        <v>36</v>
      </c>
      <c r="C92" s="46">
        <f>SUM(C67:C91)</f>
        <v>141912.91999999998</v>
      </c>
      <c r="D92" s="46">
        <f>SUM(D67:D91)</f>
        <v>163769</v>
      </c>
      <c r="E92" s="46">
        <f>SUM(E67:E91)</f>
        <v>186835.21</v>
      </c>
      <c r="F92" s="46">
        <f t="shared" ref="F92:G92" si="1">SUM(F67:F91)</f>
        <v>186835.21</v>
      </c>
      <c r="G92" s="46">
        <f t="shared" si="1"/>
        <v>186835.21</v>
      </c>
      <c r="H92" s="47"/>
    </row>
    <row r="93" spans="1:8" ht="13.5" thickBot="1" x14ac:dyDescent="0.25">
      <c r="A93" s="48"/>
      <c r="B93" s="49" t="s">
        <v>37</v>
      </c>
      <c r="C93" s="50"/>
      <c r="D93" s="51"/>
      <c r="E93" s="51"/>
      <c r="F93" s="51"/>
      <c r="G93" s="51"/>
      <c r="H93" s="51"/>
    </row>
    <row r="94" spans="1:8" x14ac:dyDescent="0.2">
      <c r="A94" s="52"/>
      <c r="B94" s="53"/>
      <c r="C94" s="52"/>
      <c r="D94" s="52"/>
      <c r="E94" s="52"/>
      <c r="F94" s="52"/>
      <c r="G94" s="52"/>
    </row>
    <row r="95" spans="1:8" x14ac:dyDescent="0.2">
      <c r="A95" s="54" t="s">
        <v>38</v>
      </c>
      <c r="B95" s="53"/>
      <c r="C95" s="52"/>
      <c r="D95" s="52"/>
      <c r="E95" s="52"/>
      <c r="F95" s="52"/>
      <c r="G95" s="52"/>
    </row>
    <row r="96" spans="1:8" x14ac:dyDescent="0.2">
      <c r="A96" s="54" t="s">
        <v>39</v>
      </c>
      <c r="B96" s="53"/>
      <c r="C96" s="52"/>
      <c r="D96" s="52"/>
      <c r="E96" s="52"/>
      <c r="F96" s="52"/>
      <c r="G96" s="52"/>
    </row>
    <row r="97" spans="1:8" x14ac:dyDescent="0.2">
      <c r="A97" s="54" t="s">
        <v>40</v>
      </c>
      <c r="B97" s="52"/>
      <c r="C97" s="52"/>
      <c r="D97" s="52"/>
      <c r="E97" s="52"/>
      <c r="F97" s="52"/>
      <c r="G97" s="52"/>
    </row>
    <row r="98" spans="1:8" x14ac:dyDescent="0.2">
      <c r="A98" s="52"/>
      <c r="B98" s="53"/>
      <c r="C98" s="52"/>
      <c r="D98" s="52"/>
      <c r="E98" s="52"/>
      <c r="F98" s="52"/>
      <c r="G98" s="52"/>
    </row>
    <row r="99" spans="1:8" x14ac:dyDescent="0.2">
      <c r="A99" s="52"/>
      <c r="B99" s="53"/>
      <c r="C99" s="52"/>
      <c r="D99" s="52"/>
      <c r="E99" s="52"/>
      <c r="F99" s="52"/>
      <c r="G99" s="52"/>
    </row>
    <row r="100" spans="1:8" x14ac:dyDescent="0.2">
      <c r="A100" s="52"/>
      <c r="B100" s="52"/>
      <c r="C100" s="52"/>
      <c r="D100" s="52"/>
      <c r="E100" s="52"/>
      <c r="F100" s="52"/>
      <c r="G100" s="52"/>
    </row>
    <row r="101" spans="1:8" x14ac:dyDescent="0.2">
      <c r="A101" s="52"/>
      <c r="B101" s="52"/>
      <c r="C101" s="52"/>
      <c r="D101" s="52"/>
      <c r="E101" s="52"/>
      <c r="F101" s="52"/>
      <c r="G101" s="52"/>
    </row>
    <row r="102" spans="1:8" ht="15" x14ac:dyDescent="0.25">
      <c r="A102" s="2"/>
      <c r="B102" s="55" t="s">
        <v>41</v>
      </c>
      <c r="C102" s="56"/>
      <c r="D102" s="57" t="s">
        <v>42</v>
      </c>
      <c r="E102" s="57"/>
      <c r="F102" s="57"/>
      <c r="G102" s="57"/>
      <c r="H102" s="57"/>
    </row>
    <row r="103" spans="1:8" ht="15" x14ac:dyDescent="0.25">
      <c r="A103" s="2"/>
      <c r="B103" s="56"/>
      <c r="C103" s="56"/>
      <c r="D103" s="52"/>
      <c r="E103" s="52"/>
      <c r="F103" s="52"/>
      <c r="G103" s="52"/>
    </row>
    <row r="104" spans="1:8" ht="15" x14ac:dyDescent="0.25">
      <c r="A104" s="2"/>
      <c r="B104" s="58" t="s">
        <v>43</v>
      </c>
      <c r="C104" s="52"/>
      <c r="D104" s="58" t="s">
        <v>44</v>
      </c>
      <c r="E104" s="58"/>
      <c r="F104" s="58"/>
      <c r="G104" s="58"/>
    </row>
    <row r="105" spans="1:8" x14ac:dyDescent="0.2">
      <c r="A105" s="2"/>
      <c r="B105" s="52"/>
      <c r="C105" s="52"/>
      <c r="D105" s="52"/>
      <c r="E105" s="52"/>
      <c r="F105" s="52"/>
      <c r="G105" s="52"/>
    </row>
    <row r="106" spans="1:8" ht="15" x14ac:dyDescent="0.25">
      <c r="A106" s="2"/>
      <c r="B106" s="58" t="s">
        <v>45</v>
      </c>
      <c r="C106" s="52"/>
      <c r="D106" s="52"/>
      <c r="E106" s="52"/>
      <c r="F106" s="52"/>
      <c r="G106" s="52"/>
    </row>
    <row r="107" spans="1:8" ht="15" x14ac:dyDescent="0.25">
      <c r="A107" s="2"/>
      <c r="B107" s="58" t="s">
        <v>46</v>
      </c>
      <c r="C107" s="52"/>
      <c r="D107" s="52"/>
      <c r="E107" s="52"/>
      <c r="F107" s="52"/>
      <c r="G107" s="52"/>
    </row>
    <row r="135" s="2" customFormat="1" x14ac:dyDescent="0.2"/>
  </sheetData>
  <mergeCells count="12">
    <mergeCell ref="A56:H56"/>
    <mergeCell ref="A57:H57"/>
    <mergeCell ref="A58:H58"/>
    <mergeCell ref="A64:B64"/>
    <mergeCell ref="A65:H65"/>
    <mergeCell ref="D102:H102"/>
    <mergeCell ref="A1:H1"/>
    <mergeCell ref="A2:H2"/>
    <mergeCell ref="A3:H3"/>
    <mergeCell ref="A9:B9"/>
    <mergeCell ref="A10:H10"/>
    <mergeCell ref="D47:H4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2"/>
  <sheetViews>
    <sheetView workbookViewId="0">
      <selection activeCell="B13" sqref="B13"/>
    </sheetView>
  </sheetViews>
  <sheetFormatPr baseColWidth="10" defaultRowHeight="12.75" x14ac:dyDescent="0.2"/>
  <cols>
    <col min="1" max="1" width="18" style="59" customWidth="1"/>
    <col min="2" max="2" width="42.28515625" style="59" customWidth="1"/>
    <col min="3" max="3" width="23" style="59" customWidth="1"/>
    <col min="4" max="4" width="21" style="59" customWidth="1"/>
    <col min="5" max="6" width="21.28515625" style="59" customWidth="1"/>
    <col min="7" max="7" width="20.7109375" style="59" customWidth="1"/>
    <col min="8" max="8" width="18.28515625" style="2" customWidth="1"/>
    <col min="9" max="16384" width="11.42578125" style="2"/>
  </cols>
  <sheetData>
    <row r="1" spans="1:11" ht="20.100000000000001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60"/>
      <c r="J1" s="60"/>
    </row>
    <row r="2" spans="1:11" ht="20.100000000000001" customHeight="1" x14ac:dyDescent="0.25">
      <c r="A2" s="3" t="s">
        <v>47</v>
      </c>
      <c r="B2" s="3"/>
      <c r="C2" s="3"/>
      <c r="D2" s="3"/>
      <c r="E2" s="3"/>
      <c r="F2" s="3"/>
      <c r="G2" s="3"/>
      <c r="H2" s="3"/>
      <c r="I2" s="60"/>
      <c r="J2" s="60"/>
    </row>
    <row r="3" spans="1:11" ht="20.100000000000001" customHeight="1" x14ac:dyDescent="0.25">
      <c r="A3" s="4"/>
      <c r="B3" s="4"/>
      <c r="C3" s="4"/>
      <c r="D3" s="4"/>
      <c r="E3" s="4"/>
      <c r="F3" s="4"/>
      <c r="G3" s="4"/>
      <c r="H3" s="60"/>
      <c r="I3" s="60"/>
      <c r="J3" s="60"/>
    </row>
    <row r="4" spans="1:11" ht="20.100000000000001" customHeight="1" x14ac:dyDescent="0.25">
      <c r="A4" s="5" t="s">
        <v>3</v>
      </c>
      <c r="B4" s="4"/>
      <c r="C4" s="4"/>
      <c r="D4" s="4"/>
      <c r="E4" s="4"/>
      <c r="F4" s="4"/>
      <c r="G4" s="4"/>
      <c r="H4" s="4"/>
      <c r="I4" s="60"/>
      <c r="J4" s="60"/>
    </row>
    <row r="5" spans="1:11" ht="20.100000000000001" customHeight="1" x14ac:dyDescent="0.25">
      <c r="A5" s="5" t="s">
        <v>4</v>
      </c>
      <c r="B5" s="61"/>
      <c r="C5" s="62"/>
      <c r="D5" s="62"/>
      <c r="E5" s="62"/>
      <c r="F5" s="62"/>
      <c r="G5" s="62"/>
      <c r="H5" s="63"/>
      <c r="I5" s="60"/>
      <c r="J5" s="60"/>
    </row>
    <row r="6" spans="1:11" ht="20.100000000000001" customHeight="1" x14ac:dyDescent="0.25">
      <c r="A6" s="6" t="s">
        <v>5</v>
      </c>
      <c r="B6" s="64"/>
      <c r="C6" s="64"/>
      <c r="D6" s="64"/>
      <c r="E6" s="64"/>
      <c r="F6" s="64"/>
      <c r="G6" s="64"/>
      <c r="H6" s="64"/>
      <c r="I6" s="65"/>
      <c r="J6" s="65"/>
      <c r="K6" s="66"/>
    </row>
    <row r="7" spans="1:11" ht="20.100000000000001" customHeight="1" thickBot="1" x14ac:dyDescent="0.3">
      <c r="A7" s="6"/>
      <c r="B7" s="64"/>
      <c r="C7" s="64"/>
      <c r="D7" s="64"/>
      <c r="E7" s="64"/>
      <c r="F7" s="64"/>
      <c r="G7" s="64"/>
      <c r="H7" s="64"/>
      <c r="I7" s="65"/>
      <c r="J7" s="65"/>
      <c r="K7" s="66"/>
    </row>
    <row r="8" spans="1:11" ht="76.5" customHeight="1" thickBot="1" x14ac:dyDescent="0.25">
      <c r="A8" s="67" t="s">
        <v>48</v>
      </c>
      <c r="B8" s="68" t="s">
        <v>49</v>
      </c>
      <c r="C8" s="69" t="s">
        <v>50</v>
      </c>
      <c r="D8" s="70" t="s">
        <v>51</v>
      </c>
      <c r="E8" s="70" t="s">
        <v>52</v>
      </c>
      <c r="F8" s="70" t="s">
        <v>53</v>
      </c>
      <c r="G8" s="70" t="s">
        <v>54</v>
      </c>
      <c r="H8" s="70" t="s">
        <v>12</v>
      </c>
    </row>
    <row r="9" spans="1:11" ht="20.100000000000001" customHeight="1" thickBot="1" x14ac:dyDescent="0.3">
      <c r="A9" s="71" t="s">
        <v>55</v>
      </c>
      <c r="B9" s="72"/>
      <c r="C9" s="72"/>
      <c r="D9" s="72"/>
      <c r="E9" s="72"/>
      <c r="F9" s="72"/>
      <c r="G9" s="72"/>
      <c r="H9" s="73"/>
    </row>
    <row r="10" spans="1:11" ht="20.100000000000001" customHeight="1" x14ac:dyDescent="0.2">
      <c r="A10" s="74">
        <v>5101</v>
      </c>
      <c r="B10" s="75" t="s">
        <v>56</v>
      </c>
      <c r="C10" s="76"/>
      <c r="D10" s="77"/>
      <c r="E10" s="77"/>
      <c r="F10" s="77"/>
      <c r="G10" s="77"/>
      <c r="H10" s="77"/>
    </row>
    <row r="11" spans="1:11" ht="20.100000000000001" customHeight="1" x14ac:dyDescent="0.2">
      <c r="A11" s="78">
        <v>510106</v>
      </c>
      <c r="B11" s="79" t="s">
        <v>57</v>
      </c>
      <c r="C11" s="80">
        <f>10218.75*12</f>
        <v>122625</v>
      </c>
      <c r="D11" s="81">
        <f>11218.75*12</f>
        <v>134625</v>
      </c>
      <c r="E11" s="81">
        <f>12071*12</f>
        <v>144852</v>
      </c>
      <c r="F11" s="81">
        <f t="shared" ref="F11:G11" si="0">12071*12</f>
        <v>144852</v>
      </c>
      <c r="G11" s="81">
        <f t="shared" si="0"/>
        <v>144852</v>
      </c>
      <c r="H11" s="81"/>
      <c r="I11" s="66"/>
      <c r="J11" s="66"/>
    </row>
    <row r="12" spans="1:11" ht="20.100000000000001" customHeight="1" x14ac:dyDescent="0.2">
      <c r="A12" s="78"/>
      <c r="B12" s="79"/>
      <c r="C12" s="82"/>
      <c r="D12" s="20"/>
      <c r="E12" s="20"/>
      <c r="F12" s="20"/>
      <c r="G12" s="20"/>
      <c r="H12" s="20"/>
    </row>
    <row r="13" spans="1:11" ht="20.100000000000001" customHeight="1" x14ac:dyDescent="0.2">
      <c r="A13" s="74">
        <v>5102</v>
      </c>
      <c r="B13" s="75" t="s">
        <v>58</v>
      </c>
      <c r="C13" s="82"/>
      <c r="D13" s="20"/>
      <c r="E13" s="20"/>
      <c r="F13" s="20"/>
      <c r="G13" s="20"/>
      <c r="H13" s="20"/>
    </row>
    <row r="14" spans="1:11" ht="20.100000000000001" customHeight="1" x14ac:dyDescent="0.2">
      <c r="A14" s="78">
        <v>510203</v>
      </c>
      <c r="B14" s="79" t="s">
        <v>59</v>
      </c>
      <c r="C14" s="80">
        <v>10218.75</v>
      </c>
      <c r="D14" s="81">
        <v>11218.75</v>
      </c>
      <c r="E14" s="81">
        <v>12071</v>
      </c>
      <c r="F14" s="81">
        <v>12071</v>
      </c>
      <c r="G14" s="81">
        <v>12071</v>
      </c>
      <c r="H14" s="81"/>
    </row>
    <row r="15" spans="1:11" ht="20.100000000000001" customHeight="1" x14ac:dyDescent="0.2">
      <c r="A15" s="78">
        <v>510204</v>
      </c>
      <c r="B15" s="79" t="s">
        <v>60</v>
      </c>
      <c r="C15" s="80">
        <v>7720</v>
      </c>
      <c r="D15" s="81">
        <v>7720</v>
      </c>
      <c r="E15" s="81">
        <v>7720</v>
      </c>
      <c r="F15" s="81">
        <v>7720</v>
      </c>
      <c r="G15" s="81">
        <v>7720</v>
      </c>
      <c r="H15" s="81"/>
    </row>
    <row r="16" spans="1:11" ht="20.100000000000001" customHeight="1" x14ac:dyDescent="0.2">
      <c r="A16" s="78"/>
      <c r="B16" s="79"/>
      <c r="C16" s="80"/>
      <c r="D16" s="81"/>
      <c r="E16" s="81"/>
      <c r="F16" s="81"/>
      <c r="G16" s="81"/>
      <c r="H16" s="81"/>
    </row>
    <row r="17" spans="1:8" x14ac:dyDescent="0.2">
      <c r="A17" s="74">
        <v>5103</v>
      </c>
      <c r="B17" s="75" t="s">
        <v>61</v>
      </c>
      <c r="C17" s="80"/>
      <c r="D17" s="81"/>
      <c r="E17" s="81"/>
      <c r="F17" s="81"/>
      <c r="G17" s="81"/>
      <c r="H17" s="81"/>
    </row>
    <row r="18" spans="1:8" x14ac:dyDescent="0.2">
      <c r="A18" s="78">
        <v>510304</v>
      </c>
      <c r="B18" s="79" t="s">
        <v>62</v>
      </c>
      <c r="C18" s="80">
        <v>0</v>
      </c>
      <c r="D18" s="81">
        <v>0</v>
      </c>
      <c r="E18" s="81">
        <v>5520</v>
      </c>
      <c r="F18" s="81">
        <v>5520</v>
      </c>
      <c r="G18" s="81">
        <v>5520</v>
      </c>
      <c r="H18" s="81"/>
    </row>
    <row r="19" spans="1:8" x14ac:dyDescent="0.2">
      <c r="A19" s="78">
        <v>510307</v>
      </c>
      <c r="B19" s="79" t="s">
        <v>63</v>
      </c>
      <c r="C19" s="80">
        <v>0</v>
      </c>
      <c r="D19" s="81">
        <v>0</v>
      </c>
      <c r="E19" s="81">
        <v>0</v>
      </c>
      <c r="F19" s="81">
        <v>0</v>
      </c>
      <c r="G19" s="81">
        <v>0</v>
      </c>
      <c r="H19" s="81"/>
    </row>
    <row r="20" spans="1:8" x14ac:dyDescent="0.2">
      <c r="A20" s="78"/>
      <c r="B20" s="79"/>
      <c r="C20" s="80"/>
      <c r="D20" s="81"/>
      <c r="E20" s="81"/>
      <c r="F20" s="81"/>
      <c r="G20" s="81"/>
      <c r="H20" s="81"/>
    </row>
    <row r="21" spans="1:8" x14ac:dyDescent="0.2">
      <c r="A21" s="74">
        <v>5104</v>
      </c>
      <c r="B21" s="75" t="s">
        <v>64</v>
      </c>
      <c r="C21" s="80"/>
      <c r="D21" s="81"/>
      <c r="E21" s="81"/>
      <c r="F21" s="81"/>
      <c r="G21" s="81"/>
      <c r="H21" s="81"/>
    </row>
    <row r="22" spans="1:8" x14ac:dyDescent="0.2">
      <c r="A22" s="78">
        <v>510401</v>
      </c>
      <c r="B22" s="79" t="s">
        <v>65</v>
      </c>
      <c r="C22" s="80">
        <v>0</v>
      </c>
      <c r="D22" s="81">
        <v>0</v>
      </c>
      <c r="E22" s="81">
        <v>0</v>
      </c>
      <c r="F22" s="81">
        <v>0</v>
      </c>
      <c r="G22" s="81">
        <v>0</v>
      </c>
      <c r="H22" s="81"/>
    </row>
    <row r="23" spans="1:8" x14ac:dyDescent="0.2">
      <c r="A23" s="78"/>
      <c r="B23" s="75"/>
      <c r="C23" s="80"/>
      <c r="D23" s="81"/>
      <c r="E23" s="81"/>
      <c r="F23" s="81"/>
      <c r="G23" s="81"/>
      <c r="H23" s="81"/>
    </row>
    <row r="24" spans="1:8" x14ac:dyDescent="0.2">
      <c r="A24" s="74">
        <v>5105</v>
      </c>
      <c r="B24" s="75" t="s">
        <v>66</v>
      </c>
      <c r="C24" s="82"/>
      <c r="D24" s="20"/>
      <c r="E24" s="20"/>
      <c r="F24" s="20"/>
      <c r="G24" s="20"/>
      <c r="H24" s="20"/>
    </row>
    <row r="25" spans="1:8" x14ac:dyDescent="0.2">
      <c r="A25" s="83" t="s">
        <v>67</v>
      </c>
      <c r="B25" s="79" t="s">
        <v>68</v>
      </c>
      <c r="C25" s="82">
        <v>0</v>
      </c>
      <c r="D25" s="20">
        <v>0</v>
      </c>
      <c r="E25" s="20">
        <v>0</v>
      </c>
      <c r="F25" s="20">
        <v>0</v>
      </c>
      <c r="G25" s="20">
        <v>0</v>
      </c>
      <c r="H25" s="20"/>
    </row>
    <row r="26" spans="1:8" x14ac:dyDescent="0.2">
      <c r="A26" s="78"/>
      <c r="B26" s="79"/>
      <c r="C26" s="82"/>
      <c r="D26" s="20"/>
      <c r="E26" s="20"/>
      <c r="F26" s="20"/>
      <c r="G26" s="20"/>
      <c r="H26" s="20"/>
    </row>
    <row r="27" spans="1:8" x14ac:dyDescent="0.2">
      <c r="A27" s="74">
        <v>5106</v>
      </c>
      <c r="B27" s="75" t="s">
        <v>69</v>
      </c>
      <c r="C27" s="82"/>
      <c r="D27" s="20"/>
      <c r="E27" s="20"/>
      <c r="F27" s="20"/>
      <c r="G27" s="20"/>
      <c r="H27" s="20"/>
    </row>
    <row r="28" spans="1:8" x14ac:dyDescent="0.2">
      <c r="A28" s="83" t="s">
        <v>70</v>
      </c>
      <c r="B28" s="79" t="s">
        <v>71</v>
      </c>
      <c r="C28" s="80">
        <f>C11*11.15/100</f>
        <v>13672.6875</v>
      </c>
      <c r="D28" s="80">
        <f t="shared" ref="D28:G28" si="1">D11*11.15/100</f>
        <v>15010.6875</v>
      </c>
      <c r="E28" s="80">
        <f t="shared" si="1"/>
        <v>16150.998</v>
      </c>
      <c r="F28" s="80">
        <f t="shared" si="1"/>
        <v>16150.998</v>
      </c>
      <c r="G28" s="80">
        <f t="shared" si="1"/>
        <v>16150.998</v>
      </c>
      <c r="H28" s="81"/>
    </row>
    <row r="29" spans="1:8" x14ac:dyDescent="0.2">
      <c r="A29" s="83" t="s">
        <v>72</v>
      </c>
      <c r="B29" s="79" t="s">
        <v>73</v>
      </c>
      <c r="C29" s="80">
        <f>C11*8.33/100</f>
        <v>10214.6625</v>
      </c>
      <c r="D29" s="80">
        <f t="shared" ref="D29:G29" si="2">D11*8.33/100</f>
        <v>11214.262500000001</v>
      </c>
      <c r="E29" s="80">
        <f t="shared" si="2"/>
        <v>12066.1716</v>
      </c>
      <c r="F29" s="80">
        <f t="shared" si="2"/>
        <v>12066.1716</v>
      </c>
      <c r="G29" s="80">
        <f t="shared" si="2"/>
        <v>12066.1716</v>
      </c>
      <c r="H29" s="81"/>
    </row>
    <row r="30" spans="1:8" x14ac:dyDescent="0.2">
      <c r="A30" s="83" t="s">
        <v>74</v>
      </c>
      <c r="B30" s="79" t="s">
        <v>75</v>
      </c>
      <c r="C30" s="80">
        <v>0</v>
      </c>
      <c r="D30" s="81">
        <v>0</v>
      </c>
      <c r="E30" s="81">
        <v>0</v>
      </c>
      <c r="F30" s="81">
        <v>0</v>
      </c>
      <c r="G30" s="81">
        <v>0</v>
      </c>
      <c r="H30" s="81"/>
    </row>
    <row r="31" spans="1:8" x14ac:dyDescent="0.2">
      <c r="A31" s="78"/>
      <c r="B31" s="79"/>
      <c r="C31" s="82"/>
      <c r="D31" s="20"/>
      <c r="E31" s="20"/>
      <c r="F31" s="20"/>
      <c r="G31" s="20"/>
      <c r="H31" s="20"/>
    </row>
    <row r="32" spans="1:8" x14ac:dyDescent="0.2">
      <c r="A32" s="74">
        <v>5107</v>
      </c>
      <c r="B32" s="75" t="s">
        <v>76</v>
      </c>
      <c r="C32" s="82"/>
      <c r="D32" s="20"/>
      <c r="E32" s="20"/>
      <c r="F32" s="20"/>
      <c r="G32" s="20"/>
      <c r="H32" s="20"/>
    </row>
    <row r="33" spans="1:8" x14ac:dyDescent="0.2">
      <c r="A33" s="78">
        <v>510704</v>
      </c>
      <c r="B33" s="79" t="s">
        <v>77</v>
      </c>
      <c r="C33" s="82">
        <v>0</v>
      </c>
      <c r="D33" s="20">
        <v>0</v>
      </c>
      <c r="E33" s="20">
        <v>0</v>
      </c>
      <c r="F33" s="20">
        <v>0</v>
      </c>
      <c r="G33" s="20">
        <v>0</v>
      </c>
      <c r="H33" s="20"/>
    </row>
    <row r="34" spans="1:8" x14ac:dyDescent="0.2">
      <c r="A34" s="78">
        <v>510705</v>
      </c>
      <c r="B34" s="79" t="s">
        <v>78</v>
      </c>
      <c r="C34" s="82">
        <v>0</v>
      </c>
      <c r="D34" s="20">
        <v>0</v>
      </c>
      <c r="E34" s="20">
        <v>0</v>
      </c>
      <c r="F34" s="20">
        <v>0</v>
      </c>
      <c r="G34" s="20">
        <v>0</v>
      </c>
      <c r="H34" s="20"/>
    </row>
    <row r="35" spans="1:8" x14ac:dyDescent="0.2">
      <c r="A35" s="78"/>
      <c r="B35" s="79"/>
      <c r="C35" s="82"/>
      <c r="D35" s="20"/>
      <c r="E35" s="20"/>
      <c r="F35" s="20"/>
      <c r="G35" s="20"/>
      <c r="H35" s="20"/>
    </row>
    <row r="36" spans="1:8" x14ac:dyDescent="0.2">
      <c r="A36" s="74">
        <v>5308</v>
      </c>
      <c r="B36" s="75" t="s">
        <v>79</v>
      </c>
      <c r="C36" s="82"/>
      <c r="D36" s="20"/>
      <c r="E36" s="20"/>
      <c r="F36" s="20"/>
      <c r="G36" s="20"/>
      <c r="H36" s="20"/>
    </row>
    <row r="37" spans="1:8" x14ac:dyDescent="0.2">
      <c r="A37" s="78">
        <v>530802</v>
      </c>
      <c r="B37" s="79" t="s">
        <v>80</v>
      </c>
      <c r="C37" s="82">
        <v>3220</v>
      </c>
      <c r="D37" s="20">
        <v>3220</v>
      </c>
      <c r="E37" s="20">
        <v>3220</v>
      </c>
      <c r="F37" s="20">
        <v>3220</v>
      </c>
      <c r="G37" s="20">
        <v>3220</v>
      </c>
      <c r="H37" s="20"/>
    </row>
    <row r="38" spans="1:8" x14ac:dyDescent="0.2">
      <c r="A38" s="78"/>
      <c r="B38" s="79"/>
      <c r="C38" s="82"/>
      <c r="D38" s="20"/>
      <c r="E38" s="20"/>
      <c r="F38" s="20"/>
      <c r="G38" s="20"/>
      <c r="H38" s="20"/>
    </row>
    <row r="39" spans="1:8" x14ac:dyDescent="0.2">
      <c r="A39" s="78"/>
      <c r="B39" s="79"/>
      <c r="C39" s="82"/>
      <c r="D39" s="20"/>
      <c r="E39" s="20"/>
      <c r="F39" s="20"/>
      <c r="G39" s="20"/>
      <c r="H39" s="20"/>
    </row>
    <row r="40" spans="1:8" ht="13.5" thickBot="1" x14ac:dyDescent="0.25">
      <c r="A40" s="84"/>
      <c r="B40" s="85"/>
      <c r="C40" s="86"/>
      <c r="D40" s="87"/>
      <c r="E40" s="87"/>
      <c r="F40" s="87"/>
      <c r="G40" s="87"/>
      <c r="H40" s="87"/>
    </row>
    <row r="41" spans="1:8" ht="15.75" thickBot="1" x14ac:dyDescent="0.3">
      <c r="A41" s="88"/>
      <c r="B41" s="89" t="s">
        <v>36</v>
      </c>
      <c r="C41" s="90">
        <f>SUM(C10:C40)</f>
        <v>167671.1</v>
      </c>
      <c r="D41" s="90">
        <f>SUM(D10:D40)</f>
        <v>183008.7</v>
      </c>
      <c r="E41" s="90">
        <f>SUM(E10:E40)</f>
        <v>201600.16959999999</v>
      </c>
      <c r="F41" s="90">
        <f t="shared" ref="F41:G41" si="3">SUM(F10:F40)</f>
        <v>201600.16959999999</v>
      </c>
      <c r="G41" s="90">
        <f t="shared" si="3"/>
        <v>201600.16959999999</v>
      </c>
      <c r="H41" s="91"/>
    </row>
    <row r="42" spans="1:8" ht="13.5" thickBot="1" x14ac:dyDescent="0.25">
      <c r="A42" s="92"/>
      <c r="B42" s="93" t="s">
        <v>37</v>
      </c>
      <c r="C42" s="94"/>
      <c r="D42" s="92"/>
      <c r="E42" s="92"/>
      <c r="F42" s="92"/>
      <c r="G42" s="92"/>
      <c r="H42" s="92"/>
    </row>
    <row r="43" spans="1:8" x14ac:dyDescent="0.2">
      <c r="A43" s="52"/>
      <c r="B43" s="53"/>
      <c r="C43" s="52"/>
      <c r="D43" s="52"/>
      <c r="E43" s="52"/>
      <c r="F43" s="52"/>
      <c r="G43" s="52"/>
    </row>
    <row r="44" spans="1:8" x14ac:dyDescent="0.2">
      <c r="A44" s="54" t="s">
        <v>38</v>
      </c>
      <c r="B44" s="53"/>
      <c r="C44" s="52"/>
      <c r="D44" s="52"/>
      <c r="E44" s="95"/>
      <c r="F44" s="95"/>
      <c r="G44" s="95"/>
      <c r="H44" s="66"/>
    </row>
    <row r="45" spans="1:8" x14ac:dyDescent="0.2">
      <c r="A45" s="54" t="s">
        <v>39</v>
      </c>
      <c r="B45" s="52"/>
      <c r="C45" s="52"/>
      <c r="D45" s="95"/>
      <c r="E45" s="95"/>
      <c r="F45" s="95"/>
      <c r="G45" s="95"/>
      <c r="H45" s="66"/>
    </row>
    <row r="46" spans="1:8" x14ac:dyDescent="0.2">
      <c r="A46" s="54" t="s">
        <v>40</v>
      </c>
      <c r="B46" s="52"/>
      <c r="C46" s="52"/>
      <c r="D46" s="95"/>
      <c r="E46" s="95"/>
      <c r="F46" s="95"/>
      <c r="G46" s="95"/>
      <c r="H46" s="66"/>
    </row>
    <row r="47" spans="1:8" x14ac:dyDescent="0.2">
      <c r="A47" s="52"/>
      <c r="B47" s="52"/>
      <c r="C47" s="52"/>
      <c r="D47" s="95"/>
      <c r="E47" s="95"/>
      <c r="F47" s="95"/>
      <c r="G47" s="95"/>
      <c r="H47" s="66"/>
    </row>
    <row r="48" spans="1:8" x14ac:dyDescent="0.2">
      <c r="A48" s="52"/>
      <c r="B48" s="52"/>
      <c r="C48" s="52"/>
      <c r="D48" s="95"/>
      <c r="E48" s="95"/>
      <c r="F48" s="95"/>
      <c r="G48" s="95"/>
      <c r="H48" s="66"/>
    </row>
    <row r="49" spans="1:8" x14ac:dyDescent="0.2">
      <c r="A49" s="52"/>
      <c r="B49" s="52"/>
      <c r="C49" s="52"/>
      <c r="D49" s="95"/>
      <c r="E49" s="95"/>
      <c r="F49" s="95"/>
      <c r="G49" s="95"/>
      <c r="H49" s="66"/>
    </row>
    <row r="50" spans="1:8" x14ac:dyDescent="0.2">
      <c r="A50" s="2"/>
      <c r="B50" s="52"/>
      <c r="C50" s="52"/>
      <c r="D50" s="52"/>
      <c r="E50" s="52"/>
      <c r="F50" s="52"/>
      <c r="G50" s="52"/>
      <c r="H50" s="66"/>
    </row>
    <row r="51" spans="1:8" ht="15" x14ac:dyDescent="0.25">
      <c r="A51" s="2"/>
      <c r="B51" s="96" t="s">
        <v>81</v>
      </c>
      <c r="C51" s="97"/>
      <c r="D51" s="57" t="s">
        <v>82</v>
      </c>
      <c r="E51" s="57"/>
      <c r="F51" s="57"/>
      <c r="G51" s="57"/>
      <c r="H51" s="57"/>
    </row>
    <row r="52" spans="1:8" ht="15" x14ac:dyDescent="0.25">
      <c r="A52" s="2"/>
      <c r="B52" s="56"/>
      <c r="C52" s="56"/>
      <c r="D52" s="56"/>
      <c r="E52" s="56"/>
      <c r="F52" s="56"/>
      <c r="G52" s="56"/>
      <c r="H52" s="66"/>
    </row>
    <row r="53" spans="1:8" ht="15" x14ac:dyDescent="0.25">
      <c r="A53" s="2"/>
      <c r="B53" s="58" t="s">
        <v>43</v>
      </c>
      <c r="C53" s="98"/>
      <c r="D53" s="99" t="s">
        <v>44</v>
      </c>
      <c r="E53" s="99"/>
      <c r="F53" s="99"/>
      <c r="G53" s="99"/>
      <c r="H53" s="99"/>
    </row>
    <row r="54" spans="1:8" ht="15" x14ac:dyDescent="0.25">
      <c r="A54" s="2"/>
      <c r="B54" s="58" t="s">
        <v>45</v>
      </c>
      <c r="C54" s="52"/>
      <c r="D54" s="52"/>
      <c r="E54" s="52"/>
      <c r="F54" s="52"/>
      <c r="G54" s="52"/>
    </row>
    <row r="55" spans="1:8" ht="15" x14ac:dyDescent="0.25">
      <c r="A55" s="2"/>
      <c r="B55" s="58" t="s">
        <v>46</v>
      </c>
      <c r="C55" s="52"/>
      <c r="D55" s="52"/>
      <c r="E55" s="52"/>
      <c r="F55" s="52"/>
      <c r="G55" s="52"/>
    </row>
    <row r="58" spans="1:8" ht="18.75" x14ac:dyDescent="0.3">
      <c r="A58" s="1" t="s">
        <v>0</v>
      </c>
      <c r="B58" s="1"/>
      <c r="C58" s="1"/>
      <c r="D58" s="1"/>
      <c r="E58" s="1"/>
      <c r="F58" s="1"/>
      <c r="G58" s="1"/>
      <c r="H58" s="1"/>
    </row>
    <row r="59" spans="1:8" ht="15.75" x14ac:dyDescent="0.25">
      <c r="A59" s="3" t="s">
        <v>47</v>
      </c>
      <c r="B59" s="3"/>
      <c r="C59" s="3"/>
      <c r="D59" s="3"/>
      <c r="E59" s="3"/>
      <c r="F59" s="3"/>
      <c r="G59" s="3"/>
      <c r="H59" s="3"/>
    </row>
    <row r="60" spans="1:8" ht="15.75" x14ac:dyDescent="0.25">
      <c r="A60" s="4"/>
      <c r="B60" s="4"/>
      <c r="C60" s="4"/>
      <c r="D60" s="4"/>
      <c r="E60" s="4"/>
      <c r="F60" s="4"/>
      <c r="G60" s="4"/>
      <c r="H60" s="60"/>
    </row>
    <row r="61" spans="1:8" ht="15.75" x14ac:dyDescent="0.25">
      <c r="A61" s="5" t="s">
        <v>3</v>
      </c>
      <c r="B61" s="4"/>
      <c r="C61" s="4"/>
      <c r="D61" s="4"/>
      <c r="E61" s="4"/>
      <c r="F61" s="4"/>
      <c r="G61" s="4"/>
      <c r="H61" s="4"/>
    </row>
    <row r="62" spans="1:8" ht="15.75" x14ac:dyDescent="0.25">
      <c r="A62" s="5" t="s">
        <v>4</v>
      </c>
      <c r="B62" s="61"/>
      <c r="C62" s="62"/>
      <c r="D62" s="62"/>
      <c r="E62" s="62"/>
      <c r="F62" s="62"/>
      <c r="G62" s="62"/>
      <c r="H62" s="63"/>
    </row>
    <row r="63" spans="1:8" ht="15.75" x14ac:dyDescent="0.25">
      <c r="A63" s="6" t="s">
        <v>5</v>
      </c>
      <c r="B63" s="64"/>
      <c r="C63" s="64"/>
      <c r="D63" s="64"/>
      <c r="E63" s="64"/>
      <c r="F63" s="64"/>
      <c r="G63" s="64"/>
      <c r="H63" s="64"/>
    </row>
    <row r="64" spans="1:8" ht="16.5" thickBot="1" x14ac:dyDescent="0.3">
      <c r="A64" s="6"/>
      <c r="B64" s="64"/>
      <c r="C64" s="64"/>
      <c r="D64" s="64"/>
      <c r="E64" s="64"/>
      <c r="F64" s="64"/>
      <c r="G64" s="64"/>
      <c r="H64" s="64"/>
    </row>
    <row r="65" spans="1:8" ht="79.5" thickBot="1" x14ac:dyDescent="0.25">
      <c r="A65" s="67" t="s">
        <v>48</v>
      </c>
      <c r="B65" s="68" t="s">
        <v>49</v>
      </c>
      <c r="C65" s="69" t="s">
        <v>50</v>
      </c>
      <c r="D65" s="70" t="s">
        <v>51</v>
      </c>
      <c r="E65" s="70" t="s">
        <v>52</v>
      </c>
      <c r="F65" s="70" t="s">
        <v>53</v>
      </c>
      <c r="G65" s="70" t="s">
        <v>54</v>
      </c>
      <c r="H65" s="70" t="s">
        <v>12</v>
      </c>
    </row>
    <row r="66" spans="1:8" ht="15.75" thickBot="1" x14ac:dyDescent="0.3">
      <c r="A66" s="71" t="s">
        <v>55</v>
      </c>
      <c r="B66" s="72"/>
      <c r="C66" s="72"/>
      <c r="D66" s="72"/>
      <c r="E66" s="72"/>
      <c r="F66" s="72"/>
      <c r="G66" s="72"/>
      <c r="H66" s="73"/>
    </row>
    <row r="67" spans="1:8" x14ac:dyDescent="0.2">
      <c r="A67" s="74">
        <v>5101</v>
      </c>
      <c r="B67" s="75" t="s">
        <v>56</v>
      </c>
      <c r="C67" s="76"/>
      <c r="D67" s="77"/>
      <c r="E67" s="77"/>
      <c r="F67" s="77"/>
      <c r="G67" s="77"/>
      <c r="H67" s="77"/>
    </row>
    <row r="68" spans="1:8" x14ac:dyDescent="0.2">
      <c r="A68" s="78">
        <v>510106</v>
      </c>
      <c r="B68" s="79" t="s">
        <v>57</v>
      </c>
      <c r="C68" s="80">
        <f>8575*12</f>
        <v>102900</v>
      </c>
      <c r="D68" s="81">
        <f>10000*12</f>
        <v>120000</v>
      </c>
      <c r="E68" s="81">
        <f>11144*12</f>
        <v>133728</v>
      </c>
      <c r="F68" s="81">
        <f t="shared" ref="F68:G68" si="4">11144*12</f>
        <v>133728</v>
      </c>
      <c r="G68" s="81">
        <f t="shared" si="4"/>
        <v>133728</v>
      </c>
      <c r="H68" s="81"/>
    </row>
    <row r="69" spans="1:8" x14ac:dyDescent="0.2">
      <c r="A69" s="78"/>
      <c r="B69" s="79"/>
      <c r="C69" s="82"/>
      <c r="D69" s="20"/>
      <c r="E69" s="20"/>
      <c r="F69" s="20"/>
      <c r="G69" s="20"/>
      <c r="H69" s="20"/>
    </row>
    <row r="70" spans="1:8" x14ac:dyDescent="0.2">
      <c r="A70" s="74">
        <v>5102</v>
      </c>
      <c r="B70" s="75" t="s">
        <v>58</v>
      </c>
      <c r="C70" s="82"/>
      <c r="D70" s="20"/>
      <c r="E70" s="20"/>
      <c r="F70" s="20"/>
      <c r="G70" s="20"/>
      <c r="H70" s="20"/>
    </row>
    <row r="71" spans="1:8" x14ac:dyDescent="0.2">
      <c r="A71" s="78">
        <v>510203</v>
      </c>
      <c r="B71" s="79" t="s">
        <v>59</v>
      </c>
      <c r="C71" s="80">
        <v>8575</v>
      </c>
      <c r="D71" s="81">
        <v>10000</v>
      </c>
      <c r="E71" s="81">
        <v>11144</v>
      </c>
      <c r="F71" s="81">
        <v>11144</v>
      </c>
      <c r="G71" s="81">
        <v>11144</v>
      </c>
      <c r="H71" s="81"/>
    </row>
    <row r="72" spans="1:8" x14ac:dyDescent="0.2">
      <c r="A72" s="78">
        <v>510204</v>
      </c>
      <c r="B72" s="79" t="s">
        <v>60</v>
      </c>
      <c r="C72" s="80">
        <v>7334</v>
      </c>
      <c r="D72" s="80">
        <v>7334</v>
      </c>
      <c r="E72" s="80">
        <v>7334</v>
      </c>
      <c r="F72" s="80">
        <v>7334</v>
      </c>
      <c r="G72" s="80">
        <v>7334</v>
      </c>
      <c r="H72" s="81"/>
    </row>
    <row r="73" spans="1:8" x14ac:dyDescent="0.2">
      <c r="A73" s="78"/>
      <c r="B73" s="79"/>
      <c r="C73" s="80"/>
      <c r="D73" s="81"/>
      <c r="E73" s="81"/>
      <c r="F73" s="81"/>
      <c r="G73" s="81"/>
      <c r="H73" s="81"/>
    </row>
    <row r="74" spans="1:8" x14ac:dyDescent="0.2">
      <c r="A74" s="74">
        <v>5103</v>
      </c>
      <c r="B74" s="75" t="s">
        <v>61</v>
      </c>
      <c r="C74" s="80"/>
      <c r="D74" s="81"/>
      <c r="E74" s="81"/>
      <c r="F74" s="81"/>
      <c r="G74" s="81"/>
      <c r="H74" s="81"/>
    </row>
    <row r="75" spans="1:8" x14ac:dyDescent="0.2">
      <c r="A75" s="78">
        <v>510304</v>
      </c>
      <c r="B75" s="79" t="s">
        <v>62</v>
      </c>
      <c r="C75" s="80">
        <v>0</v>
      </c>
      <c r="D75" s="81">
        <v>0</v>
      </c>
      <c r="E75" s="81">
        <v>5520</v>
      </c>
      <c r="F75" s="81">
        <v>5520</v>
      </c>
      <c r="G75" s="81">
        <v>5520</v>
      </c>
      <c r="H75" s="81"/>
    </row>
    <row r="76" spans="1:8" x14ac:dyDescent="0.2">
      <c r="A76" s="78">
        <v>510307</v>
      </c>
      <c r="B76" s="79" t="s">
        <v>63</v>
      </c>
      <c r="C76" s="80">
        <v>0</v>
      </c>
      <c r="D76" s="81">
        <v>0</v>
      </c>
      <c r="E76" s="81">
        <v>0</v>
      </c>
      <c r="F76" s="81">
        <v>0</v>
      </c>
      <c r="G76" s="81">
        <v>0</v>
      </c>
      <c r="H76" s="81"/>
    </row>
    <row r="77" spans="1:8" x14ac:dyDescent="0.2">
      <c r="A77" s="78"/>
      <c r="B77" s="79"/>
      <c r="C77" s="80"/>
      <c r="D77" s="81"/>
      <c r="E77" s="81"/>
      <c r="F77" s="81"/>
      <c r="G77" s="81"/>
      <c r="H77" s="81"/>
    </row>
    <row r="78" spans="1:8" x14ac:dyDescent="0.2">
      <c r="A78" s="74">
        <v>5104</v>
      </c>
      <c r="B78" s="75" t="s">
        <v>64</v>
      </c>
      <c r="C78" s="80"/>
      <c r="D78" s="81"/>
      <c r="E78" s="81"/>
      <c r="F78" s="81"/>
      <c r="G78" s="81"/>
      <c r="H78" s="81"/>
    </row>
    <row r="79" spans="1:8" x14ac:dyDescent="0.2">
      <c r="A79" s="78">
        <v>510401</v>
      </c>
      <c r="B79" s="79" t="s">
        <v>65</v>
      </c>
      <c r="C79" s="80">
        <v>0</v>
      </c>
      <c r="D79" s="81">
        <v>0</v>
      </c>
      <c r="E79" s="81">
        <v>0</v>
      </c>
      <c r="F79" s="81">
        <v>0</v>
      </c>
      <c r="G79" s="81">
        <v>0</v>
      </c>
      <c r="H79" s="81"/>
    </row>
    <row r="80" spans="1:8" x14ac:dyDescent="0.2">
      <c r="A80" s="78"/>
      <c r="B80" s="75"/>
      <c r="C80" s="80"/>
      <c r="D80" s="81"/>
      <c r="E80" s="81"/>
      <c r="F80" s="81"/>
      <c r="G80" s="81"/>
      <c r="H80" s="81"/>
    </row>
    <row r="81" spans="1:8" x14ac:dyDescent="0.2">
      <c r="A81" s="74">
        <v>5105</v>
      </c>
      <c r="B81" s="75" t="s">
        <v>66</v>
      </c>
      <c r="C81" s="82"/>
      <c r="D81" s="20"/>
      <c r="E81" s="20"/>
      <c r="F81" s="20"/>
      <c r="G81" s="20"/>
      <c r="H81" s="20"/>
    </row>
    <row r="82" spans="1:8" x14ac:dyDescent="0.2">
      <c r="A82" s="83" t="s">
        <v>67</v>
      </c>
      <c r="B82" s="79" t="s">
        <v>68</v>
      </c>
      <c r="C82" s="82">
        <v>0</v>
      </c>
      <c r="D82" s="20">
        <v>0</v>
      </c>
      <c r="E82" s="20">
        <v>0</v>
      </c>
      <c r="F82" s="20">
        <v>0</v>
      </c>
      <c r="G82" s="20">
        <v>0</v>
      </c>
      <c r="H82" s="20"/>
    </row>
    <row r="83" spans="1:8" x14ac:dyDescent="0.2">
      <c r="A83" s="78"/>
      <c r="B83" s="79"/>
      <c r="C83" s="82"/>
      <c r="D83" s="20"/>
      <c r="E83" s="20"/>
      <c r="F83" s="20"/>
      <c r="G83" s="20"/>
      <c r="H83" s="20"/>
    </row>
    <row r="84" spans="1:8" x14ac:dyDescent="0.2">
      <c r="A84" s="74">
        <v>5106</v>
      </c>
      <c r="B84" s="75" t="s">
        <v>69</v>
      </c>
      <c r="C84" s="82"/>
      <c r="D84" s="20"/>
      <c r="E84" s="20"/>
      <c r="F84" s="20"/>
      <c r="G84" s="20"/>
      <c r="H84" s="20"/>
    </row>
    <row r="85" spans="1:8" x14ac:dyDescent="0.2">
      <c r="A85" s="83" t="s">
        <v>70</v>
      </c>
      <c r="B85" s="79" t="s">
        <v>71</v>
      </c>
      <c r="C85" s="80">
        <f>C68*11.15/100</f>
        <v>11473.35</v>
      </c>
      <c r="D85" s="80">
        <f t="shared" ref="D85:G85" si="5">D68*11.15/100</f>
        <v>13380</v>
      </c>
      <c r="E85" s="80">
        <f t="shared" si="5"/>
        <v>14910.671999999999</v>
      </c>
      <c r="F85" s="80">
        <f t="shared" si="5"/>
        <v>14910.671999999999</v>
      </c>
      <c r="G85" s="80">
        <f t="shared" si="5"/>
        <v>14910.671999999999</v>
      </c>
      <c r="H85" s="81"/>
    </row>
    <row r="86" spans="1:8" x14ac:dyDescent="0.2">
      <c r="A86" s="83" t="s">
        <v>72</v>
      </c>
      <c r="B86" s="79" t="s">
        <v>73</v>
      </c>
      <c r="C86" s="80">
        <f>C68*8.33/100</f>
        <v>8571.57</v>
      </c>
      <c r="D86" s="80">
        <f t="shared" ref="D86:G86" si="6">D68*8.33/100</f>
        <v>9996</v>
      </c>
      <c r="E86" s="80">
        <f t="shared" si="6"/>
        <v>11139.5424</v>
      </c>
      <c r="F86" s="80">
        <f t="shared" si="6"/>
        <v>11139.5424</v>
      </c>
      <c r="G86" s="80">
        <f t="shared" si="6"/>
        <v>11139.5424</v>
      </c>
      <c r="H86" s="81"/>
    </row>
    <row r="87" spans="1:8" x14ac:dyDescent="0.2">
      <c r="A87" s="83" t="s">
        <v>74</v>
      </c>
      <c r="B87" s="79" t="s">
        <v>75</v>
      </c>
      <c r="C87" s="80">
        <v>0</v>
      </c>
      <c r="D87" s="81">
        <v>0</v>
      </c>
      <c r="E87" s="81">
        <v>0</v>
      </c>
      <c r="F87" s="81">
        <v>0</v>
      </c>
      <c r="G87" s="81">
        <v>0</v>
      </c>
      <c r="H87" s="81"/>
    </row>
    <row r="88" spans="1:8" x14ac:dyDescent="0.2">
      <c r="A88" s="78"/>
      <c r="B88" s="79"/>
      <c r="C88" s="82"/>
      <c r="D88" s="20"/>
      <c r="E88" s="20"/>
      <c r="F88" s="20"/>
      <c r="G88" s="20"/>
      <c r="H88" s="20"/>
    </row>
    <row r="89" spans="1:8" x14ac:dyDescent="0.2">
      <c r="A89" s="74">
        <v>5107</v>
      </c>
      <c r="B89" s="75" t="s">
        <v>76</v>
      </c>
      <c r="C89" s="82"/>
      <c r="D89" s="20"/>
      <c r="E89" s="20"/>
      <c r="F89" s="20"/>
      <c r="G89" s="20"/>
      <c r="H89" s="20"/>
    </row>
    <row r="90" spans="1:8" x14ac:dyDescent="0.2">
      <c r="A90" s="78">
        <v>510704</v>
      </c>
      <c r="B90" s="79" t="s">
        <v>77</v>
      </c>
      <c r="C90" s="82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 spans="1:8" x14ac:dyDescent="0.2">
      <c r="A91" s="78">
        <v>510705</v>
      </c>
      <c r="B91" s="79" t="s">
        <v>78</v>
      </c>
      <c r="C91" s="82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 spans="1:8" x14ac:dyDescent="0.2">
      <c r="A92" s="78"/>
      <c r="B92" s="79"/>
      <c r="C92" s="82"/>
      <c r="D92" s="20"/>
      <c r="E92" s="20"/>
      <c r="F92" s="20"/>
      <c r="G92" s="20"/>
      <c r="H92" s="20"/>
    </row>
    <row r="93" spans="1:8" x14ac:dyDescent="0.2">
      <c r="A93" s="74">
        <v>5308</v>
      </c>
      <c r="B93" s="75" t="s">
        <v>79</v>
      </c>
      <c r="C93" s="82"/>
      <c r="D93" s="20"/>
      <c r="E93" s="20"/>
      <c r="F93" s="20"/>
      <c r="G93" s="20"/>
      <c r="H93" s="20"/>
    </row>
    <row r="94" spans="1:8" x14ac:dyDescent="0.2">
      <c r="A94" s="78">
        <v>530802</v>
      </c>
      <c r="B94" s="79" t="s">
        <v>80</v>
      </c>
      <c r="C94" s="82">
        <v>3059</v>
      </c>
      <c r="D94" s="82">
        <v>3059</v>
      </c>
      <c r="E94" s="82">
        <v>3059</v>
      </c>
      <c r="F94" s="82">
        <v>3059</v>
      </c>
      <c r="G94" s="82">
        <v>3059</v>
      </c>
      <c r="H94" s="20"/>
    </row>
    <row r="95" spans="1:8" x14ac:dyDescent="0.2">
      <c r="A95" s="78"/>
      <c r="B95" s="79"/>
      <c r="C95" s="82"/>
      <c r="D95" s="20"/>
      <c r="E95" s="20"/>
      <c r="F95" s="20"/>
      <c r="G95" s="20"/>
      <c r="H95" s="20"/>
    </row>
    <row r="96" spans="1:8" x14ac:dyDescent="0.2">
      <c r="A96" s="78"/>
      <c r="B96" s="79"/>
      <c r="C96" s="82"/>
      <c r="D96" s="20"/>
      <c r="E96" s="20"/>
      <c r="F96" s="20"/>
      <c r="G96" s="20"/>
      <c r="H96" s="20"/>
    </row>
    <row r="97" spans="1:8" ht="13.5" thickBot="1" x14ac:dyDescent="0.25">
      <c r="A97" s="84"/>
      <c r="B97" s="85"/>
      <c r="C97" s="86"/>
      <c r="D97" s="87"/>
      <c r="E97" s="87"/>
      <c r="F97" s="87"/>
      <c r="G97" s="87"/>
      <c r="H97" s="87"/>
    </row>
    <row r="98" spans="1:8" ht="15.75" thickBot="1" x14ac:dyDescent="0.3">
      <c r="A98" s="88"/>
      <c r="B98" s="89" t="s">
        <v>36</v>
      </c>
      <c r="C98" s="90">
        <f>SUM(C67:C97)</f>
        <v>141912.92000000001</v>
      </c>
      <c r="D98" s="90">
        <f>SUM(D67:D97)</f>
        <v>163769</v>
      </c>
      <c r="E98" s="90">
        <f>SUM(E67:E97)</f>
        <v>186835.2144</v>
      </c>
      <c r="F98" s="90">
        <f t="shared" ref="F98:G98" si="7">SUM(F67:F97)</f>
        <v>186835.2144</v>
      </c>
      <c r="G98" s="90">
        <f t="shared" si="7"/>
        <v>186835.2144</v>
      </c>
      <c r="H98" s="91"/>
    </row>
    <row r="99" spans="1:8" ht="13.5" thickBot="1" x14ac:dyDescent="0.25">
      <c r="A99" s="92"/>
      <c r="B99" s="93" t="s">
        <v>37</v>
      </c>
      <c r="C99" s="94"/>
      <c r="D99" s="92"/>
      <c r="E99" s="92"/>
      <c r="F99" s="92"/>
      <c r="G99" s="92"/>
      <c r="H99" s="92"/>
    </row>
    <row r="100" spans="1:8" x14ac:dyDescent="0.2">
      <c r="A100" s="52"/>
      <c r="B100" s="53"/>
      <c r="C100" s="52"/>
      <c r="D100" s="52"/>
      <c r="E100" s="52"/>
      <c r="F100" s="52"/>
      <c r="G100" s="52"/>
    </row>
    <row r="101" spans="1:8" x14ac:dyDescent="0.2">
      <c r="A101" s="54" t="s">
        <v>38</v>
      </c>
      <c r="B101" s="53"/>
      <c r="C101" s="52"/>
      <c r="D101" s="52"/>
      <c r="E101" s="95"/>
      <c r="F101" s="95"/>
      <c r="G101" s="95"/>
      <c r="H101" s="66"/>
    </row>
    <row r="102" spans="1:8" x14ac:dyDescent="0.2">
      <c r="A102" s="54" t="s">
        <v>39</v>
      </c>
      <c r="B102" s="52"/>
      <c r="C102" s="52"/>
      <c r="D102" s="95"/>
      <c r="E102" s="95"/>
      <c r="F102" s="95"/>
      <c r="G102" s="95"/>
      <c r="H102" s="66"/>
    </row>
    <row r="103" spans="1:8" x14ac:dyDescent="0.2">
      <c r="A103" s="54" t="s">
        <v>40</v>
      </c>
      <c r="B103" s="52"/>
      <c r="C103" s="52"/>
      <c r="D103" s="95"/>
      <c r="E103" s="95"/>
      <c r="F103" s="95"/>
      <c r="G103" s="95"/>
      <c r="H103" s="66"/>
    </row>
    <row r="104" spans="1:8" x14ac:dyDescent="0.2">
      <c r="A104" s="52"/>
      <c r="B104" s="52"/>
      <c r="C104" s="52"/>
      <c r="D104" s="95"/>
      <c r="E104" s="95"/>
      <c r="F104" s="95"/>
      <c r="G104" s="95"/>
      <c r="H104" s="66"/>
    </row>
    <row r="105" spans="1:8" x14ac:dyDescent="0.2">
      <c r="A105" s="52"/>
      <c r="B105" s="52"/>
      <c r="C105" s="52"/>
      <c r="D105" s="95"/>
      <c r="E105" s="95"/>
      <c r="F105" s="95"/>
      <c r="G105" s="95"/>
      <c r="H105" s="66"/>
    </row>
    <row r="106" spans="1:8" x14ac:dyDescent="0.2">
      <c r="A106" s="52"/>
      <c r="B106" s="52"/>
      <c r="C106" s="52"/>
      <c r="D106" s="95"/>
      <c r="E106" s="95"/>
      <c r="F106" s="95"/>
      <c r="G106" s="95"/>
      <c r="H106" s="66"/>
    </row>
    <row r="107" spans="1:8" x14ac:dyDescent="0.2">
      <c r="A107" s="2"/>
      <c r="B107" s="52"/>
      <c r="C107" s="52"/>
      <c r="D107" s="52"/>
      <c r="E107" s="52"/>
      <c r="F107" s="52"/>
      <c r="G107" s="52"/>
      <c r="H107" s="66"/>
    </row>
    <row r="108" spans="1:8" ht="15" x14ac:dyDescent="0.25">
      <c r="A108" s="2"/>
      <c r="B108" s="96" t="s">
        <v>81</v>
      </c>
      <c r="C108" s="97"/>
      <c r="D108" s="57" t="s">
        <v>82</v>
      </c>
      <c r="E108" s="57"/>
      <c r="F108" s="57"/>
      <c r="G108" s="57"/>
      <c r="H108" s="57"/>
    </row>
    <row r="109" spans="1:8" ht="15" x14ac:dyDescent="0.25">
      <c r="A109" s="2"/>
      <c r="B109" s="56"/>
      <c r="C109" s="56"/>
      <c r="D109" s="56"/>
      <c r="E109" s="56"/>
      <c r="F109" s="56"/>
      <c r="G109" s="56"/>
      <c r="H109" s="66"/>
    </row>
    <row r="110" spans="1:8" ht="15" x14ac:dyDescent="0.25">
      <c r="A110" s="2"/>
      <c r="B110" s="58" t="s">
        <v>43</v>
      </c>
      <c r="C110" s="98"/>
      <c r="D110" s="99" t="s">
        <v>44</v>
      </c>
      <c r="E110" s="99"/>
      <c r="F110" s="99"/>
      <c r="G110" s="99"/>
      <c r="H110" s="99"/>
    </row>
    <row r="111" spans="1:8" ht="15" x14ac:dyDescent="0.25">
      <c r="A111" s="2"/>
      <c r="B111" s="58" t="s">
        <v>45</v>
      </c>
      <c r="C111" s="52"/>
      <c r="D111" s="52"/>
      <c r="E111" s="52"/>
      <c r="F111" s="52"/>
      <c r="G111" s="52"/>
    </row>
    <row r="112" spans="1:8" ht="15" x14ac:dyDescent="0.25">
      <c r="A112" s="2"/>
      <c r="B112" s="58" t="s">
        <v>46</v>
      </c>
      <c r="C112" s="52"/>
      <c r="D112" s="52"/>
      <c r="E112" s="52"/>
      <c r="F112" s="52"/>
      <c r="G112" s="52"/>
    </row>
  </sheetData>
  <mergeCells count="10">
    <mergeCell ref="A59:H59"/>
    <mergeCell ref="A66:H66"/>
    <mergeCell ref="D108:H108"/>
    <mergeCell ref="D110:H110"/>
    <mergeCell ref="A1:H1"/>
    <mergeCell ref="A2:H2"/>
    <mergeCell ref="A9:H9"/>
    <mergeCell ref="D51:H51"/>
    <mergeCell ref="D53:H53"/>
    <mergeCell ref="A58:H5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5"/>
  <sheetViews>
    <sheetView workbookViewId="0">
      <selection sqref="A1:XFD1048576"/>
    </sheetView>
  </sheetViews>
  <sheetFormatPr baseColWidth="10" defaultRowHeight="12.75" x14ac:dyDescent="0.2"/>
  <cols>
    <col min="1" max="1" width="13.85546875" style="59" customWidth="1"/>
    <col min="2" max="2" width="40.42578125" style="59" customWidth="1"/>
    <col min="3" max="3" width="12.5703125" style="59" customWidth="1"/>
    <col min="4" max="4" width="9.28515625" style="59" customWidth="1"/>
    <col min="5" max="5" width="36" style="59" bestFit="1" customWidth="1"/>
    <col min="6" max="10" width="15.7109375" style="59" customWidth="1"/>
    <col min="11" max="11" width="18.7109375" style="2" customWidth="1"/>
    <col min="12" max="16384" width="11.42578125" style="2"/>
  </cols>
  <sheetData>
    <row r="1" spans="1:12" ht="19.5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2" ht="23.25" customHeight="1" x14ac:dyDescent="0.2">
      <c r="A2" s="101" t="s">
        <v>83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2" ht="15.95" customHeight="1" x14ac:dyDescent="0.25">
      <c r="A3" s="3" t="s">
        <v>84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.9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2" ht="15.95" customHeight="1" x14ac:dyDescent="0.25">
      <c r="A5" s="3" t="s">
        <v>85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.95" customHeight="1" x14ac:dyDescent="0.25">
      <c r="A6" s="5" t="s">
        <v>4</v>
      </c>
      <c r="B6" s="61"/>
      <c r="C6" s="62"/>
      <c r="D6" s="62"/>
      <c r="E6" s="63"/>
      <c r="F6" s="63"/>
      <c r="G6" s="63"/>
      <c r="H6" s="63"/>
      <c r="I6" s="63"/>
      <c r="J6" s="63"/>
    </row>
    <row r="7" spans="1:12" ht="15.95" customHeight="1" x14ac:dyDescent="0.25">
      <c r="A7" s="6" t="s">
        <v>5</v>
      </c>
      <c r="B7" s="64"/>
      <c r="C7" s="64"/>
      <c r="D7" s="64"/>
      <c r="E7" s="64"/>
      <c r="F7" s="64"/>
      <c r="G7" s="64"/>
      <c r="H7" s="64"/>
      <c r="I7" s="64"/>
      <c r="J7" s="64"/>
    </row>
    <row r="8" spans="1:12" ht="15.95" customHeight="1" thickBot="1" x14ac:dyDescent="0.3">
      <c r="A8" s="6"/>
      <c r="B8" s="64"/>
      <c r="C8" s="64"/>
      <c r="D8" s="64"/>
      <c r="E8" s="64"/>
      <c r="F8" s="64"/>
      <c r="G8" s="64"/>
      <c r="H8" s="64"/>
      <c r="I8" s="64"/>
      <c r="J8" s="64"/>
    </row>
    <row r="9" spans="1:12" s="105" customFormat="1" ht="90.75" thickBot="1" x14ac:dyDescent="0.25">
      <c r="A9" s="102" t="s">
        <v>86</v>
      </c>
      <c r="B9" s="103" t="s">
        <v>87</v>
      </c>
      <c r="C9" s="103" t="s">
        <v>88</v>
      </c>
      <c r="D9" s="103" t="s">
        <v>89</v>
      </c>
      <c r="E9" s="103" t="s">
        <v>90</v>
      </c>
      <c r="F9" s="103" t="s">
        <v>91</v>
      </c>
      <c r="G9" s="104" t="s">
        <v>92</v>
      </c>
      <c r="H9" s="104" t="s">
        <v>93</v>
      </c>
      <c r="I9" s="104" t="s">
        <v>94</v>
      </c>
      <c r="J9" s="104" t="s">
        <v>95</v>
      </c>
      <c r="K9" s="104" t="s">
        <v>12</v>
      </c>
    </row>
    <row r="10" spans="1:12" ht="15.95" customHeight="1" x14ac:dyDescent="0.2">
      <c r="A10" s="106" t="s">
        <v>96</v>
      </c>
      <c r="B10" s="106" t="s">
        <v>97</v>
      </c>
      <c r="C10" s="107">
        <v>1</v>
      </c>
      <c r="D10" s="107">
        <v>3</v>
      </c>
      <c r="E10" s="106" t="s">
        <v>98</v>
      </c>
      <c r="F10" s="108">
        <v>495</v>
      </c>
      <c r="G10" s="109">
        <v>545</v>
      </c>
      <c r="H10" s="109">
        <f>G10+69</f>
        <v>614</v>
      </c>
      <c r="I10" s="109">
        <v>614</v>
      </c>
      <c r="J10" s="109">
        <v>614</v>
      </c>
      <c r="K10" s="109"/>
      <c r="L10" s="110"/>
    </row>
    <row r="11" spans="1:12" ht="15.95" customHeight="1" x14ac:dyDescent="0.2">
      <c r="A11" s="106" t="s">
        <v>99</v>
      </c>
      <c r="B11" s="106" t="s">
        <v>100</v>
      </c>
      <c r="C11" s="107">
        <v>2</v>
      </c>
      <c r="D11" s="111">
        <v>1</v>
      </c>
      <c r="E11" s="106" t="s">
        <v>101</v>
      </c>
      <c r="F11" s="108">
        <v>468.75</v>
      </c>
      <c r="G11" s="112">
        <f>F11+50</f>
        <v>518.75</v>
      </c>
      <c r="H11" s="109">
        <f t="shared" ref="H11:J23" si="0">G11+42.25</f>
        <v>561</v>
      </c>
      <c r="I11" s="109">
        <v>561</v>
      </c>
      <c r="J11" s="109">
        <v>561</v>
      </c>
      <c r="K11" s="112"/>
      <c r="L11" s="110"/>
    </row>
    <row r="12" spans="1:12" ht="15.95" customHeight="1" x14ac:dyDescent="0.2">
      <c r="A12" s="106" t="s">
        <v>102</v>
      </c>
      <c r="B12" s="106" t="s">
        <v>103</v>
      </c>
      <c r="C12" s="107">
        <v>3</v>
      </c>
      <c r="D12" s="111">
        <v>1</v>
      </c>
      <c r="E12" s="106" t="s">
        <v>104</v>
      </c>
      <c r="F12" s="108">
        <v>750</v>
      </c>
      <c r="G12" s="112">
        <v>750</v>
      </c>
      <c r="H12" s="109">
        <v>750</v>
      </c>
      <c r="I12" s="109">
        <v>750</v>
      </c>
      <c r="J12" s="109">
        <v>750</v>
      </c>
      <c r="K12" s="112"/>
      <c r="L12" s="110"/>
    </row>
    <row r="13" spans="1:12" ht="15.95" customHeight="1" x14ac:dyDescent="0.2">
      <c r="A13" s="106" t="s">
        <v>105</v>
      </c>
      <c r="B13" s="106" t="s">
        <v>106</v>
      </c>
      <c r="C13" s="107">
        <v>4</v>
      </c>
      <c r="D13" s="111">
        <v>1</v>
      </c>
      <c r="E13" s="106" t="s">
        <v>107</v>
      </c>
      <c r="F13" s="108">
        <v>750</v>
      </c>
      <c r="G13" s="112">
        <v>750</v>
      </c>
      <c r="H13" s="109">
        <v>750</v>
      </c>
      <c r="I13" s="109">
        <v>750</v>
      </c>
      <c r="J13" s="109">
        <v>750</v>
      </c>
      <c r="K13" s="112"/>
      <c r="L13" s="110"/>
    </row>
    <row r="14" spans="1:12" ht="15.95" customHeight="1" x14ac:dyDescent="0.2">
      <c r="A14" s="106" t="s">
        <v>108</v>
      </c>
      <c r="B14" s="106" t="s">
        <v>109</v>
      </c>
      <c r="C14" s="107">
        <v>5</v>
      </c>
      <c r="D14" s="111">
        <v>1</v>
      </c>
      <c r="E14" s="106" t="s">
        <v>110</v>
      </c>
      <c r="F14" s="108">
        <v>468.75</v>
      </c>
      <c r="G14" s="112">
        <f t="shared" ref="G14:G29" si="1">F14+50</f>
        <v>518.75</v>
      </c>
      <c r="H14" s="109">
        <f t="shared" si="0"/>
        <v>561</v>
      </c>
      <c r="I14" s="109">
        <v>561</v>
      </c>
      <c r="J14" s="109">
        <v>561</v>
      </c>
      <c r="K14" s="112"/>
      <c r="L14" s="110"/>
    </row>
    <row r="15" spans="1:12" ht="15.95" customHeight="1" x14ac:dyDescent="0.2">
      <c r="A15" s="106" t="s">
        <v>111</v>
      </c>
      <c r="B15" s="106" t="s">
        <v>112</v>
      </c>
      <c r="C15" s="107">
        <v>6</v>
      </c>
      <c r="D15" s="111">
        <v>1</v>
      </c>
      <c r="E15" s="106" t="s">
        <v>113</v>
      </c>
      <c r="F15" s="108">
        <v>468.75</v>
      </c>
      <c r="G15" s="112">
        <f t="shared" si="1"/>
        <v>518.75</v>
      </c>
      <c r="H15" s="109">
        <f t="shared" si="0"/>
        <v>561</v>
      </c>
      <c r="I15" s="109">
        <v>561</v>
      </c>
      <c r="J15" s="109">
        <v>561</v>
      </c>
      <c r="K15" s="112"/>
      <c r="L15" s="110"/>
    </row>
    <row r="16" spans="1:12" ht="15.95" customHeight="1" x14ac:dyDescent="0.2">
      <c r="A16" s="106" t="s">
        <v>114</v>
      </c>
      <c r="B16" s="106" t="s">
        <v>115</v>
      </c>
      <c r="C16" s="107">
        <v>7</v>
      </c>
      <c r="D16" s="111">
        <v>4</v>
      </c>
      <c r="E16" s="106" t="s">
        <v>116</v>
      </c>
      <c r="F16" s="108">
        <v>495</v>
      </c>
      <c r="G16" s="112">
        <f>F16+75</f>
        <v>570</v>
      </c>
      <c r="H16" s="109">
        <f>G16+44</f>
        <v>614</v>
      </c>
      <c r="I16" s="109">
        <v>614</v>
      </c>
      <c r="J16" s="109">
        <v>614</v>
      </c>
      <c r="K16" s="112"/>
      <c r="L16" s="110"/>
    </row>
    <row r="17" spans="1:12" ht="15.95" customHeight="1" x14ac:dyDescent="0.2">
      <c r="A17" s="106" t="s">
        <v>117</v>
      </c>
      <c r="B17" s="106" t="s">
        <v>118</v>
      </c>
      <c r="C17" s="107">
        <v>8</v>
      </c>
      <c r="D17" s="111">
        <v>5</v>
      </c>
      <c r="E17" s="106" t="s">
        <v>119</v>
      </c>
      <c r="F17" s="108">
        <v>517.5</v>
      </c>
      <c r="G17" s="112">
        <f>F17+100</f>
        <v>617.5</v>
      </c>
      <c r="H17" s="109">
        <f>G17+100</f>
        <v>717.5</v>
      </c>
      <c r="I17" s="109">
        <v>717.5</v>
      </c>
      <c r="J17" s="109">
        <v>717.5</v>
      </c>
      <c r="K17" s="112"/>
      <c r="L17" s="110"/>
    </row>
    <row r="18" spans="1:12" ht="15.95" customHeight="1" x14ac:dyDescent="0.2">
      <c r="A18" s="106" t="s">
        <v>120</v>
      </c>
      <c r="B18" s="106" t="s">
        <v>121</v>
      </c>
      <c r="C18" s="107">
        <v>9</v>
      </c>
      <c r="D18" s="111">
        <v>4</v>
      </c>
      <c r="E18" s="106" t="s">
        <v>116</v>
      </c>
      <c r="F18" s="108">
        <v>495</v>
      </c>
      <c r="G18" s="112">
        <f t="shared" si="1"/>
        <v>545</v>
      </c>
      <c r="H18" s="109">
        <f>G18+50</f>
        <v>595</v>
      </c>
      <c r="I18" s="109">
        <v>595</v>
      </c>
      <c r="J18" s="109">
        <v>595</v>
      </c>
      <c r="K18" s="112"/>
      <c r="L18" s="110"/>
    </row>
    <row r="19" spans="1:12" ht="15.95" customHeight="1" x14ac:dyDescent="0.2">
      <c r="A19" s="106" t="s">
        <v>122</v>
      </c>
      <c r="B19" s="106" t="s">
        <v>123</v>
      </c>
      <c r="C19" s="107">
        <v>10</v>
      </c>
      <c r="D19" s="111">
        <v>1</v>
      </c>
      <c r="E19" s="106" t="s">
        <v>124</v>
      </c>
      <c r="F19" s="108">
        <v>468.75</v>
      </c>
      <c r="G19" s="112">
        <f t="shared" si="1"/>
        <v>518.75</v>
      </c>
      <c r="H19" s="109">
        <f t="shared" si="0"/>
        <v>561</v>
      </c>
      <c r="I19" s="109">
        <v>561</v>
      </c>
      <c r="J19" s="109">
        <v>561</v>
      </c>
      <c r="K19" s="112"/>
      <c r="L19" s="110"/>
    </row>
    <row r="20" spans="1:12" ht="15.95" customHeight="1" x14ac:dyDescent="0.2">
      <c r="A20" s="106" t="s">
        <v>125</v>
      </c>
      <c r="B20" s="106" t="s">
        <v>126</v>
      </c>
      <c r="C20" s="107">
        <v>11</v>
      </c>
      <c r="D20" s="111">
        <v>1</v>
      </c>
      <c r="E20" s="106" t="s">
        <v>124</v>
      </c>
      <c r="F20" s="108">
        <v>468.75</v>
      </c>
      <c r="G20" s="112">
        <f t="shared" si="1"/>
        <v>518.75</v>
      </c>
      <c r="H20" s="109">
        <f t="shared" si="0"/>
        <v>561</v>
      </c>
      <c r="I20" s="109">
        <v>561</v>
      </c>
      <c r="J20" s="109">
        <v>561</v>
      </c>
      <c r="K20" s="112"/>
      <c r="L20" s="110"/>
    </row>
    <row r="21" spans="1:12" ht="15.95" customHeight="1" x14ac:dyDescent="0.2">
      <c r="A21" s="106" t="s">
        <v>127</v>
      </c>
      <c r="B21" s="106" t="s">
        <v>128</v>
      </c>
      <c r="C21" s="107">
        <v>12</v>
      </c>
      <c r="D21" s="111">
        <v>2</v>
      </c>
      <c r="E21" s="106" t="s">
        <v>129</v>
      </c>
      <c r="F21" s="108">
        <v>517.5</v>
      </c>
      <c r="G21" s="112">
        <f t="shared" si="1"/>
        <v>567.5</v>
      </c>
      <c r="H21" s="109">
        <f>G21+10.5</f>
        <v>578</v>
      </c>
      <c r="I21" s="109">
        <v>578</v>
      </c>
      <c r="J21" s="109">
        <v>578</v>
      </c>
      <c r="K21" s="112"/>
      <c r="L21" s="110"/>
    </row>
    <row r="22" spans="1:12" ht="15.95" customHeight="1" x14ac:dyDescent="0.2">
      <c r="A22" s="106" t="s">
        <v>130</v>
      </c>
      <c r="B22" s="106" t="s">
        <v>131</v>
      </c>
      <c r="C22" s="107">
        <v>13</v>
      </c>
      <c r="D22" s="111">
        <v>1</v>
      </c>
      <c r="E22" s="106" t="s">
        <v>132</v>
      </c>
      <c r="F22" s="108">
        <v>480</v>
      </c>
      <c r="G22" s="112">
        <f t="shared" si="1"/>
        <v>530</v>
      </c>
      <c r="H22" s="109">
        <f>G22+31</f>
        <v>561</v>
      </c>
      <c r="I22" s="109">
        <v>561</v>
      </c>
      <c r="J22" s="109">
        <v>561</v>
      </c>
      <c r="K22" s="112"/>
      <c r="L22" s="110"/>
    </row>
    <row r="23" spans="1:12" ht="15.95" customHeight="1" x14ac:dyDescent="0.2">
      <c r="A23" s="106" t="s">
        <v>133</v>
      </c>
      <c r="B23" s="106" t="s">
        <v>134</v>
      </c>
      <c r="C23" s="107">
        <v>14</v>
      </c>
      <c r="D23" s="111">
        <v>1</v>
      </c>
      <c r="E23" s="106" t="s">
        <v>135</v>
      </c>
      <c r="F23" s="108">
        <v>468.75</v>
      </c>
      <c r="G23" s="112">
        <f t="shared" si="1"/>
        <v>518.75</v>
      </c>
      <c r="H23" s="109">
        <f t="shared" si="0"/>
        <v>561</v>
      </c>
      <c r="I23" s="109">
        <v>561</v>
      </c>
      <c r="J23" s="109">
        <v>561</v>
      </c>
      <c r="K23" s="112"/>
      <c r="L23" s="110"/>
    </row>
    <row r="24" spans="1:12" ht="15.95" customHeight="1" x14ac:dyDescent="0.2">
      <c r="A24" s="106" t="s">
        <v>136</v>
      </c>
      <c r="B24" s="106" t="s">
        <v>137</v>
      </c>
      <c r="C24" s="107">
        <v>15</v>
      </c>
      <c r="D24" s="111">
        <v>5</v>
      </c>
      <c r="E24" s="106" t="s">
        <v>138</v>
      </c>
      <c r="F24" s="108">
        <v>517.5</v>
      </c>
      <c r="G24" s="112">
        <f t="shared" si="1"/>
        <v>567.5</v>
      </c>
      <c r="H24" s="109">
        <f>G24+100</f>
        <v>667.5</v>
      </c>
      <c r="I24" s="109">
        <v>667.5</v>
      </c>
      <c r="J24" s="109">
        <v>667.5</v>
      </c>
      <c r="K24" s="112"/>
      <c r="L24" s="110"/>
    </row>
    <row r="25" spans="1:12" ht="15.95" customHeight="1" x14ac:dyDescent="0.2">
      <c r="A25" s="106" t="s">
        <v>139</v>
      </c>
      <c r="B25" s="106" t="s">
        <v>140</v>
      </c>
      <c r="C25" s="107">
        <v>16</v>
      </c>
      <c r="D25" s="111">
        <v>4</v>
      </c>
      <c r="E25" s="106" t="s">
        <v>141</v>
      </c>
      <c r="F25" s="108">
        <v>495</v>
      </c>
      <c r="G25" s="112">
        <f>F25+75</f>
        <v>570</v>
      </c>
      <c r="H25" s="109">
        <f>G25+44</f>
        <v>614</v>
      </c>
      <c r="I25" s="109">
        <v>614</v>
      </c>
      <c r="J25" s="109">
        <v>614</v>
      </c>
      <c r="K25" s="112"/>
      <c r="L25" s="110"/>
    </row>
    <row r="26" spans="1:12" ht="15.95" customHeight="1" x14ac:dyDescent="0.2">
      <c r="A26" s="106" t="s">
        <v>142</v>
      </c>
      <c r="B26" s="106" t="s">
        <v>143</v>
      </c>
      <c r="C26" s="107">
        <v>17</v>
      </c>
      <c r="D26" s="111">
        <v>5</v>
      </c>
      <c r="E26" s="106" t="s">
        <v>144</v>
      </c>
      <c r="F26" s="108">
        <v>480</v>
      </c>
      <c r="G26" s="112">
        <f t="shared" si="1"/>
        <v>530</v>
      </c>
      <c r="H26" s="109">
        <f>G26+31</f>
        <v>561</v>
      </c>
      <c r="I26" s="109">
        <v>561</v>
      </c>
      <c r="J26" s="109">
        <v>561</v>
      </c>
      <c r="K26" s="112"/>
      <c r="L26" s="110"/>
    </row>
    <row r="27" spans="1:12" ht="15.95" customHeight="1" x14ac:dyDescent="0.2">
      <c r="A27" s="106" t="s">
        <v>145</v>
      </c>
      <c r="B27" s="106" t="s">
        <v>146</v>
      </c>
      <c r="C27" s="107">
        <v>18</v>
      </c>
      <c r="D27" s="111">
        <v>1</v>
      </c>
      <c r="E27" s="106" t="s">
        <v>147</v>
      </c>
      <c r="F27" s="108">
        <v>476.25</v>
      </c>
      <c r="G27" s="112">
        <f t="shared" si="1"/>
        <v>526.25</v>
      </c>
      <c r="H27" s="109">
        <f>G27+34.75</f>
        <v>561</v>
      </c>
      <c r="I27" s="109">
        <v>561</v>
      </c>
      <c r="J27" s="109">
        <v>561</v>
      </c>
      <c r="K27" s="112"/>
      <c r="L27" s="110"/>
    </row>
    <row r="28" spans="1:12" ht="15.95" customHeight="1" x14ac:dyDescent="0.2">
      <c r="A28" s="106" t="s">
        <v>148</v>
      </c>
      <c r="B28" s="106" t="s">
        <v>149</v>
      </c>
      <c r="C28" s="107">
        <v>19</v>
      </c>
      <c r="D28" s="111">
        <v>1</v>
      </c>
      <c r="E28" s="106" t="s">
        <v>150</v>
      </c>
      <c r="F28" s="108">
        <v>468.75</v>
      </c>
      <c r="G28" s="112">
        <f t="shared" si="1"/>
        <v>518.75</v>
      </c>
      <c r="H28" s="109">
        <f t="shared" ref="H28:J29" si="2">G28+42.25</f>
        <v>561</v>
      </c>
      <c r="I28" s="109">
        <v>561</v>
      </c>
      <c r="J28" s="109">
        <v>561</v>
      </c>
      <c r="K28" s="112"/>
      <c r="L28" s="110"/>
    </row>
    <row r="29" spans="1:12" ht="15.95" customHeight="1" x14ac:dyDescent="0.2">
      <c r="A29" s="106" t="s">
        <v>151</v>
      </c>
      <c r="B29" s="106" t="s">
        <v>152</v>
      </c>
      <c r="C29" s="107">
        <v>20</v>
      </c>
      <c r="D29" s="111">
        <v>1</v>
      </c>
      <c r="E29" s="106" t="s">
        <v>150</v>
      </c>
      <c r="F29" s="108">
        <v>468.75</v>
      </c>
      <c r="G29" s="112">
        <f t="shared" si="1"/>
        <v>518.75</v>
      </c>
      <c r="H29" s="109">
        <f t="shared" si="2"/>
        <v>561</v>
      </c>
      <c r="I29" s="109">
        <v>561</v>
      </c>
      <c r="J29" s="109">
        <v>561</v>
      </c>
      <c r="K29" s="112"/>
      <c r="L29" s="110"/>
    </row>
    <row r="30" spans="1:12" ht="15.95" customHeight="1" x14ac:dyDescent="0.2">
      <c r="A30" s="111"/>
      <c r="B30" s="113"/>
      <c r="C30" s="111"/>
      <c r="D30" s="111"/>
      <c r="E30" s="113"/>
      <c r="F30" s="112"/>
      <c r="G30" s="112"/>
      <c r="H30" s="112"/>
      <c r="I30" s="112"/>
      <c r="J30" s="112"/>
      <c r="K30" s="112"/>
      <c r="L30" s="110"/>
    </row>
    <row r="31" spans="1:12" ht="15.95" customHeight="1" x14ac:dyDescent="0.2">
      <c r="A31" s="111"/>
      <c r="B31" s="114"/>
      <c r="C31" s="111"/>
      <c r="D31" s="111"/>
      <c r="E31" s="113"/>
      <c r="F31" s="112"/>
      <c r="G31" s="112"/>
      <c r="H31" s="112"/>
      <c r="I31" s="112"/>
      <c r="J31" s="112"/>
      <c r="K31" s="112"/>
      <c r="L31" s="110"/>
    </row>
    <row r="32" spans="1:12" ht="15.95" customHeight="1" x14ac:dyDescent="0.2">
      <c r="A32" s="115"/>
      <c r="B32" s="115"/>
      <c r="C32" s="115"/>
      <c r="D32" s="115"/>
      <c r="E32" s="116" t="s">
        <v>153</v>
      </c>
      <c r="F32" s="117">
        <f>SUM(F10:F31)</f>
        <v>10218.75</v>
      </c>
      <c r="G32" s="117">
        <f>SUM(G10:G31)</f>
        <v>11218.75</v>
      </c>
      <c r="H32" s="117">
        <f>SUM(H10:H31)</f>
        <v>12071</v>
      </c>
      <c r="I32" s="117">
        <f t="shared" ref="I32:J32" si="3">SUM(I10:I31)</f>
        <v>12071</v>
      </c>
      <c r="J32" s="117">
        <f t="shared" si="3"/>
        <v>12071</v>
      </c>
      <c r="K32" s="118"/>
      <c r="L32" s="119"/>
    </row>
    <row r="33" spans="1:12" ht="15.95" customHeight="1" x14ac:dyDescent="0.2">
      <c r="A33" s="120"/>
      <c r="B33" s="120"/>
      <c r="C33" s="120"/>
      <c r="D33" s="120"/>
      <c r="E33" s="121"/>
      <c r="F33" s="122"/>
      <c r="G33" s="122"/>
      <c r="H33" s="122"/>
      <c r="I33" s="122"/>
      <c r="J33" s="122"/>
      <c r="K33" s="122"/>
      <c r="L33" s="122"/>
    </row>
    <row r="34" spans="1:12" ht="15.95" customHeight="1" x14ac:dyDescent="0.2">
      <c r="A34" s="120" t="s">
        <v>154</v>
      </c>
      <c r="B34" s="123" t="s">
        <v>155</v>
      </c>
      <c r="C34" s="120"/>
      <c r="D34" s="120"/>
      <c r="E34" s="121"/>
      <c r="F34" s="122"/>
      <c r="G34" s="122"/>
      <c r="H34" s="122"/>
      <c r="I34" s="122"/>
      <c r="J34" s="122"/>
      <c r="K34" s="124"/>
    </row>
    <row r="35" spans="1:12" ht="15.95" customHeight="1" x14ac:dyDescent="0.2">
      <c r="A35" s="54" t="s">
        <v>156</v>
      </c>
      <c r="B35" s="120"/>
      <c r="C35" s="120"/>
      <c r="D35" s="120"/>
      <c r="E35" s="121"/>
      <c r="F35" s="122"/>
      <c r="G35" s="122"/>
      <c r="H35" s="122"/>
      <c r="I35" s="122"/>
      <c r="J35" s="122"/>
      <c r="K35" s="124"/>
    </row>
    <row r="36" spans="1:12" ht="15.95" customHeight="1" x14ac:dyDescent="0.2">
      <c r="A36" s="54" t="s">
        <v>157</v>
      </c>
      <c r="B36" s="120"/>
      <c r="C36" s="120"/>
      <c r="D36" s="120"/>
      <c r="E36" s="121"/>
      <c r="F36" s="122"/>
      <c r="G36" s="122"/>
      <c r="H36" s="122"/>
      <c r="I36" s="122"/>
      <c r="J36" s="122"/>
      <c r="K36" s="124"/>
    </row>
    <row r="37" spans="1:12" ht="15.95" customHeight="1" x14ac:dyDescent="0.2">
      <c r="A37" s="54" t="s">
        <v>40</v>
      </c>
      <c r="B37" s="52"/>
      <c r="C37" s="52"/>
      <c r="D37" s="52"/>
      <c r="E37" s="52"/>
      <c r="F37" s="52"/>
      <c r="G37" s="52"/>
      <c r="H37" s="52"/>
      <c r="I37" s="52"/>
      <c r="J37" s="52"/>
    </row>
    <row r="38" spans="1:12" ht="15.95" customHeight="1" x14ac:dyDescent="0.2">
      <c r="A38" s="54"/>
      <c r="B38" s="52"/>
      <c r="C38" s="52"/>
      <c r="D38" s="52"/>
      <c r="E38" s="52"/>
      <c r="F38" s="52"/>
      <c r="G38" s="52"/>
      <c r="H38" s="52"/>
      <c r="I38" s="52"/>
      <c r="J38" s="52"/>
    </row>
    <row r="39" spans="1:12" ht="15.95" customHeight="1" x14ac:dyDescent="0.2">
      <c r="A39" s="52"/>
      <c r="B39" s="52"/>
      <c r="C39" s="52"/>
      <c r="D39" s="52"/>
      <c r="E39" s="52"/>
      <c r="F39" s="52"/>
      <c r="G39" s="52"/>
      <c r="H39" s="52"/>
      <c r="I39" s="52"/>
      <c r="J39" s="52"/>
    </row>
    <row r="40" spans="1:12" ht="15.95" customHeight="1" x14ac:dyDescent="0.2">
      <c r="A40" s="52"/>
      <c r="B40" s="52"/>
      <c r="C40" s="52"/>
      <c r="D40" s="52"/>
      <c r="E40" s="52"/>
      <c r="F40" s="52"/>
      <c r="G40" s="52"/>
      <c r="H40" s="52"/>
      <c r="I40" s="52"/>
      <c r="J40" s="52"/>
    </row>
    <row r="41" spans="1:12" ht="15.95" customHeight="1" x14ac:dyDescent="0.2">
      <c r="A41" s="52"/>
      <c r="B41" s="52"/>
      <c r="C41" s="52"/>
      <c r="D41" s="52"/>
      <c r="E41" s="52"/>
      <c r="F41" s="125"/>
      <c r="G41" s="125"/>
      <c r="H41" s="125"/>
      <c r="I41" s="125"/>
      <c r="J41" s="125"/>
    </row>
    <row r="42" spans="1:12" ht="15.95" customHeight="1" x14ac:dyDescent="0.2">
      <c r="A42" s="2"/>
      <c r="B42" s="52"/>
      <c r="D42" s="52"/>
      <c r="G42" s="52"/>
      <c r="H42" s="52"/>
      <c r="I42" s="52"/>
      <c r="J42" s="52"/>
    </row>
    <row r="43" spans="1:12" ht="15.95" customHeight="1" x14ac:dyDescent="0.25">
      <c r="A43" s="2"/>
      <c r="B43" s="126" t="s">
        <v>158</v>
      </c>
      <c r="E43" s="52"/>
      <c r="F43" s="57" t="s">
        <v>159</v>
      </c>
      <c r="G43" s="57"/>
      <c r="H43" s="57"/>
      <c r="I43" s="57"/>
      <c r="J43" s="57"/>
      <c r="K43" s="57"/>
    </row>
    <row r="44" spans="1:12" ht="15.95" customHeight="1" x14ac:dyDescent="0.25">
      <c r="A44" s="2"/>
      <c r="E44" s="52"/>
      <c r="F44" s="56"/>
      <c r="G44" s="56"/>
      <c r="H44" s="56"/>
      <c r="I44" s="56"/>
      <c r="J44" s="56"/>
      <c r="K44" s="56"/>
    </row>
    <row r="45" spans="1:12" ht="17.25" customHeight="1" x14ac:dyDescent="0.25">
      <c r="A45" s="2"/>
      <c r="B45" s="127" t="s">
        <v>43</v>
      </c>
      <c r="E45" s="128"/>
      <c r="F45" s="58" t="s">
        <v>44</v>
      </c>
      <c r="G45" s="98"/>
      <c r="H45" s="98"/>
      <c r="I45" s="98"/>
      <c r="J45" s="98"/>
      <c r="K45" s="98"/>
    </row>
    <row r="46" spans="1:12" ht="15" x14ac:dyDescent="0.25">
      <c r="A46" s="2"/>
      <c r="B46" s="58" t="s">
        <v>45</v>
      </c>
      <c r="C46" s="52"/>
      <c r="D46" s="52"/>
      <c r="E46" s="2"/>
      <c r="F46" s="2"/>
      <c r="G46" s="2"/>
      <c r="H46" s="2"/>
      <c r="I46" s="2"/>
      <c r="J46" s="2"/>
    </row>
    <row r="47" spans="1:12" ht="15" x14ac:dyDescent="0.25">
      <c r="A47" s="2"/>
      <c r="B47" s="58" t="s">
        <v>46</v>
      </c>
      <c r="C47" s="52"/>
      <c r="D47" s="52"/>
      <c r="E47" s="2"/>
      <c r="F47" s="2"/>
      <c r="G47" s="2"/>
      <c r="H47" s="2"/>
      <c r="I47" s="2"/>
      <c r="J47" s="2"/>
    </row>
    <row r="49" spans="1:11" ht="18.75" x14ac:dyDescent="0.2">
      <c r="A49" s="100" t="s">
        <v>0</v>
      </c>
      <c r="B49" s="100"/>
      <c r="C49" s="100"/>
      <c r="D49" s="100"/>
      <c r="E49" s="100"/>
      <c r="F49" s="100"/>
      <c r="G49" s="100"/>
      <c r="H49" s="100"/>
      <c r="I49" s="100"/>
      <c r="J49" s="100"/>
      <c r="K49" s="100"/>
    </row>
    <row r="50" spans="1:11" ht="15.75" x14ac:dyDescent="0.2">
      <c r="A50" s="101" t="s">
        <v>83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</row>
    <row r="51" spans="1:11" ht="15.75" x14ac:dyDescent="0.25">
      <c r="A51" s="3" t="s">
        <v>84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1" ht="15.75" x14ac:dyDescent="0.25">
      <c r="A53" s="3" t="s">
        <v>85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x14ac:dyDescent="0.25">
      <c r="A54" s="5" t="s">
        <v>4</v>
      </c>
      <c r="B54" s="61"/>
      <c r="C54" s="62"/>
      <c r="D54" s="62"/>
      <c r="E54" s="63"/>
      <c r="F54" s="63"/>
      <c r="G54" s="63"/>
      <c r="H54" s="63"/>
      <c r="I54" s="63"/>
      <c r="J54" s="63"/>
    </row>
    <row r="55" spans="1:11" ht="15.75" x14ac:dyDescent="0.25">
      <c r="A55" s="6" t="s">
        <v>5</v>
      </c>
      <c r="B55" s="64"/>
      <c r="C55" s="64"/>
      <c r="D55" s="64"/>
      <c r="E55" s="64"/>
      <c r="F55" s="64"/>
      <c r="G55" s="64"/>
      <c r="H55" s="64"/>
      <c r="I55" s="64"/>
      <c r="J55" s="64"/>
    </row>
    <row r="56" spans="1:11" ht="16.5" thickBot="1" x14ac:dyDescent="0.3">
      <c r="A56" s="6"/>
      <c r="B56" s="64"/>
      <c r="C56" s="64"/>
      <c r="D56" s="64"/>
      <c r="E56" s="64"/>
      <c r="F56" s="64"/>
      <c r="G56" s="64"/>
      <c r="H56" s="64"/>
      <c r="I56" s="64"/>
      <c r="J56" s="64"/>
    </row>
    <row r="57" spans="1:11" ht="90.75" thickBot="1" x14ac:dyDescent="0.25">
      <c r="A57" s="129" t="s">
        <v>86</v>
      </c>
      <c r="B57" s="130" t="s">
        <v>87</v>
      </c>
      <c r="C57" s="103" t="s">
        <v>88</v>
      </c>
      <c r="D57" s="103" t="s">
        <v>89</v>
      </c>
      <c r="E57" s="103" t="s">
        <v>90</v>
      </c>
      <c r="F57" s="103" t="s">
        <v>91</v>
      </c>
      <c r="G57" s="104" t="s">
        <v>92</v>
      </c>
      <c r="H57" s="104" t="s">
        <v>93</v>
      </c>
      <c r="I57" s="104" t="s">
        <v>94</v>
      </c>
      <c r="J57" s="104" t="s">
        <v>95</v>
      </c>
      <c r="K57" s="104" t="s">
        <v>12</v>
      </c>
    </row>
    <row r="58" spans="1:11" ht="14.25" x14ac:dyDescent="0.2">
      <c r="A58" s="131" t="s">
        <v>160</v>
      </c>
      <c r="B58" s="132" t="s">
        <v>161</v>
      </c>
      <c r="C58" s="107">
        <v>1</v>
      </c>
      <c r="D58" s="107">
        <v>3</v>
      </c>
      <c r="E58" s="106" t="s">
        <v>162</v>
      </c>
      <c r="F58" s="108">
        <v>481</v>
      </c>
      <c r="G58" s="109">
        <f>F58+75</f>
        <v>556</v>
      </c>
      <c r="H58" s="109">
        <f>G58+40</f>
        <v>596</v>
      </c>
      <c r="I58" s="109">
        <v>596</v>
      </c>
      <c r="J58" s="109">
        <v>596</v>
      </c>
      <c r="K58" s="109"/>
    </row>
    <row r="59" spans="1:11" ht="14.25" x14ac:dyDescent="0.2">
      <c r="A59" s="131" t="s">
        <v>163</v>
      </c>
      <c r="B59" s="132" t="s">
        <v>164</v>
      </c>
      <c r="C59" s="107">
        <v>2</v>
      </c>
      <c r="D59" s="111">
        <v>3</v>
      </c>
      <c r="E59" s="106" t="s">
        <v>162</v>
      </c>
      <c r="F59" s="108">
        <v>481</v>
      </c>
      <c r="G59" s="109">
        <f t="shared" ref="G59:H61" si="4">F59+75</f>
        <v>556</v>
      </c>
      <c r="H59" s="109">
        <f t="shared" ref="H59:H60" si="5">G59+40</f>
        <v>596</v>
      </c>
      <c r="I59" s="109">
        <v>596</v>
      </c>
      <c r="J59" s="109">
        <v>596</v>
      </c>
      <c r="K59" s="112"/>
    </row>
    <row r="60" spans="1:11" ht="14.25" x14ac:dyDescent="0.2">
      <c r="A60" s="131" t="s">
        <v>165</v>
      </c>
      <c r="B60" s="132" t="s">
        <v>166</v>
      </c>
      <c r="C60" s="107">
        <v>3</v>
      </c>
      <c r="D60" s="111">
        <v>3</v>
      </c>
      <c r="E60" s="106" t="s">
        <v>162</v>
      </c>
      <c r="F60" s="108">
        <v>481</v>
      </c>
      <c r="G60" s="109">
        <f t="shared" si="4"/>
        <v>556</v>
      </c>
      <c r="H60" s="109">
        <f t="shared" si="5"/>
        <v>596</v>
      </c>
      <c r="I60" s="109">
        <v>596</v>
      </c>
      <c r="J60" s="109">
        <v>596</v>
      </c>
      <c r="K60" s="112"/>
    </row>
    <row r="61" spans="1:11" ht="14.25" x14ac:dyDescent="0.2">
      <c r="A61" s="131" t="s">
        <v>167</v>
      </c>
      <c r="B61" s="132" t="s">
        <v>168</v>
      </c>
      <c r="C61" s="107">
        <v>4</v>
      </c>
      <c r="D61" s="111">
        <v>3</v>
      </c>
      <c r="E61" s="106" t="s">
        <v>169</v>
      </c>
      <c r="F61" s="108">
        <v>400</v>
      </c>
      <c r="G61" s="109">
        <f t="shared" si="4"/>
        <v>475</v>
      </c>
      <c r="H61" s="109">
        <f>G61+75</f>
        <v>550</v>
      </c>
      <c r="I61" s="109">
        <v>550</v>
      </c>
      <c r="J61" s="109">
        <v>550</v>
      </c>
      <c r="K61" s="112"/>
    </row>
    <row r="62" spans="1:11" ht="14.25" x14ac:dyDescent="0.2">
      <c r="A62" s="131" t="s">
        <v>170</v>
      </c>
      <c r="B62" s="132" t="s">
        <v>171</v>
      </c>
      <c r="C62" s="107">
        <v>5</v>
      </c>
      <c r="D62" s="111">
        <v>6</v>
      </c>
      <c r="E62" s="106" t="s">
        <v>172</v>
      </c>
      <c r="F62" s="108">
        <v>503</v>
      </c>
      <c r="G62" s="112">
        <f>F62+100</f>
        <v>603</v>
      </c>
      <c r="H62" s="112">
        <f>G62+100</f>
        <v>703</v>
      </c>
      <c r="I62" s="109">
        <v>703</v>
      </c>
      <c r="J62" s="109">
        <v>703</v>
      </c>
      <c r="K62" s="112"/>
    </row>
    <row r="63" spans="1:11" ht="14.25" x14ac:dyDescent="0.2">
      <c r="A63" s="131" t="s">
        <v>173</v>
      </c>
      <c r="B63" s="132" t="s">
        <v>174</v>
      </c>
      <c r="C63" s="107">
        <v>6</v>
      </c>
      <c r="D63" s="111">
        <v>1</v>
      </c>
      <c r="E63" s="106" t="s">
        <v>175</v>
      </c>
      <c r="F63" s="108">
        <v>386</v>
      </c>
      <c r="G63" s="112">
        <f>F63+75</f>
        <v>461</v>
      </c>
      <c r="H63" s="109">
        <f>G63+75</f>
        <v>536</v>
      </c>
      <c r="I63" s="109">
        <v>536</v>
      </c>
      <c r="J63" s="109">
        <v>536</v>
      </c>
      <c r="K63" s="112"/>
    </row>
    <row r="64" spans="1:11" ht="14.25" x14ac:dyDescent="0.2">
      <c r="A64" s="131" t="s">
        <v>176</v>
      </c>
      <c r="B64" s="132" t="s">
        <v>177</v>
      </c>
      <c r="C64" s="107">
        <v>7</v>
      </c>
      <c r="D64" s="111">
        <v>1</v>
      </c>
      <c r="E64" s="106" t="s">
        <v>175</v>
      </c>
      <c r="F64" s="108">
        <v>435</v>
      </c>
      <c r="G64" s="112">
        <f>F64+75</f>
        <v>510</v>
      </c>
      <c r="H64" s="109">
        <f>G64+51</f>
        <v>561</v>
      </c>
      <c r="I64" s="109">
        <v>561</v>
      </c>
      <c r="J64" s="109">
        <v>561</v>
      </c>
      <c r="K64" s="112"/>
    </row>
    <row r="65" spans="1:11" ht="14.25" x14ac:dyDescent="0.2">
      <c r="A65" s="131" t="s">
        <v>178</v>
      </c>
      <c r="B65" s="132" t="s">
        <v>179</v>
      </c>
      <c r="C65" s="107">
        <v>8</v>
      </c>
      <c r="D65" s="111">
        <v>1</v>
      </c>
      <c r="E65" s="106" t="s">
        <v>175</v>
      </c>
      <c r="F65" s="108">
        <v>386</v>
      </c>
      <c r="G65" s="112">
        <f>F65+75</f>
        <v>461</v>
      </c>
      <c r="H65" s="109">
        <f>G65+75</f>
        <v>536</v>
      </c>
      <c r="I65" s="109">
        <v>536</v>
      </c>
      <c r="J65" s="109">
        <v>536</v>
      </c>
      <c r="K65" s="112"/>
    </row>
    <row r="66" spans="1:11" ht="14.25" x14ac:dyDescent="0.2">
      <c r="A66" s="131" t="s">
        <v>180</v>
      </c>
      <c r="B66" s="132" t="s">
        <v>181</v>
      </c>
      <c r="C66" s="107">
        <v>9</v>
      </c>
      <c r="D66" s="111">
        <v>1</v>
      </c>
      <c r="E66" s="106" t="s">
        <v>175</v>
      </c>
      <c r="F66" s="108">
        <v>386</v>
      </c>
      <c r="G66" s="112">
        <f>F66+75</f>
        <v>461</v>
      </c>
      <c r="H66" s="109">
        <f>G66+75</f>
        <v>536</v>
      </c>
      <c r="I66" s="109">
        <v>536</v>
      </c>
      <c r="J66" s="109">
        <v>536</v>
      </c>
      <c r="K66" s="112"/>
    </row>
    <row r="67" spans="1:11" ht="14.25" x14ac:dyDescent="0.2">
      <c r="A67" s="131" t="s">
        <v>182</v>
      </c>
      <c r="B67" s="132" t="s">
        <v>183</v>
      </c>
      <c r="C67" s="107">
        <v>10</v>
      </c>
      <c r="D67" s="111">
        <v>1</v>
      </c>
      <c r="E67" s="106" t="s">
        <v>175</v>
      </c>
      <c r="F67" s="108">
        <v>451</v>
      </c>
      <c r="G67" s="112">
        <f>F67+75</f>
        <v>526</v>
      </c>
      <c r="H67" s="109">
        <f>G67+35</f>
        <v>561</v>
      </c>
      <c r="I67" s="109">
        <v>561</v>
      </c>
      <c r="J67" s="109">
        <v>561</v>
      </c>
      <c r="K67" s="112"/>
    </row>
    <row r="68" spans="1:11" ht="14.25" x14ac:dyDescent="0.2">
      <c r="A68" s="133" t="s">
        <v>184</v>
      </c>
      <c r="B68" s="134" t="s">
        <v>185</v>
      </c>
      <c r="C68" s="107">
        <v>11</v>
      </c>
      <c r="D68" s="111">
        <v>1</v>
      </c>
      <c r="E68" s="106" t="s">
        <v>175</v>
      </c>
      <c r="F68" s="108">
        <v>435</v>
      </c>
      <c r="G68" s="112">
        <f>F68+75</f>
        <v>510</v>
      </c>
      <c r="H68" s="109">
        <f>G68+51</f>
        <v>561</v>
      </c>
      <c r="I68" s="109">
        <v>561</v>
      </c>
      <c r="J68" s="109">
        <v>561</v>
      </c>
      <c r="K68" s="112"/>
    </row>
    <row r="69" spans="1:11" ht="14.25" x14ac:dyDescent="0.2">
      <c r="A69" s="131" t="s">
        <v>186</v>
      </c>
      <c r="B69" s="132" t="s">
        <v>187</v>
      </c>
      <c r="C69" s="107">
        <v>12</v>
      </c>
      <c r="D69" s="111">
        <v>1</v>
      </c>
      <c r="E69" s="106" t="s">
        <v>175</v>
      </c>
      <c r="F69" s="108">
        <v>451</v>
      </c>
      <c r="G69" s="112">
        <f>F69+75</f>
        <v>526</v>
      </c>
      <c r="H69" s="109">
        <f>G69+35</f>
        <v>561</v>
      </c>
      <c r="I69" s="109">
        <v>561</v>
      </c>
      <c r="J69" s="109">
        <v>561</v>
      </c>
      <c r="K69" s="112"/>
    </row>
    <row r="70" spans="1:11" ht="14.25" x14ac:dyDescent="0.2">
      <c r="A70" s="133" t="s">
        <v>188</v>
      </c>
      <c r="B70" s="134" t="s">
        <v>189</v>
      </c>
      <c r="C70" s="107">
        <v>13</v>
      </c>
      <c r="D70" s="111">
        <v>1</v>
      </c>
      <c r="E70" s="106" t="s">
        <v>175</v>
      </c>
      <c r="F70" s="108">
        <v>386</v>
      </c>
      <c r="G70" s="112">
        <f>F70+75</f>
        <v>461</v>
      </c>
      <c r="H70" s="109">
        <f>G70+75</f>
        <v>536</v>
      </c>
      <c r="I70" s="109">
        <v>536</v>
      </c>
      <c r="J70" s="109">
        <v>536</v>
      </c>
      <c r="K70" s="112"/>
    </row>
    <row r="71" spans="1:11" ht="14.25" x14ac:dyDescent="0.2">
      <c r="A71" s="131" t="s">
        <v>190</v>
      </c>
      <c r="B71" s="132" t="s">
        <v>191</v>
      </c>
      <c r="C71" s="107">
        <v>14</v>
      </c>
      <c r="D71" s="111">
        <v>1</v>
      </c>
      <c r="E71" s="106" t="s">
        <v>175</v>
      </c>
      <c r="F71" s="108">
        <v>435</v>
      </c>
      <c r="G71" s="112">
        <f>F71+75</f>
        <v>510</v>
      </c>
      <c r="H71" s="109">
        <f>G71+51</f>
        <v>561</v>
      </c>
      <c r="I71" s="109">
        <v>561</v>
      </c>
      <c r="J71" s="109">
        <v>561</v>
      </c>
      <c r="K71" s="112"/>
    </row>
    <row r="72" spans="1:11" ht="14.25" x14ac:dyDescent="0.2">
      <c r="A72" s="131" t="s">
        <v>192</v>
      </c>
      <c r="B72" s="132" t="s">
        <v>193</v>
      </c>
      <c r="C72" s="107">
        <v>15</v>
      </c>
      <c r="D72" s="111">
        <v>1</v>
      </c>
      <c r="E72" s="106" t="s">
        <v>175</v>
      </c>
      <c r="F72" s="108">
        <v>386</v>
      </c>
      <c r="G72" s="112">
        <f>F72+75</f>
        <v>461</v>
      </c>
      <c r="H72" s="109">
        <f>G72+75</f>
        <v>536</v>
      </c>
      <c r="I72" s="109">
        <v>536</v>
      </c>
      <c r="J72" s="109">
        <v>536</v>
      </c>
      <c r="K72" s="112"/>
    </row>
    <row r="73" spans="1:11" ht="14.25" x14ac:dyDescent="0.2">
      <c r="A73" s="131" t="s">
        <v>194</v>
      </c>
      <c r="B73" s="132" t="s">
        <v>195</v>
      </c>
      <c r="C73" s="107">
        <v>16</v>
      </c>
      <c r="D73" s="111">
        <v>1</v>
      </c>
      <c r="E73" s="106" t="s">
        <v>175</v>
      </c>
      <c r="F73" s="108">
        <v>435</v>
      </c>
      <c r="G73" s="112">
        <f>F73+75</f>
        <v>510</v>
      </c>
      <c r="H73" s="109">
        <f>G73+51</f>
        <v>561</v>
      </c>
      <c r="I73" s="109">
        <v>561</v>
      </c>
      <c r="J73" s="109">
        <v>561</v>
      </c>
      <c r="K73" s="112"/>
    </row>
    <row r="74" spans="1:11" ht="14.25" x14ac:dyDescent="0.2">
      <c r="A74" s="131" t="s">
        <v>196</v>
      </c>
      <c r="B74" s="132" t="s">
        <v>197</v>
      </c>
      <c r="C74" s="107">
        <v>17</v>
      </c>
      <c r="D74" s="111">
        <v>1</v>
      </c>
      <c r="E74" s="106" t="s">
        <v>198</v>
      </c>
      <c r="F74" s="108">
        <v>622</v>
      </c>
      <c r="G74" s="112">
        <v>622</v>
      </c>
      <c r="H74" s="109">
        <v>622</v>
      </c>
      <c r="I74" s="109">
        <v>622</v>
      </c>
      <c r="J74" s="109">
        <v>622</v>
      </c>
      <c r="K74" s="112"/>
    </row>
    <row r="75" spans="1:11" ht="14.25" x14ac:dyDescent="0.2">
      <c r="A75" s="133" t="s">
        <v>199</v>
      </c>
      <c r="B75" s="134" t="s">
        <v>200</v>
      </c>
      <c r="C75" s="107">
        <v>18</v>
      </c>
      <c r="D75" s="111">
        <v>5</v>
      </c>
      <c r="E75" s="106" t="s">
        <v>201</v>
      </c>
      <c r="F75" s="108">
        <v>517.5</v>
      </c>
      <c r="G75" s="112">
        <f>F75+100</f>
        <v>617.5</v>
      </c>
      <c r="H75" s="109">
        <f>G75+100</f>
        <v>717.5</v>
      </c>
      <c r="I75" s="109">
        <v>717.5</v>
      </c>
      <c r="J75" s="109">
        <v>717.5</v>
      </c>
      <c r="K75" s="112"/>
    </row>
    <row r="76" spans="1:11" ht="14.25" x14ac:dyDescent="0.2">
      <c r="A76" s="131" t="s">
        <v>202</v>
      </c>
      <c r="B76" s="132" t="s">
        <v>203</v>
      </c>
      <c r="C76" s="107">
        <v>19</v>
      </c>
      <c r="D76" s="111">
        <v>5</v>
      </c>
      <c r="E76" s="106" t="s">
        <v>204</v>
      </c>
      <c r="F76" s="108">
        <v>517.5</v>
      </c>
      <c r="G76" s="112">
        <f>F76+100</f>
        <v>617.5</v>
      </c>
      <c r="H76" s="109">
        <f>G76+100</f>
        <v>717.5</v>
      </c>
      <c r="I76" s="109">
        <v>717.5</v>
      </c>
      <c r="J76" s="109">
        <v>717.5</v>
      </c>
      <c r="K76" s="112"/>
    </row>
    <row r="77" spans="1:11" x14ac:dyDescent="0.2">
      <c r="A77" s="106"/>
      <c r="B77" s="106"/>
      <c r="C77" s="107"/>
      <c r="D77" s="111"/>
      <c r="E77" s="106"/>
      <c r="F77" s="108"/>
      <c r="G77" s="112"/>
      <c r="H77" s="109"/>
      <c r="I77" s="109"/>
      <c r="J77" s="109"/>
      <c r="K77" s="112"/>
    </row>
    <row r="78" spans="1:11" x14ac:dyDescent="0.2">
      <c r="A78" s="111"/>
      <c r="B78" s="113"/>
      <c r="C78" s="111"/>
      <c r="D78" s="111"/>
      <c r="E78" s="113"/>
      <c r="F78" s="112"/>
      <c r="G78" s="112"/>
      <c r="H78" s="112"/>
      <c r="I78" s="112"/>
      <c r="J78" s="112"/>
      <c r="K78" s="112"/>
    </row>
    <row r="79" spans="1:11" x14ac:dyDescent="0.2">
      <c r="A79" s="111"/>
      <c r="B79" s="114"/>
      <c r="C79" s="111"/>
      <c r="D79" s="111"/>
      <c r="E79" s="113"/>
      <c r="F79" s="112"/>
      <c r="G79" s="112"/>
      <c r="H79" s="112"/>
      <c r="I79" s="112"/>
      <c r="J79" s="112"/>
      <c r="K79" s="112"/>
    </row>
    <row r="80" spans="1:11" x14ac:dyDescent="0.2">
      <c r="A80" s="115"/>
      <c r="B80" s="115"/>
      <c r="C80" s="115"/>
      <c r="D80" s="115"/>
      <c r="E80" s="116" t="s">
        <v>153</v>
      </c>
      <c r="F80" s="117">
        <f>SUM(F58:F79)</f>
        <v>8575</v>
      </c>
      <c r="G80" s="117">
        <f>SUM(G58:G79)</f>
        <v>10000</v>
      </c>
      <c r="H80" s="117">
        <f>SUM(H58:H79)</f>
        <v>11144</v>
      </c>
      <c r="I80" s="117">
        <f t="shared" ref="I80:J80" si="6">SUM(I58:I79)</f>
        <v>11144</v>
      </c>
      <c r="J80" s="117">
        <f t="shared" si="6"/>
        <v>11144</v>
      </c>
      <c r="K80" s="118"/>
    </row>
    <row r="81" spans="1:11" x14ac:dyDescent="0.2">
      <c r="A81" s="120"/>
      <c r="B81" s="120"/>
      <c r="C81" s="120"/>
      <c r="D81" s="120"/>
      <c r="E81" s="121"/>
      <c r="F81" s="122"/>
      <c r="G81" s="122"/>
      <c r="H81" s="122"/>
      <c r="I81" s="122"/>
      <c r="J81" s="122"/>
      <c r="K81" s="122"/>
    </row>
    <row r="82" spans="1:11" x14ac:dyDescent="0.2">
      <c r="A82" s="120" t="s">
        <v>154</v>
      </c>
      <c r="B82" s="123" t="s">
        <v>155</v>
      </c>
      <c r="C82" s="120"/>
      <c r="D82" s="120"/>
      <c r="E82" s="121"/>
      <c r="F82" s="122"/>
      <c r="G82" s="122"/>
      <c r="H82" s="122"/>
      <c r="I82" s="122"/>
      <c r="J82" s="122"/>
      <c r="K82" s="124"/>
    </row>
    <row r="83" spans="1:11" x14ac:dyDescent="0.2">
      <c r="A83" s="54" t="s">
        <v>156</v>
      </c>
      <c r="B83" s="120"/>
      <c r="C83" s="120"/>
      <c r="D83" s="120"/>
      <c r="E83" s="121"/>
      <c r="F83" s="122"/>
      <c r="G83" s="122"/>
      <c r="H83" s="122"/>
      <c r="I83" s="122"/>
      <c r="J83" s="122"/>
      <c r="K83" s="124"/>
    </row>
    <row r="84" spans="1:11" x14ac:dyDescent="0.2">
      <c r="A84" s="54" t="s">
        <v>157</v>
      </c>
      <c r="B84" s="120"/>
      <c r="C84" s="120"/>
      <c r="D84" s="120"/>
      <c r="E84" s="121"/>
      <c r="F84" s="122"/>
      <c r="G84" s="122"/>
      <c r="H84" s="122"/>
      <c r="I84" s="122"/>
      <c r="J84" s="122"/>
      <c r="K84" s="124"/>
    </row>
    <row r="85" spans="1:11" x14ac:dyDescent="0.2">
      <c r="A85" s="54" t="s">
        <v>40</v>
      </c>
      <c r="B85" s="52"/>
      <c r="C85" s="52"/>
      <c r="D85" s="52"/>
      <c r="E85" s="52"/>
      <c r="F85" s="52"/>
      <c r="G85" s="52"/>
      <c r="H85" s="52"/>
      <c r="I85" s="52"/>
      <c r="J85" s="52"/>
    </row>
    <row r="86" spans="1:11" x14ac:dyDescent="0.2">
      <c r="A86" s="54"/>
      <c r="B86" s="52"/>
      <c r="C86" s="52"/>
      <c r="D86" s="52"/>
      <c r="E86" s="52"/>
      <c r="F86" s="52"/>
      <c r="G86" s="52"/>
      <c r="H86" s="52"/>
      <c r="I86" s="52"/>
      <c r="J86" s="52"/>
    </row>
    <row r="87" spans="1:11" x14ac:dyDescent="0.2">
      <c r="A87" s="52"/>
      <c r="B87" s="52"/>
      <c r="C87" s="52"/>
      <c r="D87" s="52"/>
      <c r="E87" s="52"/>
      <c r="F87" s="52"/>
      <c r="G87" s="52"/>
      <c r="H87" s="52"/>
      <c r="I87" s="52"/>
      <c r="J87" s="52"/>
    </row>
    <row r="88" spans="1:11" x14ac:dyDescent="0.2">
      <c r="A88" s="52"/>
      <c r="B88" s="52"/>
      <c r="C88" s="52"/>
      <c r="D88" s="52"/>
      <c r="E88" s="52"/>
      <c r="F88" s="52"/>
      <c r="G88" s="52"/>
      <c r="H88" s="52"/>
      <c r="I88" s="52"/>
      <c r="J88" s="52"/>
    </row>
    <row r="89" spans="1:11" x14ac:dyDescent="0.2">
      <c r="A89" s="52"/>
      <c r="B89" s="52"/>
      <c r="C89" s="52"/>
      <c r="D89" s="52"/>
      <c r="E89" s="52"/>
      <c r="F89" s="125"/>
      <c r="G89" s="125"/>
      <c r="H89" s="125"/>
      <c r="I89" s="125"/>
      <c r="J89" s="125"/>
    </row>
    <row r="90" spans="1:11" x14ac:dyDescent="0.2">
      <c r="A90" s="2"/>
      <c r="B90" s="52"/>
      <c r="D90" s="52"/>
      <c r="G90" s="52"/>
      <c r="H90" s="52"/>
      <c r="I90" s="52"/>
      <c r="J90" s="52"/>
    </row>
    <row r="91" spans="1:11" ht="15" x14ac:dyDescent="0.25">
      <c r="A91" s="2"/>
      <c r="B91" s="126" t="s">
        <v>158</v>
      </c>
      <c r="E91" s="52"/>
      <c r="F91" s="57" t="s">
        <v>159</v>
      </c>
      <c r="G91" s="57"/>
      <c r="H91" s="57"/>
      <c r="I91" s="57"/>
      <c r="J91" s="57"/>
      <c r="K91" s="57"/>
    </row>
    <row r="92" spans="1:11" ht="15" x14ac:dyDescent="0.25">
      <c r="A92" s="2"/>
      <c r="E92" s="52"/>
      <c r="F92" s="56"/>
      <c r="G92" s="56"/>
      <c r="H92" s="56"/>
      <c r="I92" s="56"/>
      <c r="J92" s="56"/>
      <c r="K92" s="56"/>
    </row>
    <row r="93" spans="1:11" ht="15" x14ac:dyDescent="0.25">
      <c r="A93" s="2"/>
      <c r="B93" s="127" t="s">
        <v>43</v>
      </c>
      <c r="E93" s="128"/>
      <c r="F93" s="58" t="s">
        <v>44</v>
      </c>
      <c r="G93" s="98"/>
      <c r="H93" s="98"/>
      <c r="I93" s="98"/>
      <c r="J93" s="98"/>
      <c r="K93" s="98"/>
    </row>
    <row r="94" spans="1:11" ht="15" x14ac:dyDescent="0.25">
      <c r="A94" s="2"/>
      <c r="B94" s="58" t="s">
        <v>45</v>
      </c>
      <c r="C94" s="52"/>
      <c r="D94" s="52"/>
      <c r="E94" s="2"/>
      <c r="F94" s="2"/>
      <c r="G94" s="2"/>
      <c r="H94" s="2"/>
      <c r="I94" s="2"/>
      <c r="J94" s="2"/>
    </row>
    <row r="95" spans="1:11" ht="15" x14ac:dyDescent="0.25">
      <c r="A95" s="2"/>
      <c r="B95" s="58" t="s">
        <v>46</v>
      </c>
      <c r="C95" s="52"/>
      <c r="D95" s="52"/>
      <c r="E95" s="2"/>
      <c r="F95" s="2"/>
      <c r="G95" s="2"/>
      <c r="H95" s="2"/>
      <c r="I95" s="2"/>
      <c r="J95" s="2"/>
    </row>
  </sheetData>
  <mergeCells count="10">
    <mergeCell ref="A50:K50"/>
    <mergeCell ref="A51:K51"/>
    <mergeCell ref="A53:K53"/>
    <mergeCell ref="F91:K91"/>
    <mergeCell ref="A1:K1"/>
    <mergeCell ref="A2:K2"/>
    <mergeCell ref="A3:K3"/>
    <mergeCell ref="A5:K5"/>
    <mergeCell ref="F43:K43"/>
    <mergeCell ref="A49:K4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C15" sqref="C15"/>
    </sheetView>
  </sheetViews>
  <sheetFormatPr baseColWidth="10" defaultRowHeight="15" x14ac:dyDescent="0.25"/>
  <cols>
    <col min="1" max="1" width="11.28515625" style="98" customWidth="1"/>
    <col min="2" max="2" width="53.5703125" style="98" customWidth="1"/>
    <col min="3" max="5" width="21.42578125" style="98" customWidth="1"/>
    <col min="6" max="8" width="20.5703125" style="98" customWidth="1"/>
    <col min="9" max="9" width="15.5703125" style="98" customWidth="1"/>
    <col min="10" max="10" width="20.42578125" style="98" customWidth="1"/>
    <col min="11" max="16384" width="11.42578125" style="98"/>
  </cols>
  <sheetData>
    <row r="1" spans="1:10" ht="18.75" x14ac:dyDescent="0.3">
      <c r="A1" s="135" t="s">
        <v>205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18.75" x14ac:dyDescent="0.3">
      <c r="A2" s="135" t="s">
        <v>206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ht="18.75" x14ac:dyDescent="0.3">
      <c r="A3" s="136"/>
      <c r="B3" s="136"/>
      <c r="C3" s="136"/>
      <c r="D3" s="136"/>
      <c r="E3" s="136"/>
      <c r="F3" s="136"/>
      <c r="G3" s="136"/>
      <c r="H3" s="136"/>
    </row>
    <row r="4" spans="1:10" ht="18.75" x14ac:dyDescent="0.3">
      <c r="A4" s="137" t="s">
        <v>207</v>
      </c>
      <c r="B4" s="137"/>
      <c r="C4" s="137"/>
      <c r="D4" s="137"/>
      <c r="E4" s="137"/>
      <c r="F4" s="137"/>
      <c r="G4" s="137"/>
      <c r="H4" s="137"/>
    </row>
    <row r="5" spans="1:10" ht="15.75" thickBot="1" x14ac:dyDescent="0.3">
      <c r="A5" s="99"/>
      <c r="B5" s="99"/>
      <c r="C5" s="99"/>
      <c r="D5" s="99"/>
      <c r="E5" s="99"/>
      <c r="F5" s="99"/>
      <c r="G5" s="99"/>
      <c r="H5" s="99"/>
    </row>
    <row r="6" spans="1:10" ht="15" customHeight="1" x14ac:dyDescent="0.25">
      <c r="A6" s="138" t="s">
        <v>208</v>
      </c>
      <c r="B6" s="139"/>
      <c r="C6" s="138" t="s">
        <v>209</v>
      </c>
      <c r="D6" s="139"/>
      <c r="E6" s="140"/>
      <c r="F6" s="141" t="s">
        <v>210</v>
      </c>
      <c r="G6" s="142"/>
      <c r="H6" s="142"/>
      <c r="I6" s="142"/>
      <c r="J6" s="143" t="s">
        <v>12</v>
      </c>
    </row>
    <row r="7" spans="1:10" ht="15.75" customHeight="1" thickBot="1" x14ac:dyDescent="0.3">
      <c r="A7" s="141"/>
      <c r="B7" s="142"/>
      <c r="C7" s="141"/>
      <c r="D7" s="142"/>
      <c r="E7" s="144"/>
      <c r="F7" s="145"/>
      <c r="G7" s="146"/>
      <c r="H7" s="146"/>
      <c r="I7" s="146"/>
      <c r="J7" s="147"/>
    </row>
    <row r="8" spans="1:10" ht="28.5" customHeight="1" thickBot="1" x14ac:dyDescent="0.3">
      <c r="A8" s="148" t="s">
        <v>211</v>
      </c>
      <c r="B8" s="149" t="s">
        <v>212</v>
      </c>
      <c r="C8" s="150">
        <v>2015</v>
      </c>
      <c r="D8" s="151">
        <v>2016</v>
      </c>
      <c r="E8" s="152">
        <v>2017</v>
      </c>
      <c r="F8" s="153">
        <v>2018</v>
      </c>
      <c r="G8" s="153">
        <v>2019</v>
      </c>
      <c r="H8" s="154">
        <v>2020</v>
      </c>
      <c r="I8" s="154">
        <v>2021</v>
      </c>
      <c r="J8" s="155"/>
    </row>
    <row r="9" spans="1:10" ht="15.75" thickBot="1" x14ac:dyDescent="0.3">
      <c r="A9" s="156" t="s">
        <v>213</v>
      </c>
      <c r="B9" s="157"/>
      <c r="C9" s="158">
        <f t="shared" ref="C9:I9" si="0">+C10+C15+C20+C21+C22+C23</f>
        <v>0</v>
      </c>
      <c r="D9" s="159">
        <f t="shared" si="0"/>
        <v>2228648.4899999998</v>
      </c>
      <c r="E9" s="159">
        <f t="shared" si="0"/>
        <v>3287278</v>
      </c>
      <c r="F9" s="159">
        <f t="shared" si="0"/>
        <v>3287278</v>
      </c>
      <c r="G9" s="159">
        <f t="shared" si="0"/>
        <v>3461951.69</v>
      </c>
      <c r="H9" s="159">
        <f t="shared" si="0"/>
        <v>3513951.69</v>
      </c>
      <c r="I9" s="159">
        <f t="shared" si="0"/>
        <v>3513951.69</v>
      </c>
      <c r="J9" s="158"/>
    </row>
    <row r="10" spans="1:10" x14ac:dyDescent="0.25">
      <c r="A10" s="160">
        <v>11</v>
      </c>
      <c r="B10" s="161" t="s">
        <v>214</v>
      </c>
      <c r="C10" s="162"/>
      <c r="D10" s="163">
        <f t="shared" ref="D10:I10" si="1">D11+D12+D13+D14</f>
        <v>262794.76</v>
      </c>
      <c r="E10" s="163">
        <f t="shared" si="1"/>
        <v>475599.17000000004</v>
      </c>
      <c r="F10" s="163">
        <f t="shared" si="1"/>
        <v>475599.17000000004</v>
      </c>
      <c r="G10" s="163">
        <f t="shared" si="1"/>
        <v>568500</v>
      </c>
      <c r="H10" s="163">
        <f t="shared" si="1"/>
        <v>570500</v>
      </c>
      <c r="I10" s="163">
        <f t="shared" si="1"/>
        <v>570500</v>
      </c>
      <c r="J10" s="162"/>
    </row>
    <row r="11" spans="1:10" x14ac:dyDescent="0.25">
      <c r="A11" s="164">
        <v>1101</v>
      </c>
      <c r="B11" s="165" t="s">
        <v>15</v>
      </c>
      <c r="C11" s="162"/>
      <c r="D11" s="166">
        <v>12376.7</v>
      </c>
      <c r="E11" s="167">
        <v>14993.39</v>
      </c>
      <c r="F11" s="167">
        <v>14993.39</v>
      </c>
      <c r="G11" s="167">
        <v>18000</v>
      </c>
      <c r="H11" s="167">
        <v>20000</v>
      </c>
      <c r="I11" s="167">
        <v>20000</v>
      </c>
      <c r="J11" s="168"/>
    </row>
    <row r="12" spans="1:10" x14ac:dyDescent="0.25">
      <c r="A12" s="164">
        <v>1102</v>
      </c>
      <c r="B12" s="165" t="s">
        <v>16</v>
      </c>
      <c r="C12" s="162"/>
      <c r="D12" s="166">
        <v>97264.53</v>
      </c>
      <c r="E12" s="169">
        <v>317645.18</v>
      </c>
      <c r="F12" s="169">
        <v>317645.18</v>
      </c>
      <c r="G12" s="169">
        <v>400000</v>
      </c>
      <c r="H12" s="169">
        <v>400000</v>
      </c>
      <c r="I12" s="169">
        <v>400000</v>
      </c>
      <c r="J12" s="168"/>
    </row>
    <row r="13" spans="1:10" x14ac:dyDescent="0.25">
      <c r="A13" s="164">
        <v>1103</v>
      </c>
      <c r="B13" s="165" t="s">
        <v>21</v>
      </c>
      <c r="C13" s="162"/>
      <c r="D13" s="166"/>
      <c r="E13" s="169"/>
      <c r="F13" s="169"/>
      <c r="G13" s="169"/>
      <c r="H13" s="169"/>
      <c r="I13" s="169"/>
      <c r="J13" s="168"/>
    </row>
    <row r="14" spans="1:10" x14ac:dyDescent="0.25">
      <c r="A14" s="164">
        <v>1107</v>
      </c>
      <c r="B14" s="165" t="s">
        <v>22</v>
      </c>
      <c r="C14" s="162"/>
      <c r="D14" s="166">
        <v>153153.53</v>
      </c>
      <c r="E14" s="169">
        <v>142960.6</v>
      </c>
      <c r="F14" s="169">
        <v>142960.6</v>
      </c>
      <c r="G14" s="169">
        <v>150500</v>
      </c>
      <c r="H14" s="169">
        <v>150500</v>
      </c>
      <c r="I14" s="169">
        <v>150500</v>
      </c>
      <c r="J14" s="168"/>
    </row>
    <row r="15" spans="1:10" x14ac:dyDescent="0.25">
      <c r="A15" s="160">
        <v>13</v>
      </c>
      <c r="B15" s="170" t="s">
        <v>215</v>
      </c>
      <c r="C15" s="162"/>
      <c r="D15" s="169">
        <f t="shared" ref="D15:I15" si="2">+D16+D17+D18+D19</f>
        <v>358717.52</v>
      </c>
      <c r="E15" s="169">
        <f t="shared" si="2"/>
        <v>1236197.3099999998</v>
      </c>
      <c r="F15" s="169">
        <f t="shared" si="2"/>
        <v>1236197.3099999998</v>
      </c>
      <c r="G15" s="169">
        <f t="shared" si="2"/>
        <v>1295000</v>
      </c>
      <c r="H15" s="169">
        <f t="shared" si="2"/>
        <v>1345000</v>
      </c>
      <c r="I15" s="169">
        <f t="shared" si="2"/>
        <v>1345000</v>
      </c>
      <c r="J15" s="168"/>
    </row>
    <row r="16" spans="1:10" x14ac:dyDescent="0.25">
      <c r="A16" s="164">
        <v>1301</v>
      </c>
      <c r="B16" s="165" t="s">
        <v>24</v>
      </c>
      <c r="C16" s="162"/>
      <c r="D16" s="166">
        <v>119407.08</v>
      </c>
      <c r="E16" s="169">
        <v>1098209.9099999999</v>
      </c>
      <c r="F16" s="169">
        <v>1098209.9099999999</v>
      </c>
      <c r="G16" s="169">
        <v>1150000</v>
      </c>
      <c r="H16" s="169">
        <v>1200000</v>
      </c>
      <c r="I16" s="169">
        <v>1200000</v>
      </c>
      <c r="J16" s="168"/>
    </row>
    <row r="17" spans="1:10" x14ac:dyDescent="0.25">
      <c r="A17" s="164">
        <v>1302</v>
      </c>
      <c r="B17" s="165" t="s">
        <v>25</v>
      </c>
      <c r="C17" s="162"/>
      <c r="D17" s="166"/>
      <c r="E17" s="169"/>
      <c r="F17" s="169"/>
      <c r="G17" s="169"/>
      <c r="H17" s="169"/>
      <c r="I17" s="169"/>
      <c r="J17" s="168"/>
    </row>
    <row r="18" spans="1:10" x14ac:dyDescent="0.25">
      <c r="A18" s="164">
        <v>1303</v>
      </c>
      <c r="B18" s="165" t="s">
        <v>26</v>
      </c>
      <c r="C18" s="162"/>
      <c r="D18" s="166"/>
      <c r="E18" s="169"/>
      <c r="F18" s="169"/>
      <c r="G18" s="169"/>
      <c r="H18" s="169"/>
      <c r="I18" s="169"/>
      <c r="J18" s="168"/>
    </row>
    <row r="19" spans="1:10" x14ac:dyDescent="0.25">
      <c r="A19" s="164">
        <v>1304</v>
      </c>
      <c r="B19" s="165" t="s">
        <v>27</v>
      </c>
      <c r="C19" s="162"/>
      <c r="D19" s="166">
        <v>239310.44</v>
      </c>
      <c r="E19" s="169">
        <v>137987.4</v>
      </c>
      <c r="F19" s="169">
        <v>137987.4</v>
      </c>
      <c r="G19" s="169">
        <v>145000</v>
      </c>
      <c r="H19" s="169">
        <v>145000</v>
      </c>
      <c r="I19" s="169">
        <v>145000</v>
      </c>
      <c r="J19" s="168"/>
    </row>
    <row r="20" spans="1:10" x14ac:dyDescent="0.25">
      <c r="A20" s="160">
        <v>14</v>
      </c>
      <c r="B20" s="170" t="s">
        <v>216</v>
      </c>
      <c r="C20" s="162"/>
      <c r="D20" s="166">
        <v>32369.31</v>
      </c>
      <c r="E20" s="169">
        <v>30416.959999999999</v>
      </c>
      <c r="F20" s="169">
        <v>30416.959999999999</v>
      </c>
      <c r="G20" s="169">
        <v>35000</v>
      </c>
      <c r="H20" s="169">
        <v>35000</v>
      </c>
      <c r="I20" s="169">
        <v>35000</v>
      </c>
      <c r="J20" s="168"/>
    </row>
    <row r="21" spans="1:10" x14ac:dyDescent="0.25">
      <c r="A21" s="160">
        <v>17</v>
      </c>
      <c r="B21" s="170" t="s">
        <v>217</v>
      </c>
      <c r="C21" s="162"/>
      <c r="D21" s="166">
        <v>157635.31</v>
      </c>
      <c r="E21" s="169">
        <v>62297.11</v>
      </c>
      <c r="F21" s="169">
        <v>62297.11</v>
      </c>
      <c r="G21" s="169">
        <v>68000</v>
      </c>
      <c r="H21" s="169">
        <v>68000</v>
      </c>
      <c r="I21" s="169">
        <v>68000</v>
      </c>
      <c r="J21" s="168"/>
    </row>
    <row r="22" spans="1:10" x14ac:dyDescent="0.25">
      <c r="A22" s="160">
        <v>18</v>
      </c>
      <c r="B22" s="170" t="s">
        <v>218</v>
      </c>
      <c r="C22" s="162"/>
      <c r="D22" s="166">
        <v>1367720.44</v>
      </c>
      <c r="E22" s="169">
        <v>1435451.69</v>
      </c>
      <c r="F22" s="169">
        <v>1435451.69</v>
      </c>
      <c r="G22" s="169">
        <v>1435451.69</v>
      </c>
      <c r="H22" s="169">
        <v>1435451.69</v>
      </c>
      <c r="I22" s="169">
        <v>1435451.69</v>
      </c>
      <c r="J22" s="168"/>
    </row>
    <row r="23" spans="1:10" x14ac:dyDescent="0.25">
      <c r="A23" s="160">
        <v>19</v>
      </c>
      <c r="B23" s="170" t="s">
        <v>219</v>
      </c>
      <c r="C23" s="162"/>
      <c r="D23" s="166">
        <v>49411.15</v>
      </c>
      <c r="E23" s="169">
        <f>E24+E25+E26</f>
        <v>47315.76</v>
      </c>
      <c r="F23" s="169">
        <f>F24+F25+F26</f>
        <v>47315.76</v>
      </c>
      <c r="G23" s="169">
        <f>G24+G25+G26</f>
        <v>60000</v>
      </c>
      <c r="H23" s="169">
        <f>H24+H25+H26</f>
        <v>60000</v>
      </c>
      <c r="I23" s="169">
        <f>I24+I25+I26</f>
        <v>60000</v>
      </c>
      <c r="J23" s="168"/>
    </row>
    <row r="24" spans="1:10" x14ac:dyDescent="0.25">
      <c r="A24" s="164">
        <v>1901</v>
      </c>
      <c r="B24" s="165" t="s">
        <v>33</v>
      </c>
      <c r="C24" s="162"/>
      <c r="D24" s="166"/>
      <c r="E24" s="169"/>
      <c r="F24" s="169"/>
      <c r="G24" s="169"/>
      <c r="H24" s="169"/>
      <c r="I24" s="169"/>
      <c r="J24" s="168"/>
    </row>
    <row r="25" spans="1:10" x14ac:dyDescent="0.25">
      <c r="A25" s="164">
        <v>1902</v>
      </c>
      <c r="B25" s="165" t="s">
        <v>34</v>
      </c>
      <c r="C25" s="162"/>
      <c r="D25" s="166"/>
      <c r="E25" s="169"/>
      <c r="F25" s="169"/>
      <c r="G25" s="169"/>
      <c r="H25" s="169"/>
      <c r="I25" s="169"/>
      <c r="J25" s="168"/>
    </row>
    <row r="26" spans="1:10" ht="15.75" thickBot="1" x14ac:dyDescent="0.3">
      <c r="A26" s="164">
        <v>1904</v>
      </c>
      <c r="B26" s="171" t="s">
        <v>35</v>
      </c>
      <c r="C26" s="162"/>
      <c r="D26" s="166"/>
      <c r="E26" s="169">
        <v>47315.76</v>
      </c>
      <c r="F26" s="169">
        <v>47315.76</v>
      </c>
      <c r="G26" s="169">
        <v>60000</v>
      </c>
      <c r="H26" s="169">
        <v>60000</v>
      </c>
      <c r="I26" s="169">
        <v>60000</v>
      </c>
      <c r="J26" s="168"/>
    </row>
    <row r="27" spans="1:10" ht="15.75" thickBot="1" x14ac:dyDescent="0.3">
      <c r="A27" s="156" t="s">
        <v>220</v>
      </c>
      <c r="B27" s="157"/>
      <c r="C27" s="172">
        <f t="shared" ref="C27:I27" si="3">+C28+C37+C38+C39+C40+C41</f>
        <v>0</v>
      </c>
      <c r="D27" s="172">
        <f t="shared" si="3"/>
        <v>2730658.85</v>
      </c>
      <c r="E27" s="172">
        <f t="shared" si="3"/>
        <v>4477582.7700000005</v>
      </c>
      <c r="F27" s="172">
        <f t="shared" si="3"/>
        <v>4477582.7700000005</v>
      </c>
      <c r="G27" s="172">
        <f t="shared" si="3"/>
        <v>4477582.7700000005</v>
      </c>
      <c r="H27" s="172">
        <f t="shared" si="3"/>
        <v>4477582.7700000005</v>
      </c>
      <c r="I27" s="172">
        <f t="shared" si="3"/>
        <v>4477582.7700000005</v>
      </c>
      <c r="J27" s="172"/>
    </row>
    <row r="28" spans="1:10" x14ac:dyDescent="0.25">
      <c r="A28" s="160">
        <v>51</v>
      </c>
      <c r="B28" s="161" t="s">
        <v>221</v>
      </c>
      <c r="C28" s="162"/>
      <c r="D28" s="169">
        <f t="shared" ref="D28:I28" si="4">D29+D30+D31+D32+D33+D34+D35+D36</f>
        <v>2666155.5700000003</v>
      </c>
      <c r="E28" s="169">
        <f t="shared" si="4"/>
        <v>3406422.3000000003</v>
      </c>
      <c r="F28" s="169">
        <f t="shared" si="4"/>
        <v>3406422.3000000003</v>
      </c>
      <c r="G28" s="169">
        <f t="shared" si="4"/>
        <v>3406422.3000000003</v>
      </c>
      <c r="H28" s="169">
        <f t="shared" si="4"/>
        <v>3406422.3000000003</v>
      </c>
      <c r="I28" s="169">
        <f t="shared" si="4"/>
        <v>3406422.3000000003</v>
      </c>
      <c r="J28" s="168"/>
    </row>
    <row r="29" spans="1:10" x14ac:dyDescent="0.25">
      <c r="A29" s="164">
        <v>5101</v>
      </c>
      <c r="B29" s="165" t="s">
        <v>222</v>
      </c>
      <c r="C29" s="162"/>
      <c r="D29" s="166">
        <v>1752504.43</v>
      </c>
      <c r="E29" s="169">
        <v>2460280.7799999998</v>
      </c>
      <c r="F29" s="169">
        <v>2460280.7799999998</v>
      </c>
      <c r="G29" s="169">
        <v>2460280.7799999998</v>
      </c>
      <c r="H29" s="169">
        <v>2460280.7799999998</v>
      </c>
      <c r="I29" s="169">
        <v>2460280.7799999998</v>
      </c>
      <c r="J29" s="168"/>
    </row>
    <row r="30" spans="1:10" x14ac:dyDescent="0.25">
      <c r="A30" s="164">
        <v>5102</v>
      </c>
      <c r="B30" s="165" t="s">
        <v>223</v>
      </c>
      <c r="C30" s="162"/>
      <c r="D30" s="166">
        <v>182843.76</v>
      </c>
      <c r="E30" s="169">
        <v>299768.87</v>
      </c>
      <c r="F30" s="169">
        <v>299768.87</v>
      </c>
      <c r="G30" s="169">
        <v>299768.87</v>
      </c>
      <c r="H30" s="169">
        <v>299768.87</v>
      </c>
      <c r="I30" s="169">
        <v>299768.87</v>
      </c>
      <c r="J30" s="168"/>
    </row>
    <row r="31" spans="1:10" x14ac:dyDescent="0.25">
      <c r="A31" s="164">
        <v>5103</v>
      </c>
      <c r="B31" s="165" t="s">
        <v>224</v>
      </c>
      <c r="C31" s="162"/>
      <c r="D31" s="166"/>
      <c r="E31" s="169"/>
      <c r="F31" s="169"/>
      <c r="G31" s="169"/>
      <c r="H31" s="169"/>
      <c r="I31" s="169"/>
      <c r="J31" s="168"/>
    </row>
    <row r="32" spans="1:10" x14ac:dyDescent="0.25">
      <c r="A32" s="164">
        <v>5104</v>
      </c>
      <c r="B32" s="165" t="s">
        <v>225</v>
      </c>
      <c r="C32" s="162"/>
      <c r="D32" s="166"/>
      <c r="E32" s="169"/>
      <c r="F32" s="169"/>
      <c r="G32" s="169"/>
      <c r="H32" s="169"/>
      <c r="I32" s="169"/>
      <c r="J32" s="168"/>
    </row>
    <row r="33" spans="1:10" x14ac:dyDescent="0.25">
      <c r="A33" s="164">
        <v>5105</v>
      </c>
      <c r="B33" s="165" t="s">
        <v>226</v>
      </c>
      <c r="C33" s="162"/>
      <c r="D33" s="166">
        <v>78878.97</v>
      </c>
      <c r="E33" s="169">
        <v>98909.02</v>
      </c>
      <c r="F33" s="169">
        <v>98909.02</v>
      </c>
      <c r="G33" s="169">
        <v>98909.02</v>
      </c>
      <c r="H33" s="169">
        <v>98909.02</v>
      </c>
      <c r="I33" s="169">
        <v>98909.02</v>
      </c>
      <c r="J33" s="168"/>
    </row>
    <row r="34" spans="1:10" x14ac:dyDescent="0.25">
      <c r="A34" s="164">
        <v>5106</v>
      </c>
      <c r="B34" s="165" t="s">
        <v>227</v>
      </c>
      <c r="C34" s="162"/>
      <c r="D34" s="166">
        <v>647260</v>
      </c>
      <c r="E34" s="169">
        <v>396770.24</v>
      </c>
      <c r="F34" s="169">
        <v>396770.24</v>
      </c>
      <c r="G34" s="169">
        <v>396770.24</v>
      </c>
      <c r="H34" s="169">
        <v>396770.24</v>
      </c>
      <c r="I34" s="169">
        <v>396770.24</v>
      </c>
      <c r="J34" s="168"/>
    </row>
    <row r="35" spans="1:10" x14ac:dyDescent="0.25">
      <c r="A35" s="164">
        <v>5107</v>
      </c>
      <c r="B35" s="165" t="s">
        <v>228</v>
      </c>
      <c r="C35" s="162"/>
      <c r="D35" s="166">
        <v>4668.41</v>
      </c>
      <c r="E35" s="169">
        <v>150693.39000000001</v>
      </c>
      <c r="F35" s="169">
        <v>150693.39000000001</v>
      </c>
      <c r="G35" s="169">
        <v>150693.39000000001</v>
      </c>
      <c r="H35" s="169">
        <v>150693.39000000001</v>
      </c>
      <c r="I35" s="169">
        <v>150693.39000000001</v>
      </c>
      <c r="J35" s="168"/>
    </row>
    <row r="36" spans="1:10" x14ac:dyDescent="0.25">
      <c r="A36" s="164">
        <v>5199</v>
      </c>
      <c r="B36" s="165" t="s">
        <v>229</v>
      </c>
      <c r="C36" s="162"/>
      <c r="D36" s="166"/>
      <c r="E36" s="169"/>
      <c r="F36" s="169"/>
      <c r="G36" s="169"/>
      <c r="H36" s="169"/>
      <c r="I36" s="169"/>
      <c r="J36" s="168"/>
    </row>
    <row r="37" spans="1:10" x14ac:dyDescent="0.25">
      <c r="A37" s="160">
        <v>53</v>
      </c>
      <c r="B37" s="170" t="s">
        <v>230</v>
      </c>
      <c r="C37" s="162"/>
      <c r="D37" s="166"/>
      <c r="E37" s="169">
        <v>733436.33</v>
      </c>
      <c r="F37" s="169">
        <v>733436.33</v>
      </c>
      <c r="G37" s="169">
        <v>733436.33</v>
      </c>
      <c r="H37" s="169">
        <v>733436.33</v>
      </c>
      <c r="I37" s="169">
        <v>733436.33</v>
      </c>
      <c r="J37" s="168"/>
    </row>
    <row r="38" spans="1:10" x14ac:dyDescent="0.25">
      <c r="A38" s="160">
        <v>56</v>
      </c>
      <c r="B38" s="170" t="s">
        <v>231</v>
      </c>
      <c r="C38" s="162"/>
      <c r="D38" s="166">
        <v>64503.28</v>
      </c>
      <c r="E38" s="169"/>
      <c r="F38" s="169"/>
      <c r="G38" s="169"/>
      <c r="H38" s="169"/>
      <c r="I38" s="169"/>
      <c r="J38" s="168"/>
    </row>
    <row r="39" spans="1:10" x14ac:dyDescent="0.25">
      <c r="A39" s="160">
        <v>57</v>
      </c>
      <c r="B39" s="170" t="s">
        <v>232</v>
      </c>
      <c r="C39" s="162"/>
      <c r="D39" s="166"/>
      <c r="E39" s="169">
        <v>2335.1999999999998</v>
      </c>
      <c r="F39" s="169">
        <v>2335.1999999999998</v>
      </c>
      <c r="G39" s="169">
        <v>2335.1999999999998</v>
      </c>
      <c r="H39" s="169">
        <v>2335.1999999999998</v>
      </c>
      <c r="I39" s="169">
        <v>2335.1999999999998</v>
      </c>
      <c r="J39" s="168"/>
    </row>
    <row r="40" spans="1:10" x14ac:dyDescent="0.25">
      <c r="A40" s="160">
        <v>58</v>
      </c>
      <c r="B40" s="170" t="s">
        <v>233</v>
      </c>
      <c r="C40" s="162"/>
      <c r="D40" s="166"/>
      <c r="E40" s="169">
        <v>335388.94</v>
      </c>
      <c r="F40" s="169">
        <v>335388.94</v>
      </c>
      <c r="G40" s="169">
        <v>335388.94</v>
      </c>
      <c r="H40" s="169">
        <v>335388.94</v>
      </c>
      <c r="I40" s="169">
        <v>335388.94</v>
      </c>
      <c r="J40" s="168"/>
    </row>
    <row r="41" spans="1:10" ht="15.75" thickBot="1" x14ac:dyDescent="0.3">
      <c r="A41" s="160">
        <v>59</v>
      </c>
      <c r="B41" s="173" t="s">
        <v>234</v>
      </c>
      <c r="C41" s="162"/>
      <c r="D41" s="166"/>
      <c r="E41" s="169"/>
      <c r="F41" s="169"/>
      <c r="G41" s="169"/>
      <c r="H41" s="169"/>
      <c r="I41" s="169"/>
      <c r="J41" s="168"/>
    </row>
    <row r="42" spans="1:10" x14ac:dyDescent="0.25">
      <c r="A42" s="174" t="s">
        <v>235</v>
      </c>
      <c r="B42" s="175"/>
      <c r="C42" s="176">
        <f t="shared" ref="C42:I42" si="5">+C9-C27</f>
        <v>0</v>
      </c>
      <c r="D42" s="177">
        <f t="shared" si="5"/>
        <v>-502010.36000000034</v>
      </c>
      <c r="E42" s="177">
        <f t="shared" si="5"/>
        <v>-1190304.7700000005</v>
      </c>
      <c r="F42" s="177">
        <f t="shared" si="5"/>
        <v>-1190304.7700000005</v>
      </c>
      <c r="G42" s="177">
        <f t="shared" si="5"/>
        <v>-1015631.0800000005</v>
      </c>
      <c r="H42" s="177">
        <f t="shared" si="5"/>
        <v>-963631.08000000054</v>
      </c>
      <c r="I42" s="177">
        <f t="shared" si="5"/>
        <v>-963631.08000000054</v>
      </c>
      <c r="J42" s="176"/>
    </row>
    <row r="43" spans="1:10" x14ac:dyDescent="0.25">
      <c r="A43" s="156" t="s">
        <v>236</v>
      </c>
      <c r="B43" s="178"/>
      <c r="C43" s="172"/>
      <c r="D43" s="179"/>
      <c r="E43" s="180">
        <f>E44+E45</f>
        <v>6813433.96</v>
      </c>
      <c r="F43" s="180">
        <f>F44+F45</f>
        <v>6813433.96</v>
      </c>
      <c r="G43" s="180">
        <f>G44+G45</f>
        <v>6814195.2400000002</v>
      </c>
      <c r="H43" s="180">
        <f>H44+H45</f>
        <v>6814195.2400000002</v>
      </c>
      <c r="I43" s="180">
        <f>I44+I45</f>
        <v>6814195.2400000002</v>
      </c>
      <c r="J43" s="181"/>
    </row>
    <row r="44" spans="1:10" x14ac:dyDescent="0.25">
      <c r="A44" s="182">
        <v>24</v>
      </c>
      <c r="B44" s="183" t="s">
        <v>237</v>
      </c>
      <c r="C44" s="162"/>
      <c r="D44" s="166">
        <v>14128.82</v>
      </c>
      <c r="E44" s="169">
        <v>64238.720000000001</v>
      </c>
      <c r="F44" s="169">
        <v>64238.720000000001</v>
      </c>
      <c r="G44" s="169">
        <v>65000</v>
      </c>
      <c r="H44" s="169">
        <v>65000</v>
      </c>
      <c r="I44" s="169">
        <v>65000</v>
      </c>
      <c r="J44" s="168"/>
    </row>
    <row r="45" spans="1:10" x14ac:dyDescent="0.25">
      <c r="A45" s="182">
        <v>28</v>
      </c>
      <c r="B45" s="183" t="s">
        <v>238</v>
      </c>
      <c r="C45" s="162"/>
      <c r="D45" s="166">
        <v>5470881.7999999998</v>
      </c>
      <c r="E45" s="169">
        <v>6749195.2400000002</v>
      </c>
      <c r="F45" s="169">
        <v>6749195.2400000002</v>
      </c>
      <c r="G45" s="169">
        <v>6749195.2400000002</v>
      </c>
      <c r="H45" s="169">
        <v>6749195.2400000002</v>
      </c>
      <c r="I45" s="169">
        <v>6749195.2400000002</v>
      </c>
      <c r="J45" s="168"/>
    </row>
    <row r="46" spans="1:10" ht="15.75" thickBot="1" x14ac:dyDescent="0.3">
      <c r="A46" s="156" t="s">
        <v>239</v>
      </c>
      <c r="B46" s="184"/>
      <c r="C46" s="172"/>
      <c r="D46" s="180">
        <f t="shared" ref="D46:I46" si="6">SUM(D48:D70)</f>
        <v>1008537.1299999999</v>
      </c>
      <c r="E46" s="180">
        <f t="shared" si="6"/>
        <v>6010199.0200000005</v>
      </c>
      <c r="F46" s="180">
        <f t="shared" si="6"/>
        <v>6010199.0200000005</v>
      </c>
      <c r="G46" s="180">
        <f t="shared" si="6"/>
        <v>6210199.0200000005</v>
      </c>
      <c r="H46" s="180">
        <f t="shared" si="6"/>
        <v>6210199.0200000005</v>
      </c>
      <c r="I46" s="180">
        <f t="shared" si="6"/>
        <v>6210199.0200000005</v>
      </c>
      <c r="J46" s="181"/>
    </row>
    <row r="47" spans="1:10" x14ac:dyDescent="0.25">
      <c r="A47" s="160" t="s">
        <v>240</v>
      </c>
      <c r="B47" s="161" t="s">
        <v>241</v>
      </c>
      <c r="C47" s="162"/>
      <c r="D47" s="166"/>
      <c r="E47" s="169"/>
      <c r="F47" s="169"/>
      <c r="G47" s="169"/>
      <c r="H47" s="169"/>
      <c r="I47" s="169"/>
      <c r="J47" s="168"/>
    </row>
    <row r="48" spans="1:10" x14ac:dyDescent="0.25">
      <c r="A48" s="160" t="s">
        <v>242</v>
      </c>
      <c r="B48" s="170" t="s">
        <v>243</v>
      </c>
      <c r="C48" s="162"/>
      <c r="D48" s="166"/>
      <c r="E48" s="169"/>
      <c r="F48" s="169"/>
      <c r="G48" s="169"/>
      <c r="H48" s="169"/>
      <c r="I48" s="169"/>
      <c r="J48" s="168"/>
    </row>
    <row r="49" spans="1:10" x14ac:dyDescent="0.25">
      <c r="A49" s="160" t="s">
        <v>244</v>
      </c>
      <c r="B49" s="170" t="s">
        <v>245</v>
      </c>
      <c r="C49" s="162"/>
      <c r="D49" s="166"/>
      <c r="E49" s="169"/>
      <c r="F49" s="169"/>
      <c r="G49" s="169"/>
      <c r="H49" s="169"/>
      <c r="I49" s="169"/>
      <c r="J49" s="168"/>
    </row>
    <row r="50" spans="1:10" x14ac:dyDescent="0.25">
      <c r="A50" s="160">
        <v>71</v>
      </c>
      <c r="B50" s="170" t="s">
        <v>246</v>
      </c>
      <c r="C50" s="162"/>
      <c r="D50" s="166"/>
      <c r="E50" s="169"/>
      <c r="F50" s="169"/>
      <c r="G50" s="169"/>
      <c r="H50" s="169"/>
      <c r="I50" s="169"/>
      <c r="J50" s="168"/>
    </row>
    <row r="51" spans="1:10" x14ac:dyDescent="0.25">
      <c r="A51" s="164">
        <v>7101</v>
      </c>
      <c r="B51" s="165" t="s">
        <v>222</v>
      </c>
      <c r="C51" s="162"/>
      <c r="D51" s="166"/>
      <c r="E51" s="169">
        <v>271876.32</v>
      </c>
      <c r="F51" s="169">
        <v>271876.32</v>
      </c>
      <c r="G51" s="169">
        <v>271876.32</v>
      </c>
      <c r="H51" s="169">
        <v>271876.32</v>
      </c>
      <c r="I51" s="169">
        <v>271876.32</v>
      </c>
      <c r="J51" s="168"/>
    </row>
    <row r="52" spans="1:10" x14ac:dyDescent="0.25">
      <c r="A52" s="164">
        <v>7102</v>
      </c>
      <c r="B52" s="165" t="s">
        <v>223</v>
      </c>
      <c r="C52" s="162"/>
      <c r="D52" s="166"/>
      <c r="E52" s="169">
        <v>36588.230000000003</v>
      </c>
      <c r="F52" s="169">
        <v>36588.230000000003</v>
      </c>
      <c r="G52" s="169">
        <v>36588.230000000003</v>
      </c>
      <c r="H52" s="169">
        <v>36588.230000000003</v>
      </c>
      <c r="I52" s="169">
        <v>36588.230000000003</v>
      </c>
      <c r="J52" s="168"/>
    </row>
    <row r="53" spans="1:10" x14ac:dyDescent="0.25">
      <c r="A53" s="164">
        <v>7103</v>
      </c>
      <c r="B53" s="165" t="s">
        <v>224</v>
      </c>
      <c r="C53" s="162"/>
      <c r="D53" s="166"/>
      <c r="E53" s="169"/>
      <c r="F53" s="169"/>
      <c r="G53" s="169"/>
      <c r="H53" s="169"/>
      <c r="I53" s="169"/>
      <c r="J53" s="168"/>
    </row>
    <row r="54" spans="1:10" x14ac:dyDescent="0.25">
      <c r="A54" s="164">
        <v>7104</v>
      </c>
      <c r="B54" s="165" t="s">
        <v>225</v>
      </c>
      <c r="C54" s="162"/>
      <c r="D54" s="166"/>
      <c r="E54" s="169"/>
      <c r="F54" s="169"/>
      <c r="G54" s="169"/>
      <c r="H54" s="169"/>
      <c r="I54" s="169"/>
      <c r="J54" s="168"/>
    </row>
    <row r="55" spans="1:10" x14ac:dyDescent="0.25">
      <c r="A55" s="164">
        <v>7105</v>
      </c>
      <c r="B55" s="165" t="s">
        <v>226</v>
      </c>
      <c r="C55" s="162"/>
      <c r="D55" s="166"/>
      <c r="E55" s="169">
        <v>49640.5</v>
      </c>
      <c r="F55" s="169">
        <v>49640.5</v>
      </c>
      <c r="G55" s="169">
        <v>49640.5</v>
      </c>
      <c r="H55" s="169">
        <v>49640.5</v>
      </c>
      <c r="I55" s="169">
        <v>49640.5</v>
      </c>
      <c r="J55" s="168"/>
    </row>
    <row r="56" spans="1:10" x14ac:dyDescent="0.25">
      <c r="A56" s="164">
        <v>7106</v>
      </c>
      <c r="B56" s="165" t="s">
        <v>227</v>
      </c>
      <c r="C56" s="162"/>
      <c r="D56" s="166"/>
      <c r="E56" s="169">
        <v>44633.03</v>
      </c>
      <c r="F56" s="169">
        <v>44633.03</v>
      </c>
      <c r="G56" s="169">
        <v>44633.03</v>
      </c>
      <c r="H56" s="169">
        <v>44633.03</v>
      </c>
      <c r="I56" s="169">
        <v>44633.03</v>
      </c>
      <c r="J56" s="168"/>
    </row>
    <row r="57" spans="1:10" x14ac:dyDescent="0.25">
      <c r="A57" s="164">
        <v>7107</v>
      </c>
      <c r="B57" s="165" t="s">
        <v>228</v>
      </c>
      <c r="C57" s="162"/>
      <c r="D57" s="166"/>
      <c r="E57" s="169">
        <v>127906.67</v>
      </c>
      <c r="F57" s="169">
        <v>127906.67</v>
      </c>
      <c r="G57" s="169">
        <v>127906.67</v>
      </c>
      <c r="H57" s="169">
        <v>127906.67</v>
      </c>
      <c r="I57" s="169">
        <v>127906.67</v>
      </c>
      <c r="J57" s="168"/>
    </row>
    <row r="58" spans="1:10" x14ac:dyDescent="0.25">
      <c r="A58" s="164">
        <v>7199</v>
      </c>
      <c r="B58" s="165" t="s">
        <v>229</v>
      </c>
      <c r="C58" s="162"/>
      <c r="D58" s="166"/>
      <c r="E58" s="169"/>
      <c r="F58" s="169"/>
      <c r="G58" s="169"/>
      <c r="H58" s="169"/>
      <c r="I58" s="169"/>
      <c r="J58" s="168"/>
    </row>
    <row r="59" spans="1:10" x14ac:dyDescent="0.25">
      <c r="A59" s="160">
        <v>73</v>
      </c>
      <c r="B59" s="170" t="s">
        <v>247</v>
      </c>
      <c r="C59" s="162"/>
      <c r="D59" s="166"/>
      <c r="E59" s="169">
        <v>291352.38</v>
      </c>
      <c r="F59" s="169">
        <v>291352.38</v>
      </c>
      <c r="G59" s="169">
        <v>291352.38</v>
      </c>
      <c r="H59" s="169">
        <v>291352.38</v>
      </c>
      <c r="I59" s="169">
        <v>291352.38</v>
      </c>
      <c r="J59" s="168"/>
    </row>
    <row r="60" spans="1:10" x14ac:dyDescent="0.25">
      <c r="A60" s="160">
        <v>75</v>
      </c>
      <c r="B60" s="170" t="s">
        <v>248</v>
      </c>
      <c r="C60" s="162"/>
      <c r="D60" s="166"/>
      <c r="E60" s="169">
        <v>4614745.09</v>
      </c>
      <c r="F60" s="169">
        <v>4614745.09</v>
      </c>
      <c r="G60" s="169">
        <v>4814745.09</v>
      </c>
      <c r="H60" s="169">
        <v>4814745.09</v>
      </c>
      <c r="I60" s="169">
        <v>4814745.09</v>
      </c>
      <c r="J60" s="168"/>
    </row>
    <row r="61" spans="1:10" x14ac:dyDescent="0.25">
      <c r="A61" s="164">
        <v>7501</v>
      </c>
      <c r="B61" s="165" t="s">
        <v>249</v>
      </c>
      <c r="C61" s="162"/>
      <c r="D61" s="166"/>
      <c r="E61" s="169"/>
      <c r="F61" s="169"/>
      <c r="G61" s="169"/>
      <c r="H61" s="169"/>
      <c r="I61" s="169"/>
      <c r="J61" s="168"/>
    </row>
    <row r="62" spans="1:10" x14ac:dyDescent="0.25">
      <c r="A62" s="164">
        <v>7502</v>
      </c>
      <c r="B62" s="165" t="s">
        <v>250</v>
      </c>
      <c r="C62" s="162"/>
      <c r="D62" s="166"/>
      <c r="E62" s="169"/>
      <c r="F62" s="169"/>
      <c r="G62" s="169"/>
      <c r="H62" s="169"/>
      <c r="I62" s="169"/>
      <c r="J62" s="168"/>
    </row>
    <row r="63" spans="1:10" x14ac:dyDescent="0.25">
      <c r="A63" s="164">
        <v>7503</v>
      </c>
      <c r="B63" s="165" t="s">
        <v>251</v>
      </c>
      <c r="C63" s="162"/>
      <c r="D63" s="166"/>
      <c r="E63" s="169"/>
      <c r="F63" s="169"/>
      <c r="G63" s="169"/>
      <c r="H63" s="169"/>
      <c r="I63" s="169"/>
      <c r="J63" s="168"/>
    </row>
    <row r="64" spans="1:10" x14ac:dyDescent="0.25">
      <c r="A64" s="164">
        <v>7504</v>
      </c>
      <c r="B64" s="165" t="s">
        <v>252</v>
      </c>
      <c r="C64" s="162"/>
      <c r="D64" s="166"/>
      <c r="E64" s="169"/>
      <c r="F64" s="169"/>
      <c r="G64" s="169"/>
      <c r="H64" s="169"/>
      <c r="I64" s="169"/>
      <c r="J64" s="168"/>
    </row>
    <row r="65" spans="1:10" x14ac:dyDescent="0.25">
      <c r="A65" s="164">
        <v>7505</v>
      </c>
      <c r="B65" s="165" t="s">
        <v>253</v>
      </c>
      <c r="C65" s="162"/>
      <c r="D65" s="166"/>
      <c r="E65" s="169"/>
      <c r="F65" s="169"/>
      <c r="G65" s="169"/>
      <c r="H65" s="169"/>
      <c r="I65" s="169"/>
      <c r="J65" s="168"/>
    </row>
    <row r="66" spans="1:10" x14ac:dyDescent="0.25">
      <c r="A66" s="164">
        <v>7599</v>
      </c>
      <c r="B66" s="165" t="s">
        <v>229</v>
      </c>
      <c r="C66" s="162"/>
      <c r="D66" s="166"/>
      <c r="E66" s="169"/>
      <c r="F66" s="169"/>
      <c r="G66" s="169"/>
      <c r="H66" s="169"/>
      <c r="I66" s="169"/>
      <c r="J66" s="168"/>
    </row>
    <row r="67" spans="1:10" x14ac:dyDescent="0.25">
      <c r="A67" s="160">
        <v>77</v>
      </c>
      <c r="B67" s="185" t="s">
        <v>254</v>
      </c>
      <c r="C67" s="162"/>
      <c r="D67" s="166"/>
      <c r="E67" s="169"/>
      <c r="F67" s="169"/>
      <c r="G67" s="169"/>
      <c r="H67" s="169"/>
      <c r="I67" s="169"/>
      <c r="J67" s="168"/>
    </row>
    <row r="68" spans="1:10" x14ac:dyDescent="0.25">
      <c r="A68" s="160">
        <v>78</v>
      </c>
      <c r="B68" s="170" t="s">
        <v>255</v>
      </c>
      <c r="C68" s="162"/>
      <c r="D68" s="166">
        <f>433292.38+362562.55</f>
        <v>795854.92999999993</v>
      </c>
      <c r="E68" s="169">
        <f>335388.94+4760</f>
        <v>340148.94</v>
      </c>
      <c r="F68" s="169">
        <f>335388.94+4760</f>
        <v>340148.94</v>
      </c>
      <c r="G68" s="169">
        <f>335388.94+4760</f>
        <v>340148.94</v>
      </c>
      <c r="H68" s="169">
        <f>335388.94+4760</f>
        <v>340148.94</v>
      </c>
      <c r="I68" s="169">
        <f>335388.94+4760</f>
        <v>340148.94</v>
      </c>
      <c r="J68" s="168"/>
    </row>
    <row r="69" spans="1:10" x14ac:dyDescent="0.25">
      <c r="A69" s="160">
        <v>84</v>
      </c>
      <c r="B69" s="170" t="s">
        <v>256</v>
      </c>
      <c r="C69" s="162"/>
      <c r="D69" s="166">
        <v>212682.2</v>
      </c>
      <c r="E69" s="169">
        <f>188869.05+44438.81</f>
        <v>233307.86</v>
      </c>
      <c r="F69" s="169">
        <f>188869.05+44438.81</f>
        <v>233307.86</v>
      </c>
      <c r="G69" s="169">
        <f>188869.05+44438.81</f>
        <v>233307.86</v>
      </c>
      <c r="H69" s="169">
        <f>188869.05+44438.81</f>
        <v>233307.86</v>
      </c>
      <c r="I69" s="169">
        <f>188869.05+44438.81</f>
        <v>233307.86</v>
      </c>
      <c r="J69" s="168"/>
    </row>
    <row r="70" spans="1:10" ht="15.75" thickBot="1" x14ac:dyDescent="0.3">
      <c r="A70" s="160">
        <v>88</v>
      </c>
      <c r="B70" s="173" t="s">
        <v>257</v>
      </c>
      <c r="C70" s="186"/>
      <c r="D70" s="166"/>
      <c r="E70" s="169"/>
      <c r="F70" s="169"/>
      <c r="G70" s="169"/>
      <c r="H70" s="169"/>
      <c r="I70" s="169"/>
      <c r="J70" s="168"/>
    </row>
    <row r="71" spans="1:10" x14ac:dyDescent="0.25">
      <c r="A71" s="174" t="s">
        <v>258</v>
      </c>
      <c r="B71" s="175"/>
      <c r="C71" s="187"/>
      <c r="D71" s="188">
        <f t="shared" ref="D71:I71" si="7">D43-D46</f>
        <v>-1008537.1299999999</v>
      </c>
      <c r="E71" s="188">
        <f t="shared" si="7"/>
        <v>803234.93999999948</v>
      </c>
      <c r="F71" s="188">
        <f t="shared" si="7"/>
        <v>803234.93999999948</v>
      </c>
      <c r="G71" s="188">
        <f t="shared" si="7"/>
        <v>603996.21999999974</v>
      </c>
      <c r="H71" s="188">
        <f t="shared" si="7"/>
        <v>603996.21999999974</v>
      </c>
      <c r="I71" s="188">
        <f t="shared" si="7"/>
        <v>603996.21999999974</v>
      </c>
      <c r="J71" s="189"/>
    </row>
    <row r="72" spans="1:10" x14ac:dyDescent="0.25">
      <c r="A72" s="190" t="s">
        <v>259</v>
      </c>
      <c r="B72" s="191"/>
      <c r="C72" s="192">
        <f>+C42+C71</f>
        <v>0</v>
      </c>
      <c r="D72" s="193">
        <f t="shared" ref="D72:I72" si="8">D42+D71</f>
        <v>-1510547.4900000002</v>
      </c>
      <c r="E72" s="193">
        <f t="shared" si="8"/>
        <v>-387069.83000000101</v>
      </c>
      <c r="F72" s="193">
        <f t="shared" si="8"/>
        <v>-387069.83000000101</v>
      </c>
      <c r="G72" s="193">
        <f t="shared" si="8"/>
        <v>-411634.8600000008</v>
      </c>
      <c r="H72" s="193">
        <f t="shared" si="8"/>
        <v>-359634.8600000008</v>
      </c>
      <c r="I72" s="193">
        <f t="shared" si="8"/>
        <v>-359634.8600000008</v>
      </c>
      <c r="J72" s="192"/>
    </row>
    <row r="73" spans="1:10" x14ac:dyDescent="0.25">
      <c r="A73" s="194" t="s">
        <v>260</v>
      </c>
      <c r="B73" s="184"/>
      <c r="C73" s="172"/>
      <c r="D73" s="180">
        <f t="shared" ref="D73:I73" si="9">D74+D75+D76+D77</f>
        <v>492769.5</v>
      </c>
      <c r="E73" s="180">
        <f t="shared" si="9"/>
        <v>798143.73</v>
      </c>
      <c r="F73" s="180">
        <f t="shared" si="9"/>
        <v>798143.73</v>
      </c>
      <c r="G73" s="180">
        <f t="shared" si="9"/>
        <v>798143.73</v>
      </c>
      <c r="H73" s="180">
        <f t="shared" si="9"/>
        <v>798143.73</v>
      </c>
      <c r="I73" s="180">
        <f t="shared" si="9"/>
        <v>798143.73</v>
      </c>
      <c r="J73" s="181"/>
    </row>
    <row r="74" spans="1:10" x14ac:dyDescent="0.25">
      <c r="A74" s="195">
        <v>27</v>
      </c>
      <c r="B74" s="183" t="s">
        <v>261</v>
      </c>
      <c r="C74" s="162"/>
      <c r="D74" s="166"/>
      <c r="E74" s="169"/>
      <c r="F74" s="169"/>
      <c r="G74" s="169"/>
      <c r="H74" s="169"/>
      <c r="I74" s="169"/>
      <c r="J74" s="168"/>
    </row>
    <row r="75" spans="1:10" x14ac:dyDescent="0.25">
      <c r="A75" s="196">
        <v>36</v>
      </c>
      <c r="B75" s="197" t="s">
        <v>262</v>
      </c>
      <c r="C75" s="162"/>
      <c r="D75" s="166"/>
      <c r="E75" s="169">
        <v>361395.20000000001</v>
      </c>
      <c r="F75" s="169">
        <v>361395.20000000001</v>
      </c>
      <c r="G75" s="169">
        <v>361395.20000000001</v>
      </c>
      <c r="H75" s="169">
        <v>361395.20000000001</v>
      </c>
      <c r="I75" s="169">
        <v>361395.20000000001</v>
      </c>
      <c r="J75" s="168"/>
    </row>
    <row r="76" spans="1:10" x14ac:dyDescent="0.25">
      <c r="A76" s="182">
        <v>37</v>
      </c>
      <c r="B76" s="183" t="s">
        <v>263</v>
      </c>
      <c r="C76" s="162"/>
      <c r="D76" s="166"/>
      <c r="E76" s="169"/>
      <c r="F76" s="169"/>
      <c r="G76" s="169"/>
      <c r="H76" s="169"/>
      <c r="I76" s="169"/>
      <c r="J76" s="168"/>
    </row>
    <row r="77" spans="1:10" x14ac:dyDescent="0.25">
      <c r="A77" s="182">
        <v>38</v>
      </c>
      <c r="B77" s="183" t="s">
        <v>264</v>
      </c>
      <c r="C77" s="162"/>
      <c r="D77" s="166">
        <v>492769.5</v>
      </c>
      <c r="E77" s="169">
        <v>436748.53</v>
      </c>
      <c r="F77" s="169">
        <v>436748.53</v>
      </c>
      <c r="G77" s="169">
        <v>436748.53</v>
      </c>
      <c r="H77" s="169">
        <v>436748.53</v>
      </c>
      <c r="I77" s="169">
        <v>436748.53</v>
      </c>
      <c r="J77" s="168"/>
    </row>
    <row r="78" spans="1:10" x14ac:dyDescent="0.25">
      <c r="A78" s="156" t="s">
        <v>265</v>
      </c>
      <c r="B78" s="178"/>
      <c r="C78" s="172"/>
      <c r="D78" s="180">
        <f>D79+D80+D81+D82</f>
        <v>1737078.7</v>
      </c>
      <c r="E78" s="180">
        <f>E79+E80+E81+E82</f>
        <v>295615.93</v>
      </c>
      <c r="F78" s="180">
        <f>F79+F80+F81+F82</f>
        <v>395615.93000000005</v>
      </c>
      <c r="G78" s="180">
        <f>G79+G80+G81+G82</f>
        <v>395615.93000000005</v>
      </c>
      <c r="H78" s="180">
        <f t="shared" ref="H78:I78" si="10">H79+H80+H81+H82</f>
        <v>395615.93000000005</v>
      </c>
      <c r="I78" s="180">
        <f t="shared" si="10"/>
        <v>395615.93000000005</v>
      </c>
      <c r="J78" s="181"/>
    </row>
    <row r="79" spans="1:10" x14ac:dyDescent="0.25">
      <c r="A79" s="182">
        <v>87</v>
      </c>
      <c r="B79" s="183" t="s">
        <v>266</v>
      </c>
      <c r="C79" s="162"/>
      <c r="D79" s="166"/>
      <c r="E79" s="169"/>
      <c r="F79" s="169"/>
      <c r="G79" s="169"/>
      <c r="H79" s="169"/>
      <c r="I79" s="169"/>
      <c r="J79" s="168"/>
    </row>
    <row r="80" spans="1:10" x14ac:dyDescent="0.25">
      <c r="A80" s="182">
        <v>96</v>
      </c>
      <c r="B80" s="183" t="s">
        <v>267</v>
      </c>
      <c r="C80" s="162"/>
      <c r="D80" s="166">
        <v>298294.32</v>
      </c>
      <c r="E80" s="169">
        <v>237367.03</v>
      </c>
      <c r="F80" s="169">
        <v>337367.03</v>
      </c>
      <c r="G80" s="169">
        <v>337367.03</v>
      </c>
      <c r="H80" s="169">
        <v>337367.03</v>
      </c>
      <c r="I80" s="169">
        <v>337367.03</v>
      </c>
      <c r="J80" s="168"/>
    </row>
    <row r="81" spans="1:10" x14ac:dyDescent="0.25">
      <c r="A81" s="182">
        <v>97</v>
      </c>
      <c r="B81" s="183" t="s">
        <v>268</v>
      </c>
      <c r="C81" s="162"/>
      <c r="D81" s="166">
        <v>1438784.38</v>
      </c>
      <c r="E81" s="169">
        <v>58248.9</v>
      </c>
      <c r="F81" s="169">
        <v>58248.9</v>
      </c>
      <c r="G81" s="169">
        <v>58248.9</v>
      </c>
      <c r="H81" s="169">
        <v>58248.9</v>
      </c>
      <c r="I81" s="169">
        <v>58248.9</v>
      </c>
      <c r="J81" s="168"/>
    </row>
    <row r="82" spans="1:10" ht="15.75" thickBot="1" x14ac:dyDescent="0.3">
      <c r="A82" s="198">
        <v>99</v>
      </c>
      <c r="B82" s="199" t="s">
        <v>269</v>
      </c>
      <c r="C82" s="162"/>
      <c r="D82" s="166"/>
      <c r="E82" s="169"/>
      <c r="F82" s="169"/>
      <c r="G82" s="169"/>
      <c r="H82" s="169"/>
      <c r="I82" s="169"/>
      <c r="J82" s="168"/>
    </row>
    <row r="83" spans="1:10" ht="15.75" thickBot="1" x14ac:dyDescent="0.3">
      <c r="A83" s="200" t="s">
        <v>270</v>
      </c>
      <c r="B83" s="201"/>
      <c r="C83" s="202">
        <f t="shared" ref="C83:I83" si="11">+C73-C78</f>
        <v>0</v>
      </c>
      <c r="D83" s="202">
        <f t="shared" si="11"/>
        <v>-1244309.2</v>
      </c>
      <c r="E83" s="202">
        <f t="shared" si="11"/>
        <v>502527.8</v>
      </c>
      <c r="F83" s="202">
        <f t="shared" si="11"/>
        <v>402527.79999999993</v>
      </c>
      <c r="G83" s="202">
        <f t="shared" si="11"/>
        <v>402527.79999999993</v>
      </c>
      <c r="H83" s="202">
        <f t="shared" si="11"/>
        <v>402527.79999999993</v>
      </c>
      <c r="I83" s="202">
        <f t="shared" si="11"/>
        <v>402527.79999999993</v>
      </c>
      <c r="J83" s="202"/>
    </row>
    <row r="84" spans="1:10" s="205" customFormat="1" x14ac:dyDescent="0.25">
      <c r="A84" s="203"/>
      <c r="B84" s="203"/>
      <c r="C84" s="204"/>
      <c r="D84" s="204"/>
      <c r="E84" s="204"/>
      <c r="F84" s="204"/>
      <c r="G84" s="204"/>
      <c r="H84" s="204"/>
    </row>
    <row r="85" spans="1:10" s="205" customFormat="1" ht="15.75" thickBot="1" x14ac:dyDescent="0.3">
      <c r="A85" s="206" t="s">
        <v>271</v>
      </c>
      <c r="B85" s="207"/>
      <c r="C85" s="207"/>
      <c r="D85" s="207"/>
      <c r="E85" s="208"/>
      <c r="F85" s="207"/>
      <c r="G85" s="207"/>
      <c r="H85" s="207"/>
      <c r="I85" s="207"/>
    </row>
    <row r="86" spans="1:10" s="205" customFormat="1" x14ac:dyDescent="0.25">
      <c r="A86" s="209"/>
      <c r="B86" s="210"/>
      <c r="C86" s="210"/>
      <c r="D86" s="210"/>
      <c r="E86" s="210"/>
      <c r="F86" s="210"/>
      <c r="G86" s="210"/>
      <c r="H86" s="210"/>
      <c r="I86" s="211"/>
    </row>
    <row r="87" spans="1:10" s="205" customFormat="1" ht="15.75" thickBot="1" x14ac:dyDescent="0.3">
      <c r="A87" s="212"/>
      <c r="B87" s="213"/>
      <c r="C87" s="214"/>
      <c r="D87" s="214"/>
      <c r="E87" s="214"/>
      <c r="F87" s="214"/>
      <c r="G87" s="214"/>
      <c r="H87" s="214"/>
      <c r="I87" s="215"/>
    </row>
    <row r="88" spans="1:10" s="205" customFormat="1" x14ac:dyDescent="0.25">
      <c r="A88" s="203"/>
      <c r="B88" s="203"/>
      <c r="C88" s="204"/>
      <c r="D88" s="204"/>
      <c r="E88" s="204"/>
      <c r="F88" s="204"/>
      <c r="G88" s="204"/>
      <c r="H88" s="204"/>
    </row>
    <row r="89" spans="1:10" x14ac:dyDescent="0.25">
      <c r="A89" s="216" t="s">
        <v>272</v>
      </c>
    </row>
    <row r="90" spans="1:10" x14ac:dyDescent="0.25">
      <c r="A90" s="216" t="s">
        <v>273</v>
      </c>
    </row>
    <row r="91" spans="1:10" x14ac:dyDescent="0.25">
      <c r="A91" s="216" t="s">
        <v>274</v>
      </c>
    </row>
    <row r="92" spans="1:10" x14ac:dyDescent="0.25">
      <c r="A92" s="216" t="s">
        <v>40</v>
      </c>
    </row>
    <row r="97" spans="1:7" x14ac:dyDescent="0.25">
      <c r="A97" s="57" t="s">
        <v>275</v>
      </c>
      <c r="B97" s="57"/>
      <c r="C97" s="57"/>
      <c r="E97" s="57" t="s">
        <v>276</v>
      </c>
      <c r="F97" s="57"/>
      <c r="G97" s="57"/>
    </row>
    <row r="98" spans="1:7" x14ac:dyDescent="0.25">
      <c r="A98" s="58" t="s">
        <v>277</v>
      </c>
      <c r="B98" s="217" t="s">
        <v>278</v>
      </c>
      <c r="E98" s="58" t="s">
        <v>44</v>
      </c>
    </row>
    <row r="100" spans="1:7" x14ac:dyDescent="0.25">
      <c r="A100" s="58" t="s">
        <v>45</v>
      </c>
    </row>
    <row r="101" spans="1:7" x14ac:dyDescent="0.25">
      <c r="A101" s="58" t="s">
        <v>46</v>
      </c>
    </row>
  </sheetData>
  <mergeCells count="20">
    <mergeCell ref="A72:B72"/>
    <mergeCell ref="A73:B73"/>
    <mergeCell ref="A78:B78"/>
    <mergeCell ref="A83:B83"/>
    <mergeCell ref="A97:C97"/>
    <mergeCell ref="E97:G97"/>
    <mergeCell ref="A9:B9"/>
    <mergeCell ref="A27:B27"/>
    <mergeCell ref="A42:B42"/>
    <mergeCell ref="A43:B43"/>
    <mergeCell ref="A46:B46"/>
    <mergeCell ref="A71:B71"/>
    <mergeCell ref="A1:J1"/>
    <mergeCell ref="A2:J2"/>
    <mergeCell ref="A4:H4"/>
    <mergeCell ref="A5:H5"/>
    <mergeCell ref="A6:B7"/>
    <mergeCell ref="C6:E7"/>
    <mergeCell ref="F6:I7"/>
    <mergeCell ref="J6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FORMUALRIO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2018-07-31T23:09:21Z</dcterms:created>
  <dcterms:modified xsi:type="dcterms:W3CDTF">2018-07-31T23:13:13Z</dcterms:modified>
</cp:coreProperties>
</file>