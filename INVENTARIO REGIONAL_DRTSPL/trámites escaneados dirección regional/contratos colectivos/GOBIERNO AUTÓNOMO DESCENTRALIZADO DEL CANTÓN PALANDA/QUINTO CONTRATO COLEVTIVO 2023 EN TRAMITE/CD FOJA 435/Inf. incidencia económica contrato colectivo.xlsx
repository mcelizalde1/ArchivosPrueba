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H13" i="1" l="1"/>
  <c r="G13" i="1"/>
  <c r="G12" i="1"/>
  <c r="G11" i="1"/>
  <c r="G10" i="1"/>
  <c r="F13" i="1"/>
  <c r="F12" i="1"/>
  <c r="F10" i="1"/>
  <c r="F11" i="1"/>
  <c r="E11" i="1"/>
  <c r="E10" i="1"/>
  <c r="E12" i="1" s="1"/>
  <c r="E13" i="1" s="1"/>
  <c r="D12" i="1"/>
  <c r="D13" i="1" s="1"/>
  <c r="C13" i="1"/>
  <c r="C12" i="1"/>
</calcChain>
</file>

<file path=xl/sharedStrings.xml><?xml version="1.0" encoding="utf-8"?>
<sst xmlns="http://schemas.openxmlformats.org/spreadsheetml/2006/main" count="21" uniqueCount="20">
  <si>
    <t>TIPO REMUNERACIÓN</t>
  </si>
  <si>
    <t xml:space="preserve">QUINTO CONTRATO </t>
  </si>
  <si>
    <t xml:space="preserve">CUARTO CONTRATO </t>
  </si>
  <si>
    <t>Salarios Unificados Corrientes</t>
  </si>
  <si>
    <t>Salarios Unificados Inversión</t>
  </si>
  <si>
    <t>TOTAL MENSUAL</t>
  </si>
  <si>
    <t xml:space="preserve">INCIDENCIA </t>
  </si>
  <si>
    <t>TOTAL  ANUAL</t>
  </si>
  <si>
    <t>GOBIERNO AUTONOMO DESCENTRALIZADO DE PALANDA</t>
  </si>
  <si>
    <t>GASTO SALARIAL CONSOLIDADO DEL PERSONAL SINDICALIZADO DEL GAD PALANDA</t>
  </si>
  <si>
    <t>COLECTIVO VIGENTE</t>
  </si>
  <si>
    <t>COLECTIVO PROPUESTO</t>
  </si>
  <si>
    <t>ECONOMICA 2015</t>
  </si>
  <si>
    <t>ECONOMICA 2016</t>
  </si>
  <si>
    <t>INCIDENCIA</t>
  </si>
  <si>
    <t>APORTE PATRONAL 2015 - 2016</t>
  </si>
  <si>
    <t>INCIDENCIA TOTAL</t>
  </si>
  <si>
    <t>SALARIOS +  APORTE PAT</t>
  </si>
  <si>
    <r>
      <rPr>
        <b/>
        <sz val="11"/>
        <color theme="1"/>
        <rFont val="Calibri"/>
        <family val="2"/>
        <scheme val="minor"/>
      </rPr>
      <t>Incidencia</t>
    </r>
    <r>
      <rPr>
        <sz val="11"/>
        <color theme="1"/>
        <rFont val="Calibri"/>
        <family val="2"/>
        <scheme val="minor"/>
      </rPr>
      <t>: Son Ciento veinte y ocho mil cero doce/66 centavos.</t>
    </r>
  </si>
  <si>
    <t>Elaborado Por: Dirección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</si>
</sst>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3" xfId="0" applyFill="1" applyBorder="1"/>
    <xf numFmtId="2" fontId="0" fillId="0" borderId="5" xfId="0" applyNumberFormat="1" applyBorder="1"/>
    <xf numFmtId="0" fontId="3" fillId="0" borderId="1" xfId="0" applyFont="1" applyFill="1" applyBorder="1"/>
    <xf numFmtId="2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0" fillId="0" borderId="14" xfId="0" applyBorder="1"/>
    <xf numFmtId="0" fontId="3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/>
    <xf numFmtId="0" fontId="1" fillId="0" borderId="21" xfId="0" applyFont="1" applyBorder="1"/>
    <xf numFmtId="2" fontId="1" fillId="0" borderId="22" xfId="0" applyNumberFormat="1" applyFont="1" applyBorder="1"/>
    <xf numFmtId="2" fontId="1" fillId="0" borderId="23" xfId="0" applyNumberFormat="1" applyFont="1" applyBorder="1"/>
    <xf numFmtId="0" fontId="0" fillId="0" borderId="24" xfId="0" applyBorder="1"/>
    <xf numFmtId="0" fontId="0" fillId="0" borderId="10" xfId="0" applyBorder="1"/>
    <xf numFmtId="0" fontId="0" fillId="0" borderId="25" xfId="0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26" xfId="0" applyBorder="1"/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1" max="1" width="2.140625" customWidth="1"/>
    <col min="2" max="2" width="27.5703125" customWidth="1"/>
    <col min="3" max="3" width="19.140625" customWidth="1"/>
    <col min="4" max="4" width="21.85546875" customWidth="1"/>
    <col min="5" max="5" width="16" customWidth="1"/>
    <col min="6" max="6" width="16.28515625" customWidth="1"/>
    <col min="7" max="7" width="21.5703125" customWidth="1"/>
    <col min="8" max="8" width="16.85546875" customWidth="1"/>
  </cols>
  <sheetData>
    <row r="1" spans="1:8" x14ac:dyDescent="0.25">
      <c r="A1" s="29"/>
      <c r="B1" s="30"/>
      <c r="C1" s="30"/>
      <c r="D1" s="30"/>
      <c r="E1" s="30"/>
      <c r="F1" s="30"/>
      <c r="G1" s="30"/>
      <c r="H1" s="31"/>
    </row>
    <row r="2" spans="1:8" ht="21" x14ac:dyDescent="0.35">
      <c r="A2" s="32" t="s">
        <v>8</v>
      </c>
      <c r="B2" s="33"/>
      <c r="C2" s="33"/>
      <c r="D2" s="33"/>
      <c r="E2" s="33"/>
      <c r="F2" s="33"/>
      <c r="G2" s="33"/>
      <c r="H2" s="34"/>
    </row>
    <row r="3" spans="1:8" ht="12" customHeight="1" x14ac:dyDescent="0.3">
      <c r="A3" s="35"/>
      <c r="B3" s="36"/>
      <c r="C3" s="36"/>
      <c r="D3" s="36"/>
      <c r="E3" s="36"/>
      <c r="F3" s="4"/>
      <c r="G3" s="4"/>
      <c r="H3" s="37"/>
    </row>
    <row r="4" spans="1:8" x14ac:dyDescent="0.25">
      <c r="A4" s="38" t="s">
        <v>9</v>
      </c>
      <c r="B4" s="39"/>
      <c r="C4" s="39"/>
      <c r="D4" s="39"/>
      <c r="E4" s="39"/>
      <c r="F4" s="39"/>
      <c r="G4" s="39"/>
      <c r="H4" s="40"/>
    </row>
    <row r="5" spans="1:8" x14ac:dyDescent="0.25">
      <c r="A5" s="21"/>
      <c r="B5" s="4"/>
      <c r="C5" s="4"/>
      <c r="D5" s="4"/>
      <c r="E5" s="4"/>
      <c r="F5" s="4"/>
      <c r="G5" s="4"/>
      <c r="H5" s="37"/>
    </row>
    <row r="6" spans="1:8" ht="15.75" thickBot="1" x14ac:dyDescent="0.3">
      <c r="A6" s="21"/>
      <c r="B6" s="4"/>
      <c r="C6" s="4"/>
      <c r="D6" s="4"/>
      <c r="E6" s="4"/>
      <c r="F6" s="4"/>
      <c r="G6" s="4"/>
      <c r="H6" s="37"/>
    </row>
    <row r="7" spans="1:8" x14ac:dyDescent="0.25">
      <c r="A7" s="21"/>
      <c r="B7" s="13" t="s">
        <v>0</v>
      </c>
      <c r="C7" s="14" t="s">
        <v>2</v>
      </c>
      <c r="D7" s="15" t="s">
        <v>1</v>
      </c>
      <c r="E7" s="16" t="s">
        <v>6</v>
      </c>
      <c r="F7" s="16" t="s">
        <v>6</v>
      </c>
      <c r="G7" s="17" t="s">
        <v>14</v>
      </c>
      <c r="H7" s="18" t="s">
        <v>16</v>
      </c>
    </row>
    <row r="8" spans="1:8" x14ac:dyDescent="0.25">
      <c r="A8" s="21"/>
      <c r="B8" s="19"/>
      <c r="C8" s="1" t="s">
        <v>10</v>
      </c>
      <c r="D8" s="3" t="s">
        <v>11</v>
      </c>
      <c r="E8" s="2" t="s">
        <v>12</v>
      </c>
      <c r="F8" s="9" t="s">
        <v>13</v>
      </c>
      <c r="G8" s="11" t="s">
        <v>15</v>
      </c>
      <c r="H8" s="20" t="s">
        <v>17</v>
      </c>
    </row>
    <row r="9" spans="1:8" x14ac:dyDescent="0.25">
      <c r="A9" s="21"/>
      <c r="B9" s="21"/>
      <c r="C9" s="4"/>
      <c r="D9" s="4"/>
      <c r="E9" s="7"/>
      <c r="F9" s="8"/>
      <c r="G9" s="6"/>
      <c r="H9" s="22"/>
    </row>
    <row r="10" spans="1:8" x14ac:dyDescent="0.25">
      <c r="A10" s="21"/>
      <c r="B10" s="23" t="s">
        <v>3</v>
      </c>
      <c r="C10" s="5">
        <v>2948.75</v>
      </c>
      <c r="D10" s="5">
        <v>3243.63</v>
      </c>
      <c r="E10" s="5">
        <f>D10-C10</f>
        <v>294.88000000000011</v>
      </c>
      <c r="F10" s="10">
        <f>D10*0.1</f>
        <v>324.36300000000006</v>
      </c>
      <c r="G10" s="12">
        <f>(E10+F10)*0.1215</f>
        <v>75.238024500000023</v>
      </c>
      <c r="H10" s="22"/>
    </row>
    <row r="11" spans="1:8" x14ac:dyDescent="0.25">
      <c r="A11" s="21"/>
      <c r="B11" s="23" t="s">
        <v>4</v>
      </c>
      <c r="C11" s="5">
        <v>42346.54</v>
      </c>
      <c r="D11" s="5">
        <v>46581.19</v>
      </c>
      <c r="E11" s="5">
        <f>D11-C11</f>
        <v>4234.6500000000015</v>
      </c>
      <c r="F11" s="10">
        <f>D11*0.1</f>
        <v>4658.1190000000006</v>
      </c>
      <c r="G11" s="12">
        <f>(E11+F11)*0.1215</f>
        <v>1080.4714335000003</v>
      </c>
      <c r="H11" s="22"/>
    </row>
    <row r="12" spans="1:8" ht="15.75" thickBot="1" x14ac:dyDescent="0.3">
      <c r="A12" s="21"/>
      <c r="B12" s="23" t="s">
        <v>5</v>
      </c>
      <c r="C12" s="5">
        <f>SUM(C10:C11)</f>
        <v>45295.29</v>
      </c>
      <c r="D12" s="5">
        <f>SUM(D10:D11)</f>
        <v>49824.82</v>
      </c>
      <c r="E12" s="5">
        <f>E10+E11</f>
        <v>4529.5300000000016</v>
      </c>
      <c r="F12" s="10">
        <f>SUM(F10:F11)</f>
        <v>4982.4820000000009</v>
      </c>
      <c r="G12" s="12">
        <f>SUM(G10:G11)</f>
        <v>1155.7094580000003</v>
      </c>
      <c r="H12" s="22"/>
    </row>
    <row r="13" spans="1:8" ht="15.75" thickBot="1" x14ac:dyDescent="0.3">
      <c r="A13" s="21"/>
      <c r="B13" s="24" t="s">
        <v>7</v>
      </c>
      <c r="C13" s="25">
        <f>C12*12</f>
        <v>543543.48</v>
      </c>
      <c r="D13" s="25">
        <f>D12*12</f>
        <v>597897.84</v>
      </c>
      <c r="E13" s="26">
        <f>E12*12</f>
        <v>54354.360000000015</v>
      </c>
      <c r="F13" s="25">
        <f>F12*12</f>
        <v>59789.784000000014</v>
      </c>
      <c r="G13" s="27">
        <f>G12*12</f>
        <v>13868.513496000003</v>
      </c>
      <c r="H13" s="28">
        <f>E13+F13+G13</f>
        <v>128012.65749600003</v>
      </c>
    </row>
    <row r="14" spans="1:8" x14ac:dyDescent="0.25">
      <c r="A14" s="21"/>
      <c r="B14" s="4"/>
      <c r="C14" s="4"/>
      <c r="D14" s="4"/>
      <c r="E14" s="4"/>
      <c r="F14" s="4"/>
      <c r="G14" s="4"/>
      <c r="H14" s="37"/>
    </row>
    <row r="15" spans="1:8" x14ac:dyDescent="0.25">
      <c r="A15" s="21"/>
      <c r="B15" s="4" t="s">
        <v>18</v>
      </c>
      <c r="C15" s="4"/>
      <c r="D15" s="4"/>
      <c r="E15" s="4"/>
      <c r="F15" s="4"/>
      <c r="G15" s="4"/>
      <c r="H15" s="37"/>
    </row>
    <row r="16" spans="1:8" x14ac:dyDescent="0.25">
      <c r="A16" s="21"/>
      <c r="B16" s="4"/>
      <c r="C16" s="4"/>
      <c r="D16" s="4"/>
      <c r="E16" s="4"/>
      <c r="F16" s="4"/>
      <c r="G16" s="4"/>
      <c r="H16" s="37"/>
    </row>
    <row r="17" spans="1:8" x14ac:dyDescent="0.25">
      <c r="A17" s="21"/>
      <c r="B17" s="4"/>
      <c r="C17" s="4"/>
      <c r="D17" s="4"/>
      <c r="E17" s="4"/>
      <c r="F17" s="4"/>
      <c r="G17" s="4"/>
      <c r="H17" s="37"/>
    </row>
    <row r="18" spans="1:8" x14ac:dyDescent="0.25">
      <c r="A18" s="21"/>
      <c r="B18" s="4"/>
      <c r="C18" s="4"/>
      <c r="D18" s="4"/>
      <c r="E18" s="4"/>
      <c r="F18" s="4"/>
      <c r="G18" s="4"/>
      <c r="H18" s="37"/>
    </row>
    <row r="19" spans="1:8" x14ac:dyDescent="0.25">
      <c r="A19" s="21"/>
      <c r="B19" s="4"/>
      <c r="C19" s="4"/>
      <c r="D19" s="4"/>
      <c r="E19" s="4"/>
      <c r="F19" s="4"/>
      <c r="G19" s="4"/>
      <c r="H19" s="37"/>
    </row>
    <row r="20" spans="1:8" x14ac:dyDescent="0.25">
      <c r="A20" s="21"/>
      <c r="B20" s="4"/>
      <c r="C20" s="4"/>
      <c r="D20" s="4"/>
      <c r="E20" s="4"/>
      <c r="F20" s="4"/>
      <c r="G20" s="4"/>
      <c r="H20" s="37"/>
    </row>
    <row r="21" spans="1:8" x14ac:dyDescent="0.25">
      <c r="A21" s="21"/>
      <c r="B21" s="4"/>
      <c r="C21" s="4"/>
      <c r="D21" s="4"/>
      <c r="E21" s="4"/>
      <c r="F21" s="4"/>
      <c r="G21" s="4"/>
      <c r="H21" s="37"/>
    </row>
    <row r="22" spans="1:8" x14ac:dyDescent="0.25">
      <c r="A22" s="21"/>
      <c r="B22" s="4" t="s">
        <v>19</v>
      </c>
      <c r="C22" s="4"/>
      <c r="D22" s="4"/>
      <c r="E22" s="4"/>
      <c r="F22" s="4"/>
      <c r="G22" s="4"/>
      <c r="H22" s="37"/>
    </row>
    <row r="23" spans="1:8" x14ac:dyDescent="0.25">
      <c r="A23" s="21"/>
      <c r="B23" s="4"/>
      <c r="C23" s="4"/>
      <c r="D23" s="4"/>
      <c r="E23" s="4"/>
      <c r="F23" s="4"/>
      <c r="G23" s="4"/>
      <c r="H23" s="37"/>
    </row>
    <row r="24" spans="1:8" x14ac:dyDescent="0.25">
      <c r="A24" s="21"/>
      <c r="B24" s="4"/>
      <c r="C24" s="4"/>
      <c r="D24" s="4"/>
      <c r="E24" s="4"/>
      <c r="F24" s="4"/>
      <c r="G24" s="4"/>
      <c r="H24" s="37"/>
    </row>
    <row r="25" spans="1:8" x14ac:dyDescent="0.25">
      <c r="A25" s="21"/>
      <c r="B25" s="4"/>
      <c r="C25" s="4"/>
      <c r="D25" s="4"/>
      <c r="E25" s="4"/>
      <c r="F25" s="4"/>
      <c r="G25" s="4"/>
      <c r="H25" s="37"/>
    </row>
    <row r="26" spans="1:8" x14ac:dyDescent="0.25">
      <c r="A26" s="21"/>
      <c r="B26" s="4"/>
      <c r="C26" s="4"/>
      <c r="D26" s="4"/>
      <c r="E26" s="4"/>
      <c r="F26" s="4"/>
      <c r="G26" s="4"/>
      <c r="H26" s="37"/>
    </row>
    <row r="27" spans="1:8" x14ac:dyDescent="0.25">
      <c r="A27" s="21"/>
      <c r="B27" s="4"/>
      <c r="C27" s="4"/>
      <c r="D27" s="4"/>
      <c r="E27" s="4"/>
      <c r="F27" s="4"/>
      <c r="G27" s="4"/>
      <c r="H27" s="37"/>
    </row>
    <row r="28" spans="1:8" x14ac:dyDescent="0.25">
      <c r="A28" s="21"/>
      <c r="B28" s="4"/>
      <c r="C28" s="4"/>
      <c r="D28" s="4"/>
      <c r="E28" s="4"/>
      <c r="F28" s="4"/>
      <c r="G28" s="4"/>
      <c r="H28" s="37"/>
    </row>
    <row r="29" spans="1:8" x14ac:dyDescent="0.25">
      <c r="A29" s="21"/>
      <c r="B29" s="4"/>
      <c r="C29" s="4"/>
      <c r="D29" s="4"/>
      <c r="E29" s="4"/>
      <c r="F29" s="4"/>
      <c r="G29" s="4"/>
      <c r="H29" s="37"/>
    </row>
    <row r="30" spans="1:8" x14ac:dyDescent="0.25">
      <c r="A30" s="21"/>
      <c r="B30" s="4"/>
      <c r="C30" s="4"/>
      <c r="D30" s="4"/>
      <c r="E30" s="4"/>
      <c r="F30" s="4"/>
      <c r="G30" s="4"/>
      <c r="H30" s="37"/>
    </row>
    <row r="31" spans="1:8" x14ac:dyDescent="0.25">
      <c r="A31" s="21"/>
      <c r="B31" s="4"/>
      <c r="C31" s="4"/>
      <c r="D31" s="4"/>
      <c r="E31" s="4"/>
      <c r="F31" s="4"/>
      <c r="G31" s="4"/>
      <c r="H31" s="37"/>
    </row>
    <row r="32" spans="1:8" x14ac:dyDescent="0.25">
      <c r="A32" s="21"/>
      <c r="B32" s="4"/>
      <c r="C32" s="4"/>
      <c r="D32" s="4"/>
      <c r="E32" s="4"/>
      <c r="F32" s="4"/>
      <c r="G32" s="4"/>
      <c r="H32" s="37"/>
    </row>
    <row r="33" spans="1:8" ht="15.75" thickBot="1" x14ac:dyDescent="0.3">
      <c r="A33" s="41"/>
      <c r="B33" s="42"/>
      <c r="C33" s="42"/>
      <c r="D33" s="42"/>
      <c r="E33" s="42"/>
      <c r="F33" s="42"/>
      <c r="G33" s="42"/>
      <c r="H33" s="43"/>
    </row>
  </sheetData>
  <mergeCells count="2">
    <mergeCell ref="A2:H2"/>
    <mergeCell ref="A4:H4"/>
  </mergeCells>
  <printOptions verticalCentered="1"/>
  <pageMargins left="0.31496062992125984" right="0.1181102362204724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2015-12-15T14:06:46Z</dcterms:modified>
</cp:coreProperties>
</file>