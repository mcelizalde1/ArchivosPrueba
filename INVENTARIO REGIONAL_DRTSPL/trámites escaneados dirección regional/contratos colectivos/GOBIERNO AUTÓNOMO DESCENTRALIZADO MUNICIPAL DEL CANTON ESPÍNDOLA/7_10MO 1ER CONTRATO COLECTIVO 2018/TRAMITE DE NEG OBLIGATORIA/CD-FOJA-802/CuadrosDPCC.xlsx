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045" tabRatio="685" activeTab="1"/>
  </bookViews>
  <sheets>
    <sheet name="FORMULARIO 1" sheetId="26" r:id="rId1"/>
    <sheet name="FORMULARIO 2" sheetId="25" r:id="rId2"/>
    <sheet name="FORMULARIO 3" sheetId="27" r:id="rId3"/>
    <sheet name="FORMULARIO 4" sheetId="33" r:id="rId4"/>
  </sheets>
  <definedNames>
    <definedName name="_xlnm.Print_Area" localSheetId="0">'FORMULARIO 1'!$A$1:$E$57</definedName>
    <definedName name="_xlnm.Print_Area" localSheetId="1">'FORMULARIO 2'!$A$1:$E$49</definedName>
  </definedNames>
  <calcPr calcId="152511"/>
</workbook>
</file>

<file path=xl/calcChain.xml><?xml version="1.0" encoding="utf-8"?>
<calcChain xmlns="http://schemas.openxmlformats.org/spreadsheetml/2006/main">
  <c r="F82" i="33" l="1"/>
  <c r="G82" i="33" s="1"/>
  <c r="H82" i="33" s="1"/>
  <c r="G81" i="33"/>
  <c r="H81" i="33" s="1"/>
  <c r="G80" i="33"/>
  <c r="H80" i="33" s="1"/>
  <c r="G79" i="33"/>
  <c r="G78" i="33" s="1"/>
  <c r="F79" i="33"/>
  <c r="H79" i="33" s="1"/>
  <c r="F78" i="33"/>
  <c r="E78" i="33"/>
  <c r="D78" i="33"/>
  <c r="C78" i="33"/>
  <c r="H77" i="33"/>
  <c r="G77" i="33"/>
  <c r="F76" i="33"/>
  <c r="G75" i="33"/>
  <c r="H75" i="33" s="1"/>
  <c r="G74" i="33"/>
  <c r="F74" i="33"/>
  <c r="H74" i="33" s="1"/>
  <c r="F73" i="33"/>
  <c r="F83" i="33" s="1"/>
  <c r="E73" i="33"/>
  <c r="E83" i="33" s="1"/>
  <c r="D73" i="33"/>
  <c r="D83" i="33" s="1"/>
  <c r="C73" i="33"/>
  <c r="C83" i="33" s="1"/>
  <c r="F70" i="33"/>
  <c r="G70" i="33" s="1"/>
  <c r="H70" i="33" s="1"/>
  <c r="E69" i="33"/>
  <c r="D69" i="33"/>
  <c r="C69" i="33"/>
  <c r="F69" i="33" s="1"/>
  <c r="G69" i="33" s="1"/>
  <c r="G68" i="33"/>
  <c r="F68" i="33"/>
  <c r="H68" i="33" s="1"/>
  <c r="F67" i="33"/>
  <c r="G67" i="33" s="1"/>
  <c r="H67" i="33" s="1"/>
  <c r="G66" i="33"/>
  <c r="F66" i="33"/>
  <c r="H66" i="33" s="1"/>
  <c r="F65" i="33"/>
  <c r="G64" i="33"/>
  <c r="F64" i="33"/>
  <c r="H64" i="33" s="1"/>
  <c r="F63" i="33"/>
  <c r="G63" i="33" s="1"/>
  <c r="H63" i="33" s="1"/>
  <c r="G62" i="33"/>
  <c r="F62" i="33"/>
  <c r="H62" i="33" s="1"/>
  <c r="E61" i="33"/>
  <c r="H61" i="33" s="1"/>
  <c r="D61" i="33"/>
  <c r="G61" i="33" s="1"/>
  <c r="C61" i="33"/>
  <c r="D60" i="33"/>
  <c r="C60" i="33"/>
  <c r="E59" i="33"/>
  <c r="G59" i="33" s="1"/>
  <c r="D59" i="33"/>
  <c r="C59" i="33"/>
  <c r="F59" i="33" s="1"/>
  <c r="G58" i="33"/>
  <c r="F58" i="33"/>
  <c r="H58" i="33" s="1"/>
  <c r="H57" i="33"/>
  <c r="G57" i="33"/>
  <c r="E56" i="33"/>
  <c r="D56" i="33"/>
  <c r="F56" i="33" s="1"/>
  <c r="C56" i="33"/>
  <c r="E55" i="33"/>
  <c r="G55" i="33" s="1"/>
  <c r="H55" i="33" s="1"/>
  <c r="D55" i="33"/>
  <c r="F54" i="33"/>
  <c r="H54" i="33" s="1"/>
  <c r="E54" i="33"/>
  <c r="D54" i="33"/>
  <c r="G54" i="33" s="1"/>
  <c r="C54" i="33"/>
  <c r="E53" i="33"/>
  <c r="G53" i="33" s="1"/>
  <c r="D53" i="33"/>
  <c r="F53" i="33" s="1"/>
  <c r="C53" i="33"/>
  <c r="E52" i="33"/>
  <c r="D52" i="33"/>
  <c r="C52" i="33"/>
  <c r="G51" i="33"/>
  <c r="H51" i="33" s="1"/>
  <c r="E51" i="33"/>
  <c r="D51" i="33"/>
  <c r="D50" i="33" s="1"/>
  <c r="D46" i="33" s="1"/>
  <c r="C50" i="33"/>
  <c r="G49" i="33"/>
  <c r="F49" i="33"/>
  <c r="H49" i="33" s="1"/>
  <c r="F48" i="33"/>
  <c r="G48" i="33" s="1"/>
  <c r="H48" i="33" s="1"/>
  <c r="G47" i="33"/>
  <c r="F47" i="33"/>
  <c r="I46" i="33"/>
  <c r="C46" i="33"/>
  <c r="D45" i="33"/>
  <c r="F45" i="33" s="1"/>
  <c r="G44" i="33"/>
  <c r="H44" i="33" s="1"/>
  <c r="E43" i="33"/>
  <c r="C43" i="33"/>
  <c r="C71" i="33" s="1"/>
  <c r="G41" i="33"/>
  <c r="H41" i="33" s="1"/>
  <c r="F41" i="33"/>
  <c r="F40" i="33"/>
  <c r="E39" i="33"/>
  <c r="G39" i="33" s="1"/>
  <c r="D39" i="33"/>
  <c r="C39" i="33"/>
  <c r="F39" i="33" s="1"/>
  <c r="G38" i="33"/>
  <c r="H38" i="33" s="1"/>
  <c r="F38" i="33"/>
  <c r="F37" i="33"/>
  <c r="E37" i="33"/>
  <c r="D37" i="33"/>
  <c r="G37" i="33" s="1"/>
  <c r="G36" i="33"/>
  <c r="H36" i="33" s="1"/>
  <c r="F36" i="33"/>
  <c r="F35" i="33"/>
  <c r="E34" i="33"/>
  <c r="G34" i="33" s="1"/>
  <c r="D34" i="33"/>
  <c r="C34" i="33"/>
  <c r="F34" i="33" s="1"/>
  <c r="G33" i="33"/>
  <c r="H33" i="33" s="1"/>
  <c r="E33" i="33"/>
  <c r="D33" i="33"/>
  <c r="C33" i="33"/>
  <c r="E32" i="33"/>
  <c r="D32" i="33"/>
  <c r="F32" i="33" s="1"/>
  <c r="C32" i="33"/>
  <c r="F31" i="33"/>
  <c r="E31" i="33"/>
  <c r="D31" i="33"/>
  <c r="G31" i="33" s="1"/>
  <c r="G30" i="33"/>
  <c r="H30" i="33" s="1"/>
  <c r="E30" i="33"/>
  <c r="D30" i="33"/>
  <c r="C30" i="33"/>
  <c r="E29" i="33"/>
  <c r="D29" i="33"/>
  <c r="G29" i="33" s="1"/>
  <c r="H29" i="33" s="1"/>
  <c r="C29" i="33"/>
  <c r="C28" i="33" s="1"/>
  <c r="E28" i="33"/>
  <c r="E27" i="33" s="1"/>
  <c r="G26" i="33"/>
  <c r="H26" i="33" s="1"/>
  <c r="G25" i="33"/>
  <c r="H25" i="33" s="1"/>
  <c r="F25" i="33"/>
  <c r="F24" i="33"/>
  <c r="E23" i="33"/>
  <c r="D23" i="33"/>
  <c r="H22" i="33"/>
  <c r="G22" i="33"/>
  <c r="H21" i="33"/>
  <c r="G21" i="33"/>
  <c r="H20" i="33"/>
  <c r="G20" i="33"/>
  <c r="H19" i="33"/>
  <c r="G19" i="33"/>
  <c r="F18" i="33"/>
  <c r="G18" i="33" s="1"/>
  <c r="G17" i="33"/>
  <c r="F17" i="33"/>
  <c r="H17" i="33" s="1"/>
  <c r="H16" i="33"/>
  <c r="G16" i="33"/>
  <c r="F15" i="33"/>
  <c r="H15" i="33" s="1"/>
  <c r="E15" i="33"/>
  <c r="D15" i="33"/>
  <c r="G15" i="33" s="1"/>
  <c r="C15" i="33"/>
  <c r="F13" i="33"/>
  <c r="G13" i="33" s="1"/>
  <c r="H13" i="33" s="1"/>
  <c r="G12" i="33"/>
  <c r="H12" i="33" s="1"/>
  <c r="G11" i="33"/>
  <c r="F11" i="33"/>
  <c r="H11" i="33" s="1"/>
  <c r="F10" i="33"/>
  <c r="E10" i="33"/>
  <c r="E9" i="33" s="1"/>
  <c r="E42" i="33" s="1"/>
  <c r="D10" i="33"/>
  <c r="D9" i="33" s="1"/>
  <c r="C10" i="33"/>
  <c r="C9" i="33"/>
  <c r="H76" i="33" l="1"/>
  <c r="H73" i="33" s="1"/>
  <c r="H83" i="33" s="1"/>
  <c r="H40" i="33"/>
  <c r="H10" i="33"/>
  <c r="C27" i="33"/>
  <c r="C42" i="33" s="1"/>
  <c r="C72" i="33" s="1"/>
  <c r="G73" i="33"/>
  <c r="G83" i="33" s="1"/>
  <c r="G10" i="33"/>
  <c r="H31" i="33"/>
  <c r="H37" i="33"/>
  <c r="G45" i="33"/>
  <c r="G43" i="33" s="1"/>
  <c r="H45" i="33"/>
  <c r="H43" i="33" s="1"/>
  <c r="F43" i="33"/>
  <c r="H53" i="33"/>
  <c r="F50" i="33"/>
  <c r="F46" i="33" s="1"/>
  <c r="H69" i="33"/>
  <c r="H78" i="33"/>
  <c r="H18" i="33"/>
  <c r="D28" i="33"/>
  <c r="F28" i="33" s="1"/>
  <c r="G32" i="33"/>
  <c r="H32" i="33" s="1"/>
  <c r="H34" i="33"/>
  <c r="H39" i="33"/>
  <c r="G56" i="33"/>
  <c r="H56" i="33" s="1"/>
  <c r="H59" i="33"/>
  <c r="F60" i="33"/>
  <c r="F23" i="33"/>
  <c r="F9" i="33" s="1"/>
  <c r="G24" i="33"/>
  <c r="G23" i="33" s="1"/>
  <c r="G35" i="33"/>
  <c r="H35" i="33" s="1"/>
  <c r="G40" i="33"/>
  <c r="D43" i="33"/>
  <c r="D71" i="33" s="1"/>
  <c r="H47" i="33"/>
  <c r="G52" i="33"/>
  <c r="H52" i="33" s="1"/>
  <c r="G65" i="33"/>
  <c r="H65" i="33" s="1"/>
  <c r="G76" i="33"/>
  <c r="E50" i="33"/>
  <c r="E46" i="33" s="1"/>
  <c r="E71" i="33" s="1"/>
  <c r="E72" i="33" s="1"/>
  <c r="E60" i="33"/>
  <c r="H50" i="33" l="1"/>
  <c r="F27" i="33"/>
  <c r="F42" i="33" s="1"/>
  <c r="F72" i="33" s="1"/>
  <c r="G60" i="33"/>
  <c r="H60" i="33" s="1"/>
  <c r="F71" i="33"/>
  <c r="G50" i="33"/>
  <c r="G46" i="33" s="1"/>
  <c r="G71" i="33" s="1"/>
  <c r="G9" i="33"/>
  <c r="G28" i="33"/>
  <c r="G27" i="33" s="1"/>
  <c r="D27" i="33"/>
  <c r="D42" i="33" s="1"/>
  <c r="D72" i="33" s="1"/>
  <c r="H24" i="33"/>
  <c r="H23" i="33" s="1"/>
  <c r="H9" i="33" s="1"/>
  <c r="H46" i="33" l="1"/>
  <c r="H71" i="33" s="1"/>
  <c r="G42" i="33"/>
  <c r="G72" i="33" s="1"/>
  <c r="H28" i="33"/>
  <c r="H27" i="33" s="1"/>
  <c r="H42" i="33" s="1"/>
  <c r="H72" i="33" s="1"/>
  <c r="E42" i="26" l="1"/>
  <c r="D42" i="26"/>
  <c r="C42" i="26"/>
  <c r="E35" i="25" l="1"/>
  <c r="D35" i="25"/>
  <c r="C35" i="25"/>
  <c r="H108" i="27" l="1"/>
  <c r="H109" i="27" l="1"/>
  <c r="G109" i="27"/>
  <c r="F109" i="27"/>
  <c r="F108" i="27"/>
  <c r="G108" i="27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<sst xmlns="http://schemas.openxmlformats.org/spreadsheetml/2006/main" count="501" uniqueCount="416">
  <si>
    <t>APELLIDOS Y NOMBRES</t>
  </si>
  <si>
    <t>FUENTES DE FINANCIAMIENTO</t>
  </si>
  <si>
    <t xml:space="preserve">TOTAL </t>
  </si>
  <si>
    <t>INCREMENTO PORCENTUAL %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</si>
  <si>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</si>
  <si>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</si>
  <si>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</si>
  <si>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</si>
  <si>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</si>
  <si>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</si>
  <si>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</si>
  <si>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</si>
  <si>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</si>
  <si>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SUBSIDIOS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</si>
  <si>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</si>
  <si>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</si>
  <si>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</si>
  <si>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</si>
  <si>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</si>
  <si>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</si>
  <si>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</si>
  <si>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</si>
  <si>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</si>
  <si>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</si>
  <si>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COMISARIATO</t>
  </si>
  <si>
    <t>DETALLE DE INGRESOS</t>
  </si>
  <si>
    <t>DENOMINACIÓN DEL PUESTO O CARGO DE OCUPACIÓN</t>
  </si>
  <si>
    <t>FLUJO PRESUPUESTARIO DE INGRESOS Y GASTOS</t>
  </si>
  <si>
    <t>DETALLE DE GRUPOS Y SUBGRUPOS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</si>
  <si>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</si>
  <si>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</si>
  <si>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</si>
  <si>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</si>
  <si>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</si>
  <si>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</si>
  <si>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</si>
  <si>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</si>
  <si>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</si>
  <si>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</si>
  <si>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</si>
  <si>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</si>
  <si>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</si>
  <si>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</si>
  <si>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</si>
  <si>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</si>
  <si>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</si>
  <si>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</si>
  <si>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</si>
  <si>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</si>
  <si>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</si>
  <si>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</si>
  <si>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</si>
  <si>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</si>
  <si>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</si>
  <si>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</si>
  <si>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</si>
  <si>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</si>
  <si>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</si>
  <si>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</si>
  <si>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</si>
  <si>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</si>
  <si>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</si>
  <si>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</si>
  <si>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</si>
  <si>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</si>
  <si>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</si>
  <si>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</si>
  <si>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</si>
  <si>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</si>
  <si>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</si>
  <si>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</si>
  <si>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</si>
  <si>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</si>
  <si>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</si>
  <si>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</si>
  <si>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</si>
  <si>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</si>
  <si>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</si>
  <si>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</si>
  <si>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</si>
  <si>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</si>
  <si>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</si>
  <si>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</si>
  <si>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</si>
  <si>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</si>
  <si>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</si>
  <si>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</si>
  <si>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</si>
  <si>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</si>
  <si>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</si>
  <si>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</si>
  <si>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</si>
  <si>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</si>
  <si>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</si>
  <si>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</si>
  <si>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</si>
  <si>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</si>
  <si>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</si>
  <si>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</si>
  <si>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</si>
  <si>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</si>
  <si>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</si>
  <si>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</si>
  <si>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</si>
  <si>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</si>
  <si>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</si>
  <si>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</si>
  <si>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* En caso de que en el contrato colectivo se negocie algún beneficio adicional a los expuestos favor incluir el item correspondiente.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</si>
  <si>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</si>
  <si>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</si>
  <si>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</si>
  <si>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</si>
  <si>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POR CARGAS FAMILIARES</t>
  </si>
  <si>
    <t xml:space="preserve">POR JUBILACIÓN </t>
  </si>
  <si>
    <t>* De ser el caso,  se deberá incluir filas adicionales para detallar a todos los trabajadores del contrato colectivo.</t>
  </si>
  <si>
    <t>OBSERVACIONES</t>
  </si>
  <si>
    <t>* La información deberá estar acorde a los techos presupuestarios establecidos por el MRL correspondiente a cada periodo.</t>
  </si>
  <si>
    <t>COMPENSACION POR VACACIONES NO GOZADAS</t>
  </si>
  <si>
    <t>GOBIERNO AUTÓNOMO DESCENTRALIZADO MUNICIPAL DE ESPÍNDOLA</t>
  </si>
  <si>
    <t>Nº PROYECTO CONTRATO COLECTIVO:   DÉCIMO PRIMERO</t>
  </si>
  <si>
    <t xml:space="preserve"> </t>
  </si>
  <si>
    <t>SUBSIDIO POR TRANSPORTE</t>
  </si>
  <si>
    <t>COMPENSACION POR DESPIDO</t>
  </si>
  <si>
    <t>ROPA DE TRABAJO</t>
  </si>
  <si>
    <t>SEGURO DE MUERTE O INCAPACIDAD</t>
  </si>
  <si>
    <t>GAD MUNICIPAL DE ESPÍNDOLA</t>
  </si>
  <si>
    <t>GOBIERNO AUTÓNOMO DESCENTRALIZADO MUNICIPAL DE ESPINDOLA</t>
  </si>
  <si>
    <t>Nº PROYECTO CONTRATO COLECTIVO: DÉCIMO PRIMERO.</t>
  </si>
  <si>
    <t>SUBSIDIO DE ANTIGÜEDAD</t>
  </si>
  <si>
    <t>SUBSIDIO ALIMENTACIÓN</t>
  </si>
  <si>
    <t>1102398656</t>
  </si>
  <si>
    <t>Alverca Calva Abrahan</t>
  </si>
  <si>
    <t>Barrendero</t>
  </si>
  <si>
    <t>1103330310</t>
  </si>
  <si>
    <t>Bonilla Castillo Luis Enrrique</t>
  </si>
  <si>
    <t xml:space="preserve">Operador </t>
  </si>
  <si>
    <t>0501936876</t>
  </si>
  <si>
    <t>Bunces Lascano Willan Oswaldo</t>
  </si>
  <si>
    <t>Chofer tipo E</t>
  </si>
  <si>
    <t>1900224310</t>
  </si>
  <si>
    <t>Calva Luis Joselito</t>
  </si>
  <si>
    <t>Ayudante de Mecánica</t>
  </si>
  <si>
    <t>1103027932</t>
  </si>
  <si>
    <t>Carrión Conde Enma</t>
  </si>
  <si>
    <t xml:space="preserve">Conserje Interna </t>
  </si>
  <si>
    <t>1100415874</t>
  </si>
  <si>
    <t>Castillo Guarnizo Patricio Aurelio</t>
  </si>
  <si>
    <t xml:space="preserve">Mecánico </t>
  </si>
  <si>
    <t>1102037254</t>
  </si>
  <si>
    <t>Campoverde Sarango Hugo</t>
  </si>
  <si>
    <t>Operador de Equipo Pesado</t>
  </si>
  <si>
    <t>1101587507</t>
  </si>
  <si>
    <t>Cordero Alverca Anibal Exequiel</t>
  </si>
  <si>
    <t>Ayudante de Cuadrilla</t>
  </si>
  <si>
    <t>1102951298</t>
  </si>
  <si>
    <t xml:space="preserve">Cordero Alverca Segundo Delfín </t>
  </si>
  <si>
    <t>1102771902</t>
  </si>
  <si>
    <t>Cordova  Castillo José Abel</t>
  </si>
  <si>
    <t>Ayudante de cuidado de Jardines</t>
  </si>
  <si>
    <t>1714080924</t>
  </si>
  <si>
    <t>Cordero Cordero María Cecilia</t>
  </si>
  <si>
    <t xml:space="preserve">Auxiliar de Servicios </t>
  </si>
  <si>
    <t>1101361804</t>
  </si>
  <si>
    <t>Correa Guarnizo Agalito Servilio</t>
  </si>
  <si>
    <t xml:space="preserve">Ayudante de Albañil </t>
  </si>
  <si>
    <t>1104347560</t>
  </si>
  <si>
    <t xml:space="preserve">Bombero Municipal </t>
  </si>
  <si>
    <t>1102480546</t>
  </si>
  <si>
    <t>Cordero Jiménez Manuel Ildebrando</t>
  </si>
  <si>
    <t>1102758982</t>
  </si>
  <si>
    <t>Cordero Rojas Tarsicio Ricardo</t>
  </si>
  <si>
    <t>Policia Municipal</t>
  </si>
  <si>
    <t>1102757901</t>
  </si>
  <si>
    <t>Delgado Gaona Juan Bautista</t>
  </si>
  <si>
    <t xml:space="preserve">Guardabosque </t>
  </si>
  <si>
    <t>1100080108</t>
  </si>
  <si>
    <t xml:space="preserve">Figueroa Jiménez Hitler  Salvador </t>
  </si>
  <si>
    <t>1100650082</t>
  </si>
  <si>
    <t>Flores Jiménez Luis</t>
  </si>
  <si>
    <t>Inspector de Servicios Municipales</t>
  </si>
  <si>
    <t>1101583076</t>
  </si>
  <si>
    <t>Gaona Guarnizo Edilberto Agustín</t>
  </si>
  <si>
    <t>1721861621</t>
  </si>
  <si>
    <t>Garrido Guarnizo Gabriela Del Carmen</t>
  </si>
  <si>
    <t>1102268792</t>
  </si>
  <si>
    <t>Garrido Guarnizo Edilgorio Servulo</t>
  </si>
  <si>
    <t>0703564526</t>
  </si>
  <si>
    <t>Gaona Pintado Angel Felipe</t>
  </si>
  <si>
    <t>Operador Equipo Pesado</t>
  </si>
  <si>
    <t>1104345739</t>
  </si>
  <si>
    <t>Gaona Rentería César Roberto</t>
  </si>
  <si>
    <t>1100414299</t>
  </si>
  <si>
    <t>Garcia Rojas Luis Guillermo</t>
  </si>
  <si>
    <t>1103260707</t>
  </si>
  <si>
    <t>Gaona Rojas Elvind Henrri</t>
  </si>
  <si>
    <t>Jornalero de Recolección</t>
  </si>
  <si>
    <t>1710698109</t>
  </si>
  <si>
    <t>Gaona Rojas Nayadi Del Cisne</t>
  </si>
  <si>
    <t xml:space="preserve">Barrendera </t>
  </si>
  <si>
    <t>1104211444</t>
  </si>
  <si>
    <t>Gaona Vaca María Alejandra</t>
  </si>
  <si>
    <t>Auxiliar de Enfermería</t>
  </si>
  <si>
    <t>0700971088</t>
  </si>
  <si>
    <t>Gaona Valdivieso Julio German</t>
  </si>
  <si>
    <t xml:space="preserve">Ayudante de Cuadrilla </t>
  </si>
  <si>
    <t>1718261728</t>
  </si>
  <si>
    <t xml:space="preserve">Guerrero Abad Rober Raúl </t>
  </si>
  <si>
    <t xml:space="preserve">Jornalero </t>
  </si>
  <si>
    <t>1101807681</t>
  </si>
  <si>
    <t>Gonzaga Silvio Efraín</t>
  </si>
  <si>
    <t>1103906820</t>
  </si>
  <si>
    <t>Gonzaga Marquez José Luis</t>
  </si>
  <si>
    <t>Bombero Municipal</t>
  </si>
  <si>
    <t>1102253026</t>
  </si>
  <si>
    <t>Guarnizo Carlos Manuel</t>
  </si>
  <si>
    <t xml:space="preserve">Barrendero </t>
  </si>
  <si>
    <t>1102932439</t>
  </si>
  <si>
    <t>Guarnizo Cordero José Leonardo</t>
  </si>
  <si>
    <t>1100277662</t>
  </si>
  <si>
    <t>Guamán Gonzalez Segundo Tomas</t>
  </si>
  <si>
    <t>1102682869</t>
  </si>
  <si>
    <t>Guarnizo Jiménez Hermes Eduardo</t>
  </si>
  <si>
    <t>Chofer</t>
  </si>
  <si>
    <t>1104100068</t>
  </si>
  <si>
    <t xml:space="preserve">Jaramillo Ávila Verónica María </t>
  </si>
  <si>
    <t>1100503174</t>
  </si>
  <si>
    <t>Jiménez  José Adan</t>
  </si>
  <si>
    <t>1101452884</t>
  </si>
  <si>
    <t xml:space="preserve">Jiménez Abdón </t>
  </si>
  <si>
    <t xml:space="preserve">Supervisor de Mantenimiento Mecánico </t>
  </si>
  <si>
    <t>1101580452</t>
  </si>
  <si>
    <t>Jiménez Manuel Rosario</t>
  </si>
  <si>
    <t xml:space="preserve">Ayudante de Gasfitero </t>
  </si>
  <si>
    <t>1104517261</t>
  </si>
  <si>
    <t>1103434849</t>
  </si>
  <si>
    <t xml:space="preserve">Jiménez Alverca José Miguel </t>
  </si>
  <si>
    <t>1104853971</t>
  </si>
  <si>
    <t xml:space="preserve">Jiménez Campoverde César Fabian </t>
  </si>
  <si>
    <t>1102880349</t>
  </si>
  <si>
    <t>Jiménez Carrión José Antonio</t>
  </si>
  <si>
    <t>1103483119</t>
  </si>
  <si>
    <t xml:space="preserve">Jiménez Gaona Alva Marianita </t>
  </si>
  <si>
    <t xml:space="preserve">Conserje </t>
  </si>
  <si>
    <t>1104394885</t>
  </si>
  <si>
    <t>Jiménez Jiménez Yessenia Cumanda</t>
  </si>
  <si>
    <t xml:space="preserve">Auxiliar de Rehabilitación </t>
  </si>
  <si>
    <t>1100650603</t>
  </si>
  <si>
    <t>Jiménez Jiménez Carlos Alberto</t>
  </si>
  <si>
    <t>1101428850</t>
  </si>
  <si>
    <t>Jiménez Jiménez Franco</t>
  </si>
  <si>
    <t>Albañil</t>
  </si>
  <si>
    <t>1102036629</t>
  </si>
  <si>
    <t>Jiménez Jiménez José Francisco</t>
  </si>
  <si>
    <t>Ayudante de Albañil</t>
  </si>
  <si>
    <t>1105187395</t>
  </si>
  <si>
    <t xml:space="preserve">Jiménez Jiménez Stalin Benjamín </t>
  </si>
  <si>
    <t xml:space="preserve">Ayudante de Mecánica Automotriz </t>
  </si>
  <si>
    <t>1102807771</t>
  </si>
  <si>
    <t>Jiménez Jiménez Telmo Vicente</t>
  </si>
  <si>
    <t xml:space="preserve">Jefe de Trabajos </t>
  </si>
  <si>
    <t>1103616171</t>
  </si>
  <si>
    <t xml:space="preserve">Jiménez Jiménez Blanca Olinda </t>
  </si>
  <si>
    <t>1103275564</t>
  </si>
  <si>
    <t>Jiménez Jiménez Wuiston</t>
  </si>
  <si>
    <t xml:space="preserve">Albañil </t>
  </si>
  <si>
    <t>1104325152</t>
  </si>
  <si>
    <t>Jiménez Jiménez Manuel Francisco</t>
  </si>
  <si>
    <t>1100561644</t>
  </si>
  <si>
    <t>Jiménez Jiménez Samuel Francisco</t>
  </si>
  <si>
    <t>1101597068</t>
  </si>
  <si>
    <t>Jiménez Vaca Floresmilo</t>
  </si>
  <si>
    <t>1102229869</t>
  </si>
  <si>
    <t>Jiménez Valdivieso Carlos Aguberto</t>
  </si>
  <si>
    <t>1100507126</t>
  </si>
  <si>
    <t>Jiménez Vega Tomas</t>
  </si>
  <si>
    <t>1102045281</t>
  </si>
  <si>
    <t>Lituma García Heraldo Lamartine</t>
  </si>
  <si>
    <t xml:space="preserve">Chofer </t>
  </si>
  <si>
    <t>1104991664</t>
  </si>
  <si>
    <t>Merino Andrade Cristhian Manuel</t>
  </si>
  <si>
    <t>1104600323</t>
  </si>
  <si>
    <t>Merino Guanizo Edsón Vicente</t>
  </si>
  <si>
    <t>1102364237</t>
  </si>
  <si>
    <t>Merino Merino José Alejandro</t>
  </si>
  <si>
    <t>1102251699</t>
  </si>
  <si>
    <t>Merino Merino Andres Bolivar</t>
  </si>
  <si>
    <t>1102251327</t>
  </si>
  <si>
    <t>Merino Rosales Milton Manuel</t>
  </si>
  <si>
    <t>1103927024</t>
  </si>
  <si>
    <t xml:space="preserve">Pacha Gaona Ruben De Jesús </t>
  </si>
  <si>
    <t>1715914634</t>
  </si>
  <si>
    <t>Pardo Olmedo Marco Antonio</t>
  </si>
  <si>
    <t>1714800925</t>
  </si>
  <si>
    <t>Pardo Olmedo Nelson Urbano</t>
  </si>
  <si>
    <t>1103106447</t>
  </si>
  <si>
    <t>Pintado Cumbicus José Manuel</t>
  </si>
  <si>
    <t>1102688023</t>
  </si>
  <si>
    <t xml:space="preserve">Pintado Jiménez Segundo Manuel </t>
  </si>
  <si>
    <t>1102071410</t>
  </si>
  <si>
    <t>Ramos Álvarez José Rodrigo</t>
  </si>
  <si>
    <t>1103376230</t>
  </si>
  <si>
    <t>Rivera Andrade José Miguél</t>
  </si>
  <si>
    <t>1103405823</t>
  </si>
  <si>
    <t>Rojas Correa José Rodrigo</t>
  </si>
  <si>
    <t>1101583555</t>
  </si>
  <si>
    <t>Rosales Gaona Miguel Ángel</t>
  </si>
  <si>
    <t>Ayudante de Maquinaria</t>
  </si>
  <si>
    <t>1101601191</t>
  </si>
  <si>
    <t>Rosales Gaona Marcos Emilio</t>
  </si>
  <si>
    <t>Gasfitero</t>
  </si>
  <si>
    <t>1101908380</t>
  </si>
  <si>
    <t>Rosales Gaona Leonzo Vicente</t>
  </si>
  <si>
    <t>1102682836</t>
  </si>
  <si>
    <t>Rojas González Edgar Edison</t>
  </si>
  <si>
    <t>1100505013</t>
  </si>
  <si>
    <t>Rosillo Guayanay Pedro</t>
  </si>
  <si>
    <t>1102424262</t>
  </si>
  <si>
    <t>Rojas Jiménez Sergio Efraín</t>
  </si>
  <si>
    <t>1102792635</t>
  </si>
  <si>
    <t xml:space="preserve">Rojas Vicente Ángel Hermes </t>
  </si>
  <si>
    <t>1103062103</t>
  </si>
  <si>
    <t>Salazar Abad Luis Antonio</t>
  </si>
  <si>
    <t>1101739918</t>
  </si>
  <si>
    <t>Saavedra Gaona Luis Efrain</t>
  </si>
  <si>
    <t>1102338017</t>
  </si>
  <si>
    <t>Tinoco Calle Rene Oliver</t>
  </si>
  <si>
    <t>1103155790</t>
  </si>
  <si>
    <t>Tinoco Callle Luis Eduardo</t>
  </si>
  <si>
    <t>1102487046</t>
  </si>
  <si>
    <t>Torres Cordero Victor Edilson</t>
  </si>
  <si>
    <t>Inspector de Avaluos y Catastros</t>
  </si>
  <si>
    <t>1101596565</t>
  </si>
  <si>
    <t>Torres Flores Arnulfo</t>
  </si>
  <si>
    <t>1101598694</t>
  </si>
  <si>
    <t>Torres Giron Manolo Baltazar</t>
  </si>
  <si>
    <t>1100497609</t>
  </si>
  <si>
    <t>Torres Giron Nilvas Armando</t>
  </si>
  <si>
    <t>1103204697</t>
  </si>
  <si>
    <t xml:space="preserve">Torres Jiménez Francis Porfirio </t>
  </si>
  <si>
    <t xml:space="preserve">Auxiliar de Bodega </t>
  </si>
  <si>
    <t>1100055043</t>
  </si>
  <si>
    <t>Torres Jiménez Nelson Antonio</t>
  </si>
  <si>
    <t>1101795944</t>
  </si>
  <si>
    <t>Torres Jiménez José Benito</t>
  </si>
  <si>
    <t>1102058045</t>
  </si>
  <si>
    <t xml:space="preserve">Torres Jiménez Daniel </t>
  </si>
  <si>
    <t>1101586244</t>
  </si>
  <si>
    <t>Torres Torres Lidia Raquel</t>
  </si>
  <si>
    <t>1102228820</t>
  </si>
  <si>
    <t xml:space="preserve">Torres Torres Ángel Miguel </t>
  </si>
  <si>
    <t>1102014204</t>
  </si>
  <si>
    <t>Torres Valdivieso Arcesio Maximiliano</t>
  </si>
  <si>
    <t xml:space="preserve">Electricista </t>
  </si>
  <si>
    <t>1103110944</t>
  </si>
  <si>
    <t xml:space="preserve">Troya Vicente Gerónimo Nicanor </t>
  </si>
  <si>
    <t>1900388446</t>
  </si>
  <si>
    <t xml:space="preserve">Vaca Cumbicus Eguidio Galansi </t>
  </si>
  <si>
    <t>1102640289</t>
  </si>
  <si>
    <t>Valdivieso Pintado Ober Camilo</t>
  </si>
  <si>
    <t>Carpintero</t>
  </si>
  <si>
    <t>1102736590</t>
  </si>
  <si>
    <t>Vélez Guarnizo Clotario Vietnam</t>
  </si>
  <si>
    <t>1721516597</t>
  </si>
  <si>
    <t>Verdugo Torres Lisseth Adriana</t>
  </si>
  <si>
    <t>Lcdo. Manuel de Jesús Andrade Rojas</t>
  </si>
  <si>
    <t>ALCALDE DEL GAD MUNICIPAL DE ESPÍNDOLA</t>
  </si>
  <si>
    <r>
      <t xml:space="preserve">   </t>
    </r>
    <r>
      <rPr>
        <b/>
        <sz val="10"/>
        <rFont val="Berlin Sans FB Demi"/>
        <family val="2"/>
      </rPr>
      <t xml:space="preserve"> DIRECTOR FINANCIERO DEL GAD MUNICIPAL DE ESPÍNDOLA</t>
    </r>
  </si>
  <si>
    <t>Cordova Jiménez Víctor Alexander</t>
  </si>
  <si>
    <t>Administrador del Mercado Municipal</t>
  </si>
  <si>
    <t>Controlador Operacional</t>
  </si>
  <si>
    <t>Eco. Eulogio Sarango Chamba</t>
  </si>
  <si>
    <t>DIRECTOR FINANCIERO DEL GAD MUNICIPAL DE ESPÍNDOLA</t>
  </si>
  <si>
    <t>GASTO CORRIENTE</t>
  </si>
  <si>
    <t>510509</t>
  </si>
  <si>
    <t>510601</t>
  </si>
  <si>
    <t>510602</t>
  </si>
  <si>
    <t>FONDO DE JUBILACIÓN PATRONAL</t>
  </si>
  <si>
    <t xml:space="preserve">Jiménez Ávila Rosa Herminia </t>
  </si>
  <si>
    <t>Saldos disponibles</t>
  </si>
  <si>
    <t>FIRMA MÁXIMA AUTORIDAD DEL GAD</t>
  </si>
  <si>
    <t>FIRMA DIRECTOR  FINANCIERO DEL GAD</t>
  </si>
  <si>
    <t>Nombre:</t>
  </si>
  <si>
    <t>Lic. Manuel de Jesús Andrade Rojas</t>
  </si>
  <si>
    <t>Nombre: Econ. Eulogio Sarango Chamba</t>
  </si>
  <si>
    <t>REMUNERACIÓN UNIFICADA CONTRATO COLECTIVO VIGENTE USD $ 2015</t>
  </si>
  <si>
    <r>
      <t xml:space="preserve">REMUNERACIÓN UNIFICADA CONTRATO COLECTIVO PROPUESTO USD $    </t>
    </r>
    <r>
      <rPr>
        <b/>
        <sz val="11"/>
        <color indexed="10"/>
        <rFont val="Calibri"/>
        <family val="2"/>
      </rPr>
      <t>(PRIMER AÑO) 2016</t>
    </r>
  </si>
  <si>
    <r>
      <t xml:space="preserve">REMUNERACIÓN UNIFICADA CONTRATO COLECTIVO PROPUESTO USD $    </t>
    </r>
    <r>
      <rPr>
        <b/>
        <sz val="11"/>
        <color indexed="10"/>
        <rFont val="Calibri"/>
        <family val="2"/>
      </rPr>
      <t>(SEGUNDO AÑO) 2017</t>
    </r>
  </si>
  <si>
    <t>Ayudante de Cuidado de Jardines</t>
  </si>
  <si>
    <t>SUMAN ANUAL</t>
  </si>
  <si>
    <t>SUMAN MENSUAL</t>
  </si>
  <si>
    <t>COSTO REAL DEL CONTRATO COLECTIVO VIGENTE USD  2015</t>
  </si>
  <si>
    <r>
      <t xml:space="preserve">COSTO ESTIMADO DEL CONTRATO COLECTIVO PROPUESTO USD          </t>
    </r>
    <r>
      <rPr>
        <b/>
        <sz val="12"/>
        <color indexed="10"/>
        <rFont val="Calibri"/>
        <family val="2"/>
      </rPr>
      <t xml:space="preserve"> (PRIMER AÑO) 2016</t>
    </r>
  </si>
  <si>
    <r>
      <t xml:space="preserve">COSTO ESTIMADO DEL CONTRATO COLECTIVO PROPUESTO USD  </t>
    </r>
    <r>
      <rPr>
        <b/>
        <sz val="12"/>
        <color indexed="10"/>
        <rFont val="Calibri"/>
        <family val="2"/>
      </rPr>
      <t>(SEGUNDO AÑO) 2017</t>
    </r>
  </si>
  <si>
    <t xml:space="preserve">NOTA: </t>
  </si>
  <si>
    <t>En el año 2015 reflejan $ 191.894,66 por concepto de "Compensación por Despido" que corresponde al pago realizado</t>
  </si>
  <si>
    <t>FINANCIAMIENTO REAL DEL CONTRATO COLECTIVO VIGENTE USD 2015</t>
  </si>
  <si>
    <r>
      <t xml:space="preserve">FINANCIAMIENTO ESTIMADO DEL   CONTRATO COLECTIVO PROPUESTO USD $              </t>
    </r>
    <r>
      <rPr>
        <b/>
        <sz val="12"/>
        <color indexed="10"/>
        <rFont val="Calibri"/>
        <family val="2"/>
      </rPr>
      <t xml:space="preserve"> (PRIMER AÑO) 2016</t>
    </r>
  </si>
  <si>
    <r>
      <t xml:space="preserve">FINANCIAMIENTO ESTIMADO DEL   CONTRATO COLECTIVO PROPUESTO USD $                   </t>
    </r>
    <r>
      <rPr>
        <b/>
        <sz val="12"/>
        <color indexed="10"/>
        <rFont val="Calibri"/>
        <family val="2"/>
      </rPr>
      <t>(SEGUNDO AÑO) 2017</t>
    </r>
  </si>
  <si>
    <t>INGRESOS CORRIENTES</t>
  </si>
  <si>
    <t>TRANSFERENCIAS Y DONACIONES CORRIENTES</t>
  </si>
  <si>
    <t>18.01</t>
  </si>
  <si>
    <t>18.01.01</t>
  </si>
  <si>
    <t>Transferencias Corrientes del Sector Público</t>
  </si>
  <si>
    <t>Del Presupuesto General del Estado (30% PGE)</t>
  </si>
  <si>
    <t>a 72 Trabajadores que fueron separados de la Municipalidad en Diciembre del 2014, por exceso de personal.</t>
  </si>
  <si>
    <t>IMPUESTOS</t>
  </si>
  <si>
    <t>11.02</t>
  </si>
  <si>
    <t>Sobre la Propiedad</t>
  </si>
  <si>
    <t>11.02.03</t>
  </si>
  <si>
    <t>A la Inscripción en el Registro de la Propiedad</t>
  </si>
  <si>
    <t>TASAS Y CONTRIBUCIONES</t>
  </si>
  <si>
    <t>13.04</t>
  </si>
  <si>
    <t>1304.14</t>
  </si>
  <si>
    <t>Contribución Adicional para el Cuerpo de Bomberos</t>
  </si>
  <si>
    <t>SALDO TOTAL DE LA DEUDA</t>
  </si>
  <si>
    <t>Lugar y Fecha:  Amaluza, 12 de enero del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</si>
</sst>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[$€]* #,##0.00_);_([$€]* \(#,##0.00\);_([$€]* &quot;-&quot;??_);_(@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6"/>
      <color indexed="10"/>
      <name val="Times New Roman"/>
      <family val="1"/>
    </font>
    <font>
      <b/>
      <sz val="14"/>
      <color indexed="8"/>
      <name val="Calibri"/>
      <family val="2"/>
    </font>
    <font>
      <b/>
      <sz val="12"/>
      <color indexed="9"/>
      <name val="Calibri"/>
      <family val="2"/>
    </font>
    <font>
      <sz val="8"/>
      <color indexed="8"/>
      <name val="Calibri"/>
      <family val="2"/>
    </font>
    <font>
      <b/>
      <sz val="11"/>
      <color indexed="22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8"/>
      <color indexed="8"/>
      <name val="Calibri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0"/>
      <name val="Berlin Sans FB Demi"/>
      <family val="2"/>
    </font>
    <font>
      <b/>
      <sz val="11"/>
      <color indexed="8"/>
      <name val="Berlin Sans FB Dem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b/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indexed="29"/>
      <name val="Calibri"/>
      <family val="2"/>
    </font>
    <font>
      <b/>
      <sz val="11"/>
      <color theme="0" tint="-4.9989318521683403E-2"/>
      <name val="Calibri"/>
      <family val="2"/>
    </font>
    <font>
      <b/>
      <sz val="10"/>
      <name val="Times New Roman"/>
      <family val="1"/>
    </font>
    <font>
      <sz val="10"/>
      <name val="Arial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5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8" fillId="0" borderId="0"/>
    <xf numFmtId="0" fontId="3" fillId="0" borderId="0"/>
    <xf numFmtId="9" fontId="47" fillId="0" borderId="0" applyFont="0" applyFill="0" applyBorder="0" applyAlignment="0" applyProtection="0"/>
  </cellStyleXfs>
  <cellXfs count="262">
    <xf numFmtId="0" fontId="0" fillId="0" borderId="0" xfId="0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5" fillId="0" borderId="0" xfId="0" applyFont="1" applyFill="1" applyBorder="1" applyAlignment="1"/>
    <xf numFmtId="0" fontId="5" fillId="0" borderId="0" xfId="0" applyFont="1" applyBorder="1" applyAlignment="1"/>
    <xf numFmtId="4" fontId="7" fillId="0" borderId="0" xfId="0" applyNumberFormat="1" applyFont="1"/>
    <xf numFmtId="0" fontId="14" fillId="0" borderId="0" xfId="0" applyFont="1" applyBorder="1"/>
    <xf numFmtId="0" fontId="38" fillId="0" borderId="0" xfId="6"/>
    <xf numFmtId="0" fontId="18" fillId="0" borderId="0" xfId="6" applyFont="1" applyFill="1" applyBorder="1" applyAlignment="1">
      <alignment horizontal="center"/>
    </xf>
    <xf numFmtId="0" fontId="18" fillId="0" borderId="0" xfId="6" applyFont="1" applyFill="1" applyBorder="1"/>
    <xf numFmtId="0" fontId="38" fillId="0" borderId="0" xfId="6" applyFill="1"/>
    <xf numFmtId="0" fontId="13" fillId="0" borderId="0" xfId="6" applyFont="1"/>
    <xf numFmtId="0" fontId="19" fillId="0" borderId="0" xfId="0" applyFont="1" applyFill="1" applyBorder="1" applyAlignment="1"/>
    <xf numFmtId="0" fontId="19" fillId="0" borderId="0" xfId="0" applyFont="1" applyFill="1" applyBorder="1" applyAlignment="1">
      <alignment horizontal="center"/>
    </xf>
    <xf numFmtId="0" fontId="19" fillId="0" borderId="0" xfId="0" applyFont="1" applyBorder="1" applyAlignment="1"/>
    <xf numFmtId="0" fontId="19" fillId="0" borderId="1" xfId="0" applyFont="1" applyBorder="1" applyAlignment="1">
      <alignment horizontal="center"/>
    </xf>
    <xf numFmtId="0" fontId="20" fillId="0" borderId="0" xfId="0" applyFont="1" applyBorder="1"/>
    <xf numFmtId="0" fontId="21" fillId="0" borderId="0" xfId="0" applyFont="1" applyBorder="1" applyAlignment="1">
      <alignment horizontal="center"/>
    </xf>
    <xf numFmtId="4" fontId="20" fillId="0" borderId="0" xfId="0" applyNumberFormat="1" applyFont="1" applyBorder="1"/>
    <xf numFmtId="0" fontId="20" fillId="0" borderId="0" xfId="0" applyFo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/>
    <xf numFmtId="0" fontId="19" fillId="0" borderId="0" xfId="0" applyFont="1" applyFill="1" applyBorder="1" applyAlignment="1">
      <alignment horizontal="left"/>
    </xf>
    <xf numFmtId="0" fontId="23" fillId="0" borderId="0" xfId="0" applyFont="1" applyFill="1" applyBorder="1" applyAlignment="1"/>
    <xf numFmtId="0" fontId="23" fillId="0" borderId="1" xfId="0" applyFont="1" applyFill="1" applyBorder="1" applyAlignment="1">
      <alignment horizontal="center"/>
    </xf>
    <xf numFmtId="0" fontId="19" fillId="0" borderId="0" xfId="0" applyFont="1" applyBorder="1" applyAlignment="1">
      <alignment horizontal="center"/>
    </xf>
    <xf numFmtId="4" fontId="19" fillId="0" borderId="0" xfId="0" applyNumberFormat="1" applyFont="1" applyFill="1" applyBorder="1" applyAlignment="1">
      <alignment horizontal="right" vertical="center" wrapText="1"/>
    </xf>
    <xf numFmtId="0" fontId="24" fillId="0" borderId="0" xfId="0" applyFont="1" applyBorder="1"/>
    <xf numFmtId="0" fontId="23" fillId="0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49" fontId="16" fillId="2" borderId="6" xfId="0" applyNumberFormat="1" applyFont="1" applyFill="1" applyBorder="1" applyAlignment="1">
      <alignment horizontal="center" vertical="center" wrapText="1"/>
    </xf>
    <xf numFmtId="49" fontId="16" fillId="2" borderId="7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/>
    </xf>
    <xf numFmtId="4" fontId="23" fillId="0" borderId="9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19" fillId="0" borderId="10" xfId="0" applyNumberFormat="1" applyFont="1" applyFill="1" applyBorder="1" applyAlignment="1">
      <alignment horizontal="center"/>
    </xf>
    <xf numFmtId="4" fontId="25" fillId="0" borderId="10" xfId="2" applyNumberFormat="1" applyFont="1" applyBorder="1" applyAlignment="1">
      <alignment horizontal="center"/>
    </xf>
    <xf numFmtId="0" fontId="20" fillId="0" borderId="10" xfId="0" applyFont="1" applyBorder="1"/>
    <xf numFmtId="4" fontId="20" fillId="0" borderId="10" xfId="0" applyNumberFormat="1" applyFont="1" applyBorder="1"/>
    <xf numFmtId="4" fontId="19" fillId="0" borderId="11" xfId="0" applyNumberFormat="1" applyFont="1" applyFill="1" applyBorder="1" applyAlignment="1">
      <alignment horizontal="center"/>
    </xf>
    <xf numFmtId="4" fontId="23" fillId="0" borderId="12" xfId="0" applyNumberFormat="1" applyFont="1" applyFill="1" applyBorder="1" applyAlignment="1">
      <alignment horizontal="center"/>
    </xf>
    <xf numFmtId="4" fontId="19" fillId="0" borderId="12" xfId="0" applyNumberFormat="1" applyFont="1" applyFill="1" applyBorder="1" applyAlignment="1">
      <alignment horizontal="center"/>
    </xf>
    <xf numFmtId="0" fontId="20" fillId="0" borderId="13" xfId="0" applyFont="1" applyBorder="1"/>
    <xf numFmtId="0" fontId="19" fillId="0" borderId="14" xfId="0" applyFont="1" applyBorder="1" applyAlignment="1">
      <alignment horizontal="left"/>
    </xf>
    <xf numFmtId="0" fontId="17" fillId="0" borderId="15" xfId="6" applyFont="1" applyBorder="1" applyAlignment="1">
      <alignment horizontal="left" indent="2"/>
    </xf>
    <xf numFmtId="0" fontId="23" fillId="0" borderId="15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7" fillId="0" borderId="12" xfId="6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7" fillId="0" borderId="16" xfId="6" applyFont="1" applyBorder="1" applyAlignment="1">
      <alignment horizontal="center"/>
    </xf>
    <xf numFmtId="0" fontId="17" fillId="0" borderId="17" xfId="6" applyFont="1" applyBorder="1" applyAlignment="1">
      <alignment horizontal="left" indent="2"/>
    </xf>
    <xf numFmtId="0" fontId="20" fillId="0" borderId="18" xfId="0" applyFont="1" applyBorder="1" applyAlignment="1">
      <alignment horizontal="center"/>
    </xf>
    <xf numFmtId="0" fontId="23" fillId="0" borderId="11" xfId="0" applyFont="1" applyBorder="1"/>
    <xf numFmtId="0" fontId="25" fillId="0" borderId="6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0" fillId="0" borderId="20" xfId="0" applyFont="1" applyBorder="1"/>
    <xf numFmtId="0" fontId="13" fillId="0" borderId="0" xfId="6" applyFont="1" applyBorder="1" applyAlignment="1">
      <alignment horizontal="center"/>
    </xf>
    <xf numFmtId="4" fontId="23" fillId="0" borderId="21" xfId="2" applyNumberFormat="1" applyFont="1" applyFill="1" applyBorder="1" applyAlignment="1">
      <alignment horizontal="center"/>
    </xf>
    <xf numFmtId="4" fontId="23" fillId="0" borderId="21" xfId="0" applyNumberFormat="1" applyFont="1" applyFill="1" applyBorder="1" applyAlignment="1">
      <alignment horizontal="center"/>
    </xf>
    <xf numFmtId="0" fontId="20" fillId="0" borderId="23" xfId="0" applyFont="1" applyBorder="1"/>
    <xf numFmtId="4" fontId="23" fillId="0" borderId="12" xfId="2" applyNumberFormat="1" applyFont="1" applyFill="1" applyBorder="1" applyAlignment="1">
      <alignment horizontal="center"/>
    </xf>
    <xf numFmtId="0" fontId="20" fillId="0" borderId="25" xfId="0" applyFont="1" applyBorder="1"/>
    <xf numFmtId="0" fontId="19" fillId="0" borderId="26" xfId="0" applyFont="1" applyBorder="1" applyAlignment="1">
      <alignment horizontal="left"/>
    </xf>
    <xf numFmtId="0" fontId="23" fillId="0" borderId="26" xfId="0" applyFont="1" applyBorder="1" applyAlignment="1">
      <alignment horizontal="left"/>
    </xf>
    <xf numFmtId="0" fontId="25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49" fontId="23" fillId="0" borderId="28" xfId="0" applyNumberFormat="1" applyFont="1" applyBorder="1" applyAlignment="1">
      <alignment horizontal="center"/>
    </xf>
    <xf numFmtId="0" fontId="23" fillId="0" borderId="20" xfId="0" applyFont="1" applyBorder="1"/>
    <xf numFmtId="49" fontId="16" fillId="2" borderId="29" xfId="0" applyNumberFormat="1" applyFont="1" applyFill="1" applyBorder="1" applyAlignment="1">
      <alignment horizontal="center" vertical="center" wrapText="1"/>
    </xf>
    <xf numFmtId="49" fontId="16" fillId="2" borderId="30" xfId="0" applyNumberFormat="1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2" fontId="19" fillId="0" borderId="32" xfId="0" applyNumberFormat="1" applyFont="1" applyFill="1" applyBorder="1" applyAlignment="1">
      <alignment horizontal="center"/>
    </xf>
    <xf numFmtId="2" fontId="19" fillId="0" borderId="28" xfId="0" applyNumberFormat="1" applyFont="1" applyFill="1" applyBorder="1" applyAlignment="1">
      <alignment horizontal="center"/>
    </xf>
    <xf numFmtId="0" fontId="17" fillId="0" borderId="12" xfId="6" applyFont="1" applyBorder="1" applyAlignment="1">
      <alignment horizontal="left"/>
    </xf>
    <xf numFmtId="4" fontId="2" fillId="0" borderId="12" xfId="2" applyNumberFormat="1" applyFont="1" applyBorder="1" applyAlignment="1">
      <alignment horizontal="center"/>
    </xf>
    <xf numFmtId="4" fontId="2" fillId="0" borderId="10" xfId="2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4" fontId="20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4" fontId="20" fillId="0" borderId="12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9" fillId="0" borderId="0" xfId="0" applyFont="1" applyFill="1" applyBorder="1" applyAlignment="1"/>
    <xf numFmtId="0" fontId="21" fillId="0" borderId="0" xfId="0" applyFont="1"/>
    <xf numFmtId="0" fontId="23" fillId="0" borderId="0" xfId="0" applyFont="1" applyBorder="1" applyAlignment="1">
      <alignment horizontal="left"/>
    </xf>
    <xf numFmtId="0" fontId="9" fillId="0" borderId="0" xfId="0" applyFont="1" applyBorder="1" applyAlignment="1"/>
    <xf numFmtId="4" fontId="20" fillId="0" borderId="12" xfId="2" applyNumberFormat="1" applyFont="1" applyFill="1" applyBorder="1" applyAlignment="1">
      <alignment horizontal="center"/>
    </xf>
    <xf numFmtId="4" fontId="20" fillId="0" borderId="21" xfId="2" applyNumberFormat="1" applyFont="1" applyFill="1" applyBorder="1" applyAlignment="1">
      <alignment horizontal="center"/>
    </xf>
    <xf numFmtId="10" fontId="21" fillId="0" borderId="25" xfId="0" applyNumberFormat="1" applyFont="1" applyBorder="1" applyAlignment="1">
      <alignment horizontal="right"/>
    </xf>
    <xf numFmtId="0" fontId="19" fillId="0" borderId="11" xfId="0" applyFont="1" applyBorder="1" applyAlignment="1">
      <alignment horizontal="left"/>
    </xf>
    <xf numFmtId="0" fontId="8" fillId="0" borderId="15" xfId="6" applyFont="1" applyBorder="1" applyAlignment="1"/>
    <xf numFmtId="0" fontId="8" fillId="0" borderId="12" xfId="6" applyFont="1" applyBorder="1" applyAlignment="1">
      <alignment horizontal="left"/>
    </xf>
    <xf numFmtId="0" fontId="27" fillId="0" borderId="15" xfId="6" applyFont="1" applyBorder="1" applyAlignment="1"/>
    <xf numFmtId="10" fontId="20" fillId="0" borderId="33" xfId="0" applyNumberFormat="1" applyFont="1" applyBorder="1"/>
    <xf numFmtId="49" fontId="28" fillId="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justify" vertical="center" wrapText="1"/>
    </xf>
    <xf numFmtId="0" fontId="29" fillId="0" borderId="2" xfId="0" applyFont="1" applyFill="1" applyBorder="1" applyAlignment="1">
      <alignment horizontal="center"/>
    </xf>
    <xf numFmtId="49" fontId="28" fillId="0" borderId="1" xfId="0" applyNumberFormat="1" applyFont="1" applyFill="1" applyBorder="1" applyAlignment="1">
      <alignment horizontal="justify" vertical="center"/>
    </xf>
    <xf numFmtId="164" fontId="40" fillId="0" borderId="1" xfId="3" applyFont="1" applyFill="1" applyBorder="1"/>
    <xf numFmtId="164" fontId="30" fillId="0" borderId="2" xfId="3" applyFont="1" applyFill="1" applyBorder="1" applyAlignment="1">
      <alignment horizontal="right"/>
    </xf>
    <xf numFmtId="0" fontId="28" fillId="0" borderId="1" xfId="0" applyFont="1" applyFill="1" applyBorder="1" applyAlignment="1">
      <alignment horizontal="justify" vertical="center" wrapText="1"/>
    </xf>
    <xf numFmtId="0" fontId="29" fillId="0" borderId="1" xfId="0" applyFont="1" applyFill="1" applyBorder="1" applyAlignment="1">
      <alignment horizontal="center"/>
    </xf>
    <xf numFmtId="164" fontId="30" fillId="0" borderId="1" xfId="3" applyFont="1" applyFill="1" applyBorder="1" applyAlignment="1">
      <alignment horizontal="right"/>
    </xf>
    <xf numFmtId="0" fontId="28" fillId="0" borderId="1" xfId="0" applyFont="1" applyFill="1" applyBorder="1" applyAlignment="1">
      <alignment horizontal="justify" vertical="center"/>
    </xf>
    <xf numFmtId="0" fontId="28" fillId="0" borderId="1" xfId="0" applyFont="1" applyFill="1" applyBorder="1" applyAlignment="1">
      <alignment horizontal="left" vertical="center" wrapText="1"/>
    </xf>
    <xf numFmtId="49" fontId="40" fillId="0" borderId="1" xfId="0" applyNumberFormat="1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justify" vertical="center" wrapText="1"/>
    </xf>
    <xf numFmtId="49" fontId="40" fillId="0" borderId="1" xfId="0" applyNumberFormat="1" applyFont="1" applyFill="1" applyBorder="1" applyAlignment="1">
      <alignment horizontal="justify" vertical="center" wrapText="1"/>
    </xf>
    <xf numFmtId="49" fontId="40" fillId="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vertical="center" wrapText="1"/>
    </xf>
    <xf numFmtId="49" fontId="30" fillId="0" borderId="1" xfId="0" applyNumberFormat="1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center"/>
    </xf>
    <xf numFmtId="4" fontId="31" fillId="0" borderId="1" xfId="0" applyNumberFormat="1" applyFont="1" applyFill="1" applyBorder="1" applyAlignment="1">
      <alignment horizontal="right" vertical="center" wrapText="1"/>
    </xf>
    <xf numFmtId="164" fontId="31" fillId="0" borderId="1" xfId="3" applyFont="1" applyFill="1" applyBorder="1" applyAlignment="1">
      <alignment horizontal="right" vertical="center" wrapText="1"/>
    </xf>
    <xf numFmtId="164" fontId="20" fillId="0" borderId="0" xfId="3" applyFont="1" applyBorder="1"/>
    <xf numFmtId="0" fontId="32" fillId="0" borderId="17" xfId="0" applyFont="1" applyBorder="1"/>
    <xf numFmtId="0" fontId="33" fillId="0" borderId="0" xfId="0" applyFont="1"/>
    <xf numFmtId="0" fontId="34" fillId="0" borderId="0" xfId="6" applyFont="1" applyBorder="1" applyAlignment="1">
      <alignment horizontal="center"/>
    </xf>
    <xf numFmtId="0" fontId="20" fillId="0" borderId="0" xfId="0" applyFont="1" applyBorder="1" applyAlignment="1"/>
    <xf numFmtId="0" fontId="21" fillId="0" borderId="0" xfId="0" applyFont="1" applyAlignment="1">
      <alignment horizontal="center"/>
    </xf>
    <xf numFmtId="0" fontId="8" fillId="0" borderId="0" xfId="6" applyFont="1" applyFill="1" applyBorder="1"/>
    <xf numFmtId="0" fontId="15" fillId="0" borderId="26" xfId="0" applyFont="1" applyBorder="1" applyAlignment="1">
      <alignment horizontal="center"/>
    </xf>
    <xf numFmtId="4" fontId="23" fillId="0" borderId="20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2" fontId="19" fillId="0" borderId="49" xfId="0" applyNumberFormat="1" applyFont="1" applyFill="1" applyBorder="1" applyAlignment="1">
      <alignment horizontal="center"/>
    </xf>
    <xf numFmtId="4" fontId="23" fillId="0" borderId="36" xfId="2" applyNumberFormat="1" applyFont="1" applyFill="1" applyBorder="1" applyAlignment="1">
      <alignment horizontal="center"/>
    </xf>
    <xf numFmtId="2" fontId="19" fillId="0" borderId="50" xfId="0" applyNumberFormat="1" applyFont="1" applyFill="1" applyBorder="1" applyAlignment="1">
      <alignment horizontal="center"/>
    </xf>
    <xf numFmtId="0" fontId="12" fillId="2" borderId="20" xfId="6" applyFont="1" applyFill="1" applyBorder="1" applyAlignment="1">
      <alignment horizontal="center" vertical="center" wrapText="1"/>
    </xf>
    <xf numFmtId="0" fontId="8" fillId="3" borderId="28" xfId="6" applyFont="1" applyFill="1" applyBorder="1"/>
    <xf numFmtId="0" fontId="42" fillId="0" borderId="34" xfId="6" applyFont="1" applyBorder="1" applyAlignment="1">
      <alignment horizontal="left"/>
    </xf>
    <xf numFmtId="0" fontId="42" fillId="0" borderId="11" xfId="6" applyFont="1" applyBorder="1"/>
    <xf numFmtId="0" fontId="8" fillId="0" borderId="12" xfId="6" applyFont="1" applyBorder="1"/>
    <xf numFmtId="4" fontId="8" fillId="0" borderId="12" xfId="6" applyNumberFormat="1" applyFont="1" applyBorder="1"/>
    <xf numFmtId="4" fontId="8" fillId="0" borderId="12" xfId="6" applyNumberFormat="1" applyFont="1" applyFill="1" applyBorder="1"/>
    <xf numFmtId="0" fontId="8" fillId="0" borderId="34" xfId="6" applyFont="1" applyBorder="1" applyAlignment="1">
      <alignment horizontal="center"/>
    </xf>
    <xf numFmtId="0" fontId="8" fillId="0" borderId="12" xfId="6" applyFont="1" applyBorder="1" applyAlignment="1">
      <alignment horizontal="left" indent="2"/>
    </xf>
    <xf numFmtId="0" fontId="8" fillId="0" borderId="35" xfId="6" applyFont="1" applyBorder="1"/>
    <xf numFmtId="0" fontId="38" fillId="0" borderId="36" xfId="6" applyBorder="1"/>
    <xf numFmtId="0" fontId="8" fillId="0" borderId="36" xfId="6" applyFont="1" applyFill="1" applyBorder="1"/>
    <xf numFmtId="0" fontId="8" fillId="0" borderId="36" xfId="6" applyFont="1" applyBorder="1"/>
    <xf numFmtId="0" fontId="42" fillId="0" borderId="12" xfId="6" applyFont="1" applyBorder="1"/>
    <xf numFmtId="0" fontId="8" fillId="0" borderId="35" xfId="6" applyFont="1" applyFill="1" applyBorder="1"/>
    <xf numFmtId="2" fontId="8" fillId="0" borderId="36" xfId="6" applyNumberFormat="1" applyFont="1" applyBorder="1"/>
    <xf numFmtId="0" fontId="8" fillId="0" borderId="13" xfId="6" applyFont="1" applyBorder="1" applyAlignment="1">
      <alignment horizontal="left" indent="2"/>
    </xf>
    <xf numFmtId="0" fontId="8" fillId="3" borderId="12" xfId="6" applyFont="1" applyFill="1" applyBorder="1"/>
    <xf numFmtId="0" fontId="42" fillId="0" borderId="13" xfId="6" applyFont="1" applyBorder="1"/>
    <xf numFmtId="0" fontId="43" fillId="4" borderId="12" xfId="6" applyFont="1" applyFill="1" applyBorder="1"/>
    <xf numFmtId="0" fontId="8" fillId="3" borderId="36" xfId="6" applyFont="1" applyFill="1" applyBorder="1"/>
    <xf numFmtId="0" fontId="38" fillId="3" borderId="36" xfId="6" applyFill="1" applyBorder="1"/>
    <xf numFmtId="0" fontId="42" fillId="0" borderId="37" xfId="6" applyFont="1" applyBorder="1" applyAlignment="1">
      <alignment horizontal="left"/>
    </xf>
    <xf numFmtId="0" fontId="42" fillId="0" borderId="21" xfId="6" applyFont="1" applyBorder="1"/>
    <xf numFmtId="2" fontId="8" fillId="0" borderId="35" xfId="6" applyNumberFormat="1" applyFont="1" applyBorder="1"/>
    <xf numFmtId="0" fontId="42" fillId="0" borderId="12" xfId="6" applyFont="1" applyBorder="1" applyAlignment="1">
      <alignment horizontal="left"/>
    </xf>
    <xf numFmtId="0" fontId="44" fillId="4" borderId="36" xfId="6" applyFont="1" applyFill="1" applyBorder="1"/>
    <xf numFmtId="0" fontId="18" fillId="2" borderId="12" xfId="6" applyFont="1" applyFill="1" applyBorder="1"/>
    <xf numFmtId="4" fontId="18" fillId="2" borderId="12" xfId="6" applyNumberFormat="1" applyFont="1" applyFill="1" applyBorder="1"/>
    <xf numFmtId="0" fontId="42" fillId="0" borderId="1" xfId="6" applyFont="1" applyBorder="1" applyAlignment="1">
      <alignment horizontal="left"/>
    </xf>
    <xf numFmtId="0" fontId="42" fillId="0" borderId="38" xfId="6" applyFont="1" applyBorder="1" applyAlignment="1">
      <alignment horizontal="left"/>
    </xf>
    <xf numFmtId="0" fontId="42" fillId="0" borderId="32" xfId="6" applyFont="1" applyBorder="1"/>
    <xf numFmtId="0" fontId="42" fillId="0" borderId="39" xfId="6" applyFont="1" applyBorder="1" applyAlignment="1">
      <alignment horizontal="left"/>
    </xf>
    <xf numFmtId="0" fontId="42" fillId="0" borderId="40" xfId="6" applyFont="1" applyBorder="1"/>
    <xf numFmtId="0" fontId="18" fillId="2" borderId="13" xfId="6" applyFont="1" applyFill="1" applyBorder="1"/>
    <xf numFmtId="0" fontId="12" fillId="2" borderId="41" xfId="6" applyFont="1" applyFill="1" applyBorder="1" applyAlignment="1"/>
    <xf numFmtId="0" fontId="12" fillId="2" borderId="42" xfId="6" applyFont="1" applyFill="1" applyBorder="1" applyAlignment="1"/>
    <xf numFmtId="0" fontId="45" fillId="2" borderId="42" xfId="6" applyFont="1" applyFill="1" applyBorder="1" applyAlignment="1"/>
    <xf numFmtId="0" fontId="39" fillId="0" borderId="0" xfId="6" applyFont="1"/>
    <xf numFmtId="4" fontId="15" fillId="0" borderId="5" xfId="2" applyNumberFormat="1" applyFont="1" applyBorder="1" applyAlignment="1">
      <alignment horizontal="center"/>
    </xf>
    <xf numFmtId="4" fontId="15" fillId="0" borderId="44" xfId="2" applyNumberFormat="1" applyFont="1" applyBorder="1" applyAlignment="1">
      <alignment horizontal="center"/>
    </xf>
    <xf numFmtId="0" fontId="21" fillId="0" borderId="0" xfId="0" applyFont="1" applyBorder="1"/>
    <xf numFmtId="4" fontId="21" fillId="0" borderId="0" xfId="0" applyNumberFormat="1" applyFont="1" applyBorder="1"/>
    <xf numFmtId="0" fontId="46" fillId="0" borderId="0" xfId="0" applyFont="1" applyBorder="1"/>
    <xf numFmtId="0" fontId="13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5" fillId="0" borderId="0" xfId="6" applyFont="1" applyAlignment="1">
      <alignment horizontal="center"/>
    </xf>
    <xf numFmtId="0" fontId="12" fillId="2" borderId="41" xfId="6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/>
    </xf>
    <xf numFmtId="0" fontId="19" fillId="0" borderId="51" xfId="0" applyFont="1" applyBorder="1" applyAlignment="1">
      <alignment horizontal="left"/>
    </xf>
    <xf numFmtId="4" fontId="19" fillId="0" borderId="28" xfId="0" applyNumberFormat="1" applyFont="1" applyFill="1" applyBorder="1" applyAlignment="1">
      <alignment horizontal="center"/>
    </xf>
    <xf numFmtId="4" fontId="23" fillId="0" borderId="49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/>
    </xf>
    <xf numFmtId="0" fontId="23" fillId="0" borderId="51" xfId="0" applyFont="1" applyBorder="1" applyAlignment="1">
      <alignment horizontal="left"/>
    </xf>
    <xf numFmtId="4" fontId="23" fillId="0" borderId="28" xfId="0" applyNumberFormat="1" applyFont="1" applyFill="1" applyBorder="1" applyAlignment="1">
      <alignment horizontal="center"/>
    </xf>
    <xf numFmtId="0" fontId="41" fillId="2" borderId="47" xfId="6" applyFont="1" applyFill="1" applyBorder="1" applyAlignment="1">
      <alignment horizontal="center" vertical="center" wrapText="1"/>
    </xf>
    <xf numFmtId="0" fontId="16" fillId="2" borderId="23" xfId="6" applyFont="1" applyFill="1" applyBorder="1" applyAlignment="1">
      <alignment horizontal="center" vertical="center"/>
    </xf>
    <xf numFmtId="0" fontId="16" fillId="2" borderId="53" xfId="6" applyFont="1" applyFill="1" applyBorder="1" applyAlignment="1">
      <alignment horizontal="center" vertical="center"/>
    </xf>
    <xf numFmtId="4" fontId="43" fillId="3" borderId="28" xfId="6" applyNumberFormat="1" applyFont="1" applyFill="1" applyBorder="1"/>
    <xf numFmtId="0" fontId="43" fillId="3" borderId="28" xfId="6" applyFont="1" applyFill="1" applyBorder="1"/>
    <xf numFmtId="4" fontId="8" fillId="0" borderId="12" xfId="0" applyNumberFormat="1" applyFont="1" applyFill="1" applyBorder="1" applyAlignment="1">
      <alignment horizontal="right"/>
    </xf>
    <xf numFmtId="0" fontId="1" fillId="0" borderId="36" xfId="6" applyFont="1" applyBorder="1"/>
    <xf numFmtId="0" fontId="43" fillId="3" borderId="12" xfId="6" applyFont="1" applyFill="1" applyBorder="1"/>
    <xf numFmtId="2" fontId="43" fillId="3" borderId="12" xfId="6" applyNumberFormat="1" applyFont="1" applyFill="1" applyBorder="1"/>
    <xf numFmtId="2" fontId="8" fillId="0" borderId="36" xfId="6" applyNumberFormat="1" applyFont="1" applyFill="1" applyBorder="1"/>
    <xf numFmtId="4" fontId="8" fillId="4" borderId="12" xfId="6" applyNumberFormat="1" applyFont="1" applyFill="1" applyBorder="1"/>
    <xf numFmtId="0" fontId="8" fillId="4" borderId="12" xfId="6" applyFont="1" applyFill="1" applyBorder="1"/>
    <xf numFmtId="0" fontId="43" fillId="3" borderId="36" xfId="6" applyFont="1" applyFill="1" applyBorder="1"/>
    <xf numFmtId="4" fontId="43" fillId="3" borderId="36" xfId="6" applyNumberFormat="1" applyFont="1" applyFill="1" applyBorder="1"/>
    <xf numFmtId="0" fontId="48" fillId="4" borderId="36" xfId="6" applyFont="1" applyFill="1" applyBorder="1"/>
    <xf numFmtId="2" fontId="18" fillId="2" borderId="13" xfId="6" applyNumberFormat="1" applyFont="1" applyFill="1" applyBorder="1"/>
    <xf numFmtId="10" fontId="13" fillId="0" borderId="14" xfId="6" applyNumberFormat="1" applyFont="1" applyFill="1" applyBorder="1" applyAlignment="1">
      <alignment horizontal="center"/>
    </xf>
    <xf numFmtId="10" fontId="13" fillId="0" borderId="14" xfId="8" applyNumberFormat="1" applyFont="1" applyFill="1" applyBorder="1" applyAlignment="1">
      <alignment horizontal="center"/>
    </xf>
    <xf numFmtId="10" fontId="49" fillId="0" borderId="42" xfId="8" applyNumberFormat="1" applyFont="1" applyFill="1" applyBorder="1" applyAlignment="1">
      <alignment horizontal="center"/>
    </xf>
    <xf numFmtId="4" fontId="38" fillId="0" borderId="0" xfId="6" applyNumberFormat="1"/>
    <xf numFmtId="0" fontId="38" fillId="0" borderId="0" xfId="6" applyBorder="1"/>
    <xf numFmtId="4" fontId="13" fillId="0" borderId="0" xfId="6" applyNumberFormat="1" applyFont="1" applyBorder="1" applyAlignment="1">
      <alignment horizontal="center"/>
    </xf>
    <xf numFmtId="2" fontId="38" fillId="0" borderId="0" xfId="6" applyNumberFormat="1"/>
    <xf numFmtId="0" fontId="50" fillId="0" borderId="0" xfId="6" applyFont="1"/>
    <xf numFmtId="0" fontId="13" fillId="0" borderId="0" xfId="6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5" fillId="3" borderId="44" xfId="0" applyFont="1" applyFill="1" applyBorder="1" applyAlignment="1">
      <alignment horizontal="center"/>
    </xf>
    <xf numFmtId="0" fontId="25" fillId="3" borderId="33" xfId="0" applyFont="1" applyFill="1" applyBorder="1" applyAlignment="1">
      <alignment horizontal="center"/>
    </xf>
    <xf numFmtId="0" fontId="2" fillId="0" borderId="0" xfId="6" applyFont="1" applyBorder="1" applyAlignment="1">
      <alignment horizontal="center"/>
    </xf>
    <xf numFmtId="0" fontId="13" fillId="0" borderId="0" xfId="6" applyFont="1" applyAlignment="1">
      <alignment horizontal="left"/>
    </xf>
    <xf numFmtId="49" fontId="16" fillId="2" borderId="43" xfId="0" applyNumberFormat="1" applyFont="1" applyFill="1" applyBorder="1" applyAlignment="1">
      <alignment horizontal="center" vertical="center" wrapText="1"/>
    </xf>
    <xf numFmtId="49" fontId="16" fillId="2" borderId="30" xfId="0" applyNumberFormat="1" applyFont="1" applyFill="1" applyBorder="1" applyAlignment="1">
      <alignment horizontal="center" vertical="center" wrapText="1"/>
    </xf>
    <xf numFmtId="0" fontId="25" fillId="3" borderId="41" xfId="0" applyFont="1" applyFill="1" applyBorder="1" applyAlignment="1">
      <alignment horizontal="center"/>
    </xf>
    <xf numFmtId="0" fontId="25" fillId="3" borderId="4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" fillId="0" borderId="17" xfId="6" applyFont="1" applyBorder="1" applyAlignment="1">
      <alignment horizontal="center"/>
    </xf>
    <xf numFmtId="0" fontId="18" fillId="2" borderId="37" xfId="6" applyFont="1" applyFill="1" applyBorder="1" applyAlignment="1">
      <alignment horizontal="center"/>
    </xf>
    <xf numFmtId="0" fontId="18" fillId="2" borderId="21" xfId="6" applyFont="1" applyFill="1" applyBorder="1" applyAlignment="1">
      <alignment horizontal="center"/>
    </xf>
    <xf numFmtId="0" fontId="42" fillId="3" borderId="45" xfId="6" applyFont="1" applyFill="1" applyBorder="1" applyAlignment="1">
      <alignment horizontal="left"/>
    </xf>
    <xf numFmtId="0" fontId="42" fillId="3" borderId="46" xfId="6" applyFont="1" applyFill="1" applyBorder="1" applyAlignment="1">
      <alignment horizontal="left"/>
    </xf>
    <xf numFmtId="0" fontId="42" fillId="3" borderId="37" xfId="6" applyFont="1" applyFill="1" applyBorder="1" applyAlignment="1">
      <alignment horizontal="left"/>
    </xf>
    <xf numFmtId="0" fontId="42" fillId="3" borderId="21" xfId="6" applyFont="1" applyFill="1" applyBorder="1" applyAlignment="1">
      <alignment horizontal="left"/>
    </xf>
    <xf numFmtId="0" fontId="18" fillId="2" borderId="47" xfId="6" applyFont="1" applyFill="1" applyBorder="1" applyAlignment="1">
      <alignment horizontal="center"/>
    </xf>
    <xf numFmtId="0" fontId="18" fillId="2" borderId="23" xfId="6" applyFont="1" applyFill="1" applyBorder="1" applyAlignment="1">
      <alignment horizontal="center"/>
    </xf>
    <xf numFmtId="0" fontId="13" fillId="0" borderId="43" xfId="6" applyFont="1" applyFill="1" applyBorder="1" applyAlignment="1">
      <alignment horizontal="center"/>
    </xf>
    <xf numFmtId="0" fontId="13" fillId="0" borderId="6" xfId="6" applyFont="1" applyFill="1" applyBorder="1" applyAlignment="1">
      <alignment horizontal="center"/>
    </xf>
    <xf numFmtId="0" fontId="13" fillId="0" borderId="41" xfId="6" applyFont="1" applyFill="1" applyBorder="1" applyAlignment="1">
      <alignment horizontal="center"/>
    </xf>
    <xf numFmtId="0" fontId="13" fillId="0" borderId="42" xfId="6" applyFont="1" applyFill="1" applyBorder="1" applyAlignment="1">
      <alignment horizontal="center"/>
    </xf>
    <xf numFmtId="0" fontId="42" fillId="4" borderId="37" xfId="6" applyFont="1" applyFill="1" applyBorder="1" applyAlignment="1">
      <alignment horizontal="center"/>
    </xf>
    <xf numFmtId="0" fontId="42" fillId="4" borderId="32" xfId="6" applyFont="1" applyFill="1" applyBorder="1" applyAlignment="1">
      <alignment horizontal="center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2" borderId="4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52" xfId="6" applyFont="1" applyFill="1" applyBorder="1" applyAlignment="1">
      <alignment horizontal="center" vertical="center" wrapText="1"/>
    </xf>
    <xf numFmtId="0" fontId="12" fillId="2" borderId="32" xfId="6" applyFont="1" applyFill="1" applyBorder="1" applyAlignment="1">
      <alignment horizontal="center" vertical="center" wrapText="1"/>
    </xf>
    <xf numFmtId="0" fontId="12" fillId="2" borderId="51" xfId="6" applyFont="1" applyFill="1" applyBorder="1" applyAlignment="1">
      <alignment horizontal="center" vertical="center" wrapText="1"/>
    </xf>
    <xf numFmtId="0" fontId="12" fillId="2" borderId="26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 wrapText="1"/>
    </xf>
    <xf numFmtId="0" fontId="12" fillId="2" borderId="0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 wrapText="1"/>
    </xf>
    <xf numFmtId="0" fontId="12" fillId="2" borderId="42" xfId="6" applyFont="1" applyFill="1" applyBorder="1" applyAlignment="1">
      <alignment horizontal="center" vertical="center" wrapText="1"/>
    </xf>
    <xf numFmtId="0" fontId="12" fillId="2" borderId="48" xfId="6" applyFont="1" applyFill="1" applyBorder="1" applyAlignment="1">
      <alignment horizontal="center" vertical="center" wrapText="1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42" fillId="3" borderId="22" xfId="6" applyFont="1" applyFill="1" applyBorder="1" applyAlignment="1">
      <alignment horizontal="left"/>
    </xf>
  </cellXfs>
  <cellStyles count="9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  <cellStyle name="Porcentaje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7"/>
  <sheetViews>
    <sheetView topLeftCell="A40" workbookViewId="0">
      <selection activeCell="D43" sqref="D43"/>
    </sheetView>
  </sheetViews>
  <sheetFormatPr baseColWidth="10" defaultRowHeight="20.100000000000001" customHeight="1" x14ac:dyDescent="0.2"/>
  <cols>
    <col min="1" max="1" width="13.140625" style="20" customWidth="1"/>
    <col min="2" max="2" width="43.85546875" style="20" customWidth="1"/>
    <col min="3" max="3" width="21.5703125" style="20" customWidth="1"/>
    <col min="4" max="4" width="27.5703125" style="20" customWidth="1"/>
    <col min="5" max="5" width="27.5703125" style="2" customWidth="1"/>
    <col min="6" max="16384" width="11.42578125" style="2"/>
  </cols>
  <sheetData>
    <row r="1" spans="1:5" ht="20.100000000000001" customHeight="1" x14ac:dyDescent="0.3">
      <c r="A1" s="214" t="s">
        <v>15</v>
      </c>
      <c r="B1" s="214"/>
      <c r="C1" s="214"/>
      <c r="D1" s="214"/>
      <c r="E1" s="214"/>
    </row>
    <row r="2" spans="1:5" ht="20.100000000000001" customHeight="1" x14ac:dyDescent="0.25">
      <c r="A2" s="215" t="s">
        <v>103</v>
      </c>
      <c r="B2" s="215"/>
      <c r="C2" s="215"/>
      <c r="D2" s="215"/>
      <c r="E2" s="215"/>
    </row>
    <row r="3" spans="1:5" ht="20.100000000000001" customHeight="1" x14ac:dyDescent="0.25">
      <c r="A3" s="215" t="s">
        <v>25</v>
      </c>
      <c r="B3" s="215"/>
      <c r="C3" s="215"/>
      <c r="D3" s="215"/>
      <c r="E3" s="215"/>
    </row>
    <row r="4" spans="1:5" ht="20.100000000000001" customHeight="1" x14ac:dyDescent="0.25">
      <c r="A4" s="22"/>
      <c r="B4" s="22"/>
      <c r="C4" s="22"/>
      <c r="D4" s="22"/>
    </row>
    <row r="5" spans="1:5" ht="20.100000000000001" customHeight="1" x14ac:dyDescent="0.25">
      <c r="A5" s="225" t="s">
        <v>126</v>
      </c>
      <c r="B5" s="215"/>
      <c r="C5" s="215"/>
      <c r="D5" s="215"/>
      <c r="E5" s="215"/>
    </row>
    <row r="6" spans="1:5" ht="20.100000000000001" customHeight="1" x14ac:dyDescent="0.25">
      <c r="A6" s="88" t="s">
        <v>127</v>
      </c>
      <c r="B6" s="22"/>
      <c r="C6" s="2"/>
      <c r="D6" s="21"/>
    </row>
    <row r="7" spans="1:5" ht="20.100000000000001" customHeight="1" x14ac:dyDescent="0.25">
      <c r="A7" s="23"/>
      <c r="B7" s="23"/>
      <c r="C7" s="2"/>
      <c r="D7" s="23"/>
    </row>
    <row r="8" spans="1:5" ht="20.100000000000001" customHeight="1" thickBot="1" x14ac:dyDescent="0.3">
      <c r="A8" s="23"/>
      <c r="B8" s="23"/>
      <c r="C8" s="2"/>
      <c r="D8" s="23"/>
    </row>
    <row r="9" spans="1:5" ht="81.75" customHeight="1" x14ac:dyDescent="0.2">
      <c r="A9" s="221" t="s">
        <v>1</v>
      </c>
      <c r="B9" s="222"/>
      <c r="C9" s="34" t="s">
        <v>395</v>
      </c>
      <c r="D9" s="35" t="s">
        <v>396</v>
      </c>
      <c r="E9" s="35" t="s">
        <v>397</v>
      </c>
    </row>
    <row r="10" spans="1:5" ht="20.100000000000001" customHeight="1" thickBot="1" x14ac:dyDescent="0.3">
      <c r="A10" s="223"/>
      <c r="B10" s="224"/>
      <c r="C10" s="224"/>
      <c r="D10" s="224"/>
      <c r="E10" s="224"/>
    </row>
    <row r="11" spans="1:5" ht="20.100000000000001" customHeight="1" x14ac:dyDescent="0.2">
      <c r="A11" s="95">
        <v>1</v>
      </c>
      <c r="B11" s="47" t="s">
        <v>398</v>
      </c>
      <c r="C11" s="43"/>
      <c r="D11" s="37"/>
      <c r="E11" s="37"/>
    </row>
    <row r="12" spans="1:5" ht="20.100000000000001" customHeight="1" x14ac:dyDescent="0.2">
      <c r="A12" s="186">
        <v>11</v>
      </c>
      <c r="B12" s="187" t="s">
        <v>405</v>
      </c>
      <c r="C12" s="184"/>
      <c r="D12" s="185"/>
      <c r="E12" s="185"/>
    </row>
    <row r="13" spans="1:5" ht="20.100000000000001" customHeight="1" x14ac:dyDescent="0.2">
      <c r="A13" s="186" t="s">
        <v>406</v>
      </c>
      <c r="B13" s="183" t="s">
        <v>407</v>
      </c>
      <c r="C13" s="184"/>
      <c r="D13" s="185"/>
      <c r="E13" s="185"/>
    </row>
    <row r="14" spans="1:5" ht="20.100000000000001" customHeight="1" x14ac:dyDescent="0.2">
      <c r="A14" s="186" t="s">
        <v>408</v>
      </c>
      <c r="B14" s="187" t="s">
        <v>409</v>
      </c>
      <c r="C14" s="188">
        <v>23055</v>
      </c>
      <c r="D14" s="185">
        <v>23067</v>
      </c>
      <c r="E14" s="185">
        <v>23076</v>
      </c>
    </row>
    <row r="15" spans="1:5" ht="20.100000000000001" customHeight="1" x14ac:dyDescent="0.2">
      <c r="A15" s="186">
        <v>13</v>
      </c>
      <c r="B15" s="187" t="s">
        <v>410</v>
      </c>
      <c r="C15" s="184"/>
      <c r="D15" s="185"/>
      <c r="E15" s="185"/>
    </row>
    <row r="16" spans="1:5" ht="20.100000000000001" customHeight="1" x14ac:dyDescent="0.2">
      <c r="A16" s="182" t="s">
        <v>411</v>
      </c>
      <c r="B16" s="183" t="s">
        <v>42</v>
      </c>
      <c r="C16" s="184"/>
      <c r="D16" s="185"/>
      <c r="E16" s="185"/>
    </row>
    <row r="17" spans="1:5" ht="20.100000000000001" customHeight="1" x14ac:dyDescent="0.2">
      <c r="A17" s="186" t="s">
        <v>412</v>
      </c>
      <c r="B17" s="187" t="s">
        <v>413</v>
      </c>
      <c r="C17" s="188">
        <v>36354.47</v>
      </c>
      <c r="D17" s="185">
        <v>83343</v>
      </c>
      <c r="E17" s="185">
        <v>83379</v>
      </c>
    </row>
    <row r="18" spans="1:5" ht="20.100000000000001" customHeight="1" x14ac:dyDescent="0.2">
      <c r="A18" s="80">
        <v>18</v>
      </c>
      <c r="B18" s="96" t="s">
        <v>399</v>
      </c>
      <c r="C18" s="44"/>
      <c r="D18" s="38"/>
      <c r="E18" s="38"/>
    </row>
    <row r="19" spans="1:5" ht="20.100000000000001" customHeight="1" x14ac:dyDescent="0.2">
      <c r="A19" s="97" t="s">
        <v>400</v>
      </c>
      <c r="B19" s="98" t="s">
        <v>402</v>
      </c>
      <c r="C19" s="44"/>
      <c r="D19" s="38"/>
      <c r="E19" s="38"/>
    </row>
    <row r="20" spans="1:5" ht="20.100000000000001" customHeight="1" x14ac:dyDescent="0.2">
      <c r="A20" s="97" t="s">
        <v>401</v>
      </c>
      <c r="B20" s="96" t="s">
        <v>403</v>
      </c>
      <c r="C20" s="44">
        <v>1119164.68</v>
      </c>
      <c r="D20" s="38">
        <v>1046266.03</v>
      </c>
      <c r="E20" s="38">
        <v>1058319.76</v>
      </c>
    </row>
    <row r="21" spans="1:5" ht="20.100000000000001" customHeight="1" thickBot="1" x14ac:dyDescent="0.25">
      <c r="A21" s="51"/>
      <c r="B21" s="48"/>
      <c r="C21" s="44"/>
      <c r="D21" s="38"/>
      <c r="E21" s="38"/>
    </row>
    <row r="22" spans="1:5" ht="20.100000000000001" customHeight="1" x14ac:dyDescent="0.2">
      <c r="A22" s="95"/>
      <c r="B22" s="47"/>
      <c r="C22" s="43"/>
      <c r="D22" s="37"/>
      <c r="E22" s="37"/>
    </row>
    <row r="23" spans="1:5" ht="20.100000000000001" customHeight="1" x14ac:dyDescent="0.2">
      <c r="A23" s="80"/>
      <c r="B23" s="96"/>
      <c r="C23" s="44"/>
      <c r="D23" s="38"/>
      <c r="E23" s="38"/>
    </row>
    <row r="24" spans="1:5" ht="20.100000000000001" customHeight="1" x14ac:dyDescent="0.2">
      <c r="A24" s="80"/>
      <c r="B24" s="98"/>
      <c r="C24" s="44"/>
      <c r="D24" s="38"/>
      <c r="E24" s="38"/>
    </row>
    <row r="25" spans="1:5" ht="20.100000000000001" customHeight="1" x14ac:dyDescent="0.2">
      <c r="A25" s="97"/>
      <c r="B25" s="96"/>
      <c r="C25" s="44"/>
      <c r="D25" s="38"/>
      <c r="E25" s="38"/>
    </row>
    <row r="26" spans="1:5" ht="20.100000000000001" customHeight="1" x14ac:dyDescent="0.2">
      <c r="A26" s="52"/>
      <c r="B26" s="49"/>
      <c r="C26" s="45"/>
      <c r="D26" s="39"/>
      <c r="E26" s="39"/>
    </row>
    <row r="27" spans="1:5" ht="20.100000000000001" customHeight="1" x14ac:dyDescent="0.2">
      <c r="A27" s="53"/>
      <c r="B27" s="50"/>
      <c r="C27" s="44"/>
      <c r="D27" s="38"/>
      <c r="E27" s="38"/>
    </row>
    <row r="28" spans="1:5" ht="20.100000000000001" customHeight="1" x14ac:dyDescent="0.2">
      <c r="A28" s="51"/>
      <c r="B28" s="48"/>
      <c r="C28" s="44"/>
      <c r="D28" s="38"/>
      <c r="E28" s="38"/>
    </row>
    <row r="29" spans="1:5" ht="20.100000000000001" customHeight="1" x14ac:dyDescent="0.2">
      <c r="A29" s="51"/>
      <c r="B29" s="48"/>
      <c r="C29" s="44"/>
      <c r="D29" s="38"/>
      <c r="E29" s="38"/>
    </row>
    <row r="30" spans="1:5" ht="20.100000000000001" customHeight="1" x14ac:dyDescent="0.2">
      <c r="A30" s="51"/>
      <c r="B30" s="48"/>
      <c r="C30" s="45"/>
      <c r="D30" s="39"/>
      <c r="E30" s="39"/>
    </row>
    <row r="31" spans="1:5" ht="20.100000000000001" customHeight="1" x14ac:dyDescent="0.2">
      <c r="A31" s="51"/>
      <c r="B31" s="48"/>
      <c r="C31" s="44"/>
      <c r="D31" s="38"/>
      <c r="E31" s="39"/>
    </row>
    <row r="32" spans="1:5" ht="20.100000000000001" customHeight="1" x14ac:dyDescent="0.2">
      <c r="A32" s="52"/>
      <c r="B32" s="49"/>
      <c r="C32" s="45"/>
      <c r="D32" s="38"/>
      <c r="E32" s="38"/>
    </row>
    <row r="33" spans="1:5" ht="20.100000000000001" customHeight="1" x14ac:dyDescent="0.25">
      <c r="A33" s="53"/>
      <c r="B33" s="50"/>
      <c r="C33" s="81"/>
      <c r="D33" s="82"/>
      <c r="E33" s="40"/>
    </row>
    <row r="34" spans="1:5" ht="20.100000000000001" customHeight="1" x14ac:dyDescent="0.2">
      <c r="A34" s="53"/>
      <c r="B34" s="50"/>
      <c r="C34" s="85"/>
      <c r="D34" s="83"/>
      <c r="E34" s="41"/>
    </row>
    <row r="35" spans="1:5" ht="20.100000000000001" customHeight="1" x14ac:dyDescent="0.2">
      <c r="A35" s="52"/>
      <c r="B35" s="49"/>
      <c r="C35" s="86"/>
      <c r="D35" s="84"/>
      <c r="E35" s="42"/>
    </row>
    <row r="36" spans="1:5" ht="20.100000000000001" customHeight="1" x14ac:dyDescent="0.2">
      <c r="A36" s="53"/>
      <c r="B36" s="50"/>
      <c r="C36" s="85"/>
      <c r="D36" s="84"/>
      <c r="E36" s="42"/>
    </row>
    <row r="37" spans="1:5" ht="20.100000000000001" customHeight="1" x14ac:dyDescent="0.2">
      <c r="A37" s="52"/>
      <c r="B37" s="48"/>
      <c r="C37" s="86"/>
      <c r="D37" s="42"/>
      <c r="E37" s="42"/>
    </row>
    <row r="38" spans="1:5" ht="20.100000000000001" customHeight="1" x14ac:dyDescent="0.2">
      <c r="A38" s="53"/>
      <c r="B38" s="50"/>
      <c r="C38" s="86"/>
      <c r="D38" s="42"/>
      <c r="E38" s="42"/>
    </row>
    <row r="39" spans="1:5" ht="20.100000000000001" customHeight="1" x14ac:dyDescent="0.2">
      <c r="A39" s="51"/>
      <c r="B39" s="48"/>
      <c r="C39" s="86"/>
      <c r="D39" s="42"/>
      <c r="E39" s="42"/>
    </row>
    <row r="40" spans="1:5" ht="20.100000000000001" customHeight="1" x14ac:dyDescent="0.2">
      <c r="A40" s="51"/>
      <c r="B40" s="48"/>
      <c r="C40" s="85"/>
      <c r="D40" s="41"/>
      <c r="E40" s="41"/>
    </row>
    <row r="41" spans="1:5" ht="20.100000000000001" customHeight="1" thickBot="1" x14ac:dyDescent="0.25">
      <c r="A41" s="54"/>
      <c r="B41" s="55"/>
      <c r="C41" s="87"/>
      <c r="D41" s="56"/>
      <c r="E41" s="56"/>
    </row>
    <row r="42" spans="1:5" ht="20.100000000000001" customHeight="1" thickBot="1" x14ac:dyDescent="0.3">
      <c r="A42" s="57"/>
      <c r="B42" s="58" t="s">
        <v>2</v>
      </c>
      <c r="C42" s="129">
        <f>SUM(C14:C20)</f>
        <v>1178574.1499999999</v>
      </c>
      <c r="D42" s="130">
        <f>SUM(D14:D20)</f>
        <v>1152676.03</v>
      </c>
      <c r="E42" s="130">
        <f>SUM(E14:E20)</f>
        <v>1164774.76</v>
      </c>
    </row>
    <row r="43" spans="1:5" ht="20.100000000000001" customHeight="1" thickBot="1" x14ac:dyDescent="0.25">
      <c r="A43" s="46"/>
      <c r="B43" s="59" t="s">
        <v>3</v>
      </c>
      <c r="C43" s="60"/>
      <c r="D43" s="99">
        <v>-2.1999999999999999E-2</v>
      </c>
      <c r="E43" s="99">
        <v>-1.17E-2</v>
      </c>
    </row>
    <row r="44" spans="1:5" ht="20.100000000000001" customHeight="1" x14ac:dyDescent="0.2">
      <c r="A44" s="17"/>
      <c r="B44" s="18"/>
      <c r="C44" s="17"/>
      <c r="D44" s="17"/>
    </row>
    <row r="45" spans="1:5" ht="20.100000000000001" customHeight="1" x14ac:dyDescent="0.2">
      <c r="A45" s="29" t="s">
        <v>108</v>
      </c>
      <c r="B45" s="18"/>
      <c r="C45" s="17"/>
      <c r="D45" s="17"/>
    </row>
    <row r="46" spans="1:5" ht="20.100000000000001" customHeight="1" x14ac:dyDescent="0.2">
      <c r="A46" s="29" t="s">
        <v>107</v>
      </c>
      <c r="B46" s="18"/>
      <c r="C46" s="17"/>
      <c r="D46" s="17"/>
    </row>
    <row r="47" spans="1:5" ht="20.100000000000001" customHeight="1" x14ac:dyDescent="0.2">
      <c r="A47" s="29" t="s">
        <v>109</v>
      </c>
      <c r="B47" s="17"/>
      <c r="C47" s="17"/>
      <c r="D47" s="17"/>
    </row>
    <row r="48" spans="1:5" ht="20.100000000000001" customHeight="1" x14ac:dyDescent="0.2">
      <c r="A48" s="17"/>
      <c r="B48" s="18"/>
      <c r="C48" s="17"/>
      <c r="D48" s="17"/>
    </row>
    <row r="49" spans="1:5" ht="20.100000000000001" customHeight="1" x14ac:dyDescent="0.2">
      <c r="A49" s="17"/>
      <c r="B49" s="17"/>
      <c r="C49" s="17"/>
      <c r="D49" s="17"/>
    </row>
    <row r="50" spans="1:5" ht="20.100000000000001" customHeight="1" x14ac:dyDescent="0.2">
      <c r="A50" s="17"/>
      <c r="B50" s="17"/>
      <c r="C50" s="17"/>
      <c r="D50" s="17"/>
      <c r="E50" s="3"/>
    </row>
    <row r="51" spans="1:5" ht="20.100000000000001" customHeight="1" x14ac:dyDescent="0.25">
      <c r="A51" s="2"/>
      <c r="B51" s="61"/>
      <c r="C51" s="61"/>
      <c r="D51" s="213"/>
      <c r="E51" s="213"/>
    </row>
    <row r="52" spans="1:5" ht="20.100000000000001" customHeight="1" x14ac:dyDescent="0.25">
      <c r="A52" s="2"/>
      <c r="B52" s="61"/>
      <c r="C52" s="61"/>
      <c r="D52" s="17"/>
    </row>
    <row r="53" spans="1:5" ht="20.100000000000001" customHeight="1" x14ac:dyDescent="0.25">
      <c r="A53" s="226" t="s">
        <v>364</v>
      </c>
      <c r="B53" s="226"/>
      <c r="C53" s="226" t="s">
        <v>370</v>
      </c>
      <c r="D53" s="226"/>
      <c r="E53" s="226"/>
    </row>
    <row r="54" spans="1:5" ht="20.100000000000001" customHeight="1" x14ac:dyDescent="0.25">
      <c r="A54" s="227" t="s">
        <v>365</v>
      </c>
      <c r="B54" s="227"/>
      <c r="C54" s="228" t="s">
        <v>371</v>
      </c>
      <c r="D54" s="228"/>
      <c r="E54" s="228"/>
    </row>
    <row r="55" spans="1:5" ht="20.100000000000001" customHeight="1" x14ac:dyDescent="0.2">
      <c r="A55" s="126"/>
      <c r="B55" s="126"/>
      <c r="C55" s="18"/>
      <c r="D55" s="18"/>
      <c r="E55" s="18"/>
    </row>
    <row r="56" spans="1:5" ht="20.100000000000001" customHeight="1" x14ac:dyDescent="0.25">
      <c r="A56" s="220"/>
      <c r="B56" s="220"/>
      <c r="C56" s="17"/>
      <c r="D56" s="17"/>
    </row>
    <row r="57" spans="1:5" ht="20.100000000000001" customHeight="1" x14ac:dyDescent="0.25">
      <c r="A57" s="220"/>
      <c r="B57" s="220"/>
      <c r="C57" s="17"/>
      <c r="D57" s="17"/>
    </row>
  </sheetData>
  <mergeCells count="13">
    <mergeCell ref="A1:E1"/>
    <mergeCell ref="A2:E2"/>
    <mergeCell ref="A57:B57"/>
    <mergeCell ref="A3:E3"/>
    <mergeCell ref="A9:B9"/>
    <mergeCell ref="A10:E10"/>
    <mergeCell ref="D51:E51"/>
    <mergeCell ref="A5:E5"/>
    <mergeCell ref="C53:E53"/>
    <mergeCell ref="A53:B53"/>
    <mergeCell ref="A54:B54"/>
    <mergeCell ref="C54:E54"/>
    <mergeCell ref="A56:B56"/>
  </mergeCells>
  <printOptions horizontalCentered="1" verticalCentered="1"/>
  <pageMargins left="0.98425196850393704" right="0.70866141732283472" top="1.1811023622047245" bottom="0" header="0" footer="0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3"/>
  <sheetViews>
    <sheetView tabSelected="1" topLeftCell="A30" workbookViewId="0">
      <selection activeCell="A41" sqref="A41"/>
    </sheetView>
  </sheetViews>
  <sheetFormatPr baseColWidth="10" defaultRowHeight="20.100000000000001" customHeight="1" x14ac:dyDescent="0.2"/>
  <cols>
    <col min="1" max="1" width="18.7109375" style="20" customWidth="1"/>
    <col min="2" max="2" width="37.140625" style="20" customWidth="1"/>
    <col min="3" max="3" width="21.85546875" style="20" customWidth="1"/>
    <col min="4" max="4" width="21.28515625" style="20" customWidth="1"/>
    <col min="5" max="5" width="21.42578125" style="2" customWidth="1"/>
    <col min="6" max="16384" width="11.42578125" style="2"/>
  </cols>
  <sheetData>
    <row r="1" spans="1:8" ht="20.100000000000001" customHeight="1" x14ac:dyDescent="0.3">
      <c r="A1" s="214" t="s">
        <v>15</v>
      </c>
      <c r="B1" s="214"/>
      <c r="C1" s="214"/>
      <c r="D1" s="214"/>
      <c r="E1" s="214"/>
      <c r="F1" s="4"/>
      <c r="G1" s="4"/>
    </row>
    <row r="2" spans="1:8" ht="20.100000000000001" customHeight="1" x14ac:dyDescent="0.25">
      <c r="A2" s="225" t="s">
        <v>105</v>
      </c>
      <c r="B2" s="215"/>
      <c r="C2" s="215"/>
      <c r="D2" s="215"/>
      <c r="E2" s="215"/>
      <c r="F2" s="4"/>
      <c r="G2" s="4"/>
    </row>
    <row r="3" spans="1:8" ht="20.100000000000001" customHeight="1" x14ac:dyDescent="0.25">
      <c r="A3" s="22"/>
      <c r="B3" s="22"/>
      <c r="C3" s="22"/>
      <c r="D3" s="22"/>
      <c r="E3" s="4"/>
      <c r="F3" s="4"/>
      <c r="G3" s="4"/>
    </row>
    <row r="4" spans="1:8" ht="20.100000000000001" customHeight="1" x14ac:dyDescent="0.25">
      <c r="A4" s="88" t="s">
        <v>118</v>
      </c>
      <c r="B4" s="22"/>
      <c r="C4" s="22"/>
      <c r="D4" s="22"/>
      <c r="E4" s="22"/>
      <c r="F4" s="4"/>
      <c r="G4" s="4"/>
    </row>
    <row r="5" spans="1:8" ht="20.100000000000001" customHeight="1" x14ac:dyDescent="0.25">
      <c r="A5" s="88" t="s">
        <v>119</v>
      </c>
      <c r="B5" s="24"/>
      <c r="C5" s="25"/>
      <c r="D5" s="25"/>
      <c r="E5" s="13"/>
      <c r="F5" s="4"/>
      <c r="G5" s="4"/>
    </row>
    <row r="6" spans="1:8" ht="20.100000000000001" customHeight="1" x14ac:dyDescent="0.25">
      <c r="A6" s="91" t="s">
        <v>120</v>
      </c>
      <c r="B6" s="15"/>
      <c r="C6" s="15"/>
      <c r="D6" s="15"/>
      <c r="E6" s="15"/>
      <c r="F6" s="5"/>
      <c r="G6" s="5"/>
      <c r="H6" s="3"/>
    </row>
    <row r="7" spans="1:8" ht="20.100000000000001" customHeight="1" thickBot="1" x14ac:dyDescent="0.3">
      <c r="A7" s="23"/>
      <c r="B7" s="15"/>
      <c r="C7" s="15"/>
      <c r="D7" s="15"/>
      <c r="E7" s="15"/>
      <c r="F7" s="5"/>
      <c r="G7" s="5"/>
      <c r="H7" s="3"/>
    </row>
    <row r="8" spans="1:8" ht="81.75" customHeight="1" thickBot="1" x14ac:dyDescent="0.25">
      <c r="A8" s="74" t="s">
        <v>14</v>
      </c>
      <c r="B8" s="75" t="s">
        <v>12</v>
      </c>
      <c r="C8" s="76" t="s">
        <v>390</v>
      </c>
      <c r="D8" s="77" t="s">
        <v>391</v>
      </c>
      <c r="E8" s="77" t="s">
        <v>392</v>
      </c>
    </row>
    <row r="9" spans="1:8" ht="20.100000000000001" customHeight="1" thickBot="1" x14ac:dyDescent="0.3">
      <c r="A9" s="216" t="s">
        <v>111</v>
      </c>
      <c r="B9" s="217"/>
      <c r="C9" s="217"/>
      <c r="D9" s="217"/>
      <c r="E9" s="218"/>
    </row>
    <row r="10" spans="1:8" ht="20.100000000000001" customHeight="1" x14ac:dyDescent="0.3">
      <c r="A10" s="71"/>
      <c r="B10" s="128" t="s">
        <v>372</v>
      </c>
      <c r="C10" s="78"/>
      <c r="D10" s="79"/>
      <c r="E10" s="79"/>
    </row>
    <row r="11" spans="1:8" ht="20.100000000000001" customHeight="1" x14ac:dyDescent="0.2">
      <c r="A11" s="71">
        <v>5101</v>
      </c>
      <c r="B11" s="67" t="s">
        <v>4</v>
      </c>
      <c r="C11" s="133"/>
      <c r="D11" s="131"/>
      <c r="E11" s="79"/>
    </row>
    <row r="12" spans="1:8" ht="20.100000000000001" customHeight="1" x14ac:dyDescent="0.2">
      <c r="A12" s="70">
        <v>510106</v>
      </c>
      <c r="B12" s="68" t="s">
        <v>20</v>
      </c>
      <c r="C12" s="132">
        <v>652488</v>
      </c>
      <c r="D12" s="65">
        <v>696912</v>
      </c>
      <c r="E12" s="65">
        <v>696912</v>
      </c>
    </row>
    <row r="13" spans="1:8" ht="20.100000000000001" customHeight="1" x14ac:dyDescent="0.2">
      <c r="A13" s="71">
        <v>5102</v>
      </c>
      <c r="B13" s="67" t="s">
        <v>5</v>
      </c>
      <c r="C13" s="63"/>
      <c r="D13" s="44"/>
      <c r="E13" s="44"/>
      <c r="F13" s="3"/>
      <c r="G13" s="3"/>
    </row>
    <row r="14" spans="1:8" ht="20.100000000000001" customHeight="1" x14ac:dyDescent="0.2">
      <c r="A14" s="70">
        <v>510203</v>
      </c>
      <c r="B14" s="68" t="s">
        <v>21</v>
      </c>
      <c r="C14" s="93">
        <v>54374</v>
      </c>
      <c r="D14" s="92">
        <v>58076</v>
      </c>
      <c r="E14" s="92">
        <v>58076</v>
      </c>
    </row>
    <row r="15" spans="1:8" ht="20.100000000000001" customHeight="1" x14ac:dyDescent="0.2">
      <c r="A15" s="70">
        <v>510204</v>
      </c>
      <c r="B15" s="68" t="s">
        <v>22</v>
      </c>
      <c r="C15" s="62">
        <v>34338</v>
      </c>
      <c r="D15" s="65">
        <v>35868</v>
      </c>
      <c r="E15" s="65">
        <v>36750</v>
      </c>
    </row>
    <row r="16" spans="1:8" ht="20.100000000000001" customHeight="1" x14ac:dyDescent="0.2">
      <c r="A16" s="71">
        <v>5103</v>
      </c>
      <c r="B16" s="67" t="s">
        <v>23</v>
      </c>
      <c r="C16" s="62"/>
      <c r="D16" s="65"/>
      <c r="E16" s="65"/>
    </row>
    <row r="17" spans="1:5" ht="20.100000000000001" customHeight="1" x14ac:dyDescent="0.2">
      <c r="A17" s="70">
        <v>510304</v>
      </c>
      <c r="B17" s="68" t="s">
        <v>121</v>
      </c>
      <c r="C17" s="62">
        <v>11496</v>
      </c>
      <c r="D17" s="65">
        <v>12936</v>
      </c>
      <c r="E17" s="65">
        <v>12936</v>
      </c>
    </row>
    <row r="18" spans="1:5" ht="20.100000000000001" customHeight="1" x14ac:dyDescent="0.2">
      <c r="A18" s="70">
        <v>510306</v>
      </c>
      <c r="B18" s="68" t="s">
        <v>129</v>
      </c>
      <c r="C18" s="62">
        <v>80472</v>
      </c>
      <c r="D18" s="65">
        <v>103488</v>
      </c>
      <c r="E18" s="65">
        <v>103488</v>
      </c>
    </row>
    <row r="19" spans="1:5" ht="20.100000000000001" customHeight="1" x14ac:dyDescent="0.2">
      <c r="A19" s="70">
        <v>510307</v>
      </c>
      <c r="B19" s="68" t="s">
        <v>24</v>
      </c>
      <c r="C19" s="62">
        <v>2037</v>
      </c>
      <c r="D19" s="65">
        <v>0</v>
      </c>
      <c r="E19" s="65">
        <v>0</v>
      </c>
    </row>
    <row r="20" spans="1:5" ht="20.100000000000001" customHeight="1" x14ac:dyDescent="0.2">
      <c r="A20" s="71">
        <v>5104</v>
      </c>
      <c r="B20" s="67" t="s">
        <v>13</v>
      </c>
      <c r="C20" s="62"/>
      <c r="D20" s="65"/>
      <c r="E20" s="65"/>
    </row>
    <row r="21" spans="1:5" ht="20.100000000000001" customHeight="1" x14ac:dyDescent="0.2">
      <c r="A21" s="70">
        <v>510401</v>
      </c>
      <c r="B21" s="68" t="s">
        <v>112</v>
      </c>
      <c r="C21" s="62">
        <v>4290.4799999999996</v>
      </c>
      <c r="D21" s="65">
        <v>5780</v>
      </c>
      <c r="E21" s="65">
        <v>5780</v>
      </c>
    </row>
    <row r="22" spans="1:5" ht="20.100000000000001" customHeight="1" x14ac:dyDescent="0.2">
      <c r="A22" s="70">
        <v>510402</v>
      </c>
      <c r="B22" s="68" t="s">
        <v>123</v>
      </c>
      <c r="C22" s="62">
        <v>16562</v>
      </c>
      <c r="D22" s="65">
        <v>16562</v>
      </c>
      <c r="E22" s="65">
        <v>16562</v>
      </c>
    </row>
    <row r="23" spans="1:5" ht="20.100000000000001" customHeight="1" x14ac:dyDescent="0.2">
      <c r="A23" s="70">
        <v>510408</v>
      </c>
      <c r="B23" s="68" t="s">
        <v>128</v>
      </c>
      <c r="C23" s="62">
        <v>9905.64</v>
      </c>
      <c r="D23" s="65">
        <v>12580</v>
      </c>
      <c r="E23" s="65">
        <v>12580</v>
      </c>
    </row>
    <row r="24" spans="1:5" ht="20.100000000000001" customHeight="1" x14ac:dyDescent="0.2">
      <c r="A24" s="71">
        <v>5105</v>
      </c>
      <c r="B24" s="67" t="s">
        <v>6</v>
      </c>
      <c r="C24" s="63"/>
      <c r="D24" s="44"/>
      <c r="E24" s="44"/>
    </row>
    <row r="25" spans="1:5" ht="20.100000000000001" customHeight="1" x14ac:dyDescent="0.2">
      <c r="A25" s="72" t="s">
        <v>373</v>
      </c>
      <c r="B25" s="68" t="s">
        <v>7</v>
      </c>
      <c r="C25" s="63">
        <v>0</v>
      </c>
      <c r="D25" s="44">
        <v>0</v>
      </c>
      <c r="E25" s="44">
        <v>0</v>
      </c>
    </row>
    <row r="26" spans="1:5" ht="20.100000000000001" customHeight="1" x14ac:dyDescent="0.2">
      <c r="A26" s="71">
        <v>5106</v>
      </c>
      <c r="B26" s="67" t="s">
        <v>8</v>
      </c>
      <c r="C26" s="63"/>
      <c r="D26" s="44"/>
      <c r="E26" s="44"/>
    </row>
    <row r="27" spans="1:5" ht="20.100000000000001" customHeight="1" x14ac:dyDescent="0.2">
      <c r="A27" s="72" t="s">
        <v>374</v>
      </c>
      <c r="B27" s="68" t="s">
        <v>9</v>
      </c>
      <c r="C27" s="62">
        <v>61660.12</v>
      </c>
      <c r="D27" s="65">
        <v>65877.460000000006</v>
      </c>
      <c r="E27" s="65">
        <v>65877.460000000006</v>
      </c>
    </row>
    <row r="28" spans="1:5" ht="20.100000000000001" customHeight="1" x14ac:dyDescent="0.2">
      <c r="A28" s="72" t="s">
        <v>375</v>
      </c>
      <c r="B28" s="68" t="s">
        <v>10</v>
      </c>
      <c r="C28" s="62">
        <v>54352.25</v>
      </c>
      <c r="D28" s="65">
        <v>58069.77</v>
      </c>
      <c r="E28" s="65">
        <v>58069.77</v>
      </c>
    </row>
    <row r="29" spans="1:5" ht="20.100000000000001" customHeight="1" x14ac:dyDescent="0.2">
      <c r="A29" s="70">
        <v>510603</v>
      </c>
      <c r="B29" s="68" t="s">
        <v>376</v>
      </c>
      <c r="C29" s="62">
        <v>0</v>
      </c>
      <c r="D29" s="65">
        <v>0</v>
      </c>
      <c r="E29" s="65">
        <v>0</v>
      </c>
    </row>
    <row r="30" spans="1:5" ht="20.100000000000001" customHeight="1" x14ac:dyDescent="0.2">
      <c r="A30" s="70">
        <v>510604</v>
      </c>
      <c r="B30" s="68" t="s">
        <v>124</v>
      </c>
      <c r="C30" s="63">
        <v>4704</v>
      </c>
      <c r="D30" s="44">
        <v>4704</v>
      </c>
      <c r="E30" s="44">
        <v>4704</v>
      </c>
    </row>
    <row r="31" spans="1:5" ht="20.100000000000001" customHeight="1" x14ac:dyDescent="0.2">
      <c r="A31" s="71">
        <v>5107</v>
      </c>
      <c r="B31" s="67" t="s">
        <v>11</v>
      </c>
      <c r="C31" s="63"/>
      <c r="D31" s="44"/>
      <c r="E31" s="44"/>
    </row>
    <row r="32" spans="1:5" ht="20.100000000000001" customHeight="1" x14ac:dyDescent="0.2">
      <c r="A32" s="70">
        <v>510704</v>
      </c>
      <c r="B32" s="68" t="s">
        <v>122</v>
      </c>
      <c r="C32" s="63">
        <v>191894.66</v>
      </c>
      <c r="D32" s="44">
        <v>25072.26</v>
      </c>
      <c r="E32" s="44">
        <v>93039.53</v>
      </c>
    </row>
    <row r="33" spans="1:5" ht="20.100000000000001" customHeight="1" x14ac:dyDescent="0.2">
      <c r="A33" s="70">
        <v>510705</v>
      </c>
      <c r="B33" s="68" t="s">
        <v>113</v>
      </c>
      <c r="C33" s="63">
        <v>0</v>
      </c>
      <c r="D33" s="44">
        <v>56750.54</v>
      </c>
      <c r="E33" s="44">
        <v>0</v>
      </c>
    </row>
    <row r="34" spans="1:5" ht="20.100000000000001" customHeight="1" thickBot="1" x14ac:dyDescent="0.25">
      <c r="A34" s="70">
        <v>510707</v>
      </c>
      <c r="B34" s="68" t="s">
        <v>117</v>
      </c>
      <c r="C34" s="63">
        <v>0</v>
      </c>
      <c r="D34" s="44">
        <v>0</v>
      </c>
      <c r="E34" s="44">
        <v>0</v>
      </c>
    </row>
    <row r="35" spans="1:5" ht="20.100000000000001" customHeight="1" thickBot="1" x14ac:dyDescent="0.35">
      <c r="A35" s="73"/>
      <c r="B35" s="69" t="s">
        <v>2</v>
      </c>
      <c r="C35" s="173">
        <f>SUM(C12:C34)</f>
        <v>1178574.1499999999</v>
      </c>
      <c r="D35" s="174">
        <f>SUM(D12:D34)</f>
        <v>1152676.03</v>
      </c>
      <c r="E35" s="174">
        <f>SUM(E12:E34)</f>
        <v>1164774.76</v>
      </c>
    </row>
    <row r="36" spans="1:5" ht="20.100000000000001" customHeight="1" thickBot="1" x14ac:dyDescent="0.25">
      <c r="A36" s="66"/>
      <c r="B36" s="36" t="s">
        <v>3</v>
      </c>
      <c r="C36" s="64"/>
      <c r="D36" s="94">
        <v>-2.1999999999999999E-2</v>
      </c>
      <c r="E36" s="94">
        <v>-1.17E-2</v>
      </c>
    </row>
    <row r="37" spans="1:5" ht="20.100000000000001" customHeight="1" x14ac:dyDescent="0.2">
      <c r="A37" s="29" t="s">
        <v>108</v>
      </c>
      <c r="B37" s="18"/>
      <c r="C37" s="17"/>
      <c r="D37" s="17"/>
      <c r="E37" s="3"/>
    </row>
    <row r="38" spans="1:5" ht="20.100000000000001" customHeight="1" x14ac:dyDescent="0.2">
      <c r="A38" s="29" t="s">
        <v>107</v>
      </c>
      <c r="B38" s="17"/>
      <c r="C38" s="17"/>
      <c r="D38" s="19"/>
      <c r="E38" s="3"/>
    </row>
    <row r="39" spans="1:5" ht="20.100000000000001" customHeight="1" x14ac:dyDescent="0.2">
      <c r="A39" s="29" t="s">
        <v>109</v>
      </c>
      <c r="B39" s="17"/>
      <c r="C39" s="17"/>
      <c r="D39" s="19"/>
      <c r="E39" s="3"/>
    </row>
    <row r="40" spans="1:5" ht="20.100000000000001" customHeight="1" x14ac:dyDescent="0.2">
      <c r="A40" s="17"/>
      <c r="B40" s="17"/>
      <c r="C40" s="17"/>
      <c r="D40" s="19"/>
      <c r="E40" s="3"/>
    </row>
    <row r="41" spans="1:5" ht="20.100000000000001" customHeight="1" x14ac:dyDescent="0.2">
      <c r="A41" s="175" t="s">
        <v>393</v>
      </c>
      <c r="B41" s="175" t="s">
        <v>394</v>
      </c>
      <c r="C41" s="175"/>
      <c r="D41" s="176"/>
      <c r="E41" s="177"/>
    </row>
    <row r="42" spans="1:5" ht="20.100000000000001" customHeight="1" x14ac:dyDescent="0.2">
      <c r="A42" s="17"/>
      <c r="B42" s="175" t="s">
        <v>404</v>
      </c>
      <c r="C42" s="175"/>
      <c r="D42" s="176"/>
      <c r="E42" s="177"/>
    </row>
    <row r="43" spans="1:5" ht="20.100000000000001" customHeight="1" x14ac:dyDescent="0.2">
      <c r="A43" s="17"/>
      <c r="B43" s="17"/>
      <c r="C43" s="17"/>
      <c r="D43" s="19"/>
      <c r="E43" s="3"/>
    </row>
    <row r="44" spans="1:5" ht="20.100000000000001" customHeight="1" x14ac:dyDescent="0.2">
      <c r="A44" s="17"/>
      <c r="B44" s="17"/>
      <c r="C44" s="17"/>
      <c r="D44" s="19"/>
      <c r="E44" s="3"/>
    </row>
    <row r="45" spans="1:5" ht="20.100000000000001" customHeight="1" x14ac:dyDescent="0.2">
      <c r="A45" s="17"/>
      <c r="B45" s="17"/>
      <c r="C45" s="17"/>
      <c r="D45" s="19"/>
      <c r="E45" s="3"/>
    </row>
    <row r="46" spans="1:5" ht="20.100000000000001" customHeight="1" x14ac:dyDescent="0.2">
      <c r="A46" s="17"/>
      <c r="B46" s="17"/>
      <c r="C46" s="125"/>
      <c r="D46" s="125"/>
      <c r="E46" s="125"/>
    </row>
    <row r="47" spans="1:5" ht="20.100000000000001" customHeight="1" x14ac:dyDescent="0.25">
      <c r="A47" s="219" t="s">
        <v>364</v>
      </c>
      <c r="B47" s="219"/>
      <c r="C47" s="219" t="s">
        <v>370</v>
      </c>
      <c r="D47" s="219"/>
      <c r="E47" s="219"/>
    </row>
    <row r="48" spans="1:5" ht="20.100000000000001" customHeight="1" x14ac:dyDescent="0.25">
      <c r="A48" s="213" t="s">
        <v>365</v>
      </c>
      <c r="B48" s="213"/>
      <c r="C48" s="213" t="s">
        <v>371</v>
      </c>
      <c r="D48" s="213"/>
      <c r="E48" s="213"/>
    </row>
    <row r="49" spans="1:5" ht="20.100000000000001" customHeight="1" x14ac:dyDescent="0.25">
      <c r="A49" s="2"/>
      <c r="B49" s="12"/>
      <c r="C49" s="8"/>
      <c r="D49" s="12"/>
      <c r="E49" s="3"/>
    </row>
    <row r="132" ht="19.5" customHeight="1" x14ac:dyDescent="0.2"/>
    <row r="133" ht="23.25" customHeight="1" x14ac:dyDescent="0.2"/>
    <row r="143" ht="12.75" x14ac:dyDescent="0.2"/>
  </sheetData>
  <mergeCells count="7">
    <mergeCell ref="C48:E48"/>
    <mergeCell ref="A47:B47"/>
    <mergeCell ref="A48:B48"/>
    <mergeCell ref="A9:E9"/>
    <mergeCell ref="A1:E1"/>
    <mergeCell ref="A2:E2"/>
    <mergeCell ref="C47:E47"/>
  </mergeCells>
  <printOptions verticalCentered="1"/>
  <pageMargins left="1.4960629921259843" right="0.70866141732283472" top="0.74803149606299213" bottom="0.74803149606299213" header="0.31496062992125984" footer="0.31496062992125984"/>
  <pageSetup paperSize="9" scale="6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3"/>
  <sheetViews>
    <sheetView topLeftCell="A106" workbookViewId="0">
      <selection activeCell="B88" sqref="B88"/>
    </sheetView>
  </sheetViews>
  <sheetFormatPr baseColWidth="10" defaultRowHeight="20.100000000000001" customHeight="1" x14ac:dyDescent="0.2"/>
  <cols>
    <col min="1" max="1" width="13.85546875" style="20" customWidth="1"/>
    <col min="2" max="2" width="40.42578125" style="20" customWidth="1"/>
    <col min="3" max="3" width="12.5703125" style="20" customWidth="1"/>
    <col min="4" max="4" width="9.28515625" style="20" customWidth="1"/>
    <col min="5" max="5" width="36" style="20" bestFit="1" customWidth="1"/>
    <col min="6" max="6" width="15.7109375" style="20" customWidth="1"/>
    <col min="7" max="7" width="19.5703125" style="20" customWidth="1"/>
    <col min="8" max="8" width="20.5703125" style="2" customWidth="1"/>
    <col min="9" max="16384" width="11.42578125" style="2"/>
  </cols>
  <sheetData>
    <row r="1" spans="1:9" ht="19.5" customHeight="1" x14ac:dyDescent="0.2">
      <c r="A1" s="229" t="s">
        <v>15</v>
      </c>
      <c r="B1" s="229"/>
      <c r="C1" s="229"/>
      <c r="D1" s="229"/>
      <c r="E1" s="229"/>
      <c r="F1" s="229"/>
      <c r="G1" s="229"/>
      <c r="H1" s="229"/>
    </row>
    <row r="2" spans="1:9" ht="23.25" customHeight="1" x14ac:dyDescent="0.2">
      <c r="A2" s="230" t="s">
        <v>106</v>
      </c>
      <c r="B2" s="230"/>
      <c r="C2" s="230"/>
      <c r="D2" s="230"/>
      <c r="E2" s="230"/>
      <c r="F2" s="230"/>
      <c r="G2" s="230"/>
      <c r="H2" s="230"/>
    </row>
    <row r="3" spans="1:9" ht="15.95" customHeight="1" x14ac:dyDescent="0.25">
      <c r="A3" s="215" t="s">
        <v>16</v>
      </c>
      <c r="B3" s="215"/>
      <c r="C3" s="215"/>
      <c r="D3" s="215"/>
      <c r="E3" s="215"/>
      <c r="F3" s="215"/>
      <c r="G3" s="215"/>
      <c r="H3" s="215"/>
    </row>
    <row r="4" spans="1:9" ht="15.95" customHeight="1" x14ac:dyDescent="0.25">
      <c r="A4" s="22"/>
      <c r="B4" s="22"/>
      <c r="C4" s="22"/>
      <c r="D4" s="22"/>
      <c r="E4" s="22"/>
      <c r="F4" s="22"/>
      <c r="G4" s="22"/>
    </row>
    <row r="5" spans="1:9" ht="15.95" customHeight="1" x14ac:dyDescent="0.25">
      <c r="A5" s="225" t="s">
        <v>125</v>
      </c>
      <c r="B5" s="225"/>
      <c r="C5" s="225"/>
      <c r="D5" s="225"/>
      <c r="E5" s="225"/>
      <c r="F5" s="225"/>
      <c r="G5" s="225"/>
      <c r="H5" s="225"/>
    </row>
    <row r="6" spans="1:9" ht="15.95" customHeight="1" x14ac:dyDescent="0.25">
      <c r="A6" s="88" t="s">
        <v>119</v>
      </c>
      <c r="B6" s="24"/>
      <c r="C6" s="25"/>
      <c r="D6" s="25"/>
      <c r="E6" s="13"/>
      <c r="F6" s="13"/>
      <c r="G6" s="13"/>
    </row>
    <row r="7" spans="1:9" ht="15.95" customHeight="1" x14ac:dyDescent="0.25">
      <c r="A7" s="91" t="s">
        <v>120</v>
      </c>
      <c r="B7" s="15"/>
      <c r="C7" s="15"/>
      <c r="D7" s="15"/>
      <c r="E7" s="15"/>
      <c r="F7" s="15"/>
      <c r="G7" s="15"/>
    </row>
    <row r="8" spans="1:9" ht="15.95" customHeight="1" thickBot="1" x14ac:dyDescent="0.3">
      <c r="A8" s="23"/>
      <c r="B8" s="15"/>
      <c r="C8" s="15"/>
      <c r="D8" s="15"/>
      <c r="E8" s="15"/>
      <c r="F8" s="15"/>
      <c r="G8" s="15"/>
    </row>
    <row r="9" spans="1:9" s="1" customFormat="1" ht="90.75" thickBot="1" x14ac:dyDescent="0.25">
      <c r="A9" s="31" t="s">
        <v>17</v>
      </c>
      <c r="B9" s="32" t="s">
        <v>0</v>
      </c>
      <c r="C9" s="32" t="s">
        <v>18</v>
      </c>
      <c r="D9" s="32" t="s">
        <v>19</v>
      </c>
      <c r="E9" s="32" t="s">
        <v>26</v>
      </c>
      <c r="F9" s="32" t="s">
        <v>384</v>
      </c>
      <c r="G9" s="33" t="s">
        <v>385</v>
      </c>
      <c r="H9" s="33" t="s">
        <v>386</v>
      </c>
    </row>
    <row r="10" spans="1:9" ht="15.95" customHeight="1" x14ac:dyDescent="0.2">
      <c r="A10" s="100" t="s">
        <v>130</v>
      </c>
      <c r="B10" s="101" t="s">
        <v>131</v>
      </c>
      <c r="C10" s="102">
        <v>1</v>
      </c>
      <c r="D10" s="30">
        <v>1</v>
      </c>
      <c r="E10" s="103" t="s">
        <v>132</v>
      </c>
      <c r="F10" s="104">
        <v>531</v>
      </c>
      <c r="G10" s="105">
        <v>561</v>
      </c>
      <c r="H10" s="105">
        <v>561</v>
      </c>
      <c r="I10" s="6"/>
    </row>
    <row r="11" spans="1:9" ht="15.95" customHeight="1" x14ac:dyDescent="0.2">
      <c r="A11" s="100" t="s">
        <v>133</v>
      </c>
      <c r="B11" s="106" t="s">
        <v>134</v>
      </c>
      <c r="C11" s="107">
        <v>2</v>
      </c>
      <c r="D11" s="26">
        <v>5</v>
      </c>
      <c r="E11" s="106" t="s">
        <v>135</v>
      </c>
      <c r="F11" s="104">
        <v>708</v>
      </c>
      <c r="G11" s="108">
        <v>738</v>
      </c>
      <c r="H11" s="108">
        <v>738</v>
      </c>
      <c r="I11" s="6"/>
    </row>
    <row r="12" spans="1:9" ht="15.95" customHeight="1" x14ac:dyDescent="0.2">
      <c r="A12" s="100" t="s">
        <v>136</v>
      </c>
      <c r="B12" s="106" t="s">
        <v>137</v>
      </c>
      <c r="C12" s="102">
        <v>3</v>
      </c>
      <c r="D12" s="26">
        <v>4</v>
      </c>
      <c r="E12" s="109" t="s">
        <v>138</v>
      </c>
      <c r="F12" s="104">
        <v>584</v>
      </c>
      <c r="G12" s="108">
        <v>614</v>
      </c>
      <c r="H12" s="108">
        <v>614</v>
      </c>
      <c r="I12" s="6"/>
    </row>
    <row r="13" spans="1:9" ht="15.95" customHeight="1" x14ac:dyDescent="0.2">
      <c r="A13" s="100" t="s">
        <v>139</v>
      </c>
      <c r="B13" s="106" t="s">
        <v>140</v>
      </c>
      <c r="C13" s="107">
        <v>4</v>
      </c>
      <c r="D13" s="26">
        <v>1</v>
      </c>
      <c r="E13" s="109" t="s">
        <v>141</v>
      </c>
      <c r="F13" s="104">
        <v>531</v>
      </c>
      <c r="G13" s="108">
        <v>561</v>
      </c>
      <c r="H13" s="108">
        <v>561</v>
      </c>
      <c r="I13" s="6"/>
    </row>
    <row r="14" spans="1:9" ht="15.95" customHeight="1" x14ac:dyDescent="0.2">
      <c r="A14" s="100" t="s">
        <v>142</v>
      </c>
      <c r="B14" s="106" t="s">
        <v>143</v>
      </c>
      <c r="C14" s="102">
        <v>5</v>
      </c>
      <c r="D14" s="26">
        <v>1</v>
      </c>
      <c r="E14" s="106" t="s">
        <v>144</v>
      </c>
      <c r="F14" s="104">
        <v>531</v>
      </c>
      <c r="G14" s="108">
        <v>561</v>
      </c>
      <c r="H14" s="108">
        <v>561</v>
      </c>
      <c r="I14" s="6"/>
    </row>
    <row r="15" spans="1:9" ht="15.95" customHeight="1" x14ac:dyDescent="0.2">
      <c r="A15" s="100" t="s">
        <v>145</v>
      </c>
      <c r="B15" s="106" t="s">
        <v>146</v>
      </c>
      <c r="C15" s="107">
        <v>6</v>
      </c>
      <c r="D15" s="26">
        <v>2</v>
      </c>
      <c r="E15" s="109" t="s">
        <v>147</v>
      </c>
      <c r="F15" s="104">
        <v>548</v>
      </c>
      <c r="G15" s="108">
        <v>578</v>
      </c>
      <c r="H15" s="108">
        <v>578</v>
      </c>
      <c r="I15" s="6"/>
    </row>
    <row r="16" spans="1:9" ht="15.95" customHeight="1" x14ac:dyDescent="0.2">
      <c r="A16" s="100" t="s">
        <v>148</v>
      </c>
      <c r="B16" s="106" t="s">
        <v>149</v>
      </c>
      <c r="C16" s="102">
        <v>7</v>
      </c>
      <c r="D16" s="26">
        <v>5</v>
      </c>
      <c r="E16" s="106" t="s">
        <v>150</v>
      </c>
      <c r="F16" s="104">
        <v>708</v>
      </c>
      <c r="G16" s="108">
        <v>738</v>
      </c>
      <c r="H16" s="108">
        <v>738</v>
      </c>
      <c r="I16" s="6"/>
    </row>
    <row r="17" spans="1:9" ht="15.95" customHeight="1" x14ac:dyDescent="0.2">
      <c r="A17" s="100" t="s">
        <v>151</v>
      </c>
      <c r="B17" s="106" t="s">
        <v>152</v>
      </c>
      <c r="C17" s="107">
        <v>8</v>
      </c>
      <c r="D17" s="26">
        <v>1</v>
      </c>
      <c r="E17" s="106" t="s">
        <v>153</v>
      </c>
      <c r="F17" s="104">
        <v>531</v>
      </c>
      <c r="G17" s="108">
        <v>561</v>
      </c>
      <c r="H17" s="108">
        <v>561</v>
      </c>
      <c r="I17" s="6"/>
    </row>
    <row r="18" spans="1:9" ht="15.95" customHeight="1" x14ac:dyDescent="0.2">
      <c r="A18" s="100" t="s">
        <v>154</v>
      </c>
      <c r="B18" s="110" t="s">
        <v>155</v>
      </c>
      <c r="C18" s="102">
        <v>9</v>
      </c>
      <c r="D18" s="26">
        <v>1</v>
      </c>
      <c r="E18" s="109" t="s">
        <v>153</v>
      </c>
      <c r="F18" s="104">
        <v>531</v>
      </c>
      <c r="G18" s="108">
        <v>561</v>
      </c>
      <c r="H18" s="108">
        <v>561</v>
      </c>
      <c r="I18" s="6"/>
    </row>
    <row r="19" spans="1:9" ht="15.95" customHeight="1" x14ac:dyDescent="0.2">
      <c r="A19" s="100" t="s">
        <v>156</v>
      </c>
      <c r="B19" s="106" t="s">
        <v>157</v>
      </c>
      <c r="C19" s="107">
        <v>10</v>
      </c>
      <c r="D19" s="26">
        <v>1</v>
      </c>
      <c r="E19" s="109" t="s">
        <v>158</v>
      </c>
      <c r="F19" s="104">
        <v>531</v>
      </c>
      <c r="G19" s="108">
        <v>561</v>
      </c>
      <c r="H19" s="108">
        <v>561</v>
      </c>
      <c r="I19" s="6"/>
    </row>
    <row r="20" spans="1:9" ht="15.95" customHeight="1" x14ac:dyDescent="0.2">
      <c r="A20" s="100" t="s">
        <v>159</v>
      </c>
      <c r="B20" s="106" t="s">
        <v>160</v>
      </c>
      <c r="C20" s="102">
        <v>11</v>
      </c>
      <c r="D20" s="26">
        <v>1</v>
      </c>
      <c r="E20" s="109" t="s">
        <v>161</v>
      </c>
      <c r="F20" s="104">
        <v>531</v>
      </c>
      <c r="G20" s="108">
        <v>561</v>
      </c>
      <c r="H20" s="108">
        <v>561</v>
      </c>
      <c r="I20" s="6"/>
    </row>
    <row r="21" spans="1:9" ht="15.95" customHeight="1" x14ac:dyDescent="0.2">
      <c r="A21" s="100" t="s">
        <v>162</v>
      </c>
      <c r="B21" s="101" t="s">
        <v>163</v>
      </c>
      <c r="C21" s="107">
        <v>12</v>
      </c>
      <c r="D21" s="26">
        <v>1</v>
      </c>
      <c r="E21" s="103" t="s">
        <v>164</v>
      </c>
      <c r="F21" s="104">
        <v>531</v>
      </c>
      <c r="G21" s="108">
        <v>561</v>
      </c>
      <c r="H21" s="108">
        <v>561</v>
      </c>
      <c r="I21" s="6"/>
    </row>
    <row r="22" spans="1:9" ht="15.95" customHeight="1" x14ac:dyDescent="0.2">
      <c r="A22" s="100" t="s">
        <v>165</v>
      </c>
      <c r="B22" s="106" t="s">
        <v>367</v>
      </c>
      <c r="C22" s="102">
        <v>13</v>
      </c>
      <c r="D22" s="26">
        <v>3</v>
      </c>
      <c r="E22" s="109" t="s">
        <v>166</v>
      </c>
      <c r="F22" s="104">
        <v>566</v>
      </c>
      <c r="G22" s="108">
        <v>596</v>
      </c>
      <c r="H22" s="108">
        <v>596</v>
      </c>
      <c r="I22" s="6"/>
    </row>
    <row r="23" spans="1:9" ht="15.95" customHeight="1" x14ac:dyDescent="0.2">
      <c r="A23" s="111" t="s">
        <v>167</v>
      </c>
      <c r="B23" s="112" t="s">
        <v>168</v>
      </c>
      <c r="C23" s="107">
        <v>14</v>
      </c>
      <c r="D23" s="26">
        <v>1</v>
      </c>
      <c r="E23" s="112" t="s">
        <v>153</v>
      </c>
      <c r="F23" s="104">
        <v>531</v>
      </c>
      <c r="G23" s="108">
        <v>561</v>
      </c>
      <c r="H23" s="108">
        <v>561</v>
      </c>
      <c r="I23" s="6"/>
    </row>
    <row r="24" spans="1:9" ht="15.95" customHeight="1" x14ac:dyDescent="0.2">
      <c r="A24" s="100" t="s">
        <v>169</v>
      </c>
      <c r="B24" s="106" t="s">
        <v>170</v>
      </c>
      <c r="C24" s="102">
        <v>15</v>
      </c>
      <c r="D24" s="26">
        <v>3</v>
      </c>
      <c r="E24" s="109" t="s">
        <v>171</v>
      </c>
      <c r="F24" s="104">
        <v>566</v>
      </c>
      <c r="G24" s="108">
        <v>596</v>
      </c>
      <c r="H24" s="108">
        <v>596</v>
      </c>
      <c r="I24" s="6"/>
    </row>
    <row r="25" spans="1:9" ht="15.95" customHeight="1" x14ac:dyDescent="0.2">
      <c r="A25" s="100" t="s">
        <v>172</v>
      </c>
      <c r="B25" s="106" t="s">
        <v>173</v>
      </c>
      <c r="C25" s="107">
        <v>16</v>
      </c>
      <c r="D25" s="26">
        <v>1</v>
      </c>
      <c r="E25" s="106" t="s">
        <v>174</v>
      </c>
      <c r="F25" s="104">
        <v>531</v>
      </c>
      <c r="G25" s="108">
        <v>561</v>
      </c>
      <c r="H25" s="108">
        <v>561</v>
      </c>
      <c r="I25" s="6"/>
    </row>
    <row r="26" spans="1:9" ht="15.95" customHeight="1" x14ac:dyDescent="0.2">
      <c r="A26" s="100" t="s">
        <v>175</v>
      </c>
      <c r="B26" s="106" t="s">
        <v>176</v>
      </c>
      <c r="C26" s="102">
        <v>17</v>
      </c>
      <c r="D26" s="26">
        <v>1</v>
      </c>
      <c r="E26" s="109" t="s">
        <v>161</v>
      </c>
      <c r="F26" s="104">
        <v>531</v>
      </c>
      <c r="G26" s="108">
        <v>561</v>
      </c>
      <c r="H26" s="108">
        <v>561</v>
      </c>
      <c r="I26" s="6"/>
    </row>
    <row r="27" spans="1:9" ht="15.95" customHeight="1" x14ac:dyDescent="0.2">
      <c r="A27" s="100" t="s">
        <v>177</v>
      </c>
      <c r="B27" s="106" t="s">
        <v>178</v>
      </c>
      <c r="C27" s="107">
        <v>18</v>
      </c>
      <c r="D27" s="26">
        <v>6</v>
      </c>
      <c r="E27" s="106" t="s">
        <v>179</v>
      </c>
      <c r="F27" s="104">
        <v>743</v>
      </c>
      <c r="G27" s="108">
        <v>773</v>
      </c>
      <c r="H27" s="108">
        <v>773</v>
      </c>
      <c r="I27" s="6"/>
    </row>
    <row r="28" spans="1:9" ht="18" customHeight="1" x14ac:dyDescent="0.2">
      <c r="A28" s="100" t="s">
        <v>180</v>
      </c>
      <c r="B28" s="113" t="s">
        <v>181</v>
      </c>
      <c r="C28" s="102">
        <v>19</v>
      </c>
      <c r="D28" s="26">
        <v>4</v>
      </c>
      <c r="E28" s="113" t="s">
        <v>368</v>
      </c>
      <c r="F28" s="104">
        <v>622</v>
      </c>
      <c r="G28" s="108">
        <v>652</v>
      </c>
      <c r="H28" s="108">
        <v>652</v>
      </c>
      <c r="I28" s="6"/>
    </row>
    <row r="29" spans="1:9" ht="15.95" customHeight="1" x14ac:dyDescent="0.2">
      <c r="A29" s="100" t="s">
        <v>182</v>
      </c>
      <c r="B29" s="106" t="s">
        <v>183</v>
      </c>
      <c r="C29" s="107">
        <v>20</v>
      </c>
      <c r="D29" s="26">
        <v>1</v>
      </c>
      <c r="E29" s="109" t="s">
        <v>161</v>
      </c>
      <c r="F29" s="104">
        <v>531</v>
      </c>
      <c r="G29" s="108">
        <v>561</v>
      </c>
      <c r="H29" s="108">
        <v>561</v>
      </c>
      <c r="I29" s="6"/>
    </row>
    <row r="30" spans="1:9" ht="15.95" customHeight="1" x14ac:dyDescent="0.2">
      <c r="A30" s="100" t="s">
        <v>184</v>
      </c>
      <c r="B30" s="106" t="s">
        <v>185</v>
      </c>
      <c r="C30" s="102">
        <v>21</v>
      </c>
      <c r="D30" s="26">
        <v>1</v>
      </c>
      <c r="E30" s="106" t="s">
        <v>153</v>
      </c>
      <c r="F30" s="104">
        <v>531</v>
      </c>
      <c r="G30" s="108">
        <v>561</v>
      </c>
      <c r="H30" s="108">
        <v>561</v>
      </c>
      <c r="I30" s="6"/>
    </row>
    <row r="31" spans="1:9" ht="15.95" customHeight="1" x14ac:dyDescent="0.2">
      <c r="A31" s="100" t="s">
        <v>186</v>
      </c>
      <c r="B31" s="106" t="s">
        <v>187</v>
      </c>
      <c r="C31" s="107">
        <v>22</v>
      </c>
      <c r="D31" s="26">
        <v>5</v>
      </c>
      <c r="E31" s="106" t="s">
        <v>188</v>
      </c>
      <c r="F31" s="104">
        <v>0</v>
      </c>
      <c r="G31" s="108">
        <v>738</v>
      </c>
      <c r="H31" s="108">
        <v>738</v>
      </c>
      <c r="I31" s="6"/>
    </row>
    <row r="32" spans="1:9" ht="15.95" customHeight="1" x14ac:dyDescent="0.2">
      <c r="A32" s="100" t="s">
        <v>189</v>
      </c>
      <c r="B32" s="106" t="s">
        <v>190</v>
      </c>
      <c r="C32" s="102">
        <v>23</v>
      </c>
      <c r="D32" s="26">
        <v>3</v>
      </c>
      <c r="E32" s="109" t="s">
        <v>166</v>
      </c>
      <c r="F32" s="104">
        <v>566</v>
      </c>
      <c r="G32" s="108">
        <v>596</v>
      </c>
      <c r="H32" s="108">
        <v>596</v>
      </c>
      <c r="I32" s="6"/>
    </row>
    <row r="33" spans="1:9" ht="15.95" customHeight="1" x14ac:dyDescent="0.2">
      <c r="A33" s="100" t="s">
        <v>191</v>
      </c>
      <c r="B33" s="106" t="s">
        <v>192</v>
      </c>
      <c r="C33" s="107">
        <v>24</v>
      </c>
      <c r="D33" s="26">
        <v>1</v>
      </c>
      <c r="E33" s="109" t="s">
        <v>161</v>
      </c>
      <c r="F33" s="104">
        <v>531</v>
      </c>
      <c r="G33" s="108">
        <v>561</v>
      </c>
      <c r="H33" s="108">
        <v>561</v>
      </c>
      <c r="I33" s="6"/>
    </row>
    <row r="34" spans="1:9" ht="15.95" customHeight="1" x14ac:dyDescent="0.2">
      <c r="A34" s="100" t="s">
        <v>193</v>
      </c>
      <c r="B34" s="110" t="s">
        <v>194</v>
      </c>
      <c r="C34" s="102">
        <v>25</v>
      </c>
      <c r="D34" s="26">
        <v>1</v>
      </c>
      <c r="E34" s="106" t="s">
        <v>195</v>
      </c>
      <c r="F34" s="104">
        <v>531</v>
      </c>
      <c r="G34" s="108">
        <v>561</v>
      </c>
      <c r="H34" s="108">
        <v>561</v>
      </c>
      <c r="I34" s="6"/>
    </row>
    <row r="35" spans="1:9" ht="15.95" customHeight="1" x14ac:dyDescent="0.2">
      <c r="A35" s="100" t="s">
        <v>196</v>
      </c>
      <c r="B35" s="101" t="s">
        <v>197</v>
      </c>
      <c r="C35" s="107">
        <v>26</v>
      </c>
      <c r="D35" s="26">
        <v>1</v>
      </c>
      <c r="E35" s="103" t="s">
        <v>198</v>
      </c>
      <c r="F35" s="104">
        <v>531</v>
      </c>
      <c r="G35" s="108">
        <v>561</v>
      </c>
      <c r="H35" s="108">
        <v>561</v>
      </c>
      <c r="I35" s="6"/>
    </row>
    <row r="36" spans="1:9" ht="15.95" customHeight="1" x14ac:dyDescent="0.2">
      <c r="A36" s="100" t="s">
        <v>199</v>
      </c>
      <c r="B36" s="106" t="s">
        <v>200</v>
      </c>
      <c r="C36" s="102">
        <v>27</v>
      </c>
      <c r="D36" s="26">
        <v>1</v>
      </c>
      <c r="E36" s="106" t="s">
        <v>201</v>
      </c>
      <c r="F36" s="104">
        <v>531</v>
      </c>
      <c r="G36" s="108">
        <v>561</v>
      </c>
      <c r="H36" s="108">
        <v>561</v>
      </c>
      <c r="I36" s="6"/>
    </row>
    <row r="37" spans="1:9" ht="15.95" customHeight="1" x14ac:dyDescent="0.2">
      <c r="A37" s="100" t="s">
        <v>202</v>
      </c>
      <c r="B37" s="106" t="s">
        <v>203</v>
      </c>
      <c r="C37" s="107">
        <v>28</v>
      </c>
      <c r="D37" s="26">
        <v>1</v>
      </c>
      <c r="E37" s="106" t="s">
        <v>204</v>
      </c>
      <c r="F37" s="104">
        <v>531</v>
      </c>
      <c r="G37" s="108">
        <v>561</v>
      </c>
      <c r="H37" s="108">
        <v>561</v>
      </c>
      <c r="I37" s="6"/>
    </row>
    <row r="38" spans="1:9" ht="15.95" customHeight="1" x14ac:dyDescent="0.2">
      <c r="A38" s="114" t="s">
        <v>205</v>
      </c>
      <c r="B38" s="115" t="s">
        <v>206</v>
      </c>
      <c r="C38" s="102">
        <v>29</v>
      </c>
      <c r="D38" s="26">
        <v>1</v>
      </c>
      <c r="E38" s="103" t="s">
        <v>207</v>
      </c>
      <c r="F38" s="104">
        <v>531</v>
      </c>
      <c r="G38" s="108">
        <v>561</v>
      </c>
      <c r="H38" s="108">
        <v>561</v>
      </c>
      <c r="I38" s="6"/>
    </row>
    <row r="39" spans="1:9" ht="15.95" customHeight="1" x14ac:dyDescent="0.2">
      <c r="A39" s="100" t="s">
        <v>208</v>
      </c>
      <c r="B39" s="116" t="s">
        <v>209</v>
      </c>
      <c r="C39" s="107">
        <v>30</v>
      </c>
      <c r="D39" s="26">
        <v>3</v>
      </c>
      <c r="E39" s="109" t="s">
        <v>171</v>
      </c>
      <c r="F39" s="104">
        <v>566</v>
      </c>
      <c r="G39" s="108">
        <v>596</v>
      </c>
      <c r="H39" s="108">
        <v>596</v>
      </c>
      <c r="I39" s="6"/>
    </row>
    <row r="40" spans="1:9" ht="15.95" customHeight="1" x14ac:dyDescent="0.2">
      <c r="A40" s="100" t="s">
        <v>210</v>
      </c>
      <c r="B40" s="106" t="s">
        <v>211</v>
      </c>
      <c r="C40" s="102">
        <v>31</v>
      </c>
      <c r="D40" s="26">
        <v>3</v>
      </c>
      <c r="E40" s="109" t="s">
        <v>212</v>
      </c>
      <c r="F40" s="104">
        <v>566</v>
      </c>
      <c r="G40" s="108">
        <v>596</v>
      </c>
      <c r="H40" s="108">
        <v>596</v>
      </c>
      <c r="I40" s="6"/>
    </row>
    <row r="41" spans="1:9" ht="15.95" customHeight="1" x14ac:dyDescent="0.2">
      <c r="A41" s="100" t="s">
        <v>213</v>
      </c>
      <c r="B41" s="101" t="s">
        <v>214</v>
      </c>
      <c r="C41" s="107">
        <v>32</v>
      </c>
      <c r="D41" s="26">
        <v>1</v>
      </c>
      <c r="E41" s="103" t="s">
        <v>215</v>
      </c>
      <c r="F41" s="104">
        <v>531</v>
      </c>
      <c r="G41" s="108">
        <v>561</v>
      </c>
      <c r="H41" s="108">
        <v>561</v>
      </c>
      <c r="I41" s="6"/>
    </row>
    <row r="42" spans="1:9" ht="15.95" customHeight="1" x14ac:dyDescent="0.2">
      <c r="A42" s="100" t="s">
        <v>216</v>
      </c>
      <c r="B42" s="106" t="s">
        <v>217</v>
      </c>
      <c r="C42" s="102">
        <v>33</v>
      </c>
      <c r="D42" s="26">
        <v>1</v>
      </c>
      <c r="E42" s="109" t="s">
        <v>161</v>
      </c>
      <c r="F42" s="104">
        <v>531</v>
      </c>
      <c r="G42" s="108">
        <v>561</v>
      </c>
      <c r="H42" s="108">
        <v>561</v>
      </c>
      <c r="I42" s="28"/>
    </row>
    <row r="43" spans="1:9" ht="15.95" customHeight="1" x14ac:dyDescent="0.2">
      <c r="A43" s="100" t="s">
        <v>218</v>
      </c>
      <c r="B43" s="106" t="s">
        <v>219</v>
      </c>
      <c r="C43" s="107">
        <v>34</v>
      </c>
      <c r="D43" s="26">
        <v>3</v>
      </c>
      <c r="E43" s="109" t="s">
        <v>171</v>
      </c>
      <c r="F43" s="104">
        <v>566</v>
      </c>
      <c r="G43" s="108">
        <v>596</v>
      </c>
      <c r="H43" s="108">
        <v>596</v>
      </c>
      <c r="I43" s="28"/>
    </row>
    <row r="44" spans="1:9" ht="15.95" customHeight="1" x14ac:dyDescent="0.2">
      <c r="A44" s="100" t="s">
        <v>220</v>
      </c>
      <c r="B44" s="106" t="s">
        <v>221</v>
      </c>
      <c r="C44" s="102">
        <v>35</v>
      </c>
      <c r="D44" s="26">
        <v>4</v>
      </c>
      <c r="E44" s="109" t="s">
        <v>222</v>
      </c>
      <c r="F44" s="104">
        <v>566</v>
      </c>
      <c r="G44" s="108">
        <v>614</v>
      </c>
      <c r="H44" s="108">
        <v>614</v>
      </c>
    </row>
    <row r="45" spans="1:9" ht="15.95" customHeight="1" x14ac:dyDescent="0.2">
      <c r="A45" s="100" t="s">
        <v>223</v>
      </c>
      <c r="B45" s="110" t="s">
        <v>224</v>
      </c>
      <c r="C45" s="107">
        <v>36</v>
      </c>
      <c r="D45" s="26">
        <v>1</v>
      </c>
      <c r="E45" s="109" t="s">
        <v>161</v>
      </c>
      <c r="F45" s="104">
        <v>531</v>
      </c>
      <c r="G45" s="108">
        <v>561</v>
      </c>
      <c r="H45" s="108">
        <v>561</v>
      </c>
    </row>
    <row r="46" spans="1:9" ht="15.95" customHeight="1" x14ac:dyDescent="0.2">
      <c r="A46" s="100" t="s">
        <v>225</v>
      </c>
      <c r="B46" s="101" t="s">
        <v>226</v>
      </c>
      <c r="C46" s="102">
        <v>37</v>
      </c>
      <c r="D46" s="26">
        <v>1</v>
      </c>
      <c r="E46" s="103" t="s">
        <v>215</v>
      </c>
      <c r="F46" s="104">
        <v>531</v>
      </c>
      <c r="G46" s="108">
        <v>561</v>
      </c>
      <c r="H46" s="108">
        <v>561</v>
      </c>
    </row>
    <row r="47" spans="1:9" ht="31.5" customHeight="1" x14ac:dyDescent="0.2">
      <c r="A47" s="100" t="s">
        <v>227</v>
      </c>
      <c r="B47" s="110" t="s">
        <v>228</v>
      </c>
      <c r="C47" s="107">
        <v>38</v>
      </c>
      <c r="D47" s="26">
        <v>9</v>
      </c>
      <c r="E47" s="109" t="s">
        <v>229</v>
      </c>
      <c r="F47" s="104">
        <v>876</v>
      </c>
      <c r="G47" s="108">
        <v>906</v>
      </c>
      <c r="H47" s="108">
        <v>906</v>
      </c>
    </row>
    <row r="48" spans="1:9" ht="15.95" customHeight="1" x14ac:dyDescent="0.2">
      <c r="A48" s="100" t="s">
        <v>230</v>
      </c>
      <c r="B48" s="106" t="s">
        <v>231</v>
      </c>
      <c r="C48" s="102">
        <v>39</v>
      </c>
      <c r="D48" s="26">
        <v>1</v>
      </c>
      <c r="E48" s="106" t="s">
        <v>232</v>
      </c>
      <c r="F48" s="104">
        <v>531</v>
      </c>
      <c r="G48" s="108">
        <v>561</v>
      </c>
      <c r="H48" s="108">
        <v>561</v>
      </c>
    </row>
    <row r="49" spans="1:9" ht="15.95" customHeight="1" x14ac:dyDescent="0.2">
      <c r="A49" s="100" t="s">
        <v>233</v>
      </c>
      <c r="B49" s="115" t="s">
        <v>377</v>
      </c>
      <c r="C49" s="107">
        <v>40</v>
      </c>
      <c r="D49" s="26">
        <v>1</v>
      </c>
      <c r="E49" s="103" t="s">
        <v>198</v>
      </c>
      <c r="F49" s="104">
        <v>531</v>
      </c>
      <c r="G49" s="108">
        <v>561</v>
      </c>
      <c r="H49" s="108">
        <v>561</v>
      </c>
    </row>
    <row r="50" spans="1:9" ht="15.95" customHeight="1" x14ac:dyDescent="0.2">
      <c r="A50" s="100" t="s">
        <v>234</v>
      </c>
      <c r="B50" s="110" t="s">
        <v>235</v>
      </c>
      <c r="C50" s="102">
        <v>41</v>
      </c>
      <c r="D50" s="26">
        <v>1</v>
      </c>
      <c r="E50" s="106" t="s">
        <v>207</v>
      </c>
      <c r="F50" s="104">
        <v>531</v>
      </c>
      <c r="G50" s="108">
        <v>561</v>
      </c>
      <c r="H50" s="108">
        <v>561</v>
      </c>
    </row>
    <row r="51" spans="1:9" ht="15.95" customHeight="1" x14ac:dyDescent="0.2">
      <c r="A51" s="100" t="s">
        <v>236</v>
      </c>
      <c r="B51" s="110" t="s">
        <v>237</v>
      </c>
      <c r="C51" s="107">
        <v>42</v>
      </c>
      <c r="D51" s="26">
        <v>1</v>
      </c>
      <c r="E51" s="106" t="s">
        <v>207</v>
      </c>
      <c r="F51" s="104">
        <v>531</v>
      </c>
      <c r="G51" s="108">
        <v>561</v>
      </c>
      <c r="H51" s="108">
        <v>561</v>
      </c>
    </row>
    <row r="52" spans="1:9" ht="15.95" customHeight="1" x14ac:dyDescent="0.2">
      <c r="A52" s="100" t="s">
        <v>238</v>
      </c>
      <c r="B52" s="106" t="s">
        <v>239</v>
      </c>
      <c r="C52" s="102">
        <v>43</v>
      </c>
      <c r="D52" s="26">
        <v>1</v>
      </c>
      <c r="E52" s="109" t="s">
        <v>153</v>
      </c>
      <c r="F52" s="104">
        <v>531</v>
      </c>
      <c r="G52" s="108">
        <v>561</v>
      </c>
      <c r="H52" s="108">
        <v>561</v>
      </c>
    </row>
    <row r="53" spans="1:9" ht="17.25" customHeight="1" x14ac:dyDescent="0.2">
      <c r="A53" s="100" t="s">
        <v>240</v>
      </c>
      <c r="B53" s="110" t="s">
        <v>241</v>
      </c>
      <c r="C53" s="107">
        <v>44</v>
      </c>
      <c r="D53" s="26">
        <v>1</v>
      </c>
      <c r="E53" s="109" t="s">
        <v>242</v>
      </c>
      <c r="F53" s="104">
        <v>531</v>
      </c>
      <c r="G53" s="108">
        <v>561</v>
      </c>
      <c r="H53" s="108">
        <v>561</v>
      </c>
    </row>
    <row r="54" spans="1:9" s="20" customFormat="1" ht="20.100000000000001" customHeight="1" x14ac:dyDescent="0.2">
      <c r="A54" s="100" t="s">
        <v>243</v>
      </c>
      <c r="B54" s="110" t="s">
        <v>244</v>
      </c>
      <c r="C54" s="102">
        <v>45</v>
      </c>
      <c r="D54" s="26">
        <v>1</v>
      </c>
      <c r="E54" s="106" t="s">
        <v>245</v>
      </c>
      <c r="F54" s="104">
        <v>531</v>
      </c>
      <c r="G54" s="108">
        <v>561</v>
      </c>
      <c r="H54" s="108">
        <v>561</v>
      </c>
      <c r="I54" s="2"/>
    </row>
    <row r="55" spans="1:9" s="20" customFormat="1" ht="20.100000000000001" customHeight="1" x14ac:dyDescent="0.2">
      <c r="A55" s="100" t="s">
        <v>246</v>
      </c>
      <c r="B55" s="106" t="s">
        <v>247</v>
      </c>
      <c r="C55" s="107">
        <v>46</v>
      </c>
      <c r="D55" s="26">
        <v>1</v>
      </c>
      <c r="E55" s="109" t="s">
        <v>387</v>
      </c>
      <c r="F55" s="104">
        <v>531</v>
      </c>
      <c r="G55" s="108">
        <v>561</v>
      </c>
      <c r="H55" s="108">
        <v>561</v>
      </c>
      <c r="I55" s="2"/>
    </row>
    <row r="56" spans="1:9" ht="20.100000000000001" customHeight="1" x14ac:dyDescent="0.2">
      <c r="A56" s="100" t="s">
        <v>248</v>
      </c>
      <c r="B56" s="106" t="s">
        <v>249</v>
      </c>
      <c r="C56" s="102">
        <v>47</v>
      </c>
      <c r="D56" s="26">
        <v>2</v>
      </c>
      <c r="E56" s="106" t="s">
        <v>250</v>
      </c>
      <c r="F56" s="104">
        <v>548</v>
      </c>
      <c r="G56" s="108">
        <v>578</v>
      </c>
      <c r="H56" s="108">
        <v>578</v>
      </c>
    </row>
    <row r="57" spans="1:9" ht="20.100000000000001" customHeight="1" x14ac:dyDescent="0.2">
      <c r="A57" s="100" t="s">
        <v>251</v>
      </c>
      <c r="B57" s="106" t="s">
        <v>252</v>
      </c>
      <c r="C57" s="107">
        <v>48</v>
      </c>
      <c r="D57" s="26">
        <v>1</v>
      </c>
      <c r="E57" s="109" t="s">
        <v>253</v>
      </c>
      <c r="F57" s="104">
        <v>531</v>
      </c>
      <c r="G57" s="108">
        <v>561</v>
      </c>
      <c r="H57" s="108">
        <v>561</v>
      </c>
    </row>
    <row r="58" spans="1:9" ht="20.100000000000001" customHeight="1" x14ac:dyDescent="0.2">
      <c r="A58" s="100" t="s">
        <v>254</v>
      </c>
      <c r="B58" s="110" t="s">
        <v>255</v>
      </c>
      <c r="C58" s="102">
        <v>49</v>
      </c>
      <c r="D58" s="26">
        <v>1</v>
      </c>
      <c r="E58" s="109" t="s">
        <v>256</v>
      </c>
      <c r="F58" s="104">
        <v>531</v>
      </c>
      <c r="G58" s="108">
        <v>561</v>
      </c>
      <c r="H58" s="108">
        <v>561</v>
      </c>
    </row>
    <row r="59" spans="1:9" ht="20.100000000000001" customHeight="1" x14ac:dyDescent="0.2">
      <c r="A59" s="100" t="s">
        <v>257</v>
      </c>
      <c r="B59" s="106" t="s">
        <v>258</v>
      </c>
      <c r="C59" s="107">
        <v>50</v>
      </c>
      <c r="D59" s="26">
        <v>6</v>
      </c>
      <c r="E59" s="109" t="s">
        <v>259</v>
      </c>
      <c r="F59" s="104">
        <v>743</v>
      </c>
      <c r="G59" s="108">
        <v>773</v>
      </c>
      <c r="H59" s="108">
        <v>773</v>
      </c>
    </row>
    <row r="60" spans="1:9" ht="20.100000000000001" customHeight="1" x14ac:dyDescent="0.2">
      <c r="A60" s="100" t="s">
        <v>260</v>
      </c>
      <c r="B60" s="115" t="s">
        <v>261</v>
      </c>
      <c r="C60" s="102">
        <v>51</v>
      </c>
      <c r="D60" s="26">
        <v>1</v>
      </c>
      <c r="E60" s="115" t="s">
        <v>245</v>
      </c>
      <c r="F60" s="104">
        <v>531</v>
      </c>
      <c r="G60" s="108">
        <v>561</v>
      </c>
      <c r="H60" s="108">
        <v>561</v>
      </c>
    </row>
    <row r="61" spans="1:9" ht="20.100000000000001" customHeight="1" x14ac:dyDescent="0.2">
      <c r="A61" s="100" t="s">
        <v>262</v>
      </c>
      <c r="B61" s="101" t="s">
        <v>263</v>
      </c>
      <c r="C61" s="107">
        <v>52</v>
      </c>
      <c r="D61" s="26">
        <v>2</v>
      </c>
      <c r="E61" s="101" t="s">
        <v>264</v>
      </c>
      <c r="F61" s="104">
        <v>548</v>
      </c>
      <c r="G61" s="108">
        <v>578</v>
      </c>
      <c r="H61" s="108">
        <v>578</v>
      </c>
    </row>
    <row r="62" spans="1:9" ht="20.100000000000001" customHeight="1" x14ac:dyDescent="0.2">
      <c r="A62" s="100" t="s">
        <v>265</v>
      </c>
      <c r="B62" s="106" t="s">
        <v>266</v>
      </c>
      <c r="C62" s="102">
        <v>53</v>
      </c>
      <c r="D62" s="26">
        <v>1</v>
      </c>
      <c r="E62" s="106" t="s">
        <v>253</v>
      </c>
      <c r="F62" s="104">
        <v>531</v>
      </c>
      <c r="G62" s="108">
        <v>561</v>
      </c>
      <c r="H62" s="108">
        <v>561</v>
      </c>
    </row>
    <row r="63" spans="1:9" ht="20.100000000000001" customHeight="1" x14ac:dyDescent="0.2">
      <c r="A63" s="100" t="s">
        <v>267</v>
      </c>
      <c r="B63" s="106" t="s">
        <v>268</v>
      </c>
      <c r="C63" s="107">
        <v>54</v>
      </c>
      <c r="D63" s="26">
        <v>1</v>
      </c>
      <c r="E63" s="109" t="s">
        <v>161</v>
      </c>
      <c r="F63" s="104">
        <v>531</v>
      </c>
      <c r="G63" s="108">
        <v>561</v>
      </c>
      <c r="H63" s="108">
        <v>561</v>
      </c>
    </row>
    <row r="64" spans="1:9" ht="20.100000000000001" customHeight="1" x14ac:dyDescent="0.2">
      <c r="A64" s="100" t="s">
        <v>269</v>
      </c>
      <c r="B64" s="106" t="s">
        <v>270</v>
      </c>
      <c r="C64" s="102">
        <v>55</v>
      </c>
      <c r="D64" s="26">
        <v>2</v>
      </c>
      <c r="E64" s="106" t="s">
        <v>264</v>
      </c>
      <c r="F64" s="104">
        <v>548</v>
      </c>
      <c r="G64" s="108">
        <v>578</v>
      </c>
      <c r="H64" s="108">
        <v>578</v>
      </c>
    </row>
    <row r="65" spans="1:8" ht="20.100000000000001" customHeight="1" x14ac:dyDescent="0.2">
      <c r="A65" s="100" t="s">
        <v>271</v>
      </c>
      <c r="B65" s="106" t="s">
        <v>272</v>
      </c>
      <c r="C65" s="107">
        <v>56</v>
      </c>
      <c r="D65" s="26">
        <v>1</v>
      </c>
      <c r="E65" s="106" t="s">
        <v>153</v>
      </c>
      <c r="F65" s="104">
        <v>531</v>
      </c>
      <c r="G65" s="108">
        <v>561</v>
      </c>
      <c r="H65" s="108">
        <v>561</v>
      </c>
    </row>
    <row r="66" spans="1:8" ht="20.100000000000001" customHeight="1" x14ac:dyDescent="0.2">
      <c r="A66" s="100" t="s">
        <v>273</v>
      </c>
      <c r="B66" s="106" t="s">
        <v>274</v>
      </c>
      <c r="C66" s="102">
        <v>57</v>
      </c>
      <c r="D66" s="26">
        <v>1</v>
      </c>
      <c r="E66" s="106" t="s">
        <v>153</v>
      </c>
      <c r="F66" s="104">
        <v>531</v>
      </c>
      <c r="G66" s="108">
        <v>561</v>
      </c>
      <c r="H66" s="108">
        <v>561</v>
      </c>
    </row>
    <row r="67" spans="1:8" ht="20.100000000000001" customHeight="1" x14ac:dyDescent="0.2">
      <c r="A67" s="100" t="s">
        <v>275</v>
      </c>
      <c r="B67" s="106" t="s">
        <v>276</v>
      </c>
      <c r="C67" s="107">
        <v>58</v>
      </c>
      <c r="D67" s="26">
        <v>4</v>
      </c>
      <c r="E67" s="109" t="s">
        <v>277</v>
      </c>
      <c r="F67" s="104">
        <v>584</v>
      </c>
      <c r="G67" s="108">
        <v>614</v>
      </c>
      <c r="H67" s="108">
        <v>614</v>
      </c>
    </row>
    <row r="68" spans="1:8" ht="20.100000000000001" customHeight="1" x14ac:dyDescent="0.2">
      <c r="A68" s="100" t="s">
        <v>278</v>
      </c>
      <c r="B68" s="106" t="s">
        <v>279</v>
      </c>
      <c r="C68" s="102">
        <v>59</v>
      </c>
      <c r="D68" s="26">
        <v>3</v>
      </c>
      <c r="E68" s="109" t="s">
        <v>212</v>
      </c>
      <c r="F68" s="104">
        <v>566</v>
      </c>
      <c r="G68" s="108">
        <v>596</v>
      </c>
      <c r="H68" s="108">
        <v>596</v>
      </c>
    </row>
    <row r="69" spans="1:8" ht="20.100000000000001" customHeight="1" x14ac:dyDescent="0.2">
      <c r="A69" s="100" t="s">
        <v>280</v>
      </c>
      <c r="B69" s="110" t="s">
        <v>281</v>
      </c>
      <c r="C69" s="107">
        <v>60</v>
      </c>
      <c r="D69" s="26">
        <v>1</v>
      </c>
      <c r="E69" s="109" t="s">
        <v>161</v>
      </c>
      <c r="F69" s="104">
        <v>531</v>
      </c>
      <c r="G69" s="108">
        <v>561</v>
      </c>
      <c r="H69" s="108">
        <v>561</v>
      </c>
    </row>
    <row r="70" spans="1:8" ht="20.100000000000001" customHeight="1" x14ac:dyDescent="0.2">
      <c r="A70" s="100" t="s">
        <v>282</v>
      </c>
      <c r="B70" s="106" t="s">
        <v>283</v>
      </c>
      <c r="C70" s="102">
        <v>61</v>
      </c>
      <c r="D70" s="26">
        <v>1</v>
      </c>
      <c r="E70" s="109" t="s">
        <v>253</v>
      </c>
      <c r="F70" s="104">
        <v>531</v>
      </c>
      <c r="G70" s="108">
        <v>561</v>
      </c>
      <c r="H70" s="108">
        <v>561</v>
      </c>
    </row>
    <row r="71" spans="1:8" ht="20.100000000000001" customHeight="1" x14ac:dyDescent="0.2">
      <c r="A71" s="100" t="s">
        <v>284</v>
      </c>
      <c r="B71" s="106" t="s">
        <v>285</v>
      </c>
      <c r="C71" s="107">
        <v>62</v>
      </c>
      <c r="D71" s="26">
        <v>1</v>
      </c>
      <c r="E71" s="109" t="s">
        <v>253</v>
      </c>
      <c r="F71" s="104">
        <v>531</v>
      </c>
      <c r="G71" s="108">
        <v>561</v>
      </c>
      <c r="H71" s="108">
        <v>561</v>
      </c>
    </row>
    <row r="72" spans="1:8" ht="20.100000000000001" customHeight="1" x14ac:dyDescent="0.2">
      <c r="A72" s="100" t="s">
        <v>286</v>
      </c>
      <c r="B72" s="106" t="s">
        <v>287</v>
      </c>
      <c r="C72" s="102">
        <v>63</v>
      </c>
      <c r="D72" s="26">
        <v>1</v>
      </c>
      <c r="E72" s="106" t="s">
        <v>204</v>
      </c>
      <c r="F72" s="104">
        <v>531</v>
      </c>
      <c r="G72" s="108">
        <v>561</v>
      </c>
      <c r="H72" s="108">
        <v>561</v>
      </c>
    </row>
    <row r="73" spans="1:8" ht="20.100000000000001" customHeight="1" x14ac:dyDescent="0.2">
      <c r="A73" s="100" t="s">
        <v>288</v>
      </c>
      <c r="B73" s="110" t="s">
        <v>289</v>
      </c>
      <c r="C73" s="107">
        <v>64</v>
      </c>
      <c r="D73" s="26">
        <v>1</v>
      </c>
      <c r="E73" s="109" t="s">
        <v>161</v>
      </c>
      <c r="F73" s="104">
        <v>531</v>
      </c>
      <c r="G73" s="108">
        <v>561</v>
      </c>
      <c r="H73" s="108">
        <v>561</v>
      </c>
    </row>
    <row r="74" spans="1:8" ht="20.100000000000001" customHeight="1" x14ac:dyDescent="0.2">
      <c r="A74" s="100" t="s">
        <v>290</v>
      </c>
      <c r="B74" s="106" t="s">
        <v>291</v>
      </c>
      <c r="C74" s="102">
        <v>65</v>
      </c>
      <c r="D74" s="26">
        <v>4</v>
      </c>
      <c r="E74" s="109" t="s">
        <v>277</v>
      </c>
      <c r="F74" s="104">
        <v>566</v>
      </c>
      <c r="G74" s="108">
        <v>614</v>
      </c>
      <c r="H74" s="108">
        <v>614</v>
      </c>
    </row>
    <row r="75" spans="1:8" ht="20.100000000000001" customHeight="1" x14ac:dyDescent="0.2">
      <c r="A75" s="100" t="s">
        <v>292</v>
      </c>
      <c r="B75" s="106" t="s">
        <v>293</v>
      </c>
      <c r="C75" s="107">
        <v>66</v>
      </c>
      <c r="D75" s="26">
        <v>1</v>
      </c>
      <c r="E75" s="106" t="s">
        <v>153</v>
      </c>
      <c r="F75" s="104">
        <v>531</v>
      </c>
      <c r="G75" s="108">
        <v>561</v>
      </c>
      <c r="H75" s="108">
        <v>561</v>
      </c>
    </row>
    <row r="76" spans="1:8" ht="20.100000000000001" customHeight="1" x14ac:dyDescent="0.2">
      <c r="A76" s="100" t="s">
        <v>294</v>
      </c>
      <c r="B76" s="106" t="s">
        <v>295</v>
      </c>
      <c r="C76" s="102">
        <v>67</v>
      </c>
      <c r="D76" s="26">
        <v>1</v>
      </c>
      <c r="E76" s="109" t="s">
        <v>253</v>
      </c>
      <c r="F76" s="104">
        <v>531</v>
      </c>
      <c r="G76" s="108">
        <v>561</v>
      </c>
      <c r="H76" s="108">
        <v>561</v>
      </c>
    </row>
    <row r="77" spans="1:8" ht="20.100000000000001" customHeight="1" x14ac:dyDescent="0.2">
      <c r="A77" s="100" t="s">
        <v>296</v>
      </c>
      <c r="B77" s="110" t="s">
        <v>297</v>
      </c>
      <c r="C77" s="107">
        <v>68</v>
      </c>
      <c r="D77" s="26">
        <v>1</v>
      </c>
      <c r="E77" s="109" t="s">
        <v>153</v>
      </c>
      <c r="F77" s="104">
        <v>531</v>
      </c>
      <c r="G77" s="108">
        <v>561</v>
      </c>
      <c r="H77" s="108">
        <v>561</v>
      </c>
    </row>
    <row r="78" spans="1:8" ht="20.100000000000001" customHeight="1" x14ac:dyDescent="0.2">
      <c r="A78" s="100" t="s">
        <v>298</v>
      </c>
      <c r="B78" s="106" t="s">
        <v>299</v>
      </c>
      <c r="C78" s="102">
        <v>69</v>
      </c>
      <c r="D78" s="26">
        <v>4</v>
      </c>
      <c r="E78" s="109" t="s">
        <v>222</v>
      </c>
      <c r="F78" s="104">
        <v>584</v>
      </c>
      <c r="G78" s="108">
        <v>614</v>
      </c>
      <c r="H78" s="108">
        <v>614</v>
      </c>
    </row>
    <row r="79" spans="1:8" ht="20.100000000000001" customHeight="1" x14ac:dyDescent="0.2">
      <c r="A79" s="100" t="s">
        <v>300</v>
      </c>
      <c r="B79" s="106" t="s">
        <v>301</v>
      </c>
      <c r="C79" s="107">
        <v>70</v>
      </c>
      <c r="D79" s="26">
        <v>4</v>
      </c>
      <c r="E79" s="109" t="s">
        <v>222</v>
      </c>
      <c r="F79" s="104">
        <v>584</v>
      </c>
      <c r="G79" s="108">
        <v>614</v>
      </c>
      <c r="H79" s="108">
        <v>614</v>
      </c>
    </row>
    <row r="80" spans="1:8" ht="20.100000000000001" customHeight="1" x14ac:dyDescent="0.2">
      <c r="A80" s="100" t="s">
        <v>302</v>
      </c>
      <c r="B80" s="106" t="s">
        <v>303</v>
      </c>
      <c r="C80" s="102">
        <v>71</v>
      </c>
      <c r="D80" s="26">
        <v>4</v>
      </c>
      <c r="E80" s="109" t="s">
        <v>277</v>
      </c>
      <c r="F80" s="104">
        <v>584</v>
      </c>
      <c r="G80" s="108">
        <v>614</v>
      </c>
      <c r="H80" s="108">
        <v>614</v>
      </c>
    </row>
    <row r="81" spans="1:8" ht="20.100000000000001" customHeight="1" x14ac:dyDescent="0.2">
      <c r="A81" s="100" t="s">
        <v>304</v>
      </c>
      <c r="B81" s="106" t="s">
        <v>305</v>
      </c>
      <c r="C81" s="107">
        <v>72</v>
      </c>
      <c r="D81" s="26">
        <v>1</v>
      </c>
      <c r="E81" s="109" t="s">
        <v>306</v>
      </c>
      <c r="F81" s="104">
        <v>531</v>
      </c>
      <c r="G81" s="108">
        <v>561</v>
      </c>
      <c r="H81" s="108">
        <v>561</v>
      </c>
    </row>
    <row r="82" spans="1:8" ht="20.100000000000001" customHeight="1" x14ac:dyDescent="0.2">
      <c r="A82" s="100" t="s">
        <v>307</v>
      </c>
      <c r="B82" s="106" t="s">
        <v>308</v>
      </c>
      <c r="C82" s="102">
        <v>73</v>
      </c>
      <c r="D82" s="26">
        <v>2</v>
      </c>
      <c r="E82" s="109" t="s">
        <v>309</v>
      </c>
      <c r="F82" s="104">
        <v>548</v>
      </c>
      <c r="G82" s="108">
        <v>578</v>
      </c>
      <c r="H82" s="108">
        <v>578</v>
      </c>
    </row>
    <row r="83" spans="1:8" ht="20.100000000000001" customHeight="1" x14ac:dyDescent="0.2">
      <c r="A83" s="100" t="s">
        <v>310</v>
      </c>
      <c r="B83" s="106" t="s">
        <v>311</v>
      </c>
      <c r="C83" s="107">
        <v>74</v>
      </c>
      <c r="D83" s="26">
        <v>1</v>
      </c>
      <c r="E83" s="109" t="s">
        <v>161</v>
      </c>
      <c r="F83" s="104">
        <v>531</v>
      </c>
      <c r="G83" s="108">
        <v>561</v>
      </c>
      <c r="H83" s="108">
        <v>561</v>
      </c>
    </row>
    <row r="84" spans="1:8" ht="20.100000000000001" customHeight="1" x14ac:dyDescent="0.2">
      <c r="A84" s="100" t="s">
        <v>312</v>
      </c>
      <c r="B84" s="106" t="s">
        <v>313</v>
      </c>
      <c r="C84" s="102">
        <v>75</v>
      </c>
      <c r="D84" s="26">
        <v>4</v>
      </c>
      <c r="E84" s="109" t="s">
        <v>222</v>
      </c>
      <c r="F84" s="104">
        <v>584</v>
      </c>
      <c r="G84" s="108">
        <v>614</v>
      </c>
      <c r="H84" s="108">
        <v>614</v>
      </c>
    </row>
    <row r="85" spans="1:8" ht="20.100000000000001" customHeight="1" x14ac:dyDescent="0.2">
      <c r="A85" s="100" t="s">
        <v>314</v>
      </c>
      <c r="B85" s="106" t="s">
        <v>315</v>
      </c>
      <c r="C85" s="107">
        <v>76</v>
      </c>
      <c r="D85" s="26">
        <v>1</v>
      </c>
      <c r="E85" s="109" t="s">
        <v>153</v>
      </c>
      <c r="F85" s="104">
        <v>531</v>
      </c>
      <c r="G85" s="108">
        <v>561</v>
      </c>
      <c r="H85" s="108">
        <v>561</v>
      </c>
    </row>
    <row r="86" spans="1:8" ht="20.100000000000001" customHeight="1" x14ac:dyDescent="0.2">
      <c r="A86" s="100" t="s">
        <v>316</v>
      </c>
      <c r="B86" s="106" t="s">
        <v>317</v>
      </c>
      <c r="C86" s="102">
        <v>77</v>
      </c>
      <c r="D86" s="26">
        <v>3</v>
      </c>
      <c r="E86" s="109" t="s">
        <v>171</v>
      </c>
      <c r="F86" s="104">
        <v>566</v>
      </c>
      <c r="G86" s="108">
        <v>596</v>
      </c>
      <c r="H86" s="108">
        <v>596</v>
      </c>
    </row>
    <row r="87" spans="1:8" ht="20.100000000000001" customHeight="1" x14ac:dyDescent="0.2">
      <c r="A87" s="100" t="s">
        <v>318</v>
      </c>
      <c r="B87" s="110" t="s">
        <v>319</v>
      </c>
      <c r="C87" s="107">
        <v>78</v>
      </c>
      <c r="D87" s="26">
        <v>1</v>
      </c>
      <c r="E87" s="109" t="s">
        <v>207</v>
      </c>
      <c r="F87" s="104">
        <v>531</v>
      </c>
      <c r="G87" s="108">
        <v>561</v>
      </c>
      <c r="H87" s="108">
        <v>561</v>
      </c>
    </row>
    <row r="88" spans="1:8" ht="20.100000000000001" customHeight="1" x14ac:dyDescent="0.2">
      <c r="A88" s="100" t="s">
        <v>320</v>
      </c>
      <c r="B88" s="106" t="s">
        <v>321</v>
      </c>
      <c r="C88" s="102">
        <v>79</v>
      </c>
      <c r="D88" s="26">
        <v>1</v>
      </c>
      <c r="E88" s="106" t="s">
        <v>153</v>
      </c>
      <c r="F88" s="104">
        <v>531</v>
      </c>
      <c r="G88" s="108">
        <v>561</v>
      </c>
      <c r="H88" s="108">
        <v>561</v>
      </c>
    </row>
    <row r="89" spans="1:8" ht="20.100000000000001" customHeight="1" x14ac:dyDescent="0.2">
      <c r="A89" s="100" t="s">
        <v>322</v>
      </c>
      <c r="B89" s="106" t="s">
        <v>323</v>
      </c>
      <c r="C89" s="107">
        <v>80</v>
      </c>
      <c r="D89" s="26">
        <v>1</v>
      </c>
      <c r="E89" s="109" t="s">
        <v>253</v>
      </c>
      <c r="F89" s="104">
        <v>531</v>
      </c>
      <c r="G89" s="108">
        <v>561</v>
      </c>
      <c r="H89" s="108">
        <v>561</v>
      </c>
    </row>
    <row r="90" spans="1:8" ht="20.100000000000001" customHeight="1" x14ac:dyDescent="0.2">
      <c r="A90" s="100" t="s">
        <v>324</v>
      </c>
      <c r="B90" s="106" t="s">
        <v>325</v>
      </c>
      <c r="C90" s="102">
        <v>81</v>
      </c>
      <c r="D90" s="26">
        <v>5</v>
      </c>
      <c r="E90" s="106" t="s">
        <v>150</v>
      </c>
      <c r="F90" s="104">
        <v>708</v>
      </c>
      <c r="G90" s="108">
        <v>738</v>
      </c>
      <c r="H90" s="108">
        <v>738</v>
      </c>
    </row>
    <row r="91" spans="1:8" ht="20.100000000000001" customHeight="1" x14ac:dyDescent="0.2">
      <c r="A91" s="100" t="s">
        <v>326</v>
      </c>
      <c r="B91" s="106" t="s">
        <v>327</v>
      </c>
      <c r="C91" s="107">
        <v>82</v>
      </c>
      <c r="D91" s="26">
        <v>4</v>
      </c>
      <c r="E91" s="109" t="s">
        <v>222</v>
      </c>
      <c r="F91" s="104">
        <v>584</v>
      </c>
      <c r="G91" s="108">
        <v>614</v>
      </c>
      <c r="H91" s="108">
        <v>614</v>
      </c>
    </row>
    <row r="92" spans="1:8" ht="20.100000000000001" customHeight="1" x14ac:dyDescent="0.2">
      <c r="A92" s="100" t="s">
        <v>328</v>
      </c>
      <c r="B92" s="106" t="s">
        <v>329</v>
      </c>
      <c r="C92" s="102">
        <v>83</v>
      </c>
      <c r="D92" s="26">
        <v>6</v>
      </c>
      <c r="E92" s="109" t="s">
        <v>330</v>
      </c>
      <c r="F92" s="104">
        <v>743</v>
      </c>
      <c r="G92" s="108">
        <v>773</v>
      </c>
      <c r="H92" s="108">
        <v>773</v>
      </c>
    </row>
    <row r="93" spans="1:8" ht="20.100000000000001" customHeight="1" x14ac:dyDescent="0.2">
      <c r="A93" s="100" t="s">
        <v>331</v>
      </c>
      <c r="B93" s="110" t="s">
        <v>332</v>
      </c>
      <c r="C93" s="107">
        <v>84</v>
      </c>
      <c r="D93" s="26">
        <v>1</v>
      </c>
      <c r="E93" s="109" t="s">
        <v>369</v>
      </c>
      <c r="F93" s="104">
        <v>531</v>
      </c>
      <c r="G93" s="108">
        <v>561</v>
      </c>
      <c r="H93" s="108">
        <v>561</v>
      </c>
    </row>
    <row r="94" spans="1:8" ht="20.100000000000001" customHeight="1" x14ac:dyDescent="0.2">
      <c r="A94" s="100" t="s">
        <v>333</v>
      </c>
      <c r="B94" s="106" t="s">
        <v>334</v>
      </c>
      <c r="C94" s="102">
        <v>85</v>
      </c>
      <c r="D94" s="26">
        <v>1</v>
      </c>
      <c r="E94" s="106" t="s">
        <v>215</v>
      </c>
      <c r="F94" s="104">
        <v>531</v>
      </c>
      <c r="G94" s="108">
        <v>561</v>
      </c>
      <c r="H94" s="108">
        <v>561</v>
      </c>
    </row>
    <row r="95" spans="1:8" ht="20.100000000000001" customHeight="1" x14ac:dyDescent="0.2">
      <c r="A95" s="100" t="s">
        <v>335</v>
      </c>
      <c r="B95" s="106" t="s">
        <v>336</v>
      </c>
      <c r="C95" s="107">
        <v>86</v>
      </c>
      <c r="D95" s="26">
        <v>1</v>
      </c>
      <c r="E95" s="109" t="s">
        <v>253</v>
      </c>
      <c r="F95" s="104">
        <v>531</v>
      </c>
      <c r="G95" s="108">
        <v>561</v>
      </c>
      <c r="H95" s="108">
        <v>561</v>
      </c>
    </row>
    <row r="96" spans="1:8" ht="20.100000000000001" customHeight="1" x14ac:dyDescent="0.2">
      <c r="A96" s="100" t="s">
        <v>337</v>
      </c>
      <c r="B96" s="110" t="s">
        <v>338</v>
      </c>
      <c r="C96" s="102">
        <v>87</v>
      </c>
      <c r="D96" s="26">
        <v>1</v>
      </c>
      <c r="E96" s="109" t="s">
        <v>339</v>
      </c>
      <c r="F96" s="104">
        <v>531</v>
      </c>
      <c r="G96" s="108">
        <v>561</v>
      </c>
      <c r="H96" s="108">
        <v>561</v>
      </c>
    </row>
    <row r="97" spans="1:8" ht="20.100000000000001" customHeight="1" x14ac:dyDescent="0.2">
      <c r="A97" s="100" t="s">
        <v>340</v>
      </c>
      <c r="B97" s="106" t="s">
        <v>341</v>
      </c>
      <c r="C97" s="107">
        <v>88</v>
      </c>
      <c r="D97" s="26">
        <v>5</v>
      </c>
      <c r="E97" s="106" t="s">
        <v>150</v>
      </c>
      <c r="F97" s="104">
        <v>708</v>
      </c>
      <c r="G97" s="108">
        <v>738</v>
      </c>
      <c r="H97" s="108">
        <v>738</v>
      </c>
    </row>
    <row r="98" spans="1:8" ht="20.100000000000001" customHeight="1" x14ac:dyDescent="0.2">
      <c r="A98" s="100" t="s">
        <v>342</v>
      </c>
      <c r="B98" s="106" t="s">
        <v>343</v>
      </c>
      <c r="C98" s="102">
        <v>89</v>
      </c>
      <c r="D98" s="26">
        <v>5</v>
      </c>
      <c r="E98" s="106" t="s">
        <v>150</v>
      </c>
      <c r="F98" s="104">
        <v>708</v>
      </c>
      <c r="G98" s="108">
        <v>738</v>
      </c>
      <c r="H98" s="108">
        <v>738</v>
      </c>
    </row>
    <row r="99" spans="1:8" ht="20.100000000000001" customHeight="1" x14ac:dyDescent="0.2">
      <c r="A99" s="100" t="s">
        <v>344</v>
      </c>
      <c r="B99" s="110" t="s">
        <v>345</v>
      </c>
      <c r="C99" s="107">
        <v>90</v>
      </c>
      <c r="D99" s="26">
        <v>1</v>
      </c>
      <c r="E99" s="109" t="s">
        <v>153</v>
      </c>
      <c r="F99" s="104">
        <v>531</v>
      </c>
      <c r="G99" s="108">
        <v>561</v>
      </c>
      <c r="H99" s="108">
        <v>561</v>
      </c>
    </row>
    <row r="100" spans="1:8" ht="20.100000000000001" customHeight="1" x14ac:dyDescent="0.2">
      <c r="A100" s="100" t="s">
        <v>346</v>
      </c>
      <c r="B100" s="106" t="s">
        <v>347</v>
      </c>
      <c r="C100" s="102">
        <v>91</v>
      </c>
      <c r="D100" s="26">
        <v>1</v>
      </c>
      <c r="E100" s="109" t="s">
        <v>161</v>
      </c>
      <c r="F100" s="104">
        <v>531</v>
      </c>
      <c r="G100" s="108">
        <v>561</v>
      </c>
      <c r="H100" s="108">
        <v>561</v>
      </c>
    </row>
    <row r="101" spans="1:8" ht="20.100000000000001" customHeight="1" x14ac:dyDescent="0.2">
      <c r="A101" s="100" t="s">
        <v>348</v>
      </c>
      <c r="B101" s="110" t="s">
        <v>349</v>
      </c>
      <c r="C101" s="107">
        <v>92</v>
      </c>
      <c r="D101" s="26">
        <v>1</v>
      </c>
      <c r="E101" s="106" t="s">
        <v>207</v>
      </c>
      <c r="F101" s="104">
        <v>531</v>
      </c>
      <c r="G101" s="108">
        <v>561</v>
      </c>
      <c r="H101" s="108">
        <v>561</v>
      </c>
    </row>
    <row r="102" spans="1:8" ht="20.100000000000001" customHeight="1" x14ac:dyDescent="0.2">
      <c r="A102" s="100" t="s">
        <v>350</v>
      </c>
      <c r="B102" s="110" t="s">
        <v>351</v>
      </c>
      <c r="C102" s="102">
        <v>93</v>
      </c>
      <c r="D102" s="26">
        <v>1</v>
      </c>
      <c r="E102" s="109" t="s">
        <v>352</v>
      </c>
      <c r="F102" s="104">
        <v>531</v>
      </c>
      <c r="G102" s="108">
        <v>561</v>
      </c>
      <c r="H102" s="108">
        <v>561</v>
      </c>
    </row>
    <row r="103" spans="1:8" ht="20.100000000000001" customHeight="1" x14ac:dyDescent="0.2">
      <c r="A103" s="117" t="s">
        <v>353</v>
      </c>
      <c r="B103" s="110" t="s">
        <v>354</v>
      </c>
      <c r="C103" s="107">
        <v>94</v>
      </c>
      <c r="D103" s="26">
        <v>3</v>
      </c>
      <c r="E103" s="109" t="s">
        <v>171</v>
      </c>
      <c r="F103" s="104">
        <v>566</v>
      </c>
      <c r="G103" s="108">
        <v>596</v>
      </c>
      <c r="H103" s="108">
        <v>596</v>
      </c>
    </row>
    <row r="104" spans="1:8" ht="20.100000000000001" customHeight="1" x14ac:dyDescent="0.2">
      <c r="A104" s="100" t="s">
        <v>355</v>
      </c>
      <c r="B104" s="106" t="s">
        <v>356</v>
      </c>
      <c r="C104" s="102">
        <v>95</v>
      </c>
      <c r="D104" s="26">
        <v>2</v>
      </c>
      <c r="E104" s="106" t="s">
        <v>264</v>
      </c>
      <c r="F104" s="104">
        <v>548</v>
      </c>
      <c r="G104" s="108">
        <v>578</v>
      </c>
      <c r="H104" s="108">
        <v>578</v>
      </c>
    </row>
    <row r="105" spans="1:8" ht="20.100000000000001" customHeight="1" x14ac:dyDescent="0.2">
      <c r="A105" s="100" t="s">
        <v>357</v>
      </c>
      <c r="B105" s="106" t="s">
        <v>358</v>
      </c>
      <c r="C105" s="107">
        <v>96</v>
      </c>
      <c r="D105" s="26">
        <v>2</v>
      </c>
      <c r="E105" s="109" t="s">
        <v>359</v>
      </c>
      <c r="F105" s="104">
        <v>548</v>
      </c>
      <c r="G105" s="108">
        <v>578</v>
      </c>
      <c r="H105" s="108">
        <v>578</v>
      </c>
    </row>
    <row r="106" spans="1:8" ht="20.100000000000001" customHeight="1" x14ac:dyDescent="0.2">
      <c r="A106" s="100" t="s">
        <v>360</v>
      </c>
      <c r="B106" s="106" t="s">
        <v>361</v>
      </c>
      <c r="C106" s="102">
        <v>97</v>
      </c>
      <c r="D106" s="26">
        <v>4</v>
      </c>
      <c r="E106" s="109" t="s">
        <v>277</v>
      </c>
      <c r="F106" s="104">
        <v>566</v>
      </c>
      <c r="G106" s="108">
        <v>614</v>
      </c>
      <c r="H106" s="108">
        <v>614</v>
      </c>
    </row>
    <row r="107" spans="1:8" ht="20.100000000000001" customHeight="1" x14ac:dyDescent="0.2">
      <c r="A107" s="100" t="s">
        <v>362</v>
      </c>
      <c r="B107" s="110" t="s">
        <v>363</v>
      </c>
      <c r="C107" s="107">
        <v>98</v>
      </c>
      <c r="D107" s="26">
        <v>1</v>
      </c>
      <c r="E107" s="106" t="s">
        <v>245</v>
      </c>
      <c r="F107" s="104">
        <v>531</v>
      </c>
      <c r="G107" s="108">
        <v>561</v>
      </c>
      <c r="H107" s="108">
        <v>561</v>
      </c>
    </row>
    <row r="108" spans="1:8" ht="20.100000000000001" customHeight="1" x14ac:dyDescent="0.2">
      <c r="A108" s="16"/>
      <c r="B108" s="16"/>
      <c r="C108" s="107"/>
      <c r="D108" s="26"/>
      <c r="E108" s="118" t="s">
        <v>389</v>
      </c>
      <c r="F108" s="119">
        <f>SUM(F9:F107)</f>
        <v>54374</v>
      </c>
      <c r="G108" s="120">
        <f>SUM(G9:G107)</f>
        <v>58076</v>
      </c>
      <c r="H108" s="120">
        <f>SUM(H10:H107)</f>
        <v>58076</v>
      </c>
    </row>
    <row r="109" spans="1:8" ht="20.100000000000001" customHeight="1" x14ac:dyDescent="0.2">
      <c r="A109" s="27"/>
      <c r="B109" s="16"/>
      <c r="C109" s="16"/>
      <c r="D109" s="16"/>
      <c r="E109" s="118" t="s">
        <v>388</v>
      </c>
      <c r="F109" s="119">
        <f>(F108*12)</f>
        <v>652488</v>
      </c>
      <c r="G109" s="120">
        <f>(G108*12)</f>
        <v>696912</v>
      </c>
      <c r="H109" s="120">
        <f>(H108*12)</f>
        <v>696912</v>
      </c>
    </row>
    <row r="110" spans="1:8" ht="20.100000000000001" customHeight="1" x14ac:dyDescent="0.2">
      <c r="A110" s="27"/>
      <c r="B110" s="90"/>
      <c r="C110" s="27"/>
      <c r="D110" s="27"/>
      <c r="E110" s="14"/>
      <c r="F110" s="28"/>
      <c r="G110" s="28"/>
      <c r="H110" s="28"/>
    </row>
    <row r="111" spans="1:8" ht="20.100000000000001" customHeight="1" x14ac:dyDescent="0.2">
      <c r="A111" s="29" t="s">
        <v>114</v>
      </c>
      <c r="B111" s="27"/>
      <c r="C111" s="27"/>
      <c r="D111" s="27"/>
      <c r="E111" s="14"/>
      <c r="F111" s="28"/>
      <c r="G111" s="28"/>
      <c r="H111" s="7"/>
    </row>
    <row r="112" spans="1:8" ht="20.100000000000001" customHeight="1" x14ac:dyDescent="0.2">
      <c r="A112" s="29" t="s">
        <v>116</v>
      </c>
      <c r="B112" s="27"/>
      <c r="C112" s="27"/>
      <c r="D112" s="27"/>
      <c r="E112" s="14"/>
      <c r="F112" s="28"/>
      <c r="G112" s="28"/>
      <c r="H112" s="7"/>
    </row>
    <row r="113" spans="1:8" ht="20.100000000000001" customHeight="1" x14ac:dyDescent="0.2">
      <c r="A113" s="29" t="s">
        <v>109</v>
      </c>
      <c r="B113" s="17"/>
      <c r="C113" s="27"/>
      <c r="D113" s="27"/>
      <c r="E113" s="14"/>
      <c r="F113" s="28"/>
      <c r="G113" s="28"/>
      <c r="H113" s="7"/>
    </row>
    <row r="114" spans="1:8" ht="20.100000000000001" customHeight="1" x14ac:dyDescent="0.2">
      <c r="A114" s="29"/>
      <c r="B114" s="17"/>
      <c r="C114" s="17"/>
      <c r="D114" s="17"/>
      <c r="E114" s="17"/>
      <c r="F114" s="17"/>
      <c r="G114" s="17"/>
    </row>
    <row r="115" spans="1:8" ht="20.100000000000001" customHeight="1" x14ac:dyDescent="0.2">
      <c r="A115" s="29"/>
      <c r="B115" s="17"/>
      <c r="C115" s="17"/>
      <c r="D115" s="17"/>
      <c r="E115" s="17"/>
      <c r="F115" s="17"/>
      <c r="G115" s="17"/>
    </row>
    <row r="116" spans="1:8" ht="20.100000000000001" customHeight="1" x14ac:dyDescent="0.2">
      <c r="A116" s="29"/>
      <c r="B116" s="17"/>
      <c r="C116" s="17"/>
      <c r="D116" s="17"/>
      <c r="E116" s="17"/>
      <c r="F116" s="17"/>
      <c r="G116" s="17"/>
    </row>
    <row r="117" spans="1:8" ht="20.100000000000001" customHeight="1" x14ac:dyDescent="0.2">
      <c r="A117" s="29"/>
      <c r="B117" s="17"/>
      <c r="C117" s="17"/>
      <c r="D117" s="17"/>
      <c r="E117" s="17"/>
      <c r="F117" s="17"/>
      <c r="G117" s="17"/>
    </row>
    <row r="118" spans="1:8" ht="20.100000000000001" customHeight="1" x14ac:dyDescent="0.2">
      <c r="A118" s="29"/>
      <c r="B118" s="17"/>
      <c r="C118" s="17"/>
      <c r="D118" s="17"/>
      <c r="E118" s="17"/>
      <c r="F118" s="17"/>
      <c r="G118" s="17"/>
    </row>
    <row r="119" spans="1:8" ht="20.100000000000001" customHeight="1" x14ac:dyDescent="0.2">
      <c r="A119" s="17"/>
      <c r="B119" s="17"/>
      <c r="C119" s="17"/>
      <c r="D119" s="17"/>
      <c r="E119" s="17"/>
      <c r="F119" s="17"/>
      <c r="G119" s="17"/>
    </row>
    <row r="120" spans="1:8" ht="20.100000000000001" customHeight="1" x14ac:dyDescent="0.2">
      <c r="A120" s="2"/>
      <c r="B120" s="17"/>
      <c r="C120" s="17"/>
      <c r="D120" s="17"/>
      <c r="E120" s="17"/>
      <c r="F120" s="121"/>
      <c r="G120" s="121"/>
    </row>
    <row r="121" spans="1:8" ht="20.100000000000001" customHeight="1" x14ac:dyDescent="0.25">
      <c r="A121" s="2"/>
      <c r="B121" s="122" t="s">
        <v>364</v>
      </c>
      <c r="D121" s="17"/>
      <c r="G121" s="17"/>
    </row>
    <row r="122" spans="1:8" ht="20.100000000000001" customHeight="1" x14ac:dyDescent="0.25">
      <c r="A122" s="2"/>
      <c r="B122" s="123" t="s">
        <v>365</v>
      </c>
      <c r="E122" s="17"/>
      <c r="F122" s="231" t="s">
        <v>370</v>
      </c>
      <c r="G122" s="231"/>
      <c r="H122" s="231"/>
    </row>
    <row r="123" spans="1:8" ht="20.100000000000001" customHeight="1" x14ac:dyDescent="0.25">
      <c r="E123" s="17"/>
      <c r="F123" s="89" t="s">
        <v>366</v>
      </c>
      <c r="G123" s="124"/>
      <c r="H123" s="61"/>
    </row>
  </sheetData>
  <mergeCells count="5">
    <mergeCell ref="A5:H5"/>
    <mergeCell ref="A1:H1"/>
    <mergeCell ref="A2:H2"/>
    <mergeCell ref="A3:H3"/>
    <mergeCell ref="F122:H122"/>
  </mergeCells>
  <printOptions horizontalCentered="1"/>
  <pageMargins left="0.39370078740157483" right="0.39370078740157483" top="0.19685039370078741" bottom="0" header="0" footer="0"/>
  <pageSetup paperSize="9" scale="5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71" workbookViewId="0">
      <selection activeCell="G78" sqref="G78"/>
    </sheetView>
  </sheetViews>
  <sheetFormatPr baseColWidth="10" defaultRowHeight="12.75" x14ac:dyDescent="0.2"/>
  <cols>
    <col min="2" max="2" width="54.85546875" bestFit="1" customWidth="1"/>
  </cols>
  <sheetData>
    <row r="1" spans="1:9" s="8" customFormat="1" ht="18.75" x14ac:dyDescent="0.3">
      <c r="A1" s="246" t="s">
        <v>104</v>
      </c>
      <c r="B1" s="246"/>
      <c r="C1" s="246"/>
      <c r="D1" s="246"/>
      <c r="E1" s="246"/>
      <c r="F1" s="246"/>
      <c r="G1" s="246"/>
      <c r="H1" s="246"/>
      <c r="I1" s="246"/>
    </row>
    <row r="2" spans="1:9" s="8" customFormat="1" ht="18.75" x14ac:dyDescent="0.3">
      <c r="A2" s="246" t="s">
        <v>27</v>
      </c>
      <c r="B2" s="246"/>
      <c r="C2" s="246"/>
      <c r="D2" s="246"/>
      <c r="E2" s="246"/>
      <c r="F2" s="246"/>
      <c r="G2" s="246"/>
      <c r="H2" s="246"/>
      <c r="I2" s="246"/>
    </row>
    <row r="3" spans="1:9" s="8" customFormat="1" ht="18.75" x14ac:dyDescent="0.3">
      <c r="A3" s="180"/>
      <c r="B3" s="180"/>
      <c r="C3" s="180"/>
      <c r="D3" s="180"/>
      <c r="E3" s="180"/>
      <c r="F3" s="180"/>
      <c r="G3" s="180"/>
      <c r="H3" s="180"/>
    </row>
    <row r="4" spans="1:9" s="8" customFormat="1" ht="18.75" x14ac:dyDescent="0.3">
      <c r="A4" s="247" t="s">
        <v>118</v>
      </c>
      <c r="B4" s="247"/>
      <c r="C4" s="247"/>
      <c r="D4" s="247"/>
      <c r="E4" s="247"/>
      <c r="F4" s="247"/>
      <c r="G4" s="247"/>
      <c r="H4" s="179"/>
    </row>
    <row r="5" spans="1:9" s="8" customFormat="1" ht="15.75" thickBot="1" x14ac:dyDescent="0.3">
      <c r="A5" s="226"/>
      <c r="B5" s="226"/>
      <c r="C5" s="226"/>
      <c r="D5" s="226"/>
      <c r="E5" s="226"/>
      <c r="F5" s="226"/>
      <c r="G5" s="226"/>
      <c r="H5" s="178"/>
    </row>
    <row r="6" spans="1:9" s="8" customFormat="1" ht="15" customHeight="1" x14ac:dyDescent="0.25">
      <c r="A6" s="248" t="s">
        <v>28</v>
      </c>
      <c r="B6" s="249"/>
      <c r="C6" s="249"/>
      <c r="D6" s="249"/>
      <c r="E6" s="250"/>
      <c r="F6" s="254" t="s">
        <v>29</v>
      </c>
      <c r="G6" s="255"/>
      <c r="H6" s="255"/>
      <c r="I6" s="258" t="s">
        <v>115</v>
      </c>
    </row>
    <row r="7" spans="1:9" s="8" customFormat="1" ht="15.75" customHeight="1" thickBot="1" x14ac:dyDescent="0.3">
      <c r="A7" s="251"/>
      <c r="B7" s="252"/>
      <c r="C7" s="252"/>
      <c r="D7" s="252"/>
      <c r="E7" s="253"/>
      <c r="F7" s="256"/>
      <c r="G7" s="257"/>
      <c r="H7" s="257"/>
      <c r="I7" s="259"/>
    </row>
    <row r="8" spans="1:9" s="8" customFormat="1" ht="28.5" customHeight="1" thickBot="1" x14ac:dyDescent="0.3">
      <c r="A8" s="189" t="s">
        <v>30</v>
      </c>
      <c r="B8" s="190" t="s">
        <v>31</v>
      </c>
      <c r="C8" s="191">
        <v>2014</v>
      </c>
      <c r="D8" s="181">
        <v>2015</v>
      </c>
      <c r="E8" s="181">
        <v>2016</v>
      </c>
      <c r="F8" s="134">
        <v>2017</v>
      </c>
      <c r="G8" s="134">
        <v>2018</v>
      </c>
      <c r="H8" s="134">
        <v>2019</v>
      </c>
      <c r="I8" s="260"/>
    </row>
    <row r="9" spans="1:9" s="8" customFormat="1" ht="15.75" thickBot="1" x14ac:dyDescent="0.3">
      <c r="A9" s="236" t="s">
        <v>32</v>
      </c>
      <c r="B9" s="261"/>
      <c r="C9" s="192">
        <f t="shared" ref="C9:H9" si="0">+C10+C15+C20+C21+C22+C23</f>
        <v>627507.34</v>
      </c>
      <c r="D9" s="192">
        <f t="shared" si="0"/>
        <v>706054.86</v>
      </c>
      <c r="E9" s="192">
        <f t="shared" si="0"/>
        <v>1531439.51</v>
      </c>
      <c r="F9" s="192">
        <f t="shared" si="0"/>
        <v>1432416.23</v>
      </c>
      <c r="G9" s="192">
        <f t="shared" si="0"/>
        <v>1309435.1712</v>
      </c>
      <c r="H9" s="193">
        <f t="shared" si="0"/>
        <v>1536718.0360320001</v>
      </c>
      <c r="I9" s="135"/>
    </row>
    <row r="10" spans="1:9" s="8" customFormat="1" ht="15" x14ac:dyDescent="0.25">
      <c r="A10" s="136">
        <v>11</v>
      </c>
      <c r="B10" s="137" t="s">
        <v>33</v>
      </c>
      <c r="C10" s="140">
        <f>C11+C12+C13+C14</f>
        <v>75006.539999999994</v>
      </c>
      <c r="D10" s="139">
        <f>D11+D12+D13+D14</f>
        <v>115429.12</v>
      </c>
      <c r="E10" s="139">
        <f>E11+E12+E13+E14</f>
        <v>105576.29999999999</v>
      </c>
      <c r="F10" s="139">
        <f>F11+F12+F13+F14</f>
        <v>122499.2</v>
      </c>
      <c r="G10" s="139">
        <f t="shared" ref="G10:H10" si="1">G11+G12+G13+G14</f>
        <v>128221.4296</v>
      </c>
      <c r="H10" s="139">
        <f t="shared" si="1"/>
        <v>127801.06105600001</v>
      </c>
      <c r="I10" s="138"/>
    </row>
    <row r="11" spans="1:9" s="8" customFormat="1" ht="15" x14ac:dyDescent="0.25">
      <c r="A11" s="141">
        <v>1101</v>
      </c>
      <c r="B11" s="142" t="s">
        <v>34</v>
      </c>
      <c r="C11" s="194">
        <v>0</v>
      </c>
      <c r="D11" s="194">
        <v>0</v>
      </c>
      <c r="E11" s="194">
        <v>0</v>
      </c>
      <c r="F11" s="194">
        <f>(+C11+D11+E11)/3*(1.08)</f>
        <v>0</v>
      </c>
      <c r="G11" s="194">
        <f t="shared" ref="G11:H25" si="2">(+D11+E11+F11)/3*(1.08)</f>
        <v>0</v>
      </c>
      <c r="H11" s="194">
        <f t="shared" si="2"/>
        <v>0</v>
      </c>
      <c r="I11" s="144"/>
    </row>
    <row r="12" spans="1:9" s="8" customFormat="1" ht="15" x14ac:dyDescent="0.25">
      <c r="A12" s="141">
        <v>1102</v>
      </c>
      <c r="B12" s="142" t="s">
        <v>35</v>
      </c>
      <c r="C12" s="145">
        <v>72818.039999999994</v>
      </c>
      <c r="D12" s="146">
        <v>107495.62</v>
      </c>
      <c r="E12" s="146">
        <v>87254.04</v>
      </c>
      <c r="F12" s="194">
        <v>100605.7</v>
      </c>
      <c r="G12" s="194">
        <f t="shared" si="2"/>
        <v>106327.9296</v>
      </c>
      <c r="H12" s="194">
        <f t="shared" si="2"/>
        <v>105907.56105600001</v>
      </c>
      <c r="I12" s="195"/>
    </row>
    <row r="13" spans="1:9" s="8" customFormat="1" ht="15" x14ac:dyDescent="0.25">
      <c r="A13" s="141">
        <v>1103</v>
      </c>
      <c r="B13" s="142" t="s">
        <v>36</v>
      </c>
      <c r="C13" s="194">
        <v>0</v>
      </c>
      <c r="D13" s="194">
        <v>0</v>
      </c>
      <c r="E13" s="194">
        <v>0</v>
      </c>
      <c r="F13" s="194">
        <f t="shared" ref="F13:F25" si="3">(+C13+D13+E13)/3*(1.08)</f>
        <v>0</v>
      </c>
      <c r="G13" s="194">
        <f t="shared" si="2"/>
        <v>0</v>
      </c>
      <c r="H13" s="194">
        <f t="shared" si="2"/>
        <v>0</v>
      </c>
      <c r="I13" s="144"/>
    </row>
    <row r="14" spans="1:9" s="8" customFormat="1" ht="15" x14ac:dyDescent="0.25">
      <c r="A14" s="141">
        <v>1107</v>
      </c>
      <c r="B14" s="142" t="s">
        <v>37</v>
      </c>
      <c r="C14" s="145">
        <v>2188.5</v>
      </c>
      <c r="D14" s="146">
        <v>7933.5</v>
      </c>
      <c r="E14" s="146">
        <v>18322.259999999998</v>
      </c>
      <c r="F14" s="194">
        <v>21893.5</v>
      </c>
      <c r="G14" s="194">
        <v>21893.5</v>
      </c>
      <c r="H14" s="194">
        <v>21893.5</v>
      </c>
      <c r="I14" s="144"/>
    </row>
    <row r="15" spans="1:9" s="8" customFormat="1" ht="15" x14ac:dyDescent="0.25">
      <c r="A15" s="136">
        <v>13</v>
      </c>
      <c r="B15" s="147" t="s">
        <v>38</v>
      </c>
      <c r="C15" s="145">
        <f>+C16+C17+C18+C19</f>
        <v>10015.92</v>
      </c>
      <c r="D15" s="146">
        <f>+D16+D17+D18+D19</f>
        <v>19722.099999999999</v>
      </c>
      <c r="E15" s="146">
        <f>+E16+E17+E18+E19</f>
        <v>24292.639999999999</v>
      </c>
      <c r="F15" s="194">
        <f>+F16+F17+F18+F19</f>
        <v>118417.58</v>
      </c>
      <c r="G15" s="194">
        <f t="shared" si="2"/>
        <v>58475.635200000004</v>
      </c>
      <c r="H15" s="194">
        <f t="shared" si="2"/>
        <v>72426.907872000011</v>
      </c>
      <c r="I15" s="144"/>
    </row>
    <row r="16" spans="1:9" s="8" customFormat="1" ht="15" x14ac:dyDescent="0.25">
      <c r="A16" s="141">
        <v>1301</v>
      </c>
      <c r="B16" s="142" t="s">
        <v>39</v>
      </c>
      <c r="C16" s="145">
        <v>10015.92</v>
      </c>
      <c r="D16" s="146">
        <v>19722.099999999999</v>
      </c>
      <c r="E16" s="146">
        <v>24292.639999999999</v>
      </c>
      <c r="F16" s="194">
        <v>25811.63</v>
      </c>
      <c r="G16" s="194">
        <f t="shared" si="2"/>
        <v>25137.493200000001</v>
      </c>
      <c r="H16" s="194">
        <f t="shared" si="2"/>
        <v>27087.034752000003</v>
      </c>
      <c r="I16" s="144"/>
    </row>
    <row r="17" spans="1:9" s="8" customFormat="1" ht="15" x14ac:dyDescent="0.25">
      <c r="A17" s="141">
        <v>1302</v>
      </c>
      <c r="B17" s="142" t="s">
        <v>40</v>
      </c>
      <c r="C17" s="194">
        <v>0</v>
      </c>
      <c r="D17" s="194">
        <v>0</v>
      </c>
      <c r="E17" s="194">
        <v>0</v>
      </c>
      <c r="F17" s="194">
        <f t="shared" si="3"/>
        <v>0</v>
      </c>
      <c r="G17" s="194">
        <f t="shared" si="2"/>
        <v>0</v>
      </c>
      <c r="H17" s="194">
        <f t="shared" si="2"/>
        <v>0</v>
      </c>
      <c r="I17" s="144"/>
    </row>
    <row r="18" spans="1:9" s="8" customFormat="1" ht="15" x14ac:dyDescent="0.25">
      <c r="A18" s="141">
        <v>1303</v>
      </c>
      <c r="B18" s="142" t="s">
        <v>41</v>
      </c>
      <c r="C18" s="194">
        <v>0</v>
      </c>
      <c r="D18" s="194">
        <v>0</v>
      </c>
      <c r="E18" s="194">
        <v>0</v>
      </c>
      <c r="F18" s="194">
        <f t="shared" si="3"/>
        <v>0</v>
      </c>
      <c r="G18" s="194">
        <f t="shared" si="2"/>
        <v>0</v>
      </c>
      <c r="H18" s="194">
        <f t="shared" si="2"/>
        <v>0</v>
      </c>
      <c r="I18" s="144"/>
    </row>
    <row r="19" spans="1:9" s="8" customFormat="1" ht="15" x14ac:dyDescent="0.25">
      <c r="A19" s="141">
        <v>1304</v>
      </c>
      <c r="B19" s="142" t="s">
        <v>42</v>
      </c>
      <c r="C19" s="194">
        <v>0</v>
      </c>
      <c r="D19" s="194">
        <v>0</v>
      </c>
      <c r="E19" s="194">
        <v>0</v>
      </c>
      <c r="F19" s="194">
        <v>92605.95</v>
      </c>
      <c r="G19" s="194">
        <f t="shared" si="2"/>
        <v>33338.142</v>
      </c>
      <c r="H19" s="194">
        <f t="shared" si="2"/>
        <v>45339.873120000004</v>
      </c>
      <c r="I19" s="144"/>
    </row>
    <row r="20" spans="1:9" s="8" customFormat="1" ht="15" x14ac:dyDescent="0.25">
      <c r="A20" s="136">
        <v>14</v>
      </c>
      <c r="B20" s="147" t="s">
        <v>43</v>
      </c>
      <c r="C20" s="148">
        <v>16058.74</v>
      </c>
      <c r="D20" s="143">
        <v>17587.419999999998</v>
      </c>
      <c r="E20" s="143">
        <v>36192.199999999997</v>
      </c>
      <c r="F20" s="194">
        <v>39659.699999999997</v>
      </c>
      <c r="G20" s="194">
        <f t="shared" si="2"/>
        <v>33638.155200000001</v>
      </c>
      <c r="H20" s="194">
        <f t="shared" si="2"/>
        <v>39416.419871999999</v>
      </c>
      <c r="I20" s="144"/>
    </row>
    <row r="21" spans="1:9" s="8" customFormat="1" ht="15" x14ac:dyDescent="0.25">
      <c r="A21" s="136">
        <v>17</v>
      </c>
      <c r="B21" s="147" t="s">
        <v>44</v>
      </c>
      <c r="C21" s="148">
        <v>33852.480000000003</v>
      </c>
      <c r="D21" s="143">
        <v>19671.43</v>
      </c>
      <c r="E21" s="143">
        <v>26347.38</v>
      </c>
      <c r="F21" s="194">
        <v>37074.69</v>
      </c>
      <c r="G21" s="194">
        <f t="shared" si="2"/>
        <v>29913.66</v>
      </c>
      <c r="H21" s="194">
        <f t="shared" si="2"/>
        <v>33600.862800000003</v>
      </c>
      <c r="I21" s="144"/>
    </row>
    <row r="22" spans="1:9" s="8" customFormat="1" ht="15" x14ac:dyDescent="0.25">
      <c r="A22" s="136">
        <v>18</v>
      </c>
      <c r="B22" s="147" t="s">
        <v>45</v>
      </c>
      <c r="C22" s="145">
        <v>482078.24</v>
      </c>
      <c r="D22" s="146">
        <v>476713.08</v>
      </c>
      <c r="E22" s="146">
        <v>1319432.79</v>
      </c>
      <c r="F22" s="194">
        <v>1104341.8</v>
      </c>
      <c r="G22" s="194">
        <f t="shared" si="2"/>
        <v>1044175.5612</v>
      </c>
      <c r="H22" s="194">
        <f t="shared" si="2"/>
        <v>1248462.054432</v>
      </c>
      <c r="I22" s="144"/>
    </row>
    <row r="23" spans="1:9" s="8" customFormat="1" ht="15" x14ac:dyDescent="0.25">
      <c r="A23" s="136">
        <v>19</v>
      </c>
      <c r="B23" s="147" t="s">
        <v>46</v>
      </c>
      <c r="C23" s="145">
        <v>10495.42</v>
      </c>
      <c r="D23" s="146">
        <f>D24+D25+D26</f>
        <v>56931.71</v>
      </c>
      <c r="E23" s="146">
        <f>E24+E25+E26</f>
        <v>19598.2</v>
      </c>
      <c r="F23" s="194">
        <f>SUM(F24:F26)</f>
        <v>10423.26</v>
      </c>
      <c r="G23" s="194">
        <f t="shared" ref="G23:H23" si="4">SUM(G24:G26)</f>
        <v>15010.73</v>
      </c>
      <c r="H23" s="194">
        <f t="shared" si="4"/>
        <v>15010.730000000001</v>
      </c>
      <c r="I23" s="144"/>
    </row>
    <row r="24" spans="1:9" s="8" customFormat="1" ht="15" x14ac:dyDescent="0.25">
      <c r="A24" s="141">
        <v>1901</v>
      </c>
      <c r="B24" s="142" t="s">
        <v>47</v>
      </c>
      <c r="C24" s="194">
        <v>0</v>
      </c>
      <c r="D24" s="194">
        <v>0</v>
      </c>
      <c r="E24" s="194">
        <v>0</v>
      </c>
      <c r="F24" s="194">
        <f t="shared" si="3"/>
        <v>0</v>
      </c>
      <c r="G24" s="194">
        <f t="shared" si="2"/>
        <v>0</v>
      </c>
      <c r="H24" s="194">
        <f t="shared" si="2"/>
        <v>0</v>
      </c>
      <c r="I24" s="144"/>
    </row>
    <row r="25" spans="1:9" s="8" customFormat="1" ht="15" x14ac:dyDescent="0.25">
      <c r="A25" s="141">
        <v>1902</v>
      </c>
      <c r="B25" s="142" t="s">
        <v>48</v>
      </c>
      <c r="C25" s="194">
        <v>0</v>
      </c>
      <c r="D25" s="194">
        <v>0</v>
      </c>
      <c r="E25" s="194">
        <v>0</v>
      </c>
      <c r="F25" s="194">
        <f t="shared" si="3"/>
        <v>0</v>
      </c>
      <c r="G25" s="194">
        <f t="shared" si="2"/>
        <v>0</v>
      </c>
      <c r="H25" s="194">
        <f t="shared" si="2"/>
        <v>0</v>
      </c>
      <c r="I25" s="144"/>
    </row>
    <row r="26" spans="1:9" s="8" customFormat="1" ht="15.75" thickBot="1" x14ac:dyDescent="0.3">
      <c r="A26" s="141">
        <v>1904</v>
      </c>
      <c r="B26" s="150" t="s">
        <v>49</v>
      </c>
      <c r="C26" s="146">
        <v>10495.42</v>
      </c>
      <c r="D26" s="146">
        <v>56931.71</v>
      </c>
      <c r="E26" s="146">
        <v>19598.2</v>
      </c>
      <c r="F26" s="194">
        <v>10423.26</v>
      </c>
      <c r="G26" s="194">
        <f>(E26+F26)/2</f>
        <v>15010.73</v>
      </c>
      <c r="H26" s="194">
        <f>(+E26+F26+G26)/3</f>
        <v>15010.730000000001</v>
      </c>
      <c r="I26" s="144"/>
    </row>
    <row r="27" spans="1:9" s="8" customFormat="1" ht="15.75" thickBot="1" x14ac:dyDescent="0.3">
      <c r="A27" s="236" t="s">
        <v>50</v>
      </c>
      <c r="B27" s="261"/>
      <c r="C27" s="196">
        <f t="shared" ref="C27:E27" si="5">+C28+C37+C38+C39+C40+C41</f>
        <v>1038889.2699999998</v>
      </c>
      <c r="D27" s="196">
        <f t="shared" si="5"/>
        <v>723296.56999999983</v>
      </c>
      <c r="E27" s="196">
        <f t="shared" si="5"/>
        <v>1296310.53</v>
      </c>
      <c r="F27" s="197">
        <f>+F28+F37+F38+F39+F40+F41</f>
        <v>1101058.6932000001</v>
      </c>
      <c r="G27" s="197">
        <f>+G28+G37+G38+G39+G40+G41</f>
        <v>1123439.6855520001</v>
      </c>
      <c r="H27" s="196">
        <f t="shared" ref="H27" si="6">+H28+H37+H38+H39+H40+H41</f>
        <v>1267491.2071507201</v>
      </c>
      <c r="I27" s="151"/>
    </row>
    <row r="28" spans="1:9" s="8" customFormat="1" ht="15" x14ac:dyDescent="0.25">
      <c r="A28" s="136">
        <v>51</v>
      </c>
      <c r="B28" s="137" t="s">
        <v>51</v>
      </c>
      <c r="C28" s="146">
        <f>C29+C30+C31+C32+C33+C34+C35+C36</f>
        <v>767417.98</v>
      </c>
      <c r="D28" s="145">
        <f>D29+D30+D31+D32+D33+D34+D35+D36</f>
        <v>510748.57999999996</v>
      </c>
      <c r="E28" s="145">
        <f>E29+E30+E31+E32+E33+E34+E35+E36</f>
        <v>1067477.1599999999</v>
      </c>
      <c r="F28" s="194">
        <f t="shared" ref="F28:H41" si="7">(+C28+D28+E28)/3*1.08</f>
        <v>844431.73919999995</v>
      </c>
      <c r="G28" s="194">
        <f t="shared" si="7"/>
        <v>872156.69251199998</v>
      </c>
      <c r="H28" s="194">
        <f t="shared" si="7"/>
        <v>1002263.6130163199</v>
      </c>
      <c r="I28" s="144"/>
    </row>
    <row r="29" spans="1:9" s="8" customFormat="1" ht="15" x14ac:dyDescent="0.25">
      <c r="A29" s="141">
        <v>5101</v>
      </c>
      <c r="B29" s="142" t="s">
        <v>52</v>
      </c>
      <c r="C29" s="145">
        <f>424836.39+159627.71</f>
        <v>584464.1</v>
      </c>
      <c r="D29" s="145">
        <f>234840.6+121178.38</f>
        <v>356018.98</v>
      </c>
      <c r="E29" s="146">
        <f>346956.68+168324.98+81424.55+52778.38+31823.41+64270.58</f>
        <v>745578.58000000007</v>
      </c>
      <c r="F29" s="194">
        <v>636370.27</v>
      </c>
      <c r="G29" s="194">
        <f t="shared" si="7"/>
        <v>625668.41879999998</v>
      </c>
      <c r="H29" s="194">
        <f t="shared" si="7"/>
        <v>722742.21676800004</v>
      </c>
      <c r="I29" s="144"/>
    </row>
    <row r="30" spans="1:9" s="8" customFormat="1" ht="15" x14ac:dyDescent="0.25">
      <c r="A30" s="141">
        <v>5102</v>
      </c>
      <c r="B30" s="142" t="s">
        <v>53</v>
      </c>
      <c r="C30" s="145">
        <f>16413.18+35144.15</f>
        <v>51557.33</v>
      </c>
      <c r="D30" s="145">
        <f>33572.33+16871.14</f>
        <v>50443.47</v>
      </c>
      <c r="E30" s="146">
        <f>37640.1+16626.55+9330.86+6263.32+4271.47+13230.58</f>
        <v>87362.87999999999</v>
      </c>
      <c r="F30" s="194">
        <v>65571.570000000007</v>
      </c>
      <c r="G30" s="194">
        <f t="shared" si="7"/>
        <v>73216.051200000002</v>
      </c>
      <c r="H30" s="194">
        <f t="shared" si="7"/>
        <v>81414.180432000008</v>
      </c>
      <c r="I30" s="144"/>
    </row>
    <row r="31" spans="1:9" s="8" customFormat="1" ht="15" x14ac:dyDescent="0.25">
      <c r="A31" s="141">
        <v>5103</v>
      </c>
      <c r="B31" s="142" t="s">
        <v>54</v>
      </c>
      <c r="C31" s="145">
        <v>15140.75</v>
      </c>
      <c r="D31" s="145">
        <f>12433.95+2693.1</f>
        <v>15127.050000000001</v>
      </c>
      <c r="E31" s="146">
        <f>3863+1257+11144+4032+7658</f>
        <v>27954</v>
      </c>
      <c r="F31" s="194">
        <f t="shared" si="7"/>
        <v>20959.848000000002</v>
      </c>
      <c r="G31" s="194">
        <f t="shared" si="7"/>
        <v>23054.723280000002</v>
      </c>
      <c r="H31" s="194">
        <f t="shared" si="7"/>
        <v>25908.685660800002</v>
      </c>
      <c r="I31" s="144"/>
    </row>
    <row r="32" spans="1:9" s="8" customFormat="1" ht="15" x14ac:dyDescent="0.25">
      <c r="A32" s="141">
        <v>5104</v>
      </c>
      <c r="B32" s="142" t="s">
        <v>55</v>
      </c>
      <c r="C32" s="145">
        <f>2.19+428.9</f>
        <v>431.09</v>
      </c>
      <c r="D32" s="145">
        <f>919.85+49.08</f>
        <v>968.93000000000006</v>
      </c>
      <c r="E32" s="146">
        <f>785.07+32.59+1955.67+768.02+732.86</f>
        <v>4274.21</v>
      </c>
      <c r="F32" s="194">
        <f t="shared" si="7"/>
        <v>2042.7228</v>
      </c>
      <c r="G32" s="194">
        <f t="shared" si="7"/>
        <v>2622.9106080000006</v>
      </c>
      <c r="H32" s="194">
        <f t="shared" si="7"/>
        <v>3218.3436268800006</v>
      </c>
      <c r="I32" s="144"/>
    </row>
    <row r="33" spans="1:9" s="8" customFormat="1" ht="15" x14ac:dyDescent="0.25">
      <c r="A33" s="141">
        <v>5105</v>
      </c>
      <c r="B33" s="142" t="s">
        <v>56</v>
      </c>
      <c r="C33" s="198">
        <f>1005.3+4042</f>
        <v>5047.3</v>
      </c>
      <c r="D33" s="145">
        <f>2657.84+690.44</f>
        <v>3348.28</v>
      </c>
      <c r="E33" s="146">
        <f>13532.34+419.7+9162.5+42387.04</f>
        <v>65501.58</v>
      </c>
      <c r="F33" s="194">
        <v>22340.959999999999</v>
      </c>
      <c r="G33" s="194">
        <f t="shared" si="7"/>
        <v>32828.695200000002</v>
      </c>
      <c r="H33" s="194">
        <f t="shared" si="7"/>
        <v>43441.644672000009</v>
      </c>
      <c r="I33" s="144"/>
    </row>
    <row r="34" spans="1:9" s="8" customFormat="1" ht="15" x14ac:dyDescent="0.25">
      <c r="A34" s="141">
        <v>5106</v>
      </c>
      <c r="B34" s="142" t="s">
        <v>57</v>
      </c>
      <c r="C34" s="145">
        <f>32705.25+77692.64</f>
        <v>110397.89</v>
      </c>
      <c r="D34" s="145">
        <f>55629.7+25911.35</f>
        <v>81541.049999999988</v>
      </c>
      <c r="E34" s="146">
        <f>62911.31+28830.21+14895.47+8558.25+4702.03+12674.95</f>
        <v>132572.22</v>
      </c>
      <c r="F34" s="194">
        <f t="shared" si="7"/>
        <v>116824.01760000002</v>
      </c>
      <c r="G34" s="194">
        <f t="shared" si="7"/>
        <v>119137.42353600002</v>
      </c>
      <c r="H34" s="194">
        <f t="shared" si="7"/>
        <v>132672.11800896004</v>
      </c>
      <c r="I34" s="144"/>
    </row>
    <row r="35" spans="1:9" s="8" customFormat="1" ht="15" x14ac:dyDescent="0.25">
      <c r="A35" s="141">
        <v>5107</v>
      </c>
      <c r="B35" s="142" t="s">
        <v>58</v>
      </c>
      <c r="C35" s="145">
        <v>379.52</v>
      </c>
      <c r="D35" s="145">
        <v>3300.82</v>
      </c>
      <c r="E35" s="146">
        <v>4233.6899999999996</v>
      </c>
      <c r="F35" s="194">
        <f t="shared" si="7"/>
        <v>2849.0508</v>
      </c>
      <c r="G35" s="194">
        <f t="shared" si="7"/>
        <v>3738.0818879999997</v>
      </c>
      <c r="H35" s="194">
        <f t="shared" si="7"/>
        <v>3895.4961676800003</v>
      </c>
      <c r="I35" s="144"/>
    </row>
    <row r="36" spans="1:9" s="8" customFormat="1" ht="15" x14ac:dyDescent="0.25">
      <c r="A36" s="141">
        <v>5199</v>
      </c>
      <c r="B36" s="142" t="s">
        <v>59</v>
      </c>
      <c r="C36" s="194">
        <v>0</v>
      </c>
      <c r="D36" s="194">
        <v>0</v>
      </c>
      <c r="E36" s="194">
        <v>0</v>
      </c>
      <c r="F36" s="194">
        <f t="shared" si="7"/>
        <v>0</v>
      </c>
      <c r="G36" s="194">
        <f t="shared" si="7"/>
        <v>0</v>
      </c>
      <c r="H36" s="194">
        <f t="shared" si="7"/>
        <v>0</v>
      </c>
      <c r="I36" s="144"/>
    </row>
    <row r="37" spans="1:9" s="8" customFormat="1" ht="15" x14ac:dyDescent="0.25">
      <c r="A37" s="136">
        <v>53</v>
      </c>
      <c r="B37" s="147" t="s">
        <v>60</v>
      </c>
      <c r="C37" s="145">
        <v>134449.68</v>
      </c>
      <c r="D37" s="145">
        <f>39623.08+12190.8+23383.36</f>
        <v>75197.240000000005</v>
      </c>
      <c r="E37" s="146">
        <f>53647.11+3678.68+2286.84+11239.51+1355.96+27725.98</f>
        <v>99934.080000000002</v>
      </c>
      <c r="F37" s="194">
        <f t="shared" si="7"/>
        <v>111449.16000000002</v>
      </c>
      <c r="G37" s="194">
        <f t="shared" si="7"/>
        <v>103168.97280000002</v>
      </c>
      <c r="H37" s="194">
        <f t="shared" si="7"/>
        <v>113238.79660800002</v>
      </c>
      <c r="I37" s="144"/>
    </row>
    <row r="38" spans="1:9" s="8" customFormat="1" ht="15" x14ac:dyDescent="0.25">
      <c r="A38" s="136">
        <v>56</v>
      </c>
      <c r="B38" s="147" t="s">
        <v>61</v>
      </c>
      <c r="C38" s="145">
        <v>94538.58</v>
      </c>
      <c r="D38" s="145">
        <v>88419.45</v>
      </c>
      <c r="E38" s="146">
        <v>78261.52</v>
      </c>
      <c r="F38" s="194">
        <f t="shared" si="7"/>
        <v>94039.038</v>
      </c>
      <c r="G38" s="194">
        <f t="shared" si="7"/>
        <v>93859.202880000012</v>
      </c>
      <c r="H38" s="194">
        <f t="shared" si="7"/>
        <v>95817.513916800017</v>
      </c>
      <c r="I38" s="195"/>
    </row>
    <row r="39" spans="1:9" s="8" customFormat="1" ht="15" x14ac:dyDescent="0.25">
      <c r="A39" s="136">
        <v>57</v>
      </c>
      <c r="B39" s="147" t="s">
        <v>62</v>
      </c>
      <c r="C39" s="145">
        <f>650.13+3361.82</f>
        <v>4011.9500000000003</v>
      </c>
      <c r="D39" s="145">
        <f>402.65+4003.43</f>
        <v>4406.08</v>
      </c>
      <c r="E39" s="146">
        <f>1759.93+2754.11</f>
        <v>4514.04</v>
      </c>
      <c r="F39" s="194">
        <f t="shared" si="7"/>
        <v>4655.5451999999996</v>
      </c>
      <c r="G39" s="194">
        <f t="shared" si="7"/>
        <v>4887.2394720000002</v>
      </c>
      <c r="H39" s="194">
        <f t="shared" si="7"/>
        <v>5060.4568819200003</v>
      </c>
      <c r="I39" s="144"/>
    </row>
    <row r="40" spans="1:9" s="8" customFormat="1" ht="15" x14ac:dyDescent="0.25">
      <c r="A40" s="136">
        <v>58</v>
      </c>
      <c r="B40" s="147" t="s">
        <v>63</v>
      </c>
      <c r="C40" s="146">
        <v>38471.08</v>
      </c>
      <c r="D40" s="145">
        <v>44525.22</v>
      </c>
      <c r="E40" s="146">
        <v>46123.73</v>
      </c>
      <c r="F40" s="194">
        <f t="shared" si="7"/>
        <v>46483.210800000008</v>
      </c>
      <c r="G40" s="194">
        <f t="shared" si="7"/>
        <v>49367.577888000007</v>
      </c>
      <c r="H40" s="194">
        <f t="shared" si="7"/>
        <v>51110.826727680003</v>
      </c>
      <c r="I40" s="144"/>
    </row>
    <row r="41" spans="1:9" s="8" customFormat="1" ht="15.75" thickBot="1" x14ac:dyDescent="0.3">
      <c r="A41" s="136">
        <v>59</v>
      </c>
      <c r="B41" s="152" t="s">
        <v>64</v>
      </c>
      <c r="C41" s="194">
        <v>0</v>
      </c>
      <c r="D41" s="194">
        <v>0</v>
      </c>
      <c r="E41" s="194">
        <v>0</v>
      </c>
      <c r="F41" s="194">
        <f t="shared" si="7"/>
        <v>0</v>
      </c>
      <c r="G41" s="194">
        <f t="shared" si="7"/>
        <v>0</v>
      </c>
      <c r="H41" s="194">
        <f t="shared" si="7"/>
        <v>0</v>
      </c>
      <c r="I41" s="144"/>
    </row>
    <row r="42" spans="1:9" s="8" customFormat="1" ht="15" x14ac:dyDescent="0.25">
      <c r="A42" s="244" t="s">
        <v>65</v>
      </c>
      <c r="B42" s="245"/>
      <c r="C42" s="199">
        <f t="shared" ref="C42:H42" si="8">+C9-C27</f>
        <v>-411381.92999999982</v>
      </c>
      <c r="D42" s="199">
        <f t="shared" si="8"/>
        <v>-17241.709999999846</v>
      </c>
      <c r="E42" s="199">
        <f t="shared" si="8"/>
        <v>235128.97999999998</v>
      </c>
      <c r="F42" s="200">
        <f t="shared" si="8"/>
        <v>331357.53679999989</v>
      </c>
      <c r="G42" s="200">
        <f t="shared" si="8"/>
        <v>185995.48564799991</v>
      </c>
      <c r="H42" s="200">
        <f t="shared" si="8"/>
        <v>269226.82888128003</v>
      </c>
      <c r="I42" s="153"/>
    </row>
    <row r="43" spans="1:9" s="8" customFormat="1" ht="15" x14ac:dyDescent="0.25">
      <c r="A43" s="236" t="s">
        <v>66</v>
      </c>
      <c r="B43" s="237"/>
      <c r="C43" s="201">
        <f>C44+C45</f>
        <v>4924404.18</v>
      </c>
      <c r="D43" s="201">
        <f>D44+D45</f>
        <v>3424924.41</v>
      </c>
      <c r="E43" s="201">
        <f>E44+E45</f>
        <v>2798224.92</v>
      </c>
      <c r="F43" s="201">
        <f t="shared" ref="F43:H43" si="9">F44+F45</f>
        <v>4005003.8967999998</v>
      </c>
      <c r="G43" s="201">
        <f t="shared" si="9"/>
        <v>3673743.5610719998</v>
      </c>
      <c r="H43" s="201">
        <f t="shared" si="9"/>
        <v>3771710.05603392</v>
      </c>
      <c r="I43" s="155"/>
    </row>
    <row r="44" spans="1:9" s="8" customFormat="1" ht="15" x14ac:dyDescent="0.25">
      <c r="A44" s="156">
        <v>24</v>
      </c>
      <c r="B44" s="157" t="s">
        <v>67</v>
      </c>
      <c r="C44" s="146">
        <v>86202.05</v>
      </c>
      <c r="D44" s="146">
        <v>29224.67</v>
      </c>
      <c r="E44" s="146">
        <v>53376.91</v>
      </c>
      <c r="F44" s="194">
        <v>52653.94</v>
      </c>
      <c r="G44" s="194">
        <f>(+E44+F44)/2*1.08</f>
        <v>57256.659000000007</v>
      </c>
      <c r="H44" s="194">
        <f t="shared" ref="F44:H45" si="10">(+E44+F44+G44)/3*1.08</f>
        <v>58783.503240000013</v>
      </c>
      <c r="I44" s="144"/>
    </row>
    <row r="45" spans="1:9" s="8" customFormat="1" ht="15" x14ac:dyDescent="0.25">
      <c r="A45" s="156">
        <v>28</v>
      </c>
      <c r="B45" s="157" t="s">
        <v>68</v>
      </c>
      <c r="C45" s="146">
        <v>4838202.13</v>
      </c>
      <c r="D45" s="146">
        <f>74619.45+3321080.29</f>
        <v>3395699.74</v>
      </c>
      <c r="E45" s="146">
        <v>2744848.01</v>
      </c>
      <c r="F45" s="194">
        <f t="shared" si="10"/>
        <v>3952349.9567999998</v>
      </c>
      <c r="G45" s="194">
        <f>(E45+F45)/2*1.08</f>
        <v>3616486.9020719999</v>
      </c>
      <c r="H45" s="194">
        <f t="shared" si="10"/>
        <v>3712926.55279392</v>
      </c>
      <c r="I45" s="144"/>
    </row>
    <row r="46" spans="1:9" s="8" customFormat="1" ht="15.75" thickBot="1" x14ac:dyDescent="0.3">
      <c r="A46" s="236" t="s">
        <v>69</v>
      </c>
      <c r="B46" s="235"/>
      <c r="C46" s="202">
        <f>+C47+C48+C49+C50+C59+C60+C67+C68+C69+C70</f>
        <v>4975608.4099999992</v>
      </c>
      <c r="D46" s="202">
        <f t="shared" ref="D46:H46" si="11">+D47+D48+D49+D50+D59+D60+D67+D68+D69+D70</f>
        <v>3054389.25</v>
      </c>
      <c r="E46" s="202">
        <f t="shared" si="11"/>
        <v>2969434.2399999998</v>
      </c>
      <c r="F46" s="202">
        <f>+F47+F48+F49+F50+F59+F60+F67+F68+F69+F70</f>
        <v>3097541.3432000005</v>
      </c>
      <c r="G46" s="202">
        <f t="shared" si="11"/>
        <v>3071468.9086426673</v>
      </c>
      <c r="H46" s="202">
        <f t="shared" si="11"/>
        <v>3262521.6055050269</v>
      </c>
      <c r="I46" s="154">
        <f t="shared" ref="I46" si="12">SUM(I48:I70)</f>
        <v>0</v>
      </c>
    </row>
    <row r="47" spans="1:9" s="8" customFormat="1" ht="15" x14ac:dyDescent="0.25">
      <c r="A47" s="136" t="s">
        <v>70</v>
      </c>
      <c r="B47" s="137" t="s">
        <v>71</v>
      </c>
      <c r="C47" s="194">
        <v>0</v>
      </c>
      <c r="D47" s="194">
        <v>0</v>
      </c>
      <c r="E47" s="194">
        <v>0</v>
      </c>
      <c r="F47" s="194">
        <f t="shared" ref="F47:H70" si="13">(+C47+D47+E47)/3*1.08</f>
        <v>0</v>
      </c>
      <c r="G47" s="194">
        <f t="shared" si="13"/>
        <v>0</v>
      </c>
      <c r="H47" s="194">
        <f t="shared" si="13"/>
        <v>0</v>
      </c>
      <c r="I47" s="144"/>
    </row>
    <row r="48" spans="1:9" s="8" customFormat="1" ht="15" x14ac:dyDescent="0.25">
      <c r="A48" s="136" t="s">
        <v>72</v>
      </c>
      <c r="B48" s="147" t="s">
        <v>73</v>
      </c>
      <c r="C48" s="194">
        <v>0</v>
      </c>
      <c r="D48" s="194">
        <v>0</v>
      </c>
      <c r="E48" s="194">
        <v>0</v>
      </c>
      <c r="F48" s="194">
        <f t="shared" si="13"/>
        <v>0</v>
      </c>
      <c r="G48" s="194">
        <f t="shared" si="13"/>
        <v>0</v>
      </c>
      <c r="H48" s="194">
        <f t="shared" si="13"/>
        <v>0</v>
      </c>
      <c r="I48" s="144"/>
    </row>
    <row r="49" spans="1:9" s="8" customFormat="1" ht="15" x14ac:dyDescent="0.25">
      <c r="A49" s="136" t="s">
        <v>74</v>
      </c>
      <c r="B49" s="147" t="s">
        <v>75</v>
      </c>
      <c r="C49" s="194">
        <v>0</v>
      </c>
      <c r="D49" s="194">
        <v>0</v>
      </c>
      <c r="E49" s="194">
        <v>0</v>
      </c>
      <c r="F49" s="194">
        <f t="shared" si="13"/>
        <v>0</v>
      </c>
      <c r="G49" s="194">
        <f t="shared" si="13"/>
        <v>0</v>
      </c>
      <c r="H49" s="194">
        <f t="shared" si="13"/>
        <v>0</v>
      </c>
      <c r="I49" s="144"/>
    </row>
    <row r="50" spans="1:9" s="8" customFormat="1" ht="15" x14ac:dyDescent="0.25">
      <c r="A50" s="136">
        <v>71</v>
      </c>
      <c r="B50" s="147" t="s">
        <v>76</v>
      </c>
      <c r="C50" s="194">
        <f>SUM(C51:C58)</f>
        <v>2144128.2999999998</v>
      </c>
      <c r="D50" s="194">
        <f t="shared" ref="D50:E50" si="14">SUM(D51:D58)</f>
        <v>1753210.9200000002</v>
      </c>
      <c r="E50" s="194">
        <f t="shared" si="14"/>
        <v>1463567.77</v>
      </c>
      <c r="F50" s="194">
        <f>SUM(F51:F58)</f>
        <v>1311367.0116000003</v>
      </c>
      <c r="G50" s="194">
        <f t="shared" ref="G50:H50" si="15">SUM(G51:G58)</f>
        <v>1417910.0212666665</v>
      </c>
      <c r="H50" s="194">
        <f t="shared" si="15"/>
        <v>1482105.7174736669</v>
      </c>
      <c r="I50" s="144"/>
    </row>
    <row r="51" spans="1:9" s="8" customFormat="1" ht="15" x14ac:dyDescent="0.25">
      <c r="A51" s="141">
        <v>7101</v>
      </c>
      <c r="B51" s="142" t="s">
        <v>52</v>
      </c>
      <c r="C51" s="145">
        <v>1350749.05</v>
      </c>
      <c r="D51" s="145">
        <f>85578.08+22894.47+37607.39+82692.35+683998.05</f>
        <v>912770.34000000008</v>
      </c>
      <c r="E51" s="146">
        <f>93999.96+680820.07</f>
        <v>774820.02999999991</v>
      </c>
      <c r="F51" s="194">
        <v>601527.77</v>
      </c>
      <c r="G51" s="194">
        <f>(+E51+F51)/2*1.08</f>
        <v>743227.81199999992</v>
      </c>
      <c r="H51" s="194">
        <f t="shared" si="13"/>
        <v>763047.22031999996</v>
      </c>
      <c r="I51" s="144"/>
    </row>
    <row r="52" spans="1:9" s="8" customFormat="1" ht="15" x14ac:dyDescent="0.25">
      <c r="A52" s="141">
        <v>7102</v>
      </c>
      <c r="B52" s="142" t="s">
        <v>53</v>
      </c>
      <c r="C52" s="145">
        <f>18565.75+5776.64+7806.74+16056+90369.09</f>
        <v>138574.22</v>
      </c>
      <c r="D52" s="145">
        <f>13936.07+3282.3+12593+14113.33+108279.08</f>
        <v>152203.78</v>
      </c>
      <c r="E52" s="146">
        <f>11573.14+105400.41</f>
        <v>116973.55</v>
      </c>
      <c r="F52" s="194">
        <v>100482.5</v>
      </c>
      <c r="G52" s="194">
        <f>(+E52+F52)/3*1.08</f>
        <v>78284.178</v>
      </c>
      <c r="H52" s="194">
        <f t="shared" si="13"/>
        <v>106466.48208</v>
      </c>
      <c r="I52" s="144"/>
    </row>
    <row r="53" spans="1:9" s="8" customFormat="1" ht="15" x14ac:dyDescent="0.25">
      <c r="A53" s="141">
        <v>7103</v>
      </c>
      <c r="B53" s="142" t="s">
        <v>54</v>
      </c>
      <c r="C53" s="145">
        <f>15430.6+390.3+5975.1+14368.25+69439.95</f>
        <v>105604.2</v>
      </c>
      <c r="D53" s="145">
        <f>16749.5+3640.65+7157.2+14952.4+76001.1</f>
        <v>118500.85</v>
      </c>
      <c r="E53" s="146">
        <f>83275.56+11232</f>
        <v>94507.56</v>
      </c>
      <c r="F53" s="194">
        <f t="shared" si="13"/>
        <v>114700.5396</v>
      </c>
      <c r="G53" s="194">
        <f>(E53+F53)/2*1.1</f>
        <v>115064.45478000001</v>
      </c>
      <c r="H53" s="194">
        <f t="shared" si="13"/>
        <v>116738.11957680003</v>
      </c>
      <c r="I53" s="144"/>
    </row>
    <row r="54" spans="1:9" s="8" customFormat="1" ht="15" x14ac:dyDescent="0.25">
      <c r="A54" s="141">
        <v>7104</v>
      </c>
      <c r="B54" s="142" t="s">
        <v>55</v>
      </c>
      <c r="C54" s="145">
        <f>914.91+4.38+141.77+1131.6+6683.59</f>
        <v>8876.25</v>
      </c>
      <c r="D54" s="145">
        <f>1907.77+97.28+300.66+1830.24+10906.72</f>
        <v>15042.669999999998</v>
      </c>
      <c r="E54" s="146">
        <f>2247.38+15024.28</f>
        <v>17271.66</v>
      </c>
      <c r="F54" s="194">
        <f t="shared" si="13"/>
        <v>14828.608800000002</v>
      </c>
      <c r="G54" s="194">
        <f t="shared" si="13"/>
        <v>16971.457968000002</v>
      </c>
      <c r="H54" s="194">
        <f t="shared" si="13"/>
        <v>17665.821636480003</v>
      </c>
      <c r="I54" s="144"/>
    </row>
    <row r="55" spans="1:9" s="8" customFormat="1" ht="15" x14ac:dyDescent="0.25">
      <c r="A55" s="141">
        <v>7105</v>
      </c>
      <c r="B55" s="142" t="s">
        <v>56</v>
      </c>
      <c r="C55" s="145">
        <v>100879.76</v>
      </c>
      <c r="D55" s="145">
        <f>81.6+91091.36+12515.82</f>
        <v>103688.78</v>
      </c>
      <c r="E55" s="146">
        <f>15766.73+203132.15</f>
        <v>218898.88</v>
      </c>
      <c r="F55" s="194">
        <v>135226.57</v>
      </c>
      <c r="G55" s="194">
        <f>(+E55+F55)/3*1.15</f>
        <v>135748.08916666664</v>
      </c>
      <c r="H55" s="194">
        <f>(+F55+G55)/2*1.1</f>
        <v>149036.06254166667</v>
      </c>
      <c r="I55" s="144"/>
    </row>
    <row r="56" spans="1:9" s="8" customFormat="1" ht="15" x14ac:dyDescent="0.25">
      <c r="A56" s="141">
        <v>7106</v>
      </c>
      <c r="B56" s="142" t="s">
        <v>57</v>
      </c>
      <c r="C56" s="145">
        <f>35599.98+10162.41+13075+27995.04+193510.81</f>
        <v>280343.24</v>
      </c>
      <c r="D56" s="145">
        <f>31114.03+8414.96+23906.44+19896.77+175777.64</f>
        <v>259109.84000000003</v>
      </c>
      <c r="E56" s="146">
        <f>16892.44+142380.85</f>
        <v>159273.29</v>
      </c>
      <c r="F56" s="194">
        <f t="shared" si="13"/>
        <v>251541.49320000006</v>
      </c>
      <c r="G56" s="194">
        <f t="shared" si="13"/>
        <v>241172.86435200003</v>
      </c>
      <c r="H56" s="194">
        <f t="shared" si="13"/>
        <v>234715.55311872007</v>
      </c>
      <c r="I56" s="144"/>
    </row>
    <row r="57" spans="1:9" s="8" customFormat="1" ht="15" x14ac:dyDescent="0.25">
      <c r="A57" s="141">
        <v>7107</v>
      </c>
      <c r="B57" s="142" t="s">
        <v>58</v>
      </c>
      <c r="C57" s="145">
        <v>159101.57999999999</v>
      </c>
      <c r="D57" s="145">
        <v>191894.66</v>
      </c>
      <c r="E57" s="146">
        <v>81822.8</v>
      </c>
      <c r="F57" s="194">
        <v>93059.53</v>
      </c>
      <c r="G57" s="194">
        <f>(E57+F57)/2</f>
        <v>87441.165000000008</v>
      </c>
      <c r="H57" s="194">
        <f t="shared" si="13"/>
        <v>94436.458199999994</v>
      </c>
      <c r="I57" s="144"/>
    </row>
    <row r="58" spans="1:9" s="8" customFormat="1" ht="15" x14ac:dyDescent="0.25">
      <c r="A58" s="141">
        <v>7199</v>
      </c>
      <c r="B58" s="142" t="s">
        <v>59</v>
      </c>
      <c r="C58" s="194">
        <v>0</v>
      </c>
      <c r="D58" s="194">
        <v>0</v>
      </c>
      <c r="E58" s="194">
        <v>0</v>
      </c>
      <c r="F58" s="194">
        <f t="shared" si="13"/>
        <v>0</v>
      </c>
      <c r="G58" s="194">
        <f t="shared" si="13"/>
        <v>0</v>
      </c>
      <c r="H58" s="194">
        <f t="shared" si="13"/>
        <v>0</v>
      </c>
      <c r="I58" s="144"/>
    </row>
    <row r="59" spans="1:9" s="8" customFormat="1" ht="15" x14ac:dyDescent="0.25">
      <c r="A59" s="136">
        <v>73</v>
      </c>
      <c r="B59" s="147" t="s">
        <v>77</v>
      </c>
      <c r="C59" s="145">
        <f>2108.79+252673.28+27891.95+40414.12+436169.46+642.75</f>
        <v>759900.35000000009</v>
      </c>
      <c r="D59" s="145">
        <f>3194.64+217439.6+32966.47+11289.99+416741.75</f>
        <v>681632.45</v>
      </c>
      <c r="E59" s="146">
        <f>212213.19+65.1+41432.63+580874.02</f>
        <v>834584.94000000006</v>
      </c>
      <c r="F59" s="194">
        <f t="shared" si="13"/>
        <v>819402.38640000019</v>
      </c>
      <c r="G59" s="194">
        <f t="shared" si="13"/>
        <v>840823.11950400018</v>
      </c>
      <c r="H59" s="194">
        <f t="shared" si="13"/>
        <v>898131.7605254401</v>
      </c>
      <c r="I59" s="144"/>
    </row>
    <row r="60" spans="1:9" s="8" customFormat="1" ht="15" x14ac:dyDescent="0.25">
      <c r="A60" s="136">
        <v>75</v>
      </c>
      <c r="B60" s="147" t="s">
        <v>78</v>
      </c>
      <c r="C60" s="143">
        <f t="shared" ref="C60:E60" si="16">SUM(C61:C66)</f>
        <v>1962743.85</v>
      </c>
      <c r="D60" s="143">
        <f t="shared" si="16"/>
        <v>502010.02</v>
      </c>
      <c r="E60" s="158">
        <f t="shared" si="16"/>
        <v>538577</v>
      </c>
      <c r="F60" s="194">
        <f>SUM(F61:F66)</f>
        <v>837504.47719999996</v>
      </c>
      <c r="G60" s="194">
        <f t="shared" si="13"/>
        <v>676112.93899200007</v>
      </c>
      <c r="H60" s="194">
        <f t="shared" si="13"/>
        <v>738789.98982912023</v>
      </c>
      <c r="I60" s="144"/>
    </row>
    <row r="61" spans="1:9" s="8" customFormat="1" ht="15" x14ac:dyDescent="0.25">
      <c r="A61" s="141">
        <v>7501</v>
      </c>
      <c r="B61" s="142" t="s">
        <v>79</v>
      </c>
      <c r="C61" s="145">
        <f>1099802.6+857174.44</f>
        <v>1956977.04</v>
      </c>
      <c r="D61" s="145">
        <f>467299.59+33680.43</f>
        <v>500980.02</v>
      </c>
      <c r="E61" s="146">
        <f>466904.77+54941.27</f>
        <v>521846.04000000004</v>
      </c>
      <c r="F61" s="194">
        <v>829034.48</v>
      </c>
      <c r="G61" s="194">
        <f t="shared" si="13"/>
        <v>666669.79440000001</v>
      </c>
      <c r="H61" s="194">
        <f t="shared" si="13"/>
        <v>726318.11318400013</v>
      </c>
      <c r="I61" s="144"/>
    </row>
    <row r="62" spans="1:9" s="8" customFormat="1" ht="15" x14ac:dyDescent="0.25">
      <c r="A62" s="141">
        <v>7502</v>
      </c>
      <c r="B62" s="142" t="s">
        <v>80</v>
      </c>
      <c r="C62" s="194">
        <v>0</v>
      </c>
      <c r="D62" s="194">
        <v>0</v>
      </c>
      <c r="E62" s="194">
        <v>0</v>
      </c>
      <c r="F62" s="194">
        <f t="shared" si="13"/>
        <v>0</v>
      </c>
      <c r="G62" s="194">
        <f t="shared" si="13"/>
        <v>0</v>
      </c>
      <c r="H62" s="194">
        <f t="shared" si="13"/>
        <v>0</v>
      </c>
      <c r="I62" s="144"/>
    </row>
    <row r="63" spans="1:9" s="8" customFormat="1" ht="15" x14ac:dyDescent="0.25">
      <c r="A63" s="141">
        <v>7503</v>
      </c>
      <c r="B63" s="142" t="s">
        <v>81</v>
      </c>
      <c r="C63" s="194">
        <v>0</v>
      </c>
      <c r="D63" s="194">
        <v>0</v>
      </c>
      <c r="E63" s="194">
        <v>0</v>
      </c>
      <c r="F63" s="194">
        <f t="shared" si="13"/>
        <v>0</v>
      </c>
      <c r="G63" s="194">
        <f t="shared" si="13"/>
        <v>0</v>
      </c>
      <c r="H63" s="194">
        <f t="shared" si="13"/>
        <v>0</v>
      </c>
      <c r="I63" s="144"/>
    </row>
    <row r="64" spans="1:9" s="8" customFormat="1" ht="15" x14ac:dyDescent="0.25">
      <c r="A64" s="141">
        <v>7504</v>
      </c>
      <c r="B64" s="142" t="s">
        <v>82</v>
      </c>
      <c r="C64" s="194">
        <v>0</v>
      </c>
      <c r="D64" s="194">
        <v>0</v>
      </c>
      <c r="E64" s="194">
        <v>0</v>
      </c>
      <c r="F64" s="194">
        <f t="shared" si="13"/>
        <v>0</v>
      </c>
      <c r="G64" s="194">
        <f t="shared" si="13"/>
        <v>0</v>
      </c>
      <c r="H64" s="194">
        <f t="shared" si="13"/>
        <v>0</v>
      </c>
      <c r="I64" s="144"/>
    </row>
    <row r="65" spans="1:9" s="8" customFormat="1" ht="15" x14ac:dyDescent="0.25">
      <c r="A65" s="141">
        <v>7505</v>
      </c>
      <c r="B65" s="142" t="s">
        <v>83</v>
      </c>
      <c r="C65" s="146">
        <v>5766.81</v>
      </c>
      <c r="D65" s="149">
        <v>1030</v>
      </c>
      <c r="E65" s="146">
        <v>16730.96</v>
      </c>
      <c r="F65" s="194">
        <f t="shared" si="13"/>
        <v>8469.9972000000016</v>
      </c>
      <c r="G65" s="194">
        <f t="shared" si="13"/>
        <v>9443.1445920000024</v>
      </c>
      <c r="H65" s="194">
        <f t="shared" si="13"/>
        <v>12471.876645120001</v>
      </c>
      <c r="I65" s="144"/>
    </row>
    <row r="66" spans="1:9" s="8" customFormat="1" ht="15" x14ac:dyDescent="0.25">
      <c r="A66" s="141">
        <v>7599</v>
      </c>
      <c r="B66" s="142" t="s">
        <v>59</v>
      </c>
      <c r="C66" s="194">
        <v>0</v>
      </c>
      <c r="D66" s="194">
        <v>0</v>
      </c>
      <c r="E66" s="194">
        <v>0</v>
      </c>
      <c r="F66" s="194">
        <f t="shared" si="13"/>
        <v>0</v>
      </c>
      <c r="G66" s="194">
        <f t="shared" si="13"/>
        <v>0</v>
      </c>
      <c r="H66" s="194">
        <f t="shared" si="13"/>
        <v>0</v>
      </c>
      <c r="I66" s="144"/>
    </row>
    <row r="67" spans="1:9" s="8" customFormat="1" ht="15" x14ac:dyDescent="0.25">
      <c r="A67" s="136">
        <v>77</v>
      </c>
      <c r="B67" s="159" t="s">
        <v>84</v>
      </c>
      <c r="C67" s="146">
        <v>62799.64</v>
      </c>
      <c r="D67" s="146">
        <v>30771.8</v>
      </c>
      <c r="E67" s="146">
        <v>24015.48</v>
      </c>
      <c r="F67" s="194">
        <f t="shared" si="13"/>
        <v>42331.2912</v>
      </c>
      <c r="G67" s="194">
        <f t="shared" si="13"/>
        <v>34962.685632000001</v>
      </c>
      <c r="H67" s="194">
        <f t="shared" si="13"/>
        <v>36471.404459520003</v>
      </c>
      <c r="I67" s="144"/>
    </row>
    <row r="68" spans="1:9" s="8" customFormat="1" ht="15" x14ac:dyDescent="0.25">
      <c r="A68" s="136">
        <v>78</v>
      </c>
      <c r="B68" s="147" t="s">
        <v>85</v>
      </c>
      <c r="C68" s="194">
        <v>0</v>
      </c>
      <c r="D68" s="194">
        <v>0</v>
      </c>
      <c r="E68" s="146">
        <v>50000</v>
      </c>
      <c r="F68" s="194">
        <f t="shared" si="13"/>
        <v>18000.000000000004</v>
      </c>
      <c r="G68" s="194">
        <f t="shared" si="13"/>
        <v>24480.000000000004</v>
      </c>
      <c r="H68" s="194">
        <f t="shared" si="13"/>
        <v>33292.800000000003</v>
      </c>
      <c r="I68" s="144"/>
    </row>
    <row r="69" spans="1:9" s="8" customFormat="1" ht="15" x14ac:dyDescent="0.25">
      <c r="A69" s="136">
        <v>84</v>
      </c>
      <c r="B69" s="147" t="s">
        <v>86</v>
      </c>
      <c r="C69" s="146">
        <f>17161.34+7575.83+2820.5+18478.6</f>
        <v>46036.27</v>
      </c>
      <c r="D69" s="146">
        <f>19333.79+869.93+2000+64560.34</f>
        <v>86764.06</v>
      </c>
      <c r="E69" s="146">
        <f>1230.04+2275.86+1865.34+37817.81+15500</f>
        <v>58689.049999999996</v>
      </c>
      <c r="F69" s="194">
        <f t="shared" si="13"/>
        <v>68936.176800000001</v>
      </c>
      <c r="G69" s="194">
        <f t="shared" si="13"/>
        <v>77180.143248000008</v>
      </c>
      <c r="H69" s="194">
        <f t="shared" si="13"/>
        <v>73729.933217280006</v>
      </c>
      <c r="I69" s="144"/>
    </row>
    <row r="70" spans="1:9" s="8" customFormat="1" ht="15.75" thickBot="1" x14ac:dyDescent="0.3">
      <c r="A70" s="136">
        <v>88</v>
      </c>
      <c r="B70" s="152" t="s">
        <v>87</v>
      </c>
      <c r="C70" s="194">
        <v>0</v>
      </c>
      <c r="D70" s="194">
        <v>0</v>
      </c>
      <c r="E70" s="194">
        <v>0</v>
      </c>
      <c r="F70" s="194">
        <f t="shared" si="13"/>
        <v>0</v>
      </c>
      <c r="G70" s="194">
        <f t="shared" si="13"/>
        <v>0</v>
      </c>
      <c r="H70" s="194">
        <f t="shared" si="13"/>
        <v>0</v>
      </c>
      <c r="I70" s="144"/>
    </row>
    <row r="71" spans="1:9" s="8" customFormat="1" ht="15" x14ac:dyDescent="0.25">
      <c r="A71" s="244" t="s">
        <v>88</v>
      </c>
      <c r="B71" s="245"/>
      <c r="C71" s="203">
        <f>C43-C46</f>
        <v>-51204.229999999516</v>
      </c>
      <c r="D71" s="203">
        <f>D43-D46</f>
        <v>370535.16000000015</v>
      </c>
      <c r="E71" s="203">
        <f>E43-E46</f>
        <v>-171209.31999999983</v>
      </c>
      <c r="F71" s="203">
        <f t="shared" ref="F71:H71" si="17">F43-F46</f>
        <v>907462.55359999929</v>
      </c>
      <c r="G71" s="203">
        <f t="shared" si="17"/>
        <v>602274.65242933249</v>
      </c>
      <c r="H71" s="203">
        <f t="shared" si="17"/>
        <v>509188.45052889315</v>
      </c>
      <c r="I71" s="160"/>
    </row>
    <row r="72" spans="1:9" s="8" customFormat="1" ht="15" x14ac:dyDescent="0.25">
      <c r="A72" s="232" t="s">
        <v>89</v>
      </c>
      <c r="B72" s="233"/>
      <c r="C72" s="162">
        <f>C42+C71</f>
        <v>-462586.15999999933</v>
      </c>
      <c r="D72" s="162">
        <f>D42+D71</f>
        <v>353293.4500000003</v>
      </c>
      <c r="E72" s="162">
        <f>E42+E71</f>
        <v>63919.660000000149</v>
      </c>
      <c r="F72" s="161">
        <f>+F42+F71</f>
        <v>1238820.0903999992</v>
      </c>
      <c r="G72" s="161">
        <f>+G42+G71</f>
        <v>788270.13807733241</v>
      </c>
      <c r="H72" s="161">
        <f>+H42+H71</f>
        <v>778415.27941017319</v>
      </c>
      <c r="I72" s="161"/>
    </row>
    <row r="73" spans="1:9" s="8" customFormat="1" ht="15" x14ac:dyDescent="0.25">
      <c r="A73" s="234" t="s">
        <v>90</v>
      </c>
      <c r="B73" s="235"/>
      <c r="C73" s="154">
        <f>C74+C75+C76+C77</f>
        <v>440377.22000000003</v>
      </c>
      <c r="D73" s="154">
        <f>D74+D75+D76+D77</f>
        <v>226130.92</v>
      </c>
      <c r="E73" s="154">
        <f>E74+E75+E76+E77</f>
        <v>215541.7</v>
      </c>
      <c r="F73" s="154">
        <f>F74+F75+F76+F77</f>
        <v>789065.73</v>
      </c>
      <c r="G73" s="154">
        <f t="shared" ref="G73:H73" si="18">G74+G75+G76+G77</f>
        <v>443065.8060000001</v>
      </c>
      <c r="H73" s="154">
        <f t="shared" si="18"/>
        <v>521162.36496000009</v>
      </c>
      <c r="I73" s="155"/>
    </row>
    <row r="74" spans="1:9" s="8" customFormat="1" ht="15" x14ac:dyDescent="0.25">
      <c r="A74" s="163">
        <v>27</v>
      </c>
      <c r="B74" s="157" t="s">
        <v>91</v>
      </c>
      <c r="C74" s="194">
        <v>0</v>
      </c>
      <c r="D74" s="194">
        <v>0</v>
      </c>
      <c r="E74" s="194">
        <v>0</v>
      </c>
      <c r="F74" s="194">
        <f t="shared" ref="F74:H82" si="19">(+C74+D74+E74)/3*1.08</f>
        <v>0</v>
      </c>
      <c r="G74" s="194">
        <f t="shared" si="19"/>
        <v>0</v>
      </c>
      <c r="H74" s="194">
        <f t="shared" si="19"/>
        <v>0</v>
      </c>
      <c r="I74" s="144"/>
    </row>
    <row r="75" spans="1:9" s="8" customFormat="1" ht="15" x14ac:dyDescent="0.25">
      <c r="A75" s="164">
        <v>36</v>
      </c>
      <c r="B75" s="165" t="s">
        <v>92</v>
      </c>
      <c r="C75" s="145">
        <v>154780.57</v>
      </c>
      <c r="D75" s="194">
        <v>0</v>
      </c>
      <c r="E75" s="146">
        <v>103470.54</v>
      </c>
      <c r="F75" s="194">
        <v>498306.97</v>
      </c>
      <c r="G75" s="194">
        <f t="shared" si="19"/>
        <v>216639.90360000002</v>
      </c>
      <c r="H75" s="194">
        <f t="shared" si="19"/>
        <v>294630.26889600005</v>
      </c>
      <c r="I75" s="144"/>
    </row>
    <row r="76" spans="1:9" s="8" customFormat="1" ht="15" x14ac:dyDescent="0.25">
      <c r="A76" s="156">
        <v>37</v>
      </c>
      <c r="B76" s="157" t="s">
        <v>378</v>
      </c>
      <c r="C76" s="194">
        <v>0</v>
      </c>
      <c r="D76" s="194">
        <v>0</v>
      </c>
      <c r="E76" s="194">
        <v>0</v>
      </c>
      <c r="F76" s="194">
        <f t="shared" si="19"/>
        <v>0</v>
      </c>
      <c r="G76" s="194">
        <f t="shared" si="19"/>
        <v>0</v>
      </c>
      <c r="H76" s="194">
        <f t="shared" si="19"/>
        <v>0</v>
      </c>
      <c r="I76" s="144"/>
    </row>
    <row r="77" spans="1:9" s="8" customFormat="1" ht="15" x14ac:dyDescent="0.25">
      <c r="A77" s="156">
        <v>38</v>
      </c>
      <c r="B77" s="157" t="s">
        <v>93</v>
      </c>
      <c r="C77" s="145">
        <v>285596.65000000002</v>
      </c>
      <c r="D77" s="146">
        <v>226130.92</v>
      </c>
      <c r="E77" s="146">
        <v>112071.16</v>
      </c>
      <c r="F77" s="194">
        <v>290758.76</v>
      </c>
      <c r="G77" s="194">
        <f t="shared" si="19"/>
        <v>226425.90240000005</v>
      </c>
      <c r="H77" s="194">
        <f t="shared" si="19"/>
        <v>226532.09606400004</v>
      </c>
      <c r="I77" s="144"/>
    </row>
    <row r="78" spans="1:9" s="8" customFormat="1" ht="15" x14ac:dyDescent="0.25">
      <c r="A78" s="236" t="s">
        <v>94</v>
      </c>
      <c r="B78" s="237"/>
      <c r="C78" s="154">
        <f>C79+C80+C81+C82</f>
        <v>288197.83</v>
      </c>
      <c r="D78" s="154">
        <f>D79+D80+D81+D82</f>
        <v>231091.24</v>
      </c>
      <c r="E78" s="154">
        <f t="shared" ref="E78:H78" si="20">E79+E80+E81+E82</f>
        <v>218985.42</v>
      </c>
      <c r="F78" s="154">
        <f t="shared" si="20"/>
        <v>275355.33999999997</v>
      </c>
      <c r="G78" s="154">
        <f t="shared" si="20"/>
        <v>261155.52000000005</v>
      </c>
      <c r="H78" s="154">
        <f t="shared" si="20"/>
        <v>271978.66080000001</v>
      </c>
      <c r="I78" s="155"/>
    </row>
    <row r="79" spans="1:9" s="8" customFormat="1" ht="15" x14ac:dyDescent="0.25">
      <c r="A79" s="156">
        <v>87</v>
      </c>
      <c r="B79" s="157" t="s">
        <v>95</v>
      </c>
      <c r="C79" s="194">
        <v>0</v>
      </c>
      <c r="D79" s="194">
        <v>0</v>
      </c>
      <c r="E79" s="194">
        <v>0</v>
      </c>
      <c r="F79" s="194">
        <f t="shared" si="19"/>
        <v>0</v>
      </c>
      <c r="G79" s="194">
        <f t="shared" si="19"/>
        <v>0</v>
      </c>
      <c r="H79" s="194">
        <f t="shared" si="19"/>
        <v>0</v>
      </c>
      <c r="I79" s="144"/>
    </row>
    <row r="80" spans="1:9" s="8" customFormat="1" ht="15" x14ac:dyDescent="0.25">
      <c r="A80" s="156">
        <v>96</v>
      </c>
      <c r="B80" s="157" t="s">
        <v>96</v>
      </c>
      <c r="C80" s="146">
        <v>228618.19</v>
      </c>
      <c r="D80" s="146">
        <v>228901.24</v>
      </c>
      <c r="E80" s="146">
        <v>218985.42</v>
      </c>
      <c r="F80" s="194">
        <v>224507.4</v>
      </c>
      <c r="G80" s="194">
        <f t="shared" si="19"/>
        <v>242061.86160000003</v>
      </c>
      <c r="H80" s="194">
        <f t="shared" si="19"/>
        <v>246799.68537600001</v>
      </c>
      <c r="I80" s="144"/>
    </row>
    <row r="81" spans="1:9" s="8" customFormat="1" ht="15" x14ac:dyDescent="0.25">
      <c r="A81" s="156">
        <v>97</v>
      </c>
      <c r="B81" s="157" t="s">
        <v>97</v>
      </c>
      <c r="C81" s="146">
        <v>59579.64</v>
      </c>
      <c r="D81" s="149">
        <v>2190</v>
      </c>
      <c r="E81" s="194">
        <v>0</v>
      </c>
      <c r="F81" s="194">
        <v>50847.94</v>
      </c>
      <c r="G81" s="194">
        <f t="shared" si="19"/>
        <v>19093.658400000004</v>
      </c>
      <c r="H81" s="194">
        <f t="shared" si="19"/>
        <v>25178.975424</v>
      </c>
      <c r="I81" s="144"/>
    </row>
    <row r="82" spans="1:9" s="8" customFormat="1" ht="15.75" thickBot="1" x14ac:dyDescent="0.3">
      <c r="A82" s="166">
        <v>99</v>
      </c>
      <c r="B82" s="167" t="s">
        <v>98</v>
      </c>
      <c r="C82" s="194">
        <v>0</v>
      </c>
      <c r="D82" s="194">
        <v>0</v>
      </c>
      <c r="E82" s="194">
        <v>0</v>
      </c>
      <c r="F82" s="194">
        <f t="shared" si="19"/>
        <v>0</v>
      </c>
      <c r="G82" s="194">
        <f t="shared" si="19"/>
        <v>0</v>
      </c>
      <c r="H82" s="194">
        <f t="shared" si="19"/>
        <v>0</v>
      </c>
      <c r="I82" s="144"/>
    </row>
    <row r="83" spans="1:9" s="8" customFormat="1" ht="15.75" thickBot="1" x14ac:dyDescent="0.3">
      <c r="A83" s="238" t="s">
        <v>99</v>
      </c>
      <c r="B83" s="239"/>
      <c r="C83" s="168">
        <f t="shared" ref="C83:H83" si="21">+C73-C78</f>
        <v>152179.39000000001</v>
      </c>
      <c r="D83" s="168">
        <f t="shared" si="21"/>
        <v>-4960.3199999999779</v>
      </c>
      <c r="E83" s="168">
        <f t="shared" si="21"/>
        <v>-3443.7200000000012</v>
      </c>
      <c r="F83" s="204">
        <f t="shared" si="21"/>
        <v>513710.39</v>
      </c>
      <c r="G83" s="204">
        <f t="shared" si="21"/>
        <v>181910.28600000005</v>
      </c>
      <c r="H83" s="204">
        <f t="shared" si="21"/>
        <v>249183.70416000008</v>
      </c>
      <c r="I83" s="168"/>
    </row>
    <row r="84" spans="1:9" s="11" customFormat="1" ht="15" x14ac:dyDescent="0.25">
      <c r="A84" s="9"/>
      <c r="B84" s="9"/>
      <c r="C84" s="10"/>
      <c r="D84" s="10"/>
      <c r="E84" s="10"/>
      <c r="F84" s="10"/>
      <c r="G84" s="10"/>
      <c r="H84" s="10"/>
    </row>
    <row r="85" spans="1:9" s="11" customFormat="1" ht="15.75" thickBot="1" x14ac:dyDescent="0.3">
      <c r="A85" s="169" t="s">
        <v>100</v>
      </c>
      <c r="B85" s="170"/>
      <c r="C85" s="171"/>
      <c r="D85" s="170"/>
      <c r="E85" s="170"/>
      <c r="F85" s="170"/>
      <c r="G85" s="170"/>
      <c r="H85" s="170"/>
    </row>
    <row r="86" spans="1:9" s="11" customFormat="1" ht="15" x14ac:dyDescent="0.25">
      <c r="A86" s="240" t="s">
        <v>414</v>
      </c>
      <c r="B86" s="241"/>
      <c r="C86" s="205">
        <v>0.62339999999999995</v>
      </c>
      <c r="D86" s="205">
        <v>0.50600000000000001</v>
      </c>
      <c r="E86" s="206">
        <v>0.45839999999999997</v>
      </c>
      <c r="F86" s="205">
        <v>0.43459999999999999</v>
      </c>
      <c r="G86" s="205">
        <v>0.46179999999999999</v>
      </c>
      <c r="H86" s="205">
        <v>0.45200000000000001</v>
      </c>
    </row>
    <row r="87" spans="1:9" s="11" customFormat="1" ht="15.75" thickBot="1" x14ac:dyDescent="0.3">
      <c r="A87" s="242" t="s">
        <v>414</v>
      </c>
      <c r="B87" s="243"/>
      <c r="C87" s="207">
        <v>0.50260000000000005</v>
      </c>
      <c r="D87" s="207">
        <v>0.47139999999999999</v>
      </c>
      <c r="E87" s="207">
        <v>0.51480000000000004</v>
      </c>
      <c r="F87" s="207">
        <v>0.43609999999999999</v>
      </c>
      <c r="G87" s="207">
        <v>0.45200000000000001</v>
      </c>
      <c r="H87" s="207">
        <v>0.46379999999999999</v>
      </c>
    </row>
    <row r="88" spans="1:9" s="11" customFormat="1" ht="15" x14ac:dyDescent="0.25">
      <c r="A88" s="9"/>
      <c r="B88" s="9"/>
      <c r="C88" s="10"/>
      <c r="D88" s="10"/>
      <c r="E88" s="10"/>
      <c r="F88" s="10"/>
      <c r="G88" s="10"/>
      <c r="H88" s="10"/>
    </row>
    <row r="89" spans="1:9" s="8" customFormat="1" ht="15" x14ac:dyDescent="0.25">
      <c r="A89" s="127" t="s">
        <v>110</v>
      </c>
    </row>
    <row r="90" spans="1:9" s="8" customFormat="1" ht="15" x14ac:dyDescent="0.25">
      <c r="A90" s="127" t="s">
        <v>101</v>
      </c>
    </row>
    <row r="91" spans="1:9" s="8" customFormat="1" ht="15" x14ac:dyDescent="0.25">
      <c r="A91" s="127" t="s">
        <v>102</v>
      </c>
    </row>
    <row r="92" spans="1:9" s="8" customFormat="1" ht="15" x14ac:dyDescent="0.25">
      <c r="A92" s="127" t="s">
        <v>109</v>
      </c>
    </row>
    <row r="93" spans="1:9" s="8" customFormat="1" ht="15" x14ac:dyDescent="0.25"/>
    <row r="94" spans="1:9" s="8" customFormat="1" ht="15" x14ac:dyDescent="0.25">
      <c r="F94" s="208"/>
      <c r="G94" s="208"/>
    </row>
    <row r="95" spans="1:9" s="8" customFormat="1" ht="15" x14ac:dyDescent="0.25">
      <c r="G95" s="208"/>
    </row>
    <row r="96" spans="1:9" s="8" customFormat="1" ht="15" x14ac:dyDescent="0.25">
      <c r="A96" s="209"/>
      <c r="B96" s="209"/>
      <c r="C96" s="209"/>
      <c r="D96" s="209"/>
      <c r="E96" s="209"/>
    </row>
    <row r="97" spans="1:6" s="8" customFormat="1" ht="15" x14ac:dyDescent="0.25">
      <c r="A97" s="213" t="s">
        <v>379</v>
      </c>
      <c r="B97" s="213"/>
      <c r="C97" s="213" t="s">
        <v>380</v>
      </c>
      <c r="D97" s="213"/>
      <c r="E97" s="213"/>
      <c r="F97" s="210"/>
    </row>
    <row r="98" spans="1:6" s="8" customFormat="1" ht="15" x14ac:dyDescent="0.25">
      <c r="A98" s="12" t="s">
        <v>381</v>
      </c>
      <c r="B98" s="172" t="s">
        <v>382</v>
      </c>
      <c r="C98" s="12" t="s">
        <v>383</v>
      </c>
      <c r="F98" s="208"/>
    </row>
    <row r="99" spans="1:6" s="8" customFormat="1" ht="15" x14ac:dyDescent="0.25"/>
    <row r="100" spans="1:6" s="8" customFormat="1" ht="15" x14ac:dyDescent="0.25">
      <c r="A100" s="12" t="s">
        <v>415</v>
      </c>
    </row>
    <row r="101" spans="1:6" s="8" customFormat="1" ht="15" x14ac:dyDescent="0.25">
      <c r="A101" s="12"/>
    </row>
    <row r="102" spans="1:6" s="8" customFormat="1" ht="15" x14ac:dyDescent="0.25">
      <c r="F102" s="211"/>
    </row>
    <row r="103" spans="1:6" s="8" customFormat="1" ht="15" x14ac:dyDescent="0.25">
      <c r="A103" s="175"/>
      <c r="F103" s="211"/>
    </row>
    <row r="104" spans="1:6" s="8" customFormat="1" ht="15" x14ac:dyDescent="0.25"/>
    <row r="105" spans="1:6" s="8" customFormat="1" ht="15" x14ac:dyDescent="0.25"/>
    <row r="106" spans="1:6" s="8" customFormat="1" ht="15" x14ac:dyDescent="0.25">
      <c r="A106" s="172"/>
      <c r="B106" s="172"/>
    </row>
    <row r="107" spans="1:6" s="8" customFormat="1" ht="15" x14ac:dyDescent="0.25">
      <c r="A107" s="172"/>
      <c r="B107" s="172"/>
      <c r="E107" s="208"/>
    </row>
    <row r="108" spans="1:6" s="8" customFormat="1" ht="15" x14ac:dyDescent="0.25">
      <c r="A108" s="212"/>
      <c r="B108" s="172"/>
      <c r="E108" s="208"/>
    </row>
    <row r="109" spans="1:6" s="8" customFormat="1" ht="15" x14ac:dyDescent="0.25">
      <c r="A109" s="172"/>
      <c r="B109" s="172"/>
    </row>
  </sheetData>
  <mergeCells count="21">
    <mergeCell ref="A71:B71"/>
    <mergeCell ref="A1:I1"/>
    <mergeCell ref="A2:I2"/>
    <mergeCell ref="A4:G4"/>
    <mergeCell ref="A5:G5"/>
    <mergeCell ref="A6:E7"/>
    <mergeCell ref="F6:H7"/>
    <mergeCell ref="I6:I8"/>
    <mergeCell ref="A9:B9"/>
    <mergeCell ref="A27:B27"/>
    <mergeCell ref="A42:B42"/>
    <mergeCell ref="A43:B43"/>
    <mergeCell ref="A46:B46"/>
    <mergeCell ref="A97:B97"/>
    <mergeCell ref="C97:E97"/>
    <mergeCell ref="A72:B72"/>
    <mergeCell ref="A73:B73"/>
    <mergeCell ref="A78:B78"/>
    <mergeCell ref="A83:B83"/>
    <mergeCell ref="A86:B86"/>
    <mergeCell ref="A87:B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lastPrinted>2018-01-14T15:50:38Z</cp:lastPrinted>
  <dcterms:created xsi:type="dcterms:W3CDTF">2001-11-14T15:50:59Z</dcterms:created>
  <dcterms:modified xsi:type="dcterms:W3CDTF">2018-01-15T02:10:54Z</dcterms:modified>
</cp:coreProperties>
</file>