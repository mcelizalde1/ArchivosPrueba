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5600" windowHeight="7995"/>
  </bookViews>
  <sheets>
    <sheet name="REFOR TRAB 2014" sheetId="1" r:id="rId1"/>
    <sheet name="REFOR TRAB 2014 ACTUALMENTE" sheetId="8" r:id="rId2"/>
    <sheet name="CUADRO DEMOSTRATIVO" sheetId="3" r:id="rId3"/>
    <sheet name="INGRESOS CNEL" sheetId="10" r:id="rId4"/>
  </sheets>
  <definedNames>
    <definedName name="_xlnm._FilterDatabase" localSheetId="0" hidden="1">'REFOR TRAB 2014'!$A$92:$D$202</definedName>
    <definedName name="_xlnm._FilterDatabase" localSheetId="1" hidden="1">'REFOR TRAB 2014 ACTUALMENTE'!$A$93:$C$201</definedName>
    <definedName name="_xlnm.Print_Area" localSheetId="0">'REFOR TRAB 2014'!$A$1:$W$236</definedName>
    <definedName name="_xlnm.Print_Area" localSheetId="1">'REFOR TRAB 2014 ACTUALMENTE'!$A$1:$Q$233</definedName>
  </definedNames>
  <calcPr calcId="144525"/>
</workbook>
</file>

<file path=xl/calcChain.xml><?xml version="1.0" encoding="utf-8"?>
<calcChain xmlns="http://schemas.openxmlformats.org/spreadsheetml/2006/main">
  <c r="J213" i="8" l="1"/>
  <c r="J95" i="8"/>
  <c r="J62" i="8"/>
  <c r="J3" i="8"/>
  <c r="Q211" i="1"/>
  <c r="Q96" i="1"/>
  <c r="Q64" i="1"/>
  <c r="R213" i="1" l="1"/>
  <c r="R214" i="1"/>
  <c r="R215" i="1"/>
  <c r="R216" i="1"/>
  <c r="R217" i="1"/>
  <c r="R218" i="1"/>
  <c r="R219" i="1"/>
  <c r="R220" i="1"/>
  <c r="R212" i="1"/>
  <c r="P213" i="1"/>
  <c r="P212" i="1"/>
  <c r="H52" i="1" l="1"/>
  <c r="P214" i="1"/>
  <c r="P215" i="1"/>
  <c r="P216" i="1"/>
  <c r="P217" i="1"/>
  <c r="P218" i="1"/>
  <c r="P219" i="1"/>
  <c r="P220" i="1"/>
  <c r="U213" i="1"/>
  <c r="U214" i="1"/>
  <c r="U215" i="1"/>
  <c r="U216" i="1"/>
  <c r="U217" i="1"/>
  <c r="U218" i="1"/>
  <c r="U219" i="1"/>
  <c r="U220" i="1"/>
  <c r="U212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97" i="1"/>
  <c r="U85" i="1"/>
  <c r="T79" i="1"/>
  <c r="U83" i="1"/>
  <c r="U65" i="1"/>
  <c r="P100" i="1"/>
  <c r="T65" i="1"/>
  <c r="S65" i="1"/>
  <c r="P70" i="1"/>
  <c r="R71" i="1"/>
  <c r="P98" i="1"/>
  <c r="P99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97" i="1"/>
  <c r="R65" i="1"/>
  <c r="J65" i="1"/>
  <c r="P65" i="1"/>
  <c r="V4" i="1"/>
  <c r="R4" i="1"/>
  <c r="P4" i="1"/>
  <c r="I4" i="1"/>
  <c r="H63" i="8"/>
  <c r="K63" i="8" s="1"/>
  <c r="I63" i="8" l="1"/>
  <c r="D8" i="10" l="1"/>
  <c r="D7" i="10"/>
  <c r="D6" i="10"/>
  <c r="D5" i="10"/>
  <c r="D4" i="10"/>
  <c r="D6" i="3" l="1"/>
  <c r="B8" i="10"/>
  <c r="C8" i="10"/>
  <c r="D3" i="3"/>
  <c r="D4" i="3"/>
  <c r="D5" i="3"/>
  <c r="D7" i="3"/>
  <c r="D8" i="3"/>
  <c r="D9" i="3"/>
  <c r="D10" i="3"/>
  <c r="D11" i="3"/>
  <c r="D12" i="3"/>
  <c r="D13" i="3"/>
  <c r="D14" i="3"/>
  <c r="D15" i="3"/>
  <c r="D16" i="3"/>
  <c r="E65" i="1"/>
  <c r="E4" i="1"/>
  <c r="B17" i="3"/>
  <c r="C17" i="3"/>
  <c r="G202" i="8"/>
  <c r="F202" i="8"/>
  <c r="E202" i="8"/>
  <c r="G85" i="8"/>
  <c r="F85" i="8"/>
  <c r="E85" i="8"/>
  <c r="E52" i="8"/>
  <c r="G52" i="8"/>
  <c r="F52" i="8"/>
  <c r="H214" i="1"/>
  <c r="I212" i="1"/>
  <c r="D17" i="3" l="1"/>
  <c r="F201" i="1"/>
  <c r="F200" i="1"/>
  <c r="F199" i="1"/>
  <c r="F196" i="1"/>
  <c r="F194" i="1"/>
  <c r="F191" i="1"/>
  <c r="F190" i="1"/>
  <c r="F188" i="1"/>
  <c r="F187" i="1"/>
  <c r="F186" i="1"/>
  <c r="F183" i="1"/>
  <c r="F181" i="1"/>
  <c r="F180" i="1"/>
  <c r="F176" i="1"/>
  <c r="F173" i="1"/>
  <c r="F172" i="1"/>
  <c r="F170" i="1"/>
  <c r="F165" i="1"/>
  <c r="F163" i="1"/>
  <c r="F158" i="1"/>
  <c r="F156" i="1"/>
  <c r="F154" i="1"/>
  <c r="F152" i="1"/>
  <c r="F150" i="1"/>
  <c r="F148" i="1"/>
  <c r="F146" i="1"/>
  <c r="F143" i="1"/>
  <c r="F141" i="1"/>
  <c r="F140" i="1"/>
  <c r="F138" i="1"/>
  <c r="F137" i="1"/>
  <c r="F135" i="1"/>
  <c r="F129" i="1"/>
  <c r="F125" i="1"/>
  <c r="F123" i="1"/>
  <c r="F121" i="1"/>
  <c r="F120" i="1"/>
  <c r="F119" i="1"/>
  <c r="F116" i="1"/>
  <c r="F115" i="1"/>
  <c r="F111" i="1"/>
  <c r="F109" i="1"/>
  <c r="F107" i="1"/>
  <c r="F106" i="1"/>
  <c r="F104" i="1"/>
  <c r="F103" i="1"/>
  <c r="F101" i="1"/>
  <c r="H202" i="1"/>
  <c r="H201" i="1"/>
  <c r="H196" i="1"/>
  <c r="H195" i="1"/>
  <c r="H194" i="1"/>
  <c r="H193" i="1"/>
  <c r="H192" i="1"/>
  <c r="H189" i="1"/>
  <c r="H188" i="1"/>
  <c r="H187" i="1"/>
  <c r="H181" i="1"/>
  <c r="H180" i="1"/>
  <c r="H179" i="1"/>
  <c r="H178" i="1"/>
  <c r="H177" i="1"/>
  <c r="H176" i="1"/>
  <c r="H175" i="1"/>
  <c r="H174" i="1"/>
  <c r="H171" i="1"/>
  <c r="H169" i="1"/>
  <c r="H168" i="1"/>
  <c r="H165" i="1"/>
  <c r="H164" i="1"/>
  <c r="H163" i="1"/>
  <c r="H162" i="1"/>
  <c r="H161" i="1"/>
  <c r="H160" i="1"/>
  <c r="H159" i="1"/>
  <c r="H157" i="1"/>
  <c r="H156" i="1"/>
  <c r="H155" i="1"/>
  <c r="H154" i="1"/>
  <c r="H152" i="1"/>
  <c r="H151" i="1"/>
  <c r="H146" i="1"/>
  <c r="H145" i="1"/>
  <c r="H144" i="1"/>
  <c r="H143" i="1"/>
  <c r="H141" i="1"/>
  <c r="H140" i="1"/>
  <c r="H136" i="1"/>
  <c r="H133" i="1"/>
  <c r="H130" i="1"/>
  <c r="H129" i="1"/>
  <c r="H128" i="1"/>
  <c r="H127" i="1"/>
  <c r="H126" i="1"/>
  <c r="H124" i="1"/>
  <c r="H123" i="1"/>
  <c r="H119" i="1"/>
  <c r="H118" i="1"/>
  <c r="H117" i="1"/>
  <c r="H116" i="1"/>
  <c r="H113" i="1"/>
  <c r="H112" i="1"/>
  <c r="H111" i="1"/>
  <c r="H110" i="1"/>
  <c r="H109" i="1"/>
  <c r="H108" i="1"/>
  <c r="H107" i="1"/>
  <c r="H105" i="1"/>
  <c r="H104" i="1"/>
  <c r="H103" i="1"/>
  <c r="H101" i="1"/>
  <c r="H100" i="1"/>
  <c r="H99" i="1"/>
  <c r="H98" i="1"/>
  <c r="G202" i="1"/>
  <c r="G201" i="1"/>
  <c r="G200" i="1"/>
  <c r="G199" i="1"/>
  <c r="G198" i="1"/>
  <c r="G197" i="1"/>
  <c r="G196" i="1"/>
  <c r="G195" i="1"/>
  <c r="G194" i="1"/>
  <c r="G193" i="1"/>
  <c r="G192" i="1"/>
  <c r="G190" i="1"/>
  <c r="G189" i="1"/>
  <c r="G188" i="1"/>
  <c r="G187" i="1"/>
  <c r="G186" i="1"/>
  <c r="G184" i="1"/>
  <c r="G183" i="1"/>
  <c r="G182" i="1"/>
  <c r="G181" i="1"/>
  <c r="G180" i="1"/>
  <c r="G179" i="1"/>
  <c r="G178" i="1"/>
  <c r="G177" i="1"/>
  <c r="G176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H86" i="1"/>
  <c r="H85" i="1"/>
  <c r="H84" i="1"/>
  <c r="H83" i="1"/>
  <c r="H82" i="1"/>
  <c r="H81" i="1"/>
  <c r="H80" i="1"/>
  <c r="H79" i="1"/>
  <c r="H78" i="1"/>
  <c r="H77" i="1"/>
  <c r="H76" i="1"/>
  <c r="H74" i="1"/>
  <c r="H73" i="1"/>
  <c r="H71" i="1"/>
  <c r="H70" i="1"/>
  <c r="H69" i="1"/>
  <c r="H68" i="1"/>
  <c r="H66" i="1"/>
  <c r="H65" i="1"/>
  <c r="H51" i="1"/>
  <c r="H50" i="1"/>
  <c r="H49" i="1"/>
  <c r="H48" i="1"/>
  <c r="H47" i="1"/>
  <c r="H46" i="1"/>
  <c r="H43" i="1"/>
  <c r="H41" i="1"/>
  <c r="H39" i="1"/>
  <c r="H38" i="1"/>
  <c r="H37" i="1"/>
  <c r="H36" i="1"/>
  <c r="H35" i="1"/>
  <c r="H34" i="1"/>
  <c r="H32" i="1"/>
  <c r="H29" i="1"/>
  <c r="H27" i="1"/>
  <c r="H25" i="1"/>
  <c r="H23" i="1"/>
  <c r="H20" i="1"/>
  <c r="H19" i="1"/>
  <c r="H16" i="1"/>
  <c r="H14" i="1"/>
  <c r="H11" i="1"/>
  <c r="H10" i="1"/>
  <c r="H7" i="1"/>
  <c r="H6" i="1"/>
  <c r="H4" i="1"/>
  <c r="H219" i="1"/>
  <c r="H217" i="1"/>
  <c r="H216" i="1"/>
  <c r="H215" i="1"/>
  <c r="G220" i="1"/>
  <c r="G219" i="1"/>
  <c r="G218" i="1"/>
  <c r="G217" i="1"/>
  <c r="G216" i="1"/>
  <c r="G215" i="1"/>
  <c r="G214" i="1"/>
  <c r="I214" i="1" s="1"/>
  <c r="G213" i="1"/>
  <c r="F220" i="1"/>
  <c r="F218" i="1"/>
  <c r="F213" i="1"/>
  <c r="F80" i="1"/>
  <c r="F77" i="1"/>
  <c r="F68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1" i="1"/>
  <c r="G70" i="1"/>
  <c r="G69" i="1"/>
  <c r="G68" i="1"/>
  <c r="G66" i="1"/>
  <c r="G65" i="1"/>
  <c r="I65" i="1" s="1"/>
  <c r="F51" i="1"/>
  <c r="F49" i="1"/>
  <c r="F44" i="1"/>
  <c r="F40" i="1"/>
  <c r="F28" i="1"/>
  <c r="F26" i="1"/>
  <c r="F22" i="1"/>
  <c r="F21" i="1"/>
  <c r="F14" i="1"/>
  <c r="F12" i="1"/>
  <c r="G51" i="1"/>
  <c r="G50" i="1"/>
  <c r="G49" i="1"/>
  <c r="G48" i="1"/>
  <c r="G47" i="1"/>
  <c r="G46" i="1"/>
  <c r="G45" i="1"/>
  <c r="G44" i="1"/>
  <c r="G43" i="1"/>
  <c r="G42" i="1"/>
  <c r="G41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F9" i="1"/>
  <c r="F52" i="1" s="1"/>
  <c r="G7" i="1"/>
  <c r="G6" i="1"/>
  <c r="G5" i="1"/>
  <c r="G4" i="1"/>
  <c r="Q5" i="3"/>
  <c r="I213" i="1" l="1"/>
  <c r="J223" i="8" l="1"/>
  <c r="G223" i="8"/>
  <c r="F223" i="8"/>
  <c r="E223" i="8"/>
  <c r="H222" i="8"/>
  <c r="H221" i="8"/>
  <c r="H220" i="8"/>
  <c r="H219" i="8"/>
  <c r="H218" i="8"/>
  <c r="H217" i="8"/>
  <c r="H216" i="8"/>
  <c r="H215" i="8"/>
  <c r="J202" i="8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J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J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N203" i="1"/>
  <c r="G203" i="1"/>
  <c r="F203" i="1"/>
  <c r="D203" i="1"/>
  <c r="N221" i="1"/>
  <c r="N87" i="1"/>
  <c r="Q203" i="1"/>
  <c r="H203" i="1"/>
  <c r="Q87" i="1"/>
  <c r="G52" i="1"/>
  <c r="G221" i="1"/>
  <c r="H221" i="1"/>
  <c r="Q221" i="1"/>
  <c r="F221" i="1"/>
  <c r="F87" i="1"/>
  <c r="G87" i="1"/>
  <c r="H87" i="1"/>
  <c r="D87" i="1"/>
  <c r="D52" i="1"/>
  <c r="Q52" i="1"/>
  <c r="D221" i="1"/>
  <c r="A65" i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L213" i="1"/>
  <c r="L214" i="1"/>
  <c r="L215" i="1"/>
  <c r="L216" i="1"/>
  <c r="L217" i="1"/>
  <c r="L218" i="1"/>
  <c r="L219" i="1"/>
  <c r="L220" i="1"/>
  <c r="L212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97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65" i="1"/>
  <c r="M213" i="1"/>
  <c r="M214" i="1"/>
  <c r="M215" i="1"/>
  <c r="M216" i="1"/>
  <c r="M217" i="1"/>
  <c r="M218" i="1"/>
  <c r="M219" i="1"/>
  <c r="M220" i="1"/>
  <c r="M212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97" i="1"/>
  <c r="O5" i="8" l="1"/>
  <c r="O7" i="8"/>
  <c r="I9" i="8"/>
  <c r="K64" i="8"/>
  <c r="I64" i="8"/>
  <c r="L66" i="8"/>
  <c r="K66" i="8"/>
  <c r="I66" i="8"/>
  <c r="L68" i="8"/>
  <c r="I68" i="8"/>
  <c r="K68" i="8"/>
  <c r="L70" i="8"/>
  <c r="I70" i="8"/>
  <c r="K70" i="8"/>
  <c r="L74" i="8"/>
  <c r="I74" i="8"/>
  <c r="K74" i="8"/>
  <c r="L76" i="8"/>
  <c r="I76" i="8"/>
  <c r="K76" i="8"/>
  <c r="M78" i="8"/>
  <c r="I78" i="8"/>
  <c r="K78" i="8"/>
  <c r="M80" i="8"/>
  <c r="I80" i="8"/>
  <c r="K80" i="8"/>
  <c r="M82" i="8"/>
  <c r="I82" i="8"/>
  <c r="K82" i="8"/>
  <c r="L97" i="8"/>
  <c r="K97" i="8"/>
  <c r="I97" i="8"/>
  <c r="I6" i="8"/>
  <c r="I8" i="8"/>
  <c r="I30" i="8"/>
  <c r="K65" i="8"/>
  <c r="I65" i="8"/>
  <c r="K67" i="8"/>
  <c r="I67" i="8"/>
  <c r="K69" i="8"/>
  <c r="I69" i="8"/>
  <c r="K71" i="8"/>
  <c r="I71" i="8"/>
  <c r="K73" i="8"/>
  <c r="I73" i="8"/>
  <c r="K75" i="8"/>
  <c r="I75" i="8"/>
  <c r="M77" i="8"/>
  <c r="K77" i="8"/>
  <c r="I77" i="8"/>
  <c r="M79" i="8"/>
  <c r="K79" i="8"/>
  <c r="I79" i="8"/>
  <c r="M81" i="8"/>
  <c r="K81" i="8"/>
  <c r="I81" i="8"/>
  <c r="M83" i="8"/>
  <c r="K83" i="8"/>
  <c r="I83" i="8"/>
  <c r="N98" i="8"/>
  <c r="K98" i="8"/>
  <c r="I98" i="8"/>
  <c r="N100" i="8"/>
  <c r="K100" i="8"/>
  <c r="I100" i="8"/>
  <c r="N102" i="8"/>
  <c r="K102" i="8"/>
  <c r="I102" i="8"/>
  <c r="N104" i="8"/>
  <c r="K104" i="8"/>
  <c r="I104" i="8"/>
  <c r="N106" i="8"/>
  <c r="K106" i="8"/>
  <c r="I106" i="8"/>
  <c r="N108" i="8"/>
  <c r="K108" i="8"/>
  <c r="I108" i="8"/>
  <c r="N110" i="8"/>
  <c r="K110" i="8"/>
  <c r="I110" i="8"/>
  <c r="N112" i="8"/>
  <c r="K112" i="8"/>
  <c r="I112" i="8"/>
  <c r="N114" i="8"/>
  <c r="K114" i="8"/>
  <c r="I114" i="8"/>
  <c r="N116" i="8"/>
  <c r="K116" i="8"/>
  <c r="I116" i="8"/>
  <c r="N118" i="8"/>
  <c r="K118" i="8"/>
  <c r="I118" i="8"/>
  <c r="N120" i="8"/>
  <c r="K120" i="8"/>
  <c r="I120" i="8"/>
  <c r="N122" i="8"/>
  <c r="K122" i="8"/>
  <c r="I122" i="8"/>
  <c r="N124" i="8"/>
  <c r="K124" i="8"/>
  <c r="I124" i="8"/>
  <c r="N126" i="8"/>
  <c r="K126" i="8"/>
  <c r="I126" i="8"/>
  <c r="N128" i="8"/>
  <c r="K128" i="8"/>
  <c r="I128" i="8"/>
  <c r="K130" i="8"/>
  <c r="I130" i="8"/>
  <c r="L132" i="8"/>
  <c r="K132" i="8"/>
  <c r="I132" i="8"/>
  <c r="L134" i="8"/>
  <c r="K134" i="8"/>
  <c r="I134" i="8"/>
  <c r="L136" i="8"/>
  <c r="K136" i="8"/>
  <c r="I136" i="8"/>
  <c r="L138" i="8"/>
  <c r="K138" i="8"/>
  <c r="I138" i="8"/>
  <c r="L140" i="8"/>
  <c r="K140" i="8"/>
  <c r="I140" i="8"/>
  <c r="L142" i="8"/>
  <c r="K142" i="8"/>
  <c r="I142" i="8"/>
  <c r="N144" i="8"/>
  <c r="K144" i="8"/>
  <c r="I144" i="8"/>
  <c r="K146" i="8"/>
  <c r="I146" i="8"/>
  <c r="N148" i="8"/>
  <c r="K148" i="8"/>
  <c r="I148" i="8"/>
  <c r="K150" i="8"/>
  <c r="I150" i="8"/>
  <c r="N152" i="8"/>
  <c r="K152" i="8"/>
  <c r="I152" i="8"/>
  <c r="K154" i="8"/>
  <c r="I154" i="8"/>
  <c r="N156" i="8"/>
  <c r="K156" i="8"/>
  <c r="I156" i="8"/>
  <c r="K158" i="8"/>
  <c r="I158" i="8"/>
  <c r="N160" i="8"/>
  <c r="K160" i="8"/>
  <c r="I160" i="8"/>
  <c r="K162" i="8"/>
  <c r="I162" i="8"/>
  <c r="N164" i="8"/>
  <c r="K164" i="8"/>
  <c r="I164" i="8"/>
  <c r="K166" i="8"/>
  <c r="I166" i="8"/>
  <c r="N168" i="8"/>
  <c r="K168" i="8"/>
  <c r="I168" i="8"/>
  <c r="K170" i="8"/>
  <c r="I170" i="8"/>
  <c r="N172" i="8"/>
  <c r="K172" i="8"/>
  <c r="I172" i="8"/>
  <c r="K174" i="8"/>
  <c r="I174" i="8"/>
  <c r="N176" i="8"/>
  <c r="K176" i="8"/>
  <c r="I176" i="8"/>
  <c r="N178" i="8"/>
  <c r="K178" i="8"/>
  <c r="I178" i="8"/>
  <c r="N180" i="8"/>
  <c r="K180" i="8"/>
  <c r="I180" i="8"/>
  <c r="N182" i="8"/>
  <c r="K182" i="8"/>
  <c r="I182" i="8"/>
  <c r="N184" i="8"/>
  <c r="K184" i="8"/>
  <c r="I184" i="8"/>
  <c r="N186" i="8"/>
  <c r="K186" i="8"/>
  <c r="I186" i="8"/>
  <c r="N188" i="8"/>
  <c r="K188" i="8"/>
  <c r="I188" i="8"/>
  <c r="N190" i="8"/>
  <c r="K190" i="8"/>
  <c r="I190" i="8"/>
  <c r="N192" i="8"/>
  <c r="K192" i="8"/>
  <c r="I192" i="8"/>
  <c r="K194" i="8"/>
  <c r="I194" i="8"/>
  <c r="K196" i="8"/>
  <c r="I196" i="8"/>
  <c r="O198" i="8"/>
  <c r="K198" i="8"/>
  <c r="I198" i="8"/>
  <c r="O200" i="8"/>
  <c r="K200" i="8"/>
  <c r="I200" i="8"/>
  <c r="O216" i="8"/>
  <c r="I216" i="8"/>
  <c r="K216" i="8"/>
  <c r="O218" i="8"/>
  <c r="I218" i="8"/>
  <c r="K218" i="8"/>
  <c r="O220" i="8"/>
  <c r="I220" i="8"/>
  <c r="K220" i="8"/>
  <c r="O222" i="8"/>
  <c r="I222" i="8"/>
  <c r="K222" i="8"/>
  <c r="L72" i="8"/>
  <c r="I72" i="8"/>
  <c r="K72" i="8"/>
  <c r="M84" i="8"/>
  <c r="I84" i="8"/>
  <c r="K84" i="8"/>
  <c r="L99" i="8"/>
  <c r="K99" i="8"/>
  <c r="I99" i="8"/>
  <c r="L101" i="8"/>
  <c r="K101" i="8"/>
  <c r="I101" i="8"/>
  <c r="L103" i="8"/>
  <c r="K103" i="8"/>
  <c r="I103" i="8"/>
  <c r="L105" i="8"/>
  <c r="K105" i="8"/>
  <c r="I105" i="8"/>
  <c r="L107" i="8"/>
  <c r="K107" i="8"/>
  <c r="I107" i="8"/>
  <c r="L109" i="8"/>
  <c r="K109" i="8"/>
  <c r="I109" i="8"/>
  <c r="L111" i="8"/>
  <c r="K111" i="8"/>
  <c r="I111" i="8"/>
  <c r="L113" i="8"/>
  <c r="K113" i="8"/>
  <c r="I113" i="8"/>
  <c r="L115" i="8"/>
  <c r="K115" i="8"/>
  <c r="I115" i="8"/>
  <c r="L117" i="8"/>
  <c r="K117" i="8"/>
  <c r="I117" i="8"/>
  <c r="L119" i="8"/>
  <c r="K119" i="8"/>
  <c r="I119" i="8"/>
  <c r="L121" i="8"/>
  <c r="K121" i="8"/>
  <c r="I121" i="8"/>
  <c r="L123" i="8"/>
  <c r="K123" i="8"/>
  <c r="I123" i="8"/>
  <c r="L125" i="8"/>
  <c r="K125" i="8"/>
  <c r="I125" i="8"/>
  <c r="L127" i="8"/>
  <c r="K127" i="8"/>
  <c r="I127" i="8"/>
  <c r="L129" i="8"/>
  <c r="K129" i="8"/>
  <c r="I129" i="8"/>
  <c r="L131" i="8"/>
  <c r="K131" i="8"/>
  <c r="I131" i="8"/>
  <c r="N133" i="8"/>
  <c r="K133" i="8"/>
  <c r="I133" i="8"/>
  <c r="N135" i="8"/>
  <c r="K135" i="8"/>
  <c r="I135" i="8"/>
  <c r="N137" i="8"/>
  <c r="K137" i="8"/>
  <c r="I137" i="8"/>
  <c r="N139" i="8"/>
  <c r="K139" i="8"/>
  <c r="I139" i="8"/>
  <c r="N141" i="8"/>
  <c r="K141" i="8"/>
  <c r="I141" i="8"/>
  <c r="L143" i="8"/>
  <c r="K143" i="8"/>
  <c r="I143" i="8"/>
  <c r="L145" i="8"/>
  <c r="K145" i="8"/>
  <c r="I145" i="8"/>
  <c r="L147" i="8"/>
  <c r="K147" i="8"/>
  <c r="I147" i="8"/>
  <c r="L149" i="8"/>
  <c r="K149" i="8"/>
  <c r="I149" i="8"/>
  <c r="L151" i="8"/>
  <c r="K151" i="8"/>
  <c r="I151" i="8"/>
  <c r="L153" i="8"/>
  <c r="K153" i="8"/>
  <c r="I153" i="8"/>
  <c r="L155" i="8"/>
  <c r="K155" i="8"/>
  <c r="I155" i="8"/>
  <c r="L157" i="8"/>
  <c r="K157" i="8"/>
  <c r="I157" i="8"/>
  <c r="L159" i="8"/>
  <c r="K159" i="8"/>
  <c r="I159" i="8"/>
  <c r="L161" i="8"/>
  <c r="K161" i="8"/>
  <c r="I161" i="8"/>
  <c r="L163" i="8"/>
  <c r="K163" i="8"/>
  <c r="I163" i="8"/>
  <c r="L165" i="8"/>
  <c r="K165" i="8"/>
  <c r="I165" i="8"/>
  <c r="L167" i="8"/>
  <c r="K167" i="8"/>
  <c r="I167" i="8"/>
  <c r="L169" i="8"/>
  <c r="K169" i="8"/>
  <c r="I169" i="8"/>
  <c r="L171" i="8"/>
  <c r="K171" i="8"/>
  <c r="I171" i="8"/>
  <c r="L173" i="8"/>
  <c r="K173" i="8"/>
  <c r="I173" i="8"/>
  <c r="L175" i="8"/>
  <c r="K175" i="8"/>
  <c r="I175" i="8"/>
  <c r="L177" i="8"/>
  <c r="K177" i="8"/>
  <c r="I177" i="8"/>
  <c r="L179" i="8"/>
  <c r="K179" i="8"/>
  <c r="I179" i="8"/>
  <c r="L181" i="8"/>
  <c r="K181" i="8"/>
  <c r="I181" i="8"/>
  <c r="L183" i="8"/>
  <c r="K183" i="8"/>
  <c r="I183" i="8"/>
  <c r="L185" i="8"/>
  <c r="K185" i="8"/>
  <c r="I185" i="8"/>
  <c r="L187" i="8"/>
  <c r="K187" i="8"/>
  <c r="I187" i="8"/>
  <c r="L189" i="8"/>
  <c r="K189" i="8"/>
  <c r="I189" i="8"/>
  <c r="L191" i="8"/>
  <c r="K191" i="8"/>
  <c r="I191" i="8"/>
  <c r="L193" i="8"/>
  <c r="K193" i="8"/>
  <c r="I193" i="8"/>
  <c r="L195" i="8"/>
  <c r="K195" i="8"/>
  <c r="I195" i="8"/>
  <c r="O197" i="8"/>
  <c r="K197" i="8"/>
  <c r="I197" i="8"/>
  <c r="O199" i="8"/>
  <c r="K199" i="8"/>
  <c r="I199" i="8"/>
  <c r="O201" i="8"/>
  <c r="K201" i="8"/>
  <c r="I201" i="8"/>
  <c r="O215" i="8"/>
  <c r="K215" i="8"/>
  <c r="I215" i="8"/>
  <c r="O217" i="8"/>
  <c r="K217" i="8"/>
  <c r="I217" i="8"/>
  <c r="O219" i="8"/>
  <c r="K219" i="8"/>
  <c r="I219" i="8"/>
  <c r="O221" i="8"/>
  <c r="K221" i="8"/>
  <c r="I221" i="8"/>
  <c r="I7" i="8"/>
  <c r="D202" i="8"/>
  <c r="D52" i="8"/>
  <c r="H4" i="8"/>
  <c r="I5" i="8"/>
  <c r="D223" i="8"/>
  <c r="H214" i="8"/>
  <c r="O214" i="8" s="1"/>
  <c r="O223" i="8" s="1"/>
  <c r="O6" i="8"/>
  <c r="H96" i="8"/>
  <c r="O96" i="8" s="1"/>
  <c r="H85" i="8"/>
  <c r="L64" i="8"/>
  <c r="M87" i="1"/>
  <c r="L87" i="1"/>
  <c r="L203" i="1"/>
  <c r="M203" i="1"/>
  <c r="M221" i="1"/>
  <c r="M11" i="8"/>
  <c r="K11" i="8"/>
  <c r="O11" i="8"/>
  <c r="L11" i="8"/>
  <c r="I11" i="8"/>
  <c r="O31" i="8"/>
  <c r="M31" i="8"/>
  <c r="K31" i="8"/>
  <c r="L31" i="8"/>
  <c r="I31" i="8"/>
  <c r="M5" i="8"/>
  <c r="K5" i="8"/>
  <c r="L5" i="8"/>
  <c r="M6" i="8"/>
  <c r="K6" i="8"/>
  <c r="L6" i="8"/>
  <c r="M7" i="8"/>
  <c r="K7" i="8"/>
  <c r="L7" i="8"/>
  <c r="M8" i="8"/>
  <c r="K8" i="8"/>
  <c r="O8" i="8"/>
  <c r="L8" i="8"/>
  <c r="M9" i="8"/>
  <c r="K9" i="8"/>
  <c r="O9" i="8"/>
  <c r="L9" i="8"/>
  <c r="M10" i="8"/>
  <c r="K10" i="8"/>
  <c r="O10" i="8"/>
  <c r="L10" i="8"/>
  <c r="I10" i="8"/>
  <c r="L12" i="8"/>
  <c r="M12" i="8"/>
  <c r="K12" i="8"/>
  <c r="O12" i="8"/>
  <c r="I12" i="8"/>
  <c r="M14" i="8"/>
  <c r="K14" i="8"/>
  <c r="O14" i="8"/>
  <c r="L14" i="8"/>
  <c r="I14" i="8"/>
  <c r="M16" i="8"/>
  <c r="K16" i="8"/>
  <c r="O16" i="8"/>
  <c r="L16" i="8"/>
  <c r="I16" i="8"/>
  <c r="L18" i="8"/>
  <c r="M18" i="8"/>
  <c r="K18" i="8"/>
  <c r="O18" i="8"/>
  <c r="I18" i="8"/>
  <c r="I20" i="8"/>
  <c r="M20" i="8"/>
  <c r="K20" i="8"/>
  <c r="O20" i="8"/>
  <c r="L20" i="8"/>
  <c r="I22" i="8"/>
  <c r="M22" i="8"/>
  <c r="K22" i="8"/>
  <c r="O22" i="8"/>
  <c r="L22" i="8"/>
  <c r="L24" i="8"/>
  <c r="M24" i="8"/>
  <c r="K24" i="8"/>
  <c r="O24" i="8"/>
  <c r="I24" i="8"/>
  <c r="L26" i="8"/>
  <c r="M26" i="8"/>
  <c r="K26" i="8"/>
  <c r="O26" i="8"/>
  <c r="I26" i="8"/>
  <c r="L28" i="8"/>
  <c r="M28" i="8"/>
  <c r="K28" i="8"/>
  <c r="O28" i="8"/>
  <c r="I28" i="8"/>
  <c r="L30" i="8"/>
  <c r="M30" i="8"/>
  <c r="K30" i="8"/>
  <c r="O30" i="8"/>
  <c r="O32" i="8"/>
  <c r="M32" i="8"/>
  <c r="K32" i="8"/>
  <c r="L32" i="8"/>
  <c r="I32" i="8"/>
  <c r="O34" i="8"/>
  <c r="I34" i="8"/>
  <c r="M34" i="8"/>
  <c r="K34" i="8"/>
  <c r="L34" i="8"/>
  <c r="O36" i="8"/>
  <c r="L36" i="8"/>
  <c r="I36" i="8"/>
  <c r="M36" i="8"/>
  <c r="K36" i="8"/>
  <c r="O38" i="8"/>
  <c r="L38" i="8"/>
  <c r="I38" i="8"/>
  <c r="M38" i="8"/>
  <c r="K38" i="8"/>
  <c r="O40" i="8"/>
  <c r="L40" i="8"/>
  <c r="I40" i="8"/>
  <c r="M40" i="8"/>
  <c r="K40" i="8"/>
  <c r="O42" i="8"/>
  <c r="L42" i="8"/>
  <c r="I42" i="8"/>
  <c r="M42" i="8"/>
  <c r="K42" i="8"/>
  <c r="O44" i="8"/>
  <c r="L44" i="8"/>
  <c r="M44" i="8"/>
  <c r="K44" i="8"/>
  <c r="I44" i="8"/>
  <c r="O46" i="8"/>
  <c r="L46" i="8"/>
  <c r="I46" i="8"/>
  <c r="M46" i="8"/>
  <c r="K46" i="8"/>
  <c r="O48" i="8"/>
  <c r="L48" i="8"/>
  <c r="I48" i="8"/>
  <c r="M48" i="8"/>
  <c r="K48" i="8"/>
  <c r="O50" i="8"/>
  <c r="L50" i="8"/>
  <c r="I50" i="8"/>
  <c r="M50" i="8"/>
  <c r="K50" i="8"/>
  <c r="M13" i="8"/>
  <c r="K13" i="8"/>
  <c r="O13" i="8"/>
  <c r="L13" i="8"/>
  <c r="I13" i="8"/>
  <c r="I15" i="8"/>
  <c r="M15" i="8"/>
  <c r="K15" i="8"/>
  <c r="O15" i="8"/>
  <c r="L15" i="8"/>
  <c r="M17" i="8"/>
  <c r="K17" i="8"/>
  <c r="O17" i="8"/>
  <c r="L17" i="8"/>
  <c r="I17" i="8"/>
  <c r="I19" i="8"/>
  <c r="M19" i="8"/>
  <c r="K19" i="8"/>
  <c r="O19" i="8"/>
  <c r="L19" i="8"/>
  <c r="I21" i="8"/>
  <c r="M21" i="8"/>
  <c r="K21" i="8"/>
  <c r="O21" i="8"/>
  <c r="L21" i="8"/>
  <c r="I23" i="8"/>
  <c r="M23" i="8"/>
  <c r="K23" i="8"/>
  <c r="O23" i="8"/>
  <c r="L23" i="8"/>
  <c r="L25" i="8"/>
  <c r="M25" i="8"/>
  <c r="K25" i="8"/>
  <c r="O25" i="8"/>
  <c r="I25" i="8"/>
  <c r="L27" i="8"/>
  <c r="M27" i="8"/>
  <c r="K27" i="8"/>
  <c r="O27" i="8"/>
  <c r="I27" i="8"/>
  <c r="L29" i="8"/>
  <c r="M29" i="8"/>
  <c r="K29" i="8"/>
  <c r="O29" i="8"/>
  <c r="I29" i="8"/>
  <c r="O33" i="8"/>
  <c r="M33" i="8"/>
  <c r="K33" i="8"/>
  <c r="L33" i="8"/>
  <c r="I33" i="8"/>
  <c r="O35" i="8"/>
  <c r="L35" i="8"/>
  <c r="M35" i="8"/>
  <c r="K35" i="8"/>
  <c r="I35" i="8"/>
  <c r="O37" i="8"/>
  <c r="L37" i="8"/>
  <c r="I37" i="8"/>
  <c r="M37" i="8"/>
  <c r="K37" i="8"/>
  <c r="O39" i="8"/>
  <c r="L39" i="8"/>
  <c r="I39" i="8"/>
  <c r="M39" i="8"/>
  <c r="K39" i="8"/>
  <c r="O41" i="8"/>
  <c r="L41" i="8"/>
  <c r="I41" i="8"/>
  <c r="M41" i="8"/>
  <c r="K41" i="8"/>
  <c r="O43" i="8"/>
  <c r="L43" i="8"/>
  <c r="I43" i="8"/>
  <c r="M43" i="8"/>
  <c r="K43" i="8"/>
  <c r="O45" i="8"/>
  <c r="L45" i="8"/>
  <c r="I45" i="8"/>
  <c r="M45" i="8"/>
  <c r="K45" i="8"/>
  <c r="O47" i="8"/>
  <c r="L47" i="8"/>
  <c r="I47" i="8"/>
  <c r="M47" i="8"/>
  <c r="K47" i="8"/>
  <c r="O49" i="8"/>
  <c r="L49" i="8"/>
  <c r="I49" i="8"/>
  <c r="M49" i="8"/>
  <c r="K49" i="8"/>
  <c r="O51" i="8"/>
  <c r="L51" i="8"/>
  <c r="I51" i="8"/>
  <c r="M51" i="8"/>
  <c r="K51" i="8"/>
  <c r="L63" i="8"/>
  <c r="O64" i="8"/>
  <c r="M64" i="8"/>
  <c r="N64" i="8"/>
  <c r="L65" i="8"/>
  <c r="O66" i="8"/>
  <c r="M66" i="8"/>
  <c r="N66" i="8"/>
  <c r="L67" i="8"/>
  <c r="O68" i="8"/>
  <c r="M68" i="8"/>
  <c r="N68" i="8"/>
  <c r="L69" i="8"/>
  <c r="O70" i="8"/>
  <c r="M70" i="8"/>
  <c r="N70" i="8"/>
  <c r="L71" i="8"/>
  <c r="O72" i="8"/>
  <c r="M72" i="8"/>
  <c r="N72" i="8"/>
  <c r="L73" i="8"/>
  <c r="O74" i="8"/>
  <c r="M74" i="8"/>
  <c r="N74" i="8"/>
  <c r="L75" i="8"/>
  <c r="O76" i="8"/>
  <c r="M76" i="8"/>
  <c r="N76" i="8"/>
  <c r="O98" i="8"/>
  <c r="M98" i="8"/>
  <c r="L98" i="8"/>
  <c r="O102" i="8"/>
  <c r="M102" i="8"/>
  <c r="L102" i="8"/>
  <c r="O106" i="8"/>
  <c r="M106" i="8"/>
  <c r="L106" i="8"/>
  <c r="O110" i="8"/>
  <c r="M110" i="8"/>
  <c r="L110" i="8"/>
  <c r="O114" i="8"/>
  <c r="M114" i="8"/>
  <c r="L114" i="8"/>
  <c r="O118" i="8"/>
  <c r="M118" i="8"/>
  <c r="L118" i="8"/>
  <c r="O122" i="8"/>
  <c r="M122" i="8"/>
  <c r="L122" i="8"/>
  <c r="O126" i="8"/>
  <c r="M126" i="8"/>
  <c r="L126" i="8"/>
  <c r="O63" i="8"/>
  <c r="M63" i="8"/>
  <c r="N63" i="8"/>
  <c r="O65" i="8"/>
  <c r="M65" i="8"/>
  <c r="N65" i="8"/>
  <c r="O67" i="8"/>
  <c r="M67" i="8"/>
  <c r="N67" i="8"/>
  <c r="O69" i="8"/>
  <c r="M69" i="8"/>
  <c r="N69" i="8"/>
  <c r="O71" i="8"/>
  <c r="M71" i="8"/>
  <c r="N71" i="8"/>
  <c r="O73" i="8"/>
  <c r="M73" i="8"/>
  <c r="N73" i="8"/>
  <c r="O75" i="8"/>
  <c r="M75" i="8"/>
  <c r="N75" i="8"/>
  <c r="N77" i="8"/>
  <c r="L77" i="8"/>
  <c r="O77" i="8"/>
  <c r="N78" i="8"/>
  <c r="L78" i="8"/>
  <c r="O78" i="8"/>
  <c r="N79" i="8"/>
  <c r="L79" i="8"/>
  <c r="O79" i="8"/>
  <c r="N80" i="8"/>
  <c r="L80" i="8"/>
  <c r="O80" i="8"/>
  <c r="N81" i="8"/>
  <c r="L81" i="8"/>
  <c r="O81" i="8"/>
  <c r="N82" i="8"/>
  <c r="L82" i="8"/>
  <c r="O82" i="8"/>
  <c r="N83" i="8"/>
  <c r="L83" i="8"/>
  <c r="O83" i="8"/>
  <c r="N84" i="8"/>
  <c r="L84" i="8"/>
  <c r="O84" i="8"/>
  <c r="H202" i="8"/>
  <c r="M96" i="8"/>
  <c r="O100" i="8"/>
  <c r="M100" i="8"/>
  <c r="L100" i="8"/>
  <c r="O104" i="8"/>
  <c r="M104" i="8"/>
  <c r="L104" i="8"/>
  <c r="O108" i="8"/>
  <c r="M108" i="8"/>
  <c r="L108" i="8"/>
  <c r="O112" i="8"/>
  <c r="M112" i="8"/>
  <c r="L112" i="8"/>
  <c r="O116" i="8"/>
  <c r="M116" i="8"/>
  <c r="L116" i="8"/>
  <c r="O120" i="8"/>
  <c r="M120" i="8"/>
  <c r="L120" i="8"/>
  <c r="O124" i="8"/>
  <c r="M124" i="8"/>
  <c r="L124" i="8"/>
  <c r="O128" i="8"/>
  <c r="M128" i="8"/>
  <c r="L128" i="8"/>
  <c r="D85" i="8"/>
  <c r="O97" i="8"/>
  <c r="M97" i="8"/>
  <c r="N97" i="8"/>
  <c r="O99" i="8"/>
  <c r="M99" i="8"/>
  <c r="N99" i="8"/>
  <c r="O101" i="8"/>
  <c r="M101" i="8"/>
  <c r="N101" i="8"/>
  <c r="O103" i="8"/>
  <c r="M103" i="8"/>
  <c r="N103" i="8"/>
  <c r="O105" i="8"/>
  <c r="M105" i="8"/>
  <c r="N105" i="8"/>
  <c r="O107" i="8"/>
  <c r="M107" i="8"/>
  <c r="N107" i="8"/>
  <c r="O109" i="8"/>
  <c r="M109" i="8"/>
  <c r="N109" i="8"/>
  <c r="O111" i="8"/>
  <c r="M111" i="8"/>
  <c r="N111" i="8"/>
  <c r="O113" i="8"/>
  <c r="M113" i="8"/>
  <c r="N113" i="8"/>
  <c r="O115" i="8"/>
  <c r="M115" i="8"/>
  <c r="N115" i="8"/>
  <c r="O117" i="8"/>
  <c r="M117" i="8"/>
  <c r="N117" i="8"/>
  <c r="O119" i="8"/>
  <c r="M119" i="8"/>
  <c r="N119" i="8"/>
  <c r="O121" i="8"/>
  <c r="M121" i="8"/>
  <c r="N121" i="8"/>
  <c r="O123" i="8"/>
  <c r="M123" i="8"/>
  <c r="N123" i="8"/>
  <c r="O125" i="8"/>
  <c r="M125" i="8"/>
  <c r="N125" i="8"/>
  <c r="O127" i="8"/>
  <c r="M127" i="8"/>
  <c r="N127" i="8"/>
  <c r="O129" i="8"/>
  <c r="M129" i="8"/>
  <c r="N129" i="8"/>
  <c r="L130" i="8"/>
  <c r="O131" i="8"/>
  <c r="M131" i="8"/>
  <c r="N131" i="8"/>
  <c r="O135" i="8"/>
  <c r="M135" i="8"/>
  <c r="L135" i="8"/>
  <c r="O139" i="8"/>
  <c r="M139" i="8"/>
  <c r="L139" i="8"/>
  <c r="O130" i="8"/>
  <c r="M130" i="8"/>
  <c r="N130" i="8"/>
  <c r="O132" i="8"/>
  <c r="M132" i="8"/>
  <c r="N132" i="8"/>
  <c r="O133" i="8"/>
  <c r="M133" i="8"/>
  <c r="L133" i="8"/>
  <c r="O137" i="8"/>
  <c r="M137" i="8"/>
  <c r="L137" i="8"/>
  <c r="O141" i="8"/>
  <c r="M141" i="8"/>
  <c r="L141" i="8"/>
  <c r="O146" i="8"/>
  <c r="M146" i="8"/>
  <c r="L146" i="8"/>
  <c r="N146" i="8"/>
  <c r="O150" i="8"/>
  <c r="M150" i="8"/>
  <c r="L150" i="8"/>
  <c r="N150" i="8"/>
  <c r="O154" i="8"/>
  <c r="M154" i="8"/>
  <c r="L154" i="8"/>
  <c r="N154" i="8"/>
  <c r="O158" i="8"/>
  <c r="M158" i="8"/>
  <c r="L158" i="8"/>
  <c r="N158" i="8"/>
  <c r="O162" i="8"/>
  <c r="M162" i="8"/>
  <c r="L162" i="8"/>
  <c r="N162" i="8"/>
  <c r="O166" i="8"/>
  <c r="M166" i="8"/>
  <c r="L166" i="8"/>
  <c r="N166" i="8"/>
  <c r="O170" i="8"/>
  <c r="M170" i="8"/>
  <c r="L170" i="8"/>
  <c r="N170" i="8"/>
  <c r="O174" i="8"/>
  <c r="M174" i="8"/>
  <c r="L174" i="8"/>
  <c r="N174" i="8"/>
  <c r="O134" i="8"/>
  <c r="M134" i="8"/>
  <c r="N134" i="8"/>
  <c r="O136" i="8"/>
  <c r="M136" i="8"/>
  <c r="N136" i="8"/>
  <c r="O138" i="8"/>
  <c r="M138" i="8"/>
  <c r="N138" i="8"/>
  <c r="O140" i="8"/>
  <c r="M140" i="8"/>
  <c r="N140" i="8"/>
  <c r="O142" i="8"/>
  <c r="M142" i="8"/>
  <c r="N142" i="8"/>
  <c r="O144" i="8"/>
  <c r="M144" i="8"/>
  <c r="L144" i="8"/>
  <c r="O148" i="8"/>
  <c r="M148" i="8"/>
  <c r="L148" i="8"/>
  <c r="O152" i="8"/>
  <c r="M152" i="8"/>
  <c r="L152" i="8"/>
  <c r="O156" i="8"/>
  <c r="M156" i="8"/>
  <c r="L156" i="8"/>
  <c r="O160" i="8"/>
  <c r="M160" i="8"/>
  <c r="L160" i="8"/>
  <c r="O164" i="8"/>
  <c r="M164" i="8"/>
  <c r="L164" i="8"/>
  <c r="O168" i="8"/>
  <c r="M168" i="8"/>
  <c r="L168" i="8"/>
  <c r="O172" i="8"/>
  <c r="M172" i="8"/>
  <c r="L172" i="8"/>
  <c r="O176" i="8"/>
  <c r="M176" i="8"/>
  <c r="L176" i="8"/>
  <c r="O180" i="8"/>
  <c r="M180" i="8"/>
  <c r="L180" i="8"/>
  <c r="O184" i="8"/>
  <c r="M184" i="8"/>
  <c r="L184" i="8"/>
  <c r="O188" i="8"/>
  <c r="M188" i="8"/>
  <c r="L188" i="8"/>
  <c r="O192" i="8"/>
  <c r="M192" i="8"/>
  <c r="L192" i="8"/>
  <c r="O178" i="8"/>
  <c r="M178" i="8"/>
  <c r="L178" i="8"/>
  <c r="O182" i="8"/>
  <c r="M182" i="8"/>
  <c r="L182" i="8"/>
  <c r="O186" i="8"/>
  <c r="M186" i="8"/>
  <c r="L186" i="8"/>
  <c r="O190" i="8"/>
  <c r="M190" i="8"/>
  <c r="L190" i="8"/>
  <c r="O194" i="8"/>
  <c r="M194" i="8"/>
  <c r="L194" i="8"/>
  <c r="N194" i="8"/>
  <c r="N196" i="8"/>
  <c r="M196" i="8"/>
  <c r="O196" i="8"/>
  <c r="O143" i="8"/>
  <c r="M143" i="8"/>
  <c r="N143" i="8"/>
  <c r="O145" i="8"/>
  <c r="M145" i="8"/>
  <c r="N145" i="8"/>
  <c r="O147" i="8"/>
  <c r="M147" i="8"/>
  <c r="N147" i="8"/>
  <c r="O149" i="8"/>
  <c r="M149" i="8"/>
  <c r="N149" i="8"/>
  <c r="O151" i="8"/>
  <c r="M151" i="8"/>
  <c r="N151" i="8"/>
  <c r="O153" i="8"/>
  <c r="M153" i="8"/>
  <c r="N153" i="8"/>
  <c r="O155" i="8"/>
  <c r="M155" i="8"/>
  <c r="N155" i="8"/>
  <c r="O157" i="8"/>
  <c r="M157" i="8"/>
  <c r="N157" i="8"/>
  <c r="O159" i="8"/>
  <c r="M159" i="8"/>
  <c r="N159" i="8"/>
  <c r="O161" i="8"/>
  <c r="M161" i="8"/>
  <c r="N161" i="8"/>
  <c r="O163" i="8"/>
  <c r="M163" i="8"/>
  <c r="N163" i="8"/>
  <c r="O165" i="8"/>
  <c r="M165" i="8"/>
  <c r="N165" i="8"/>
  <c r="O167" i="8"/>
  <c r="M167" i="8"/>
  <c r="N167" i="8"/>
  <c r="O169" i="8"/>
  <c r="M169" i="8"/>
  <c r="N169" i="8"/>
  <c r="O171" i="8"/>
  <c r="M171" i="8"/>
  <c r="N171" i="8"/>
  <c r="O173" i="8"/>
  <c r="M173" i="8"/>
  <c r="N173" i="8"/>
  <c r="O175" i="8"/>
  <c r="M175" i="8"/>
  <c r="N175" i="8"/>
  <c r="O177" i="8"/>
  <c r="M177" i="8"/>
  <c r="N177" i="8"/>
  <c r="O179" i="8"/>
  <c r="M179" i="8"/>
  <c r="N179" i="8"/>
  <c r="O181" i="8"/>
  <c r="M181" i="8"/>
  <c r="N181" i="8"/>
  <c r="O183" i="8"/>
  <c r="M183" i="8"/>
  <c r="N183" i="8"/>
  <c r="O185" i="8"/>
  <c r="M185" i="8"/>
  <c r="N185" i="8"/>
  <c r="O187" i="8"/>
  <c r="M187" i="8"/>
  <c r="N187" i="8"/>
  <c r="O189" i="8"/>
  <c r="M189" i="8"/>
  <c r="N189" i="8"/>
  <c r="O191" i="8"/>
  <c r="M191" i="8"/>
  <c r="N191" i="8"/>
  <c r="O193" i="8"/>
  <c r="M193" i="8"/>
  <c r="N193" i="8"/>
  <c r="O195" i="8"/>
  <c r="M195" i="8"/>
  <c r="N195" i="8"/>
  <c r="L196" i="8"/>
  <c r="N197" i="8"/>
  <c r="L197" i="8"/>
  <c r="M197" i="8"/>
  <c r="N198" i="8"/>
  <c r="L198" i="8"/>
  <c r="M198" i="8"/>
  <c r="N199" i="8"/>
  <c r="L199" i="8"/>
  <c r="M199" i="8"/>
  <c r="N200" i="8"/>
  <c r="L200" i="8"/>
  <c r="M200" i="8"/>
  <c r="N201" i="8"/>
  <c r="L201" i="8"/>
  <c r="M201" i="8"/>
  <c r="L214" i="8"/>
  <c r="N214" i="8"/>
  <c r="L215" i="8"/>
  <c r="N215" i="8"/>
  <c r="L216" i="8"/>
  <c r="N216" i="8"/>
  <c r="L217" i="8"/>
  <c r="N217" i="8"/>
  <c r="L218" i="8"/>
  <c r="N218" i="8"/>
  <c r="L219" i="8"/>
  <c r="N219" i="8"/>
  <c r="L220" i="8"/>
  <c r="N220" i="8"/>
  <c r="L221" i="8"/>
  <c r="N221" i="8"/>
  <c r="L222" i="8"/>
  <c r="N222" i="8"/>
  <c r="H223" i="8"/>
  <c r="M214" i="8"/>
  <c r="M215" i="8"/>
  <c r="M216" i="8"/>
  <c r="M217" i="8"/>
  <c r="M218" i="8"/>
  <c r="M219" i="8"/>
  <c r="M220" i="8"/>
  <c r="M221" i="8"/>
  <c r="M222" i="8"/>
  <c r="L221" i="1"/>
  <c r="L96" i="8" l="1"/>
  <c r="P216" i="8"/>
  <c r="P196" i="8"/>
  <c r="P188" i="8"/>
  <c r="P180" i="8"/>
  <c r="P140" i="8"/>
  <c r="P136" i="8"/>
  <c r="P83" i="8"/>
  <c r="P79" i="8"/>
  <c r="P33" i="8"/>
  <c r="P27" i="8"/>
  <c r="P24" i="8"/>
  <c r="P16" i="8"/>
  <c r="P6" i="8"/>
  <c r="P11" i="8"/>
  <c r="P15" i="8"/>
  <c r="P201" i="8"/>
  <c r="P197" i="8"/>
  <c r="P193" i="8"/>
  <c r="P189" i="8"/>
  <c r="P185" i="8"/>
  <c r="P181" i="8"/>
  <c r="P177" i="8"/>
  <c r="P173" i="8"/>
  <c r="P169" i="8"/>
  <c r="P165" i="8"/>
  <c r="P161" i="8"/>
  <c r="P157" i="8"/>
  <c r="P153" i="8"/>
  <c r="P149" i="8"/>
  <c r="P145" i="8"/>
  <c r="P141" i="8"/>
  <c r="P137" i="8"/>
  <c r="P133" i="8"/>
  <c r="P129" i="8"/>
  <c r="P125" i="8"/>
  <c r="P121" i="8"/>
  <c r="P117" i="8"/>
  <c r="P215" i="8"/>
  <c r="P199" i="8"/>
  <c r="P195" i="8"/>
  <c r="P191" i="8"/>
  <c r="P187" i="8"/>
  <c r="P183" i="8"/>
  <c r="P179" i="8"/>
  <c r="P175" i="8"/>
  <c r="P171" i="8"/>
  <c r="P167" i="8"/>
  <c r="P163" i="8"/>
  <c r="P159" i="8"/>
  <c r="P155" i="8"/>
  <c r="P151" i="8"/>
  <c r="P147" i="8"/>
  <c r="P143" i="8"/>
  <c r="P139" i="8"/>
  <c r="P135" i="8"/>
  <c r="P131" i="8"/>
  <c r="P127" i="8"/>
  <c r="P123" i="8"/>
  <c r="P119" i="8"/>
  <c r="P115" i="8"/>
  <c r="P75" i="8"/>
  <c r="P73" i="8"/>
  <c r="P71" i="8"/>
  <c r="P69" i="8"/>
  <c r="P67" i="8"/>
  <c r="P63" i="8"/>
  <c r="P49" i="8"/>
  <c r="P47" i="8"/>
  <c r="P45" i="8"/>
  <c r="P41" i="8"/>
  <c r="P37" i="8"/>
  <c r="P23" i="8"/>
  <c r="P19" i="8"/>
  <c r="P50" i="8"/>
  <c r="P46" i="8"/>
  <c r="P42" i="8"/>
  <c r="P38" i="8"/>
  <c r="P28" i="8"/>
  <c r="P20" i="8"/>
  <c r="P12" i="8"/>
  <c r="P8" i="8"/>
  <c r="P221" i="8"/>
  <c r="P217" i="8"/>
  <c r="P200" i="8"/>
  <c r="P192" i="8"/>
  <c r="P184" i="8"/>
  <c r="P176" i="8"/>
  <c r="P168" i="8"/>
  <c r="P160" i="8"/>
  <c r="P152" i="8"/>
  <c r="P144" i="8"/>
  <c r="P51" i="8"/>
  <c r="P43" i="8"/>
  <c r="P39" i="8"/>
  <c r="P35" i="8"/>
  <c r="P29" i="8"/>
  <c r="P25" i="8"/>
  <c r="P21" i="8"/>
  <c r="P17" i="8"/>
  <c r="P13" i="8"/>
  <c r="P48" i="8"/>
  <c r="P44" i="8"/>
  <c r="P40" i="8"/>
  <c r="P36" i="8"/>
  <c r="P34" i="8"/>
  <c r="P32" i="8"/>
  <c r="P30" i="8"/>
  <c r="P26" i="8"/>
  <c r="P22" i="8"/>
  <c r="P18" i="8"/>
  <c r="P14" i="8"/>
  <c r="P10" i="8"/>
  <c r="P31" i="8"/>
  <c r="P5" i="8"/>
  <c r="P7" i="8"/>
  <c r="P219" i="8"/>
  <c r="P113" i="8"/>
  <c r="P109" i="8"/>
  <c r="P105" i="8"/>
  <c r="P101" i="8"/>
  <c r="P84" i="8"/>
  <c r="P220" i="8"/>
  <c r="P194" i="8"/>
  <c r="P170" i="8"/>
  <c r="P162" i="8"/>
  <c r="P154" i="8"/>
  <c r="P146" i="8"/>
  <c r="P132" i="8"/>
  <c r="P126" i="8"/>
  <c r="P122" i="8"/>
  <c r="P118" i="8"/>
  <c r="P114" i="8"/>
  <c r="P110" i="8"/>
  <c r="P106" i="8"/>
  <c r="P102" i="8"/>
  <c r="P98" i="8"/>
  <c r="P81" i="8"/>
  <c r="P77" i="8"/>
  <c r="P97" i="8"/>
  <c r="P80" i="8"/>
  <c r="P76" i="8"/>
  <c r="P70" i="8"/>
  <c r="P66" i="8"/>
  <c r="H52" i="8"/>
  <c r="K4" i="8"/>
  <c r="K52" i="8" s="1"/>
  <c r="L4" i="8"/>
  <c r="L52" i="8" s="1"/>
  <c r="M4" i="8"/>
  <c r="M52" i="8" s="1"/>
  <c r="I4" i="8"/>
  <c r="I52" i="8" s="1"/>
  <c r="P111" i="8"/>
  <c r="P107" i="8"/>
  <c r="P103" i="8"/>
  <c r="P99" i="8"/>
  <c r="P72" i="8"/>
  <c r="P222" i="8"/>
  <c r="P218" i="8"/>
  <c r="P198" i="8"/>
  <c r="P190" i="8"/>
  <c r="P186" i="8"/>
  <c r="P182" i="8"/>
  <c r="P178" i="8"/>
  <c r="P174" i="8"/>
  <c r="P172" i="8"/>
  <c r="P166" i="8"/>
  <c r="P164" i="8"/>
  <c r="P158" i="8"/>
  <c r="P156" i="8"/>
  <c r="P150" i="8"/>
  <c r="P148" i="8"/>
  <c r="P142" i="8"/>
  <c r="P138" i="8"/>
  <c r="P134" i="8"/>
  <c r="P130" i="8"/>
  <c r="P128" i="8"/>
  <c r="P124" i="8"/>
  <c r="P120" i="8"/>
  <c r="P116" i="8"/>
  <c r="P112" i="8"/>
  <c r="P108" i="8"/>
  <c r="P104" i="8"/>
  <c r="P100" i="8"/>
  <c r="P65" i="8"/>
  <c r="P82" i="8"/>
  <c r="P78" i="8"/>
  <c r="P74" i="8"/>
  <c r="P68" i="8"/>
  <c r="P64" i="8"/>
  <c r="P9" i="8"/>
  <c r="N96" i="8"/>
  <c r="N202" i="8" s="1"/>
  <c r="K96" i="8"/>
  <c r="I96" i="8"/>
  <c r="K214" i="8"/>
  <c r="I214" i="8"/>
  <c r="N223" i="8"/>
  <c r="L202" i="8"/>
  <c r="O202" i="8"/>
  <c r="O85" i="8"/>
  <c r="L85" i="8"/>
  <c r="O4" i="8"/>
  <c r="O52" i="8" s="1"/>
  <c r="M223" i="8"/>
  <c r="I223" i="8"/>
  <c r="L223" i="8"/>
  <c r="M202" i="8"/>
  <c r="N85" i="8"/>
  <c r="M85" i="8"/>
  <c r="P214" i="8" l="1"/>
  <c r="P223" i="8" s="1"/>
  <c r="P96" i="8"/>
  <c r="P4" i="8"/>
  <c r="K85" i="8"/>
  <c r="I202" i="8"/>
  <c r="K202" i="8"/>
  <c r="I85" i="8"/>
  <c r="K223" i="8"/>
  <c r="P52" i="8"/>
  <c r="P202" i="8"/>
  <c r="P85" i="8" l="1"/>
  <c r="E221" i="1" l="1"/>
  <c r="J219" i="1"/>
  <c r="O219" i="1"/>
  <c r="J220" i="1"/>
  <c r="O220" i="1"/>
  <c r="J213" i="1"/>
  <c r="O213" i="1"/>
  <c r="J214" i="1"/>
  <c r="O214" i="1"/>
  <c r="J215" i="1"/>
  <c r="O215" i="1"/>
  <c r="J216" i="1"/>
  <c r="O216" i="1"/>
  <c r="J217" i="1"/>
  <c r="O217" i="1"/>
  <c r="J218" i="1"/>
  <c r="O218" i="1"/>
  <c r="J85" i="1"/>
  <c r="O85" i="1"/>
  <c r="J86" i="1"/>
  <c r="O86" i="1"/>
  <c r="J66" i="1"/>
  <c r="O66" i="1"/>
  <c r="J67" i="1"/>
  <c r="O67" i="1"/>
  <c r="J68" i="1"/>
  <c r="O68" i="1"/>
  <c r="J69" i="1"/>
  <c r="O69" i="1"/>
  <c r="J70" i="1"/>
  <c r="O70" i="1"/>
  <c r="J71" i="1"/>
  <c r="O71" i="1"/>
  <c r="J72" i="1"/>
  <c r="O72" i="1"/>
  <c r="J73" i="1"/>
  <c r="O73" i="1"/>
  <c r="J74" i="1"/>
  <c r="O74" i="1"/>
  <c r="J75" i="1"/>
  <c r="O75" i="1"/>
  <c r="J76" i="1"/>
  <c r="O76" i="1"/>
  <c r="J77" i="1"/>
  <c r="O77" i="1"/>
  <c r="J78" i="1"/>
  <c r="O78" i="1"/>
  <c r="J79" i="1"/>
  <c r="O79" i="1"/>
  <c r="J80" i="1"/>
  <c r="O80" i="1"/>
  <c r="J81" i="1"/>
  <c r="O81" i="1"/>
  <c r="J82" i="1"/>
  <c r="O82" i="1"/>
  <c r="J83" i="1"/>
  <c r="O83" i="1"/>
  <c r="J84" i="1"/>
  <c r="O84" i="1"/>
  <c r="J133" i="1"/>
  <c r="O133" i="1"/>
  <c r="J134" i="1"/>
  <c r="O134" i="1"/>
  <c r="J135" i="1"/>
  <c r="O135" i="1"/>
  <c r="J136" i="1"/>
  <c r="O136" i="1"/>
  <c r="J137" i="1"/>
  <c r="O137" i="1"/>
  <c r="J138" i="1"/>
  <c r="O138" i="1"/>
  <c r="J139" i="1"/>
  <c r="O139" i="1"/>
  <c r="J140" i="1"/>
  <c r="O140" i="1"/>
  <c r="J141" i="1"/>
  <c r="O141" i="1"/>
  <c r="J142" i="1"/>
  <c r="O142" i="1"/>
  <c r="J143" i="1"/>
  <c r="O143" i="1"/>
  <c r="J144" i="1"/>
  <c r="O144" i="1"/>
  <c r="J145" i="1"/>
  <c r="O145" i="1"/>
  <c r="J146" i="1"/>
  <c r="O146" i="1"/>
  <c r="J147" i="1"/>
  <c r="O147" i="1"/>
  <c r="J148" i="1"/>
  <c r="O148" i="1"/>
  <c r="J149" i="1"/>
  <c r="O149" i="1"/>
  <c r="J150" i="1"/>
  <c r="O150" i="1"/>
  <c r="J151" i="1"/>
  <c r="O151" i="1"/>
  <c r="J152" i="1"/>
  <c r="O152" i="1"/>
  <c r="J153" i="1"/>
  <c r="O153" i="1"/>
  <c r="J154" i="1"/>
  <c r="O154" i="1"/>
  <c r="J155" i="1"/>
  <c r="O155" i="1"/>
  <c r="J156" i="1"/>
  <c r="O156" i="1"/>
  <c r="J157" i="1"/>
  <c r="O157" i="1"/>
  <c r="J158" i="1"/>
  <c r="O158" i="1"/>
  <c r="J159" i="1"/>
  <c r="O159" i="1"/>
  <c r="J160" i="1"/>
  <c r="O160" i="1"/>
  <c r="J161" i="1"/>
  <c r="O161" i="1"/>
  <c r="J162" i="1"/>
  <c r="O162" i="1"/>
  <c r="J163" i="1"/>
  <c r="O163" i="1"/>
  <c r="J164" i="1"/>
  <c r="O164" i="1"/>
  <c r="J165" i="1"/>
  <c r="O165" i="1"/>
  <c r="J166" i="1"/>
  <c r="O166" i="1"/>
  <c r="J167" i="1"/>
  <c r="O167" i="1"/>
  <c r="J168" i="1"/>
  <c r="O168" i="1"/>
  <c r="J169" i="1"/>
  <c r="O169" i="1"/>
  <c r="J170" i="1"/>
  <c r="O170" i="1"/>
  <c r="J171" i="1"/>
  <c r="O171" i="1"/>
  <c r="J172" i="1"/>
  <c r="O172" i="1"/>
  <c r="J173" i="1"/>
  <c r="O173" i="1"/>
  <c r="J174" i="1"/>
  <c r="O174" i="1"/>
  <c r="J175" i="1"/>
  <c r="O175" i="1"/>
  <c r="J176" i="1"/>
  <c r="O176" i="1"/>
  <c r="J177" i="1"/>
  <c r="O177" i="1"/>
  <c r="J178" i="1"/>
  <c r="O178" i="1"/>
  <c r="J179" i="1"/>
  <c r="O179" i="1"/>
  <c r="J180" i="1"/>
  <c r="O180" i="1"/>
  <c r="J181" i="1"/>
  <c r="O181" i="1"/>
  <c r="J182" i="1"/>
  <c r="O182" i="1"/>
  <c r="J183" i="1"/>
  <c r="O183" i="1"/>
  <c r="J184" i="1"/>
  <c r="O184" i="1"/>
  <c r="J185" i="1"/>
  <c r="O185" i="1"/>
  <c r="J186" i="1"/>
  <c r="O186" i="1"/>
  <c r="J187" i="1"/>
  <c r="O187" i="1"/>
  <c r="J188" i="1"/>
  <c r="O188" i="1"/>
  <c r="J189" i="1"/>
  <c r="O189" i="1"/>
  <c r="J190" i="1"/>
  <c r="O190" i="1"/>
  <c r="J191" i="1"/>
  <c r="O191" i="1"/>
  <c r="J192" i="1"/>
  <c r="O192" i="1"/>
  <c r="J193" i="1"/>
  <c r="O193" i="1"/>
  <c r="J194" i="1"/>
  <c r="O194" i="1"/>
  <c r="J195" i="1"/>
  <c r="O195" i="1"/>
  <c r="J196" i="1"/>
  <c r="O196" i="1"/>
  <c r="J197" i="1"/>
  <c r="O197" i="1"/>
  <c r="J198" i="1"/>
  <c r="O198" i="1"/>
  <c r="J199" i="1"/>
  <c r="O199" i="1"/>
  <c r="J200" i="1"/>
  <c r="O200" i="1"/>
  <c r="J201" i="1"/>
  <c r="O201" i="1"/>
  <c r="J202" i="1"/>
  <c r="O202" i="1"/>
  <c r="J117" i="1"/>
  <c r="O117" i="1"/>
  <c r="J118" i="1"/>
  <c r="O118" i="1"/>
  <c r="J119" i="1"/>
  <c r="O119" i="1"/>
  <c r="J120" i="1"/>
  <c r="O120" i="1"/>
  <c r="J121" i="1"/>
  <c r="O121" i="1"/>
  <c r="J122" i="1"/>
  <c r="O122" i="1"/>
  <c r="J123" i="1"/>
  <c r="O123" i="1"/>
  <c r="J124" i="1"/>
  <c r="O124" i="1"/>
  <c r="J125" i="1"/>
  <c r="O125" i="1"/>
  <c r="J126" i="1"/>
  <c r="O126" i="1"/>
  <c r="J127" i="1"/>
  <c r="O127" i="1"/>
  <c r="J128" i="1"/>
  <c r="O128" i="1"/>
  <c r="J129" i="1"/>
  <c r="O129" i="1"/>
  <c r="J130" i="1"/>
  <c r="O130" i="1"/>
  <c r="J131" i="1"/>
  <c r="O131" i="1"/>
  <c r="J132" i="1"/>
  <c r="O132" i="1"/>
  <c r="J98" i="1"/>
  <c r="O98" i="1"/>
  <c r="J99" i="1"/>
  <c r="O99" i="1"/>
  <c r="J100" i="1"/>
  <c r="O100" i="1"/>
  <c r="J101" i="1"/>
  <c r="O101" i="1"/>
  <c r="J102" i="1"/>
  <c r="O102" i="1"/>
  <c r="J103" i="1"/>
  <c r="O103" i="1"/>
  <c r="J104" i="1"/>
  <c r="O104" i="1"/>
  <c r="J105" i="1"/>
  <c r="O105" i="1"/>
  <c r="J106" i="1"/>
  <c r="O106" i="1"/>
  <c r="J107" i="1"/>
  <c r="O107" i="1"/>
  <c r="J108" i="1"/>
  <c r="O108" i="1"/>
  <c r="J109" i="1"/>
  <c r="O109" i="1"/>
  <c r="J110" i="1"/>
  <c r="O110" i="1"/>
  <c r="J111" i="1"/>
  <c r="O111" i="1"/>
  <c r="J112" i="1"/>
  <c r="O112" i="1"/>
  <c r="J113" i="1"/>
  <c r="O113" i="1"/>
  <c r="J114" i="1"/>
  <c r="O114" i="1"/>
  <c r="J115" i="1"/>
  <c r="O115" i="1"/>
  <c r="J116" i="1"/>
  <c r="O116" i="1"/>
  <c r="O65" i="1"/>
  <c r="O212" i="1"/>
  <c r="O221" i="1" s="1"/>
  <c r="J212" i="1"/>
  <c r="J221" i="1" s="1"/>
  <c r="O97" i="1"/>
  <c r="J97" i="1"/>
  <c r="Q3" i="1"/>
  <c r="I215" i="1"/>
  <c r="I216" i="1"/>
  <c r="I217" i="1"/>
  <c r="I218" i="1"/>
  <c r="I219" i="1"/>
  <c r="I220" i="1"/>
  <c r="I108" i="1"/>
  <c r="I115" i="1"/>
  <c r="I126" i="1"/>
  <c r="I140" i="1"/>
  <c r="I146" i="1"/>
  <c r="I148" i="1"/>
  <c r="I175" i="1"/>
  <c r="I181" i="1"/>
  <c r="I196" i="1"/>
  <c r="I201" i="1"/>
  <c r="I67" i="1"/>
  <c r="I72" i="1"/>
  <c r="I80" i="1"/>
  <c r="I82" i="1"/>
  <c r="I84" i="1"/>
  <c r="E5" i="1"/>
  <c r="E6" i="1"/>
  <c r="I6" i="1" s="1"/>
  <c r="E7" i="1"/>
  <c r="I7" i="1" s="1"/>
  <c r="E8" i="1"/>
  <c r="I8" i="1" s="1"/>
  <c r="E9" i="1"/>
  <c r="I9" i="1" s="1"/>
  <c r="E10" i="1"/>
  <c r="I10" i="1" s="1"/>
  <c r="E11" i="1"/>
  <c r="I11" i="1" s="1"/>
  <c r="E12" i="1"/>
  <c r="I12" i="1" s="1"/>
  <c r="E13" i="1"/>
  <c r="I13" i="1" s="1"/>
  <c r="E14" i="1"/>
  <c r="I14" i="1" s="1"/>
  <c r="E15" i="1"/>
  <c r="I15" i="1" s="1"/>
  <c r="E16" i="1"/>
  <c r="I16" i="1" s="1"/>
  <c r="E17" i="1"/>
  <c r="I17" i="1" s="1"/>
  <c r="E18" i="1"/>
  <c r="I18" i="1" s="1"/>
  <c r="E19" i="1"/>
  <c r="I19" i="1" s="1"/>
  <c r="E20" i="1"/>
  <c r="I20" i="1" s="1"/>
  <c r="E21" i="1"/>
  <c r="I21" i="1" s="1"/>
  <c r="E22" i="1"/>
  <c r="I22" i="1" s="1"/>
  <c r="E23" i="1"/>
  <c r="I23" i="1" s="1"/>
  <c r="E24" i="1"/>
  <c r="I24" i="1" s="1"/>
  <c r="E25" i="1"/>
  <c r="I25" i="1" s="1"/>
  <c r="E26" i="1"/>
  <c r="I26" i="1" s="1"/>
  <c r="E27" i="1"/>
  <c r="I27" i="1" s="1"/>
  <c r="E28" i="1"/>
  <c r="I28" i="1" s="1"/>
  <c r="E29" i="1"/>
  <c r="I29" i="1" s="1"/>
  <c r="E30" i="1"/>
  <c r="I30" i="1" s="1"/>
  <c r="E31" i="1"/>
  <c r="I31" i="1" s="1"/>
  <c r="E32" i="1"/>
  <c r="I32" i="1" s="1"/>
  <c r="E33" i="1"/>
  <c r="I33" i="1" s="1"/>
  <c r="E34" i="1"/>
  <c r="I34" i="1" s="1"/>
  <c r="E35" i="1"/>
  <c r="I35" i="1" s="1"/>
  <c r="E36" i="1"/>
  <c r="I36" i="1" s="1"/>
  <c r="E37" i="1"/>
  <c r="I37" i="1" s="1"/>
  <c r="E38" i="1"/>
  <c r="I38" i="1" s="1"/>
  <c r="E39" i="1"/>
  <c r="I39" i="1" s="1"/>
  <c r="E40" i="1"/>
  <c r="I40" i="1" s="1"/>
  <c r="E41" i="1"/>
  <c r="I41" i="1" s="1"/>
  <c r="R41" i="1" s="1"/>
  <c r="E42" i="1"/>
  <c r="I42" i="1" s="1"/>
  <c r="E43" i="1"/>
  <c r="I43" i="1" s="1"/>
  <c r="E44" i="1"/>
  <c r="I44" i="1" s="1"/>
  <c r="E45" i="1"/>
  <c r="I45" i="1" s="1"/>
  <c r="E46" i="1"/>
  <c r="I46" i="1" s="1"/>
  <c r="E47" i="1"/>
  <c r="I47" i="1" s="1"/>
  <c r="E48" i="1"/>
  <c r="I48" i="1" s="1"/>
  <c r="E49" i="1"/>
  <c r="I49" i="1" s="1"/>
  <c r="E50" i="1"/>
  <c r="I50" i="1" s="1"/>
  <c r="E51" i="1"/>
  <c r="I51" i="1" s="1"/>
  <c r="E66" i="1"/>
  <c r="I66" i="1" s="1"/>
  <c r="E68" i="1"/>
  <c r="I68" i="1" s="1"/>
  <c r="E69" i="1"/>
  <c r="I69" i="1" s="1"/>
  <c r="E70" i="1"/>
  <c r="I70" i="1" s="1"/>
  <c r="E71" i="1"/>
  <c r="I71" i="1" s="1"/>
  <c r="E73" i="1"/>
  <c r="I73" i="1" s="1"/>
  <c r="E74" i="1"/>
  <c r="I74" i="1" s="1"/>
  <c r="E75" i="1"/>
  <c r="I75" i="1" s="1"/>
  <c r="E76" i="1"/>
  <c r="I76" i="1" s="1"/>
  <c r="E77" i="1"/>
  <c r="I77" i="1" s="1"/>
  <c r="E78" i="1"/>
  <c r="I78" i="1" s="1"/>
  <c r="E79" i="1"/>
  <c r="I79" i="1" s="1"/>
  <c r="E81" i="1"/>
  <c r="I81" i="1" s="1"/>
  <c r="E83" i="1"/>
  <c r="I83" i="1" s="1"/>
  <c r="E85" i="1"/>
  <c r="I85" i="1" s="1"/>
  <c r="E86" i="1"/>
  <c r="I86" i="1" s="1"/>
  <c r="E202" i="1"/>
  <c r="I202" i="1" s="1"/>
  <c r="E98" i="1"/>
  <c r="I98" i="1" s="1"/>
  <c r="E99" i="1"/>
  <c r="I99" i="1" s="1"/>
  <c r="E100" i="1"/>
  <c r="I100" i="1" s="1"/>
  <c r="E101" i="1"/>
  <c r="I101" i="1" s="1"/>
  <c r="E102" i="1"/>
  <c r="I102" i="1" s="1"/>
  <c r="E103" i="1"/>
  <c r="I103" i="1" s="1"/>
  <c r="E104" i="1"/>
  <c r="I104" i="1" s="1"/>
  <c r="E105" i="1"/>
  <c r="I105" i="1" s="1"/>
  <c r="E106" i="1"/>
  <c r="I106" i="1" s="1"/>
  <c r="E107" i="1"/>
  <c r="I107" i="1" s="1"/>
  <c r="E109" i="1"/>
  <c r="I109" i="1" s="1"/>
  <c r="E110" i="1"/>
  <c r="I110" i="1" s="1"/>
  <c r="E111" i="1"/>
  <c r="I111" i="1" s="1"/>
  <c r="E112" i="1"/>
  <c r="I112" i="1" s="1"/>
  <c r="E113" i="1"/>
  <c r="I113" i="1" s="1"/>
  <c r="E114" i="1"/>
  <c r="I114" i="1" s="1"/>
  <c r="E116" i="1"/>
  <c r="I116" i="1" s="1"/>
  <c r="E117" i="1"/>
  <c r="I117" i="1" s="1"/>
  <c r="E118" i="1"/>
  <c r="I118" i="1" s="1"/>
  <c r="E119" i="1"/>
  <c r="I119" i="1" s="1"/>
  <c r="E120" i="1"/>
  <c r="I120" i="1" s="1"/>
  <c r="E121" i="1"/>
  <c r="I121" i="1" s="1"/>
  <c r="E122" i="1"/>
  <c r="I122" i="1" s="1"/>
  <c r="E123" i="1"/>
  <c r="I123" i="1" s="1"/>
  <c r="E124" i="1"/>
  <c r="I124" i="1" s="1"/>
  <c r="E125" i="1"/>
  <c r="I125" i="1" s="1"/>
  <c r="E127" i="1"/>
  <c r="I127" i="1" s="1"/>
  <c r="E128" i="1"/>
  <c r="I128" i="1" s="1"/>
  <c r="E129" i="1"/>
  <c r="I129" i="1" s="1"/>
  <c r="E130" i="1"/>
  <c r="I130" i="1" s="1"/>
  <c r="E131" i="1"/>
  <c r="I131" i="1" s="1"/>
  <c r="E132" i="1"/>
  <c r="I132" i="1" s="1"/>
  <c r="E133" i="1"/>
  <c r="I133" i="1" s="1"/>
  <c r="E134" i="1"/>
  <c r="I134" i="1" s="1"/>
  <c r="E135" i="1"/>
  <c r="I135" i="1" s="1"/>
  <c r="E136" i="1"/>
  <c r="I136" i="1" s="1"/>
  <c r="E137" i="1"/>
  <c r="I137" i="1" s="1"/>
  <c r="E138" i="1"/>
  <c r="I138" i="1" s="1"/>
  <c r="E139" i="1"/>
  <c r="I139" i="1" s="1"/>
  <c r="E141" i="1"/>
  <c r="I141" i="1" s="1"/>
  <c r="E142" i="1"/>
  <c r="I142" i="1" s="1"/>
  <c r="E143" i="1"/>
  <c r="I143" i="1" s="1"/>
  <c r="E144" i="1"/>
  <c r="I144" i="1" s="1"/>
  <c r="E145" i="1"/>
  <c r="I145" i="1" s="1"/>
  <c r="E147" i="1"/>
  <c r="I147" i="1" s="1"/>
  <c r="E149" i="1"/>
  <c r="I149" i="1" s="1"/>
  <c r="E150" i="1"/>
  <c r="I150" i="1" s="1"/>
  <c r="E151" i="1"/>
  <c r="I151" i="1" s="1"/>
  <c r="E152" i="1"/>
  <c r="I152" i="1" s="1"/>
  <c r="E153" i="1"/>
  <c r="I153" i="1" s="1"/>
  <c r="E154" i="1"/>
  <c r="I154" i="1" s="1"/>
  <c r="E155" i="1"/>
  <c r="I155" i="1" s="1"/>
  <c r="E156" i="1"/>
  <c r="I156" i="1" s="1"/>
  <c r="E157" i="1"/>
  <c r="I157" i="1" s="1"/>
  <c r="E158" i="1"/>
  <c r="I158" i="1" s="1"/>
  <c r="E159" i="1"/>
  <c r="I159" i="1" s="1"/>
  <c r="E160" i="1"/>
  <c r="I160" i="1" s="1"/>
  <c r="E161" i="1"/>
  <c r="I161" i="1" s="1"/>
  <c r="E162" i="1"/>
  <c r="I162" i="1" s="1"/>
  <c r="E163" i="1"/>
  <c r="I163" i="1" s="1"/>
  <c r="E164" i="1"/>
  <c r="I164" i="1" s="1"/>
  <c r="E165" i="1"/>
  <c r="I165" i="1" s="1"/>
  <c r="E166" i="1"/>
  <c r="I166" i="1" s="1"/>
  <c r="E167" i="1"/>
  <c r="I167" i="1" s="1"/>
  <c r="E168" i="1"/>
  <c r="I168" i="1" s="1"/>
  <c r="E169" i="1"/>
  <c r="I169" i="1" s="1"/>
  <c r="E170" i="1"/>
  <c r="I170" i="1" s="1"/>
  <c r="E171" i="1"/>
  <c r="I171" i="1" s="1"/>
  <c r="E172" i="1"/>
  <c r="I172" i="1" s="1"/>
  <c r="E173" i="1"/>
  <c r="I173" i="1" s="1"/>
  <c r="E174" i="1"/>
  <c r="I174" i="1" s="1"/>
  <c r="E176" i="1"/>
  <c r="I176" i="1" s="1"/>
  <c r="E177" i="1"/>
  <c r="I177" i="1" s="1"/>
  <c r="E178" i="1"/>
  <c r="I178" i="1" s="1"/>
  <c r="E179" i="1"/>
  <c r="I179" i="1" s="1"/>
  <c r="E180" i="1"/>
  <c r="I180" i="1" s="1"/>
  <c r="E182" i="1"/>
  <c r="I182" i="1" s="1"/>
  <c r="E183" i="1"/>
  <c r="I183" i="1" s="1"/>
  <c r="E184" i="1"/>
  <c r="I184" i="1" s="1"/>
  <c r="E185" i="1"/>
  <c r="I185" i="1" s="1"/>
  <c r="E186" i="1"/>
  <c r="I186" i="1" s="1"/>
  <c r="E187" i="1"/>
  <c r="I187" i="1" s="1"/>
  <c r="E188" i="1"/>
  <c r="I188" i="1" s="1"/>
  <c r="E189" i="1"/>
  <c r="I189" i="1" s="1"/>
  <c r="E190" i="1"/>
  <c r="I190" i="1" s="1"/>
  <c r="E191" i="1"/>
  <c r="I191" i="1" s="1"/>
  <c r="E192" i="1"/>
  <c r="I192" i="1" s="1"/>
  <c r="E193" i="1"/>
  <c r="I193" i="1" s="1"/>
  <c r="E194" i="1"/>
  <c r="I194" i="1" s="1"/>
  <c r="E195" i="1"/>
  <c r="I195" i="1" s="1"/>
  <c r="E197" i="1"/>
  <c r="I197" i="1" s="1"/>
  <c r="E198" i="1"/>
  <c r="I198" i="1" s="1"/>
  <c r="E199" i="1"/>
  <c r="I199" i="1" s="1"/>
  <c r="E200" i="1"/>
  <c r="I200" i="1" s="1"/>
  <c r="E97" i="1"/>
  <c r="E203" i="1" l="1"/>
  <c r="O203" i="1"/>
  <c r="O87" i="1"/>
  <c r="I5" i="1"/>
  <c r="I52" i="1" s="1"/>
  <c r="E52" i="1"/>
  <c r="J203" i="1"/>
  <c r="P8" i="1"/>
  <c r="J87" i="1"/>
  <c r="U86" i="1"/>
  <c r="P40" i="1"/>
  <c r="P26" i="1"/>
  <c r="P51" i="1"/>
  <c r="V50" i="1"/>
  <c r="P50" i="1"/>
  <c r="P49" i="1"/>
  <c r="V48" i="1"/>
  <c r="P48" i="1"/>
  <c r="P47" i="1"/>
  <c r="V46" i="1"/>
  <c r="P46" i="1"/>
  <c r="P45" i="1"/>
  <c r="P44" i="1"/>
  <c r="P43" i="1"/>
  <c r="P42" i="1"/>
  <c r="P41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7" i="1"/>
  <c r="P6" i="1"/>
  <c r="P5" i="1"/>
  <c r="E87" i="1"/>
  <c r="I97" i="1"/>
  <c r="I221" i="1"/>
  <c r="V8" i="1"/>
  <c r="S115" i="1"/>
  <c r="V6" i="1"/>
  <c r="S108" i="1"/>
  <c r="S200" i="1"/>
  <c r="K200" i="1"/>
  <c r="T200" i="1"/>
  <c r="V200" i="1"/>
  <c r="S198" i="1"/>
  <c r="K198" i="1"/>
  <c r="T198" i="1"/>
  <c r="V198" i="1"/>
  <c r="S195" i="1"/>
  <c r="K195" i="1"/>
  <c r="T195" i="1"/>
  <c r="V195" i="1"/>
  <c r="S193" i="1"/>
  <c r="K193" i="1"/>
  <c r="T193" i="1"/>
  <c r="V193" i="1"/>
  <c r="S191" i="1"/>
  <c r="K191" i="1"/>
  <c r="T191" i="1"/>
  <c r="V191" i="1"/>
  <c r="S189" i="1"/>
  <c r="K189" i="1"/>
  <c r="T189" i="1"/>
  <c r="V189" i="1"/>
  <c r="S187" i="1"/>
  <c r="K187" i="1"/>
  <c r="T187" i="1"/>
  <c r="V187" i="1"/>
  <c r="S185" i="1"/>
  <c r="K185" i="1"/>
  <c r="T185" i="1"/>
  <c r="V185" i="1"/>
  <c r="K183" i="1"/>
  <c r="S183" i="1"/>
  <c r="T183" i="1"/>
  <c r="V183" i="1"/>
  <c r="K180" i="1"/>
  <c r="T180" i="1"/>
  <c r="V180" i="1"/>
  <c r="S180" i="1"/>
  <c r="K178" i="1"/>
  <c r="T178" i="1"/>
  <c r="V178" i="1"/>
  <c r="S178" i="1"/>
  <c r="K176" i="1"/>
  <c r="T176" i="1"/>
  <c r="V176" i="1"/>
  <c r="S176" i="1"/>
  <c r="K173" i="1"/>
  <c r="T173" i="1"/>
  <c r="V173" i="1"/>
  <c r="S173" i="1"/>
  <c r="K171" i="1"/>
  <c r="T171" i="1"/>
  <c r="V171" i="1"/>
  <c r="S171" i="1"/>
  <c r="K169" i="1"/>
  <c r="T169" i="1"/>
  <c r="V169" i="1"/>
  <c r="S169" i="1"/>
  <c r="S167" i="1"/>
  <c r="K167" i="1"/>
  <c r="T167" i="1"/>
  <c r="V167" i="1"/>
  <c r="K165" i="1"/>
  <c r="T165" i="1"/>
  <c r="V165" i="1"/>
  <c r="S165" i="1"/>
  <c r="K163" i="1"/>
  <c r="T163" i="1"/>
  <c r="V163" i="1"/>
  <c r="S163" i="1"/>
  <c r="K161" i="1"/>
  <c r="T161" i="1"/>
  <c r="V161" i="1"/>
  <c r="S161" i="1"/>
  <c r="K159" i="1"/>
  <c r="T159" i="1"/>
  <c r="V159" i="1"/>
  <c r="S159" i="1"/>
  <c r="K157" i="1"/>
  <c r="T157" i="1"/>
  <c r="V157" i="1"/>
  <c r="S157" i="1"/>
  <c r="K155" i="1"/>
  <c r="T155" i="1"/>
  <c r="V155" i="1"/>
  <c r="S155" i="1"/>
  <c r="K153" i="1"/>
  <c r="T153" i="1"/>
  <c r="V153" i="1"/>
  <c r="S153" i="1"/>
  <c r="K151" i="1"/>
  <c r="T151" i="1"/>
  <c r="V151" i="1"/>
  <c r="S151" i="1"/>
  <c r="K149" i="1"/>
  <c r="T149" i="1"/>
  <c r="V149" i="1"/>
  <c r="S149" i="1"/>
  <c r="K145" i="1"/>
  <c r="T145" i="1"/>
  <c r="V145" i="1"/>
  <c r="S145" i="1"/>
  <c r="K143" i="1"/>
  <c r="T143" i="1"/>
  <c r="V143" i="1"/>
  <c r="S143" i="1"/>
  <c r="K141" i="1"/>
  <c r="T141" i="1"/>
  <c r="V141" i="1"/>
  <c r="S141" i="1"/>
  <c r="K138" i="1"/>
  <c r="T138" i="1"/>
  <c r="V138" i="1"/>
  <c r="S138" i="1"/>
  <c r="K136" i="1"/>
  <c r="T136" i="1"/>
  <c r="V136" i="1"/>
  <c r="S136" i="1"/>
  <c r="K134" i="1"/>
  <c r="T134" i="1"/>
  <c r="V134" i="1"/>
  <c r="S134" i="1"/>
  <c r="K132" i="1"/>
  <c r="T132" i="1"/>
  <c r="V132" i="1"/>
  <c r="S132" i="1"/>
  <c r="S130" i="1"/>
  <c r="K130" i="1"/>
  <c r="T130" i="1"/>
  <c r="V130" i="1"/>
  <c r="S128" i="1"/>
  <c r="K128" i="1"/>
  <c r="T128" i="1"/>
  <c r="V128" i="1"/>
  <c r="S125" i="1"/>
  <c r="K125" i="1"/>
  <c r="T125" i="1"/>
  <c r="V125" i="1"/>
  <c r="S123" i="1"/>
  <c r="K123" i="1"/>
  <c r="T123" i="1"/>
  <c r="V123" i="1"/>
  <c r="S121" i="1"/>
  <c r="K121" i="1"/>
  <c r="T121" i="1"/>
  <c r="V121" i="1"/>
  <c r="S119" i="1"/>
  <c r="K119" i="1"/>
  <c r="T119" i="1"/>
  <c r="V119" i="1"/>
  <c r="S117" i="1"/>
  <c r="K117" i="1"/>
  <c r="T117" i="1"/>
  <c r="V117" i="1"/>
  <c r="S114" i="1"/>
  <c r="K114" i="1"/>
  <c r="T114" i="1"/>
  <c r="V114" i="1"/>
  <c r="S112" i="1"/>
  <c r="K112" i="1"/>
  <c r="T112" i="1"/>
  <c r="V112" i="1"/>
  <c r="S110" i="1"/>
  <c r="K110" i="1"/>
  <c r="T110" i="1"/>
  <c r="V110" i="1"/>
  <c r="S107" i="1"/>
  <c r="K107" i="1"/>
  <c r="T107" i="1"/>
  <c r="V107" i="1"/>
  <c r="S105" i="1"/>
  <c r="T105" i="1"/>
  <c r="K105" i="1"/>
  <c r="V105" i="1"/>
  <c r="S103" i="1"/>
  <c r="T103" i="1"/>
  <c r="K103" i="1"/>
  <c r="V103" i="1"/>
  <c r="S101" i="1"/>
  <c r="T101" i="1"/>
  <c r="K101" i="1"/>
  <c r="V101" i="1"/>
  <c r="K99" i="1"/>
  <c r="T99" i="1"/>
  <c r="V99" i="1"/>
  <c r="S99" i="1"/>
  <c r="S202" i="1"/>
  <c r="K202" i="1"/>
  <c r="T202" i="1"/>
  <c r="V202" i="1"/>
  <c r="K86" i="1"/>
  <c r="R86" i="1" s="1"/>
  <c r="T86" i="1"/>
  <c r="V86" i="1"/>
  <c r="S86" i="1"/>
  <c r="K83" i="1"/>
  <c r="R83" i="1" s="1"/>
  <c r="T83" i="1"/>
  <c r="V83" i="1"/>
  <c r="S83" i="1"/>
  <c r="K79" i="1"/>
  <c r="R79" i="1" s="1"/>
  <c r="V79" i="1"/>
  <c r="S79" i="1"/>
  <c r="U79" i="1"/>
  <c r="K77" i="1"/>
  <c r="R77" i="1" s="1"/>
  <c r="T77" i="1"/>
  <c r="V77" i="1"/>
  <c r="S77" i="1"/>
  <c r="U77" i="1"/>
  <c r="S75" i="1"/>
  <c r="U75" i="1"/>
  <c r="K75" i="1"/>
  <c r="R75" i="1" s="1"/>
  <c r="V75" i="1"/>
  <c r="T75" i="1"/>
  <c r="K73" i="1"/>
  <c r="R73" i="1" s="1"/>
  <c r="T73" i="1"/>
  <c r="V73" i="1"/>
  <c r="S73" i="1"/>
  <c r="U73" i="1"/>
  <c r="K70" i="1"/>
  <c r="R70" i="1" s="1"/>
  <c r="T70" i="1"/>
  <c r="V70" i="1"/>
  <c r="S70" i="1"/>
  <c r="U70" i="1"/>
  <c r="K68" i="1"/>
  <c r="R68" i="1" s="1"/>
  <c r="T68" i="1"/>
  <c r="V68" i="1"/>
  <c r="S68" i="1"/>
  <c r="U68" i="1"/>
  <c r="S51" i="1"/>
  <c r="V51" i="1"/>
  <c r="T51" i="1"/>
  <c r="R51" i="1"/>
  <c r="S49" i="1"/>
  <c r="V49" i="1"/>
  <c r="T49" i="1"/>
  <c r="R49" i="1"/>
  <c r="S47" i="1"/>
  <c r="V47" i="1"/>
  <c r="T47" i="1"/>
  <c r="R47" i="1"/>
  <c r="S45" i="1"/>
  <c r="V45" i="1"/>
  <c r="T45" i="1"/>
  <c r="R45" i="1"/>
  <c r="S43" i="1"/>
  <c r="V43" i="1"/>
  <c r="T43" i="1"/>
  <c r="R43" i="1"/>
  <c r="S41" i="1"/>
  <c r="V41" i="1"/>
  <c r="T41" i="1"/>
  <c r="S39" i="1"/>
  <c r="V39" i="1"/>
  <c r="T39" i="1"/>
  <c r="R39" i="1"/>
  <c r="S37" i="1"/>
  <c r="V37" i="1"/>
  <c r="T37" i="1"/>
  <c r="R37" i="1"/>
  <c r="S35" i="1"/>
  <c r="V35" i="1"/>
  <c r="T35" i="1"/>
  <c r="R35" i="1"/>
  <c r="S33" i="1"/>
  <c r="V33" i="1"/>
  <c r="T33" i="1"/>
  <c r="R33" i="1"/>
  <c r="S31" i="1"/>
  <c r="V31" i="1"/>
  <c r="T31" i="1"/>
  <c r="R31" i="1"/>
  <c r="S29" i="1"/>
  <c r="V29" i="1"/>
  <c r="T29" i="1"/>
  <c r="R29" i="1"/>
  <c r="S27" i="1"/>
  <c r="V27" i="1"/>
  <c r="T27" i="1"/>
  <c r="R27" i="1"/>
  <c r="S25" i="1"/>
  <c r="V25" i="1"/>
  <c r="T25" i="1"/>
  <c r="R25" i="1"/>
  <c r="S23" i="1"/>
  <c r="V23" i="1"/>
  <c r="T23" i="1"/>
  <c r="R23" i="1"/>
  <c r="S21" i="1"/>
  <c r="V21" i="1"/>
  <c r="T21" i="1"/>
  <c r="R21" i="1"/>
  <c r="S19" i="1"/>
  <c r="V19" i="1"/>
  <c r="T19" i="1"/>
  <c r="R19" i="1"/>
  <c r="S17" i="1"/>
  <c r="V17" i="1"/>
  <c r="T17" i="1"/>
  <c r="R17" i="1"/>
  <c r="S15" i="1"/>
  <c r="V15" i="1"/>
  <c r="T15" i="1"/>
  <c r="R15" i="1"/>
  <c r="S13" i="1"/>
  <c r="V13" i="1"/>
  <c r="T13" i="1"/>
  <c r="R13" i="1"/>
  <c r="S11" i="1"/>
  <c r="V11" i="1"/>
  <c r="T11" i="1"/>
  <c r="R11" i="1"/>
  <c r="S9" i="1"/>
  <c r="V9" i="1"/>
  <c r="T9" i="1"/>
  <c r="R9" i="1"/>
  <c r="S7" i="1"/>
  <c r="V7" i="1"/>
  <c r="T7" i="1"/>
  <c r="R7" i="1"/>
  <c r="V5" i="1"/>
  <c r="R5" i="1"/>
  <c r="S97" i="1"/>
  <c r="K97" i="1"/>
  <c r="V97" i="1"/>
  <c r="T97" i="1"/>
  <c r="S199" i="1"/>
  <c r="K199" i="1"/>
  <c r="T199" i="1"/>
  <c r="V199" i="1"/>
  <c r="S197" i="1"/>
  <c r="K197" i="1"/>
  <c r="T197" i="1"/>
  <c r="V197" i="1"/>
  <c r="S194" i="1"/>
  <c r="K194" i="1"/>
  <c r="T194" i="1"/>
  <c r="V194" i="1"/>
  <c r="S192" i="1"/>
  <c r="K192" i="1"/>
  <c r="T192" i="1"/>
  <c r="V192" i="1"/>
  <c r="S190" i="1"/>
  <c r="K190" i="1"/>
  <c r="T190" i="1"/>
  <c r="V190" i="1"/>
  <c r="S188" i="1"/>
  <c r="K188" i="1"/>
  <c r="T188" i="1"/>
  <c r="V188" i="1"/>
  <c r="S186" i="1"/>
  <c r="K186" i="1"/>
  <c r="T186" i="1"/>
  <c r="V186" i="1"/>
  <c r="S184" i="1"/>
  <c r="K184" i="1"/>
  <c r="T184" i="1"/>
  <c r="V184" i="1"/>
  <c r="K182" i="1"/>
  <c r="T182" i="1"/>
  <c r="V182" i="1"/>
  <c r="S182" i="1"/>
  <c r="K179" i="1"/>
  <c r="T179" i="1"/>
  <c r="V179" i="1"/>
  <c r="S179" i="1"/>
  <c r="K177" i="1"/>
  <c r="T177" i="1"/>
  <c r="V177" i="1"/>
  <c r="S177" i="1"/>
  <c r="K174" i="1"/>
  <c r="T174" i="1"/>
  <c r="V174" i="1"/>
  <c r="S174" i="1"/>
  <c r="K172" i="1"/>
  <c r="T172" i="1"/>
  <c r="V172" i="1"/>
  <c r="S172" i="1"/>
  <c r="K170" i="1"/>
  <c r="T170" i="1"/>
  <c r="V170" i="1"/>
  <c r="S170" i="1"/>
  <c r="S168" i="1"/>
  <c r="K168" i="1"/>
  <c r="T168" i="1"/>
  <c r="V168" i="1"/>
  <c r="S166" i="1"/>
  <c r="K166" i="1"/>
  <c r="T166" i="1"/>
  <c r="V166" i="1"/>
  <c r="K164" i="1"/>
  <c r="T164" i="1"/>
  <c r="V164" i="1"/>
  <c r="S164" i="1"/>
  <c r="K162" i="1"/>
  <c r="T162" i="1"/>
  <c r="V162" i="1"/>
  <c r="S162" i="1"/>
  <c r="K160" i="1"/>
  <c r="T160" i="1"/>
  <c r="V160" i="1"/>
  <c r="S160" i="1"/>
  <c r="K158" i="1"/>
  <c r="T158" i="1"/>
  <c r="V158" i="1"/>
  <c r="S158" i="1"/>
  <c r="K156" i="1"/>
  <c r="T156" i="1"/>
  <c r="V156" i="1"/>
  <c r="S156" i="1"/>
  <c r="K154" i="1"/>
  <c r="T154" i="1"/>
  <c r="V154" i="1"/>
  <c r="S154" i="1"/>
  <c r="K152" i="1"/>
  <c r="T152" i="1"/>
  <c r="V152" i="1"/>
  <c r="S152" i="1"/>
  <c r="K150" i="1"/>
  <c r="T150" i="1"/>
  <c r="V150" i="1"/>
  <c r="S150" i="1"/>
  <c r="K147" i="1"/>
  <c r="T147" i="1"/>
  <c r="V147" i="1"/>
  <c r="S147" i="1"/>
  <c r="K144" i="1"/>
  <c r="T144" i="1"/>
  <c r="V144" i="1"/>
  <c r="S144" i="1"/>
  <c r="K142" i="1"/>
  <c r="T142" i="1"/>
  <c r="V142" i="1"/>
  <c r="S142" i="1"/>
  <c r="K139" i="1"/>
  <c r="T139" i="1"/>
  <c r="V139" i="1"/>
  <c r="S139" i="1"/>
  <c r="K137" i="1"/>
  <c r="T137" i="1"/>
  <c r="V137" i="1"/>
  <c r="S137" i="1"/>
  <c r="K135" i="1"/>
  <c r="T135" i="1"/>
  <c r="V135" i="1"/>
  <c r="S135" i="1"/>
  <c r="K133" i="1"/>
  <c r="T133" i="1"/>
  <c r="V133" i="1"/>
  <c r="S133" i="1"/>
  <c r="T131" i="1"/>
  <c r="V131" i="1"/>
  <c r="K131" i="1"/>
  <c r="S131" i="1"/>
  <c r="S129" i="1"/>
  <c r="K129" i="1"/>
  <c r="T129" i="1"/>
  <c r="V129" i="1"/>
  <c r="S127" i="1"/>
  <c r="K127" i="1"/>
  <c r="T127" i="1"/>
  <c r="V127" i="1"/>
  <c r="S124" i="1"/>
  <c r="K124" i="1"/>
  <c r="T124" i="1"/>
  <c r="V124" i="1"/>
  <c r="S122" i="1"/>
  <c r="K122" i="1"/>
  <c r="T122" i="1"/>
  <c r="V122" i="1"/>
  <c r="S120" i="1"/>
  <c r="K120" i="1"/>
  <c r="T120" i="1"/>
  <c r="V120" i="1"/>
  <c r="S118" i="1"/>
  <c r="K118" i="1"/>
  <c r="T118" i="1"/>
  <c r="V118" i="1"/>
  <c r="S116" i="1"/>
  <c r="K116" i="1"/>
  <c r="T116" i="1"/>
  <c r="V116" i="1"/>
  <c r="S113" i="1"/>
  <c r="K113" i="1"/>
  <c r="T113" i="1"/>
  <c r="V113" i="1"/>
  <c r="S111" i="1"/>
  <c r="K111" i="1"/>
  <c r="T111" i="1"/>
  <c r="V111" i="1"/>
  <c r="S109" i="1"/>
  <c r="K109" i="1"/>
  <c r="T109" i="1"/>
  <c r="V109" i="1"/>
  <c r="S106" i="1"/>
  <c r="K106" i="1"/>
  <c r="T106" i="1"/>
  <c r="V106" i="1"/>
  <c r="S104" i="1"/>
  <c r="T104" i="1"/>
  <c r="K104" i="1"/>
  <c r="V104" i="1"/>
  <c r="S102" i="1"/>
  <c r="T102" i="1"/>
  <c r="K102" i="1"/>
  <c r="V102" i="1"/>
  <c r="K100" i="1"/>
  <c r="S100" i="1"/>
  <c r="T100" i="1"/>
  <c r="V100" i="1"/>
  <c r="K98" i="1"/>
  <c r="T98" i="1"/>
  <c r="V98" i="1"/>
  <c r="S98" i="1"/>
  <c r="K85" i="1"/>
  <c r="R85" i="1" s="1"/>
  <c r="T85" i="1"/>
  <c r="V85" i="1"/>
  <c r="S85" i="1"/>
  <c r="K81" i="1"/>
  <c r="R81" i="1" s="1"/>
  <c r="T81" i="1"/>
  <c r="V81" i="1"/>
  <c r="S81" i="1"/>
  <c r="U81" i="1"/>
  <c r="K78" i="1"/>
  <c r="R78" i="1" s="1"/>
  <c r="T78" i="1"/>
  <c r="V78" i="1"/>
  <c r="S78" i="1"/>
  <c r="U78" i="1"/>
  <c r="S76" i="1"/>
  <c r="U76" i="1"/>
  <c r="K76" i="1"/>
  <c r="R76" i="1" s="1"/>
  <c r="V76" i="1"/>
  <c r="T76" i="1"/>
  <c r="K74" i="1"/>
  <c r="R74" i="1" s="1"/>
  <c r="T74" i="1"/>
  <c r="V74" i="1"/>
  <c r="S74" i="1"/>
  <c r="U74" i="1"/>
  <c r="K71" i="1"/>
  <c r="T71" i="1"/>
  <c r="V71" i="1"/>
  <c r="S71" i="1"/>
  <c r="U71" i="1"/>
  <c r="K69" i="1"/>
  <c r="R69" i="1" s="1"/>
  <c r="T69" i="1"/>
  <c r="V69" i="1"/>
  <c r="S69" i="1"/>
  <c r="U69" i="1"/>
  <c r="K66" i="1"/>
  <c r="R66" i="1" s="1"/>
  <c r="T66" i="1"/>
  <c r="V66" i="1"/>
  <c r="S66" i="1"/>
  <c r="U66" i="1"/>
  <c r="V44" i="1"/>
  <c r="S44" i="1"/>
  <c r="T44" i="1"/>
  <c r="R44" i="1"/>
  <c r="V42" i="1"/>
  <c r="S42" i="1"/>
  <c r="T42" i="1"/>
  <c r="R42" i="1"/>
  <c r="V40" i="1"/>
  <c r="S40" i="1"/>
  <c r="T40" i="1"/>
  <c r="R40" i="1"/>
  <c r="V38" i="1"/>
  <c r="S38" i="1"/>
  <c r="T38" i="1"/>
  <c r="R38" i="1"/>
  <c r="V36" i="1"/>
  <c r="S36" i="1"/>
  <c r="T36" i="1"/>
  <c r="R36" i="1"/>
  <c r="V34" i="1"/>
  <c r="S34" i="1"/>
  <c r="T34" i="1"/>
  <c r="R34" i="1"/>
  <c r="V32" i="1"/>
  <c r="S32" i="1"/>
  <c r="T32" i="1"/>
  <c r="R32" i="1"/>
  <c r="V30" i="1"/>
  <c r="S30" i="1"/>
  <c r="T30" i="1"/>
  <c r="R30" i="1"/>
  <c r="V28" i="1"/>
  <c r="S28" i="1"/>
  <c r="T28" i="1"/>
  <c r="R28" i="1"/>
  <c r="V26" i="1"/>
  <c r="S26" i="1"/>
  <c r="T26" i="1"/>
  <c r="R26" i="1"/>
  <c r="V24" i="1"/>
  <c r="S24" i="1"/>
  <c r="T24" i="1"/>
  <c r="R24" i="1"/>
  <c r="V22" i="1"/>
  <c r="S22" i="1"/>
  <c r="T22" i="1"/>
  <c r="R22" i="1"/>
  <c r="V20" i="1"/>
  <c r="S20" i="1"/>
  <c r="T20" i="1"/>
  <c r="R20" i="1"/>
  <c r="V18" i="1"/>
  <c r="S18" i="1"/>
  <c r="T18" i="1"/>
  <c r="R18" i="1"/>
  <c r="V16" i="1"/>
  <c r="S16" i="1"/>
  <c r="T16" i="1"/>
  <c r="R16" i="1"/>
  <c r="V14" i="1"/>
  <c r="S14" i="1"/>
  <c r="T14" i="1"/>
  <c r="R14" i="1"/>
  <c r="V12" i="1"/>
  <c r="S12" i="1"/>
  <c r="T12" i="1"/>
  <c r="R12" i="1"/>
  <c r="V10" i="1"/>
  <c r="S10" i="1"/>
  <c r="T10" i="1"/>
  <c r="R10" i="1"/>
  <c r="K84" i="1"/>
  <c r="R84" i="1" s="1"/>
  <c r="T84" i="1"/>
  <c r="V84" i="1"/>
  <c r="S84" i="1"/>
  <c r="U84" i="1"/>
  <c r="K82" i="1"/>
  <c r="R82" i="1" s="1"/>
  <c r="T82" i="1"/>
  <c r="V82" i="1"/>
  <c r="S82" i="1"/>
  <c r="U82" i="1"/>
  <c r="K80" i="1"/>
  <c r="R80" i="1" s="1"/>
  <c r="T80" i="1"/>
  <c r="V80" i="1"/>
  <c r="S80" i="1"/>
  <c r="U80" i="1"/>
  <c r="K72" i="1"/>
  <c r="R72" i="1" s="1"/>
  <c r="T72" i="1"/>
  <c r="V72" i="1"/>
  <c r="S72" i="1"/>
  <c r="U72" i="1"/>
  <c r="S196" i="1"/>
  <c r="K196" i="1"/>
  <c r="T196" i="1"/>
  <c r="V196" i="1"/>
  <c r="K148" i="1"/>
  <c r="T148" i="1"/>
  <c r="V148" i="1"/>
  <c r="S148" i="1"/>
  <c r="K146" i="1"/>
  <c r="T146" i="1"/>
  <c r="V146" i="1"/>
  <c r="S146" i="1"/>
  <c r="K140" i="1"/>
  <c r="T140" i="1"/>
  <c r="V140" i="1"/>
  <c r="S140" i="1"/>
  <c r="S126" i="1"/>
  <c r="K126" i="1"/>
  <c r="T126" i="1"/>
  <c r="V126" i="1"/>
  <c r="K220" i="1"/>
  <c r="S220" i="1"/>
  <c r="T220" i="1"/>
  <c r="V220" i="1"/>
  <c r="K218" i="1"/>
  <c r="T218" i="1"/>
  <c r="V218" i="1"/>
  <c r="S218" i="1"/>
  <c r="K216" i="1"/>
  <c r="T216" i="1"/>
  <c r="V216" i="1"/>
  <c r="S216" i="1"/>
  <c r="K214" i="1"/>
  <c r="T214" i="1"/>
  <c r="V214" i="1"/>
  <c r="S214" i="1"/>
  <c r="T212" i="1"/>
  <c r="V212" i="1"/>
  <c r="R6" i="1"/>
  <c r="T6" i="1"/>
  <c r="R8" i="1"/>
  <c r="T8" i="1"/>
  <c r="R46" i="1"/>
  <c r="T46" i="1"/>
  <c r="R48" i="1"/>
  <c r="T48" i="1"/>
  <c r="R50" i="1"/>
  <c r="T50" i="1"/>
  <c r="V115" i="1"/>
  <c r="T115" i="1"/>
  <c r="K115" i="1"/>
  <c r="V108" i="1"/>
  <c r="T108" i="1"/>
  <c r="K108" i="1"/>
  <c r="K67" i="1"/>
  <c r="R67" i="1" s="1"/>
  <c r="T67" i="1"/>
  <c r="V67" i="1"/>
  <c r="S67" i="1"/>
  <c r="U67" i="1"/>
  <c r="S201" i="1"/>
  <c r="K201" i="1"/>
  <c r="T201" i="1"/>
  <c r="V201" i="1"/>
  <c r="K181" i="1"/>
  <c r="T181" i="1"/>
  <c r="V181" i="1"/>
  <c r="S181" i="1"/>
  <c r="K175" i="1"/>
  <c r="T175" i="1"/>
  <c r="V175" i="1"/>
  <c r="S175" i="1"/>
  <c r="T219" i="1"/>
  <c r="V219" i="1"/>
  <c r="K219" i="1"/>
  <c r="S219" i="1"/>
  <c r="K217" i="1"/>
  <c r="T217" i="1"/>
  <c r="V217" i="1"/>
  <c r="S217" i="1"/>
  <c r="K215" i="1"/>
  <c r="T215" i="1"/>
  <c r="V215" i="1"/>
  <c r="S215" i="1"/>
  <c r="K213" i="1"/>
  <c r="T213" i="1"/>
  <c r="V213" i="1"/>
  <c r="S213" i="1"/>
  <c r="K212" i="1"/>
  <c r="S212" i="1"/>
  <c r="S6" i="1"/>
  <c r="S8" i="1"/>
  <c r="S46" i="1"/>
  <c r="S48" i="1"/>
  <c r="S50" i="1"/>
  <c r="P84" i="1"/>
  <c r="P82" i="1"/>
  <c r="P80" i="1"/>
  <c r="P79" i="1"/>
  <c r="P78" i="1"/>
  <c r="P75" i="1"/>
  <c r="P68" i="1"/>
  <c r="P52" i="1" l="1"/>
  <c r="P69" i="1"/>
  <c r="T5" i="1"/>
  <c r="S5" i="1"/>
  <c r="P66" i="1"/>
  <c r="W66" i="1" s="1"/>
  <c r="P72" i="1"/>
  <c r="W5" i="1"/>
  <c r="W9" i="1"/>
  <c r="W15" i="1"/>
  <c r="W17" i="1"/>
  <c r="W33" i="1"/>
  <c r="W43" i="1"/>
  <c r="W45" i="1"/>
  <c r="W8" i="1"/>
  <c r="W48" i="1"/>
  <c r="W30" i="1"/>
  <c r="W32" i="1"/>
  <c r="W34" i="1"/>
  <c r="W36" i="1"/>
  <c r="W40" i="1"/>
  <c r="W44" i="1"/>
  <c r="W18" i="1"/>
  <c r="W24" i="1"/>
  <c r="W42" i="1"/>
  <c r="W72" i="1"/>
  <c r="W13" i="1"/>
  <c r="W26" i="1"/>
  <c r="U203" i="1"/>
  <c r="V203" i="1"/>
  <c r="S203" i="1"/>
  <c r="T203" i="1"/>
  <c r="W100" i="1"/>
  <c r="I203" i="1"/>
  <c r="P86" i="1"/>
  <c r="W50" i="1"/>
  <c r="W47" i="1"/>
  <c r="W46" i="1"/>
  <c r="W41" i="1"/>
  <c r="W39" i="1"/>
  <c r="W38" i="1"/>
  <c r="W37" i="1"/>
  <c r="W35" i="1"/>
  <c r="W29" i="1"/>
  <c r="W27" i="1"/>
  <c r="W25" i="1"/>
  <c r="W23" i="1"/>
  <c r="W20" i="1"/>
  <c r="W19" i="1"/>
  <c r="W16" i="1"/>
  <c r="W11" i="1"/>
  <c r="W10" i="1"/>
  <c r="W7" i="1"/>
  <c r="W6" i="1"/>
  <c r="R203" i="1"/>
  <c r="K203" i="1"/>
  <c r="W86" i="1"/>
  <c r="W84" i="1"/>
  <c r="W82" i="1"/>
  <c r="W80" i="1"/>
  <c r="W79" i="1"/>
  <c r="W78" i="1"/>
  <c r="W75" i="1"/>
  <c r="W70" i="1"/>
  <c r="W69" i="1"/>
  <c r="W68" i="1"/>
  <c r="I87" i="1"/>
  <c r="W51" i="1"/>
  <c r="W49" i="1"/>
  <c r="W28" i="1"/>
  <c r="W22" i="1"/>
  <c r="W21" i="1"/>
  <c r="W14" i="1"/>
  <c r="W12" i="1"/>
  <c r="W31" i="1"/>
  <c r="K221" i="1"/>
  <c r="W213" i="1"/>
  <c r="P67" i="1"/>
  <c r="W67" i="1" s="1"/>
  <c r="P76" i="1"/>
  <c r="W76" i="1" s="1"/>
  <c r="V221" i="1"/>
  <c r="S221" i="1"/>
  <c r="T221" i="1"/>
  <c r="U221" i="1"/>
  <c r="P85" i="1"/>
  <c r="P74" i="1"/>
  <c r="W74" i="1" s="1"/>
  <c r="S87" i="1"/>
  <c r="V65" i="1"/>
  <c r="V87" i="1" s="1"/>
  <c r="W212" i="1"/>
  <c r="V52" i="1"/>
  <c r="W97" i="1"/>
  <c r="P71" i="1"/>
  <c r="P73" i="1"/>
  <c r="P77" i="1"/>
  <c r="P81" i="1"/>
  <c r="P83" i="1"/>
  <c r="W122" i="1"/>
  <c r="T87" i="1"/>
  <c r="K65" i="1"/>
  <c r="W149" i="1"/>
  <c r="W185" i="1"/>
  <c r="S4" i="1"/>
  <c r="S52" i="1" s="1"/>
  <c r="T4" i="1"/>
  <c r="T52" i="1" s="1"/>
  <c r="W191" i="1" l="1"/>
  <c r="W175" i="1"/>
  <c r="W202" i="1"/>
  <c r="W201" i="1"/>
  <c r="W200" i="1"/>
  <c r="W199" i="1"/>
  <c r="W198" i="1"/>
  <c r="W197" i="1"/>
  <c r="W196" i="1"/>
  <c r="W195" i="1"/>
  <c r="W194" i="1"/>
  <c r="W193" i="1"/>
  <c r="W192" i="1"/>
  <c r="W190" i="1"/>
  <c r="W189" i="1"/>
  <c r="W188" i="1"/>
  <c r="W187" i="1"/>
  <c r="W186" i="1"/>
  <c r="W184" i="1"/>
  <c r="W183" i="1"/>
  <c r="W182" i="1"/>
  <c r="W181" i="1"/>
  <c r="W180" i="1"/>
  <c r="W179" i="1"/>
  <c r="W178" i="1"/>
  <c r="W177" i="1"/>
  <c r="W176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99" i="1"/>
  <c r="P203" i="1"/>
  <c r="W98" i="1"/>
  <c r="W219" i="1"/>
  <c r="W216" i="1"/>
  <c r="W215" i="1"/>
  <c r="W220" i="1"/>
  <c r="W218" i="1"/>
  <c r="W85" i="1"/>
  <c r="W83" i="1"/>
  <c r="W81" i="1"/>
  <c r="W77" i="1"/>
  <c r="W73" i="1"/>
  <c r="W71" i="1"/>
  <c r="K87" i="1"/>
  <c r="U87" i="1"/>
  <c r="R52" i="1"/>
  <c r="W4" i="1"/>
  <c r="W52" i="1" s="1"/>
  <c r="W217" i="1"/>
  <c r="W214" i="1"/>
  <c r="P221" i="1"/>
  <c r="R221" i="1"/>
  <c r="P87" i="1"/>
  <c r="W203" i="1" l="1"/>
  <c r="R87" i="1"/>
  <c r="W65" i="1"/>
  <c r="W87" i="1" s="1"/>
  <c r="W221" i="1"/>
</calcChain>
</file>

<file path=xl/sharedStrings.xml><?xml version="1.0" encoding="utf-8"?>
<sst xmlns="http://schemas.openxmlformats.org/spreadsheetml/2006/main" count="972" uniqueCount="267">
  <si>
    <t>SUELDO</t>
  </si>
  <si>
    <t>Cargo</t>
  </si>
  <si>
    <t>Total=&gt;</t>
  </si>
  <si>
    <t>ARROYO ORTIZ MARCELO FRANCISCO</t>
  </si>
  <si>
    <t>OBRERO</t>
  </si>
  <si>
    <t>ASTUDILLO MORENO RUBEN KEN</t>
  </si>
  <si>
    <t>CARAGUAY LUIS GERMAN</t>
  </si>
  <si>
    <t>CARDENAS MONTOYA GEOMAR LENIN</t>
  </si>
  <si>
    <t>CARRION BENITEZ HOLGER RODRIGO</t>
  </si>
  <si>
    <t>MECANICO</t>
  </si>
  <si>
    <t>CARRION CARRION JOSE MAURICIO</t>
  </si>
  <si>
    <t>CHAPIN MOROCHO JONATHAN JEFFERSON</t>
  </si>
  <si>
    <t>CHILA MACIAS HUGO HUMBERTO</t>
  </si>
  <si>
    <t>CUENCA ESPINOZA MILTON RODRIGO</t>
  </si>
  <si>
    <t>CHOFER</t>
  </si>
  <si>
    <t>DOMINGUEZ RIERA EDISON LUIS</t>
  </si>
  <si>
    <t>DURAN RUIZ JOSE ARTURO</t>
  </si>
  <si>
    <t>ELIZALDE AÑASCO MARCO LEONEL</t>
  </si>
  <si>
    <t>ENCALADA VERA GARY LUIS</t>
  </si>
  <si>
    <t>FIGUEROA NEIRA ANA LUCIA</t>
  </si>
  <si>
    <t>GOMEZ ESPINOSA JORDY STALIN</t>
  </si>
  <si>
    <t>GRANDA CANGO JEAN PIERRE</t>
  </si>
  <si>
    <t>GUAMAN GANAN JOSE</t>
  </si>
  <si>
    <t>GUAPINAULA SAPATANGA SERGIO RICARDO</t>
  </si>
  <si>
    <t>HIDALGO BRITO GUSTAVO GABRIEL</t>
  </si>
  <si>
    <t>ILLESCAS CUNALATA GILSON STALIN</t>
  </si>
  <si>
    <t>JARA ESPINOZA MAIRA CECILIA</t>
  </si>
  <si>
    <t>JARRO JARRO JOSE OLMEDO</t>
  </si>
  <si>
    <t>LEON PALACIOS EDWIN JOSEPH</t>
  </si>
  <si>
    <t>LINDAO YUISUPA EXGLORIA DEL CARMEN</t>
  </si>
  <si>
    <t>LOZANO RIGCHA DIEGO ARMANDO</t>
  </si>
  <si>
    <t>MADRID ACOSTA JUAN FRANCISCO</t>
  </si>
  <si>
    <t>MONTAÑO ANGULO BENITO ANTONIO</t>
  </si>
  <si>
    <t>MONTES OLIVES ANGEL ENRIQUE</t>
  </si>
  <si>
    <t>MORA JACOME JOAQUIN OCTAVIO</t>
  </si>
  <si>
    <t>PAGUAY HIPO CARLOS</t>
  </si>
  <si>
    <t>PALACIOS NARANJO LUIS ENRIQUE</t>
  </si>
  <si>
    <t>PAREDES VARGAS JUAN RAMON</t>
  </si>
  <si>
    <t>PEÑAFIEL LOZANO DARIO ALFREDO</t>
  </si>
  <si>
    <t>PEREZ MARTINEZ ROBERT EDWARD</t>
  </si>
  <si>
    <t>PILATAXI RIGCHAG FABIAN DAVID</t>
  </si>
  <si>
    <t>PINCAY APOLINARIO JUAN ANTONIO</t>
  </si>
  <si>
    <t>PINTADO JIMENEZ PABLO ANDRES</t>
  </si>
  <si>
    <t>PORTOCARRERO CUEVA PAQUITA MAGNOLIA</t>
  </si>
  <si>
    <t>PRADO BRAVO ROCIO DEL CARMEN</t>
  </si>
  <si>
    <t>ROBLEZ ROGEL KLEVER HUMBERTO</t>
  </si>
  <si>
    <t>SANCHEZ MASA JORGE LUIS</t>
  </si>
  <si>
    <t>SANCHEZ ZAMBRANO MIGUEL MECIAS</t>
  </si>
  <si>
    <t>SIGUENZA GUADALUPE WALTER PATRICIO</t>
  </si>
  <si>
    <t>SOZA CANO LUIS HUMBERTO</t>
  </si>
  <si>
    <t>VALENCIA AJILA DIEGO FERNANDO</t>
  </si>
  <si>
    <t>VALENCIA RENTERIA JAROL MIGUEL</t>
  </si>
  <si>
    <t>VIVANCO SUARES  JOSE LUIS</t>
  </si>
  <si>
    <t>YUNGA ROJAS MANUEL GEOVANNY</t>
  </si>
  <si>
    <t>AJILA MOROCHO MARIA SUSANA</t>
  </si>
  <si>
    <t>ASENCIO CRUZ CESAR FELIPE</t>
  </si>
  <si>
    <t>BUÑAY BUÑAY FELIPE LEONARDO</t>
  </si>
  <si>
    <t>CAMACHO SARANGO MANUELL ABRAHAM</t>
  </si>
  <si>
    <t>CAMACHO SOLIS WILSON DUKERMAN</t>
  </si>
  <si>
    <t>CANTOS MONCADA JUANA MARISOL</t>
  </si>
  <si>
    <t>CARVAJAL ERAZO DORIS CLEMENCIA</t>
  </si>
  <si>
    <t>GALARZA CHACON ALEXI ENRIQUE</t>
  </si>
  <si>
    <t>AUXILIAR DE SERVICIOS</t>
  </si>
  <si>
    <t>HERRERA MORENO FRANCISCA DE JESUS</t>
  </si>
  <si>
    <t>HERRERA RIOS LUZ MAGDALENA</t>
  </si>
  <si>
    <t>MARQUEZ JULIA ADELINA</t>
  </si>
  <si>
    <t>MEDINA VEGA NESTOR JAVIER</t>
  </si>
  <si>
    <t>MONTOYA ARIAS JOSEPH BOLIVAR</t>
  </si>
  <si>
    <t>MUÑOZ RODRIGUEZ ROSA BARBARA</t>
  </si>
  <si>
    <t>NIVELO CRIOLLO MARIA ISABEL</t>
  </si>
  <si>
    <t>PEREZ PALADINES ERNESTO FABIAN</t>
  </si>
  <si>
    <t>PEREZ PEREZ MARTHA NARCISA</t>
  </si>
  <si>
    <t>PEREZ RIVERA JOSE ENRIQUE</t>
  </si>
  <si>
    <t>RAMIREZ SANCHEZ CARMEN DE JESUS</t>
  </si>
  <si>
    <t>SAQUICELA MORALES YEFER HUMBERTO</t>
  </si>
  <si>
    <t>VILLALTA JALCA VICTOR VICENTE</t>
  </si>
  <si>
    <t>ZUÑIGA MORA MILTON ROQUE</t>
  </si>
  <si>
    <t>ALVAREZ MORA FRANCISCO JANUARIO</t>
  </si>
  <si>
    <t>ANDRADE GALLEGOS YADIRA EDITH</t>
  </si>
  <si>
    <t>ARMIJOS PIEDRA JOSE MANUEL</t>
  </si>
  <si>
    <t>ARROBO JIMENEZ JORGE LUIS</t>
  </si>
  <si>
    <t>ASHQUI JANETA BERNARDO</t>
  </si>
  <si>
    <t>BANCHON REYES ZORAIDA MARIBEL</t>
  </si>
  <si>
    <t>BLACIO CHAMBA BRYAN ALEXANDER</t>
  </si>
  <si>
    <t>BLACIO CHAMBA ORLY DALTON</t>
  </si>
  <si>
    <t>BLACIO RAMIREZ RAQUEL MARIA</t>
  </si>
  <si>
    <t>BOHORQUEZ ALVARADO MANUEL ALFREDO</t>
  </si>
  <si>
    <t>BONE CUZME HOMERO ENRIQUE</t>
  </si>
  <si>
    <t>BRON SANTO GERVACIO</t>
  </si>
  <si>
    <t>BUÑAY RIGCHAG JOSE</t>
  </si>
  <si>
    <t>CABRERA LOPEZ GLORIA MARIA</t>
  </si>
  <si>
    <t>CAIMINAGUA PARRALES LEONEL DANILO</t>
  </si>
  <si>
    <t>CAMAYO SARI LUIS EFRAIN</t>
  </si>
  <si>
    <t>CAMPAÑA RAMIREZ LEONIDAS ENRIQUE</t>
  </si>
  <si>
    <t>CASTRO ANDRADE VERONICA DEL ROCIO</t>
  </si>
  <si>
    <t>CELI CORDERO LUIS ALBERTO</t>
  </si>
  <si>
    <t>CHAMBA YAGUANA RIGOBERTO GALECIO</t>
  </si>
  <si>
    <t>CHICAIZA ABRIL ROBERTO CARLOS</t>
  </si>
  <si>
    <t>CHOEZ GUITIERREZ FRANCISCO JAVIER</t>
  </si>
  <si>
    <t>CORDOVA GRANDA STALIN LIONEL</t>
  </si>
  <si>
    <t>CORDOVA GRANDA WILLAN FERMIN</t>
  </si>
  <si>
    <t>OPERADOR</t>
  </si>
  <si>
    <t>COX GODOY LEONCIO IVAN</t>
  </si>
  <si>
    <t>CRUZ DE LA CRUZ MARTINA IRENE</t>
  </si>
  <si>
    <t>CUPUERAN POZO JUAN MANUEL</t>
  </si>
  <si>
    <t>CURIPALLO ALOMALIZA IGNACIO PATRICIO</t>
  </si>
  <si>
    <t>DE LA CRUZ MENDOZA VICTOR MIGUEL</t>
  </si>
  <si>
    <t>ENCALADA SANCHEZ EDISON ANTONIO</t>
  </si>
  <si>
    <t>ESPINOZA HERRERA ROSA ELENA</t>
  </si>
  <si>
    <t>GARCIA AGUILAR JHONNY MAURICIO</t>
  </si>
  <si>
    <t>GOMEZ DIAZ OSCAR IVAN</t>
  </si>
  <si>
    <t>GONZALEZ AGUILAR VICTOR ANGEL</t>
  </si>
  <si>
    <t>GONZALEZ CABRERA EDWIN DANILO</t>
  </si>
  <si>
    <t>GONZALEZ GARRIDO LUIS ENRIQUE</t>
  </si>
  <si>
    <t>GONZALEZ MARIA SEBASTIANA</t>
  </si>
  <si>
    <t>GONZALEZ MICOLTA FLOR DEL ALBA</t>
  </si>
  <si>
    <t>GUAMAN CAIMINAGUA EDGAR PATRICIO</t>
  </si>
  <si>
    <t>HILER VERA HUGO IVAN</t>
  </si>
  <si>
    <t>IZQUIERDO NAZARENO ALBERTO DARIO</t>
  </si>
  <si>
    <t>IZQUIERDO NAZARENO BRAULIO NARCISO</t>
  </si>
  <si>
    <t>JACOME CASTRO WILSON ALEJANDRO</t>
  </si>
  <si>
    <t>JARAMILLO TORRES VICTOR RUBEN</t>
  </si>
  <si>
    <t>JIMENEZ QUEZADA VICENTE JOBANNY</t>
  </si>
  <si>
    <t>LAINES TACURI RICARDO SANTOS</t>
  </si>
  <si>
    <t>LARGO PITIZACA MANUEL BENIGNO</t>
  </si>
  <si>
    <t>LASCANO ORELLANA CHRISTIAN EDWIN</t>
  </si>
  <si>
    <t>LEMA QUINTUÑA MANUEL IGNACIO</t>
  </si>
  <si>
    <t>LEON IDROVO LUIS FERNANDO</t>
  </si>
  <si>
    <t>LEON LAVANDA MARCIA MERCEDES</t>
  </si>
  <si>
    <t>LLERENA ZAMBRANO UZZIEL FILEMON</t>
  </si>
  <si>
    <t>LLORENTE ZAMBRANO CARMEN MARIA</t>
  </si>
  <si>
    <t>LUCERO MACAO JOSE JEFFERSON</t>
  </si>
  <si>
    <t>MAJI MOCHA SEGUNDO JOSE</t>
  </si>
  <si>
    <t>MARTINEZ ELIZALDE CARLOS WILMER</t>
  </si>
  <si>
    <t>MAZO AYOVI JILMAR FAVIO</t>
  </si>
  <si>
    <t>MENDOZA VERA LEONARDO ELOY</t>
  </si>
  <si>
    <t>MERCHAN ORTEGA VICENTE ANTONIO</t>
  </si>
  <si>
    <t>MONSERRATE CAJAMARCA JORGE JAMIL</t>
  </si>
  <si>
    <t>NARVAEZ JIMENEZ LUIS ALBERTO</t>
  </si>
  <si>
    <t>NAZARENO TELLO FRANKLIN GUILLERMO</t>
  </si>
  <si>
    <t>ORDOÑEZ ZOILA CORINA</t>
  </si>
  <si>
    <t>ORELLANA CARCHIPULA JAIME RENE</t>
  </si>
  <si>
    <t>ORTA LEON MARCO PATRICIO</t>
  </si>
  <si>
    <t>ORTA MOROCHO MANUEL</t>
  </si>
  <si>
    <t>PAGUAY GUAMAN PEDRO</t>
  </si>
  <si>
    <t>PALACIO DELGADO GEOVANNA PRISCILA</t>
  </si>
  <si>
    <t>PALACIOS BRAVO FRANCISCO VICENTE</t>
  </si>
  <si>
    <t>PALACIOS PEREZ FLOR MARGARITA</t>
  </si>
  <si>
    <t>PALACIOS PEREZ GINA JACKELINE</t>
  </si>
  <si>
    <t>PAMBABAY ORELLANA WILMER STALIN</t>
  </si>
  <si>
    <t>PARDO JIMENEZ MARCOS ANTONIO</t>
  </si>
  <si>
    <t>PEÑA TORREZ LIDER GEOBANNY</t>
  </si>
  <si>
    <t>PEREIRA JARAMILLO MARINA IRALDA</t>
  </si>
  <si>
    <t>PESANTEZ PEREZ JAVIER GUSTAVO</t>
  </si>
  <si>
    <t>PINCAY MANUEL INOCENCIO</t>
  </si>
  <si>
    <t>PINEDA CUENCA JUAN PABLO</t>
  </si>
  <si>
    <t>PINEDA RAMON JOSE VICENTE</t>
  </si>
  <si>
    <t>PUSHI QUITUISACA MANUEL ERNESTO</t>
  </si>
  <si>
    <t>QUITUISACA CRIOLLO MARIA SOLEDAD</t>
  </si>
  <si>
    <t>RAMIREZ SUAREZ WHITNEY ABELARDO</t>
  </si>
  <si>
    <t>REYES SALDAÑA FELICIANO</t>
  </si>
  <si>
    <t>RIVILLA ALVARADO STALIN JASMANY</t>
  </si>
  <si>
    <t>RODAS ORTEGA GAUDENCIO PROSPERO</t>
  </si>
  <si>
    <t>RODRIGUEZ REALPE  ESTELA MARIA</t>
  </si>
  <si>
    <t>RODRIGUEZ REALPE ARTURO HORACIO</t>
  </si>
  <si>
    <t>ROMERO ALFONSO HERNAN MOISES</t>
  </si>
  <si>
    <t>ROMERO ALFONSO LUIS RODOLFO</t>
  </si>
  <si>
    <t>ROMERO HEREDERO HECTOR BLADIMIR</t>
  </si>
  <si>
    <t>SANCHEZ LLIGUIN ANGEL ELOY</t>
  </si>
  <si>
    <t>SANCHEZ MAZA CARLOS ANDRES</t>
  </si>
  <si>
    <t>SIMISTERRA PORTOCARRERO LUIS MIGUEL</t>
  </si>
  <si>
    <t>SOLANO ROMERO LUIS ALBERTO</t>
  </si>
  <si>
    <t>SUAREZ PANCHANA SANTOS JAVIER</t>
  </si>
  <si>
    <t>TABACUNDO RICCHAG JUAN</t>
  </si>
  <si>
    <t>TIRADO ZUMBA PATRICIO GEOVANNY</t>
  </si>
  <si>
    <t>TORAL CUSME JOSE RAFAEL</t>
  </si>
  <si>
    <t>TORRES CASTILLO AMADO EFRAIN</t>
  </si>
  <si>
    <t>VALDIVIEZO VALAREZO RAMIRO VICENTE</t>
  </si>
  <si>
    <t>VILLAREAL  MALDONADO JOSE ABRAHAN</t>
  </si>
  <si>
    <t>VIVANCO SUAREZ EDDY BOR</t>
  </si>
  <si>
    <t>YAGUANA VALLADOLID EMILIANO ABRAHAM</t>
  </si>
  <si>
    <t>OPERADOR DE MAQUINARIA</t>
  </si>
  <si>
    <t>YAGUANA VALLADOLID JOSE ENRIQUE</t>
  </si>
  <si>
    <t>YUNGA MANUEL IGNACIO</t>
  </si>
  <si>
    <t>ZAMBRANO CEDEÑO LUIS ALBERTO</t>
  </si>
  <si>
    <t>ALVEAR GUERRERO JOSE ALEJANDRO</t>
  </si>
  <si>
    <t>PEON JORNALERO DIURNO</t>
  </si>
  <si>
    <t>AUQUILLA MOCHA ANTONIO</t>
  </si>
  <si>
    <t>PEON DE RECOLECCION</t>
  </si>
  <si>
    <t>CUJILEMA PADILLA ANTONIO</t>
  </si>
  <si>
    <t>BARREDOR NOCTURNO</t>
  </si>
  <si>
    <t>FEIJOO SANCHEZ FRANCO ENRIQUE</t>
  </si>
  <si>
    <t>CHOFER ROL</t>
  </si>
  <si>
    <t>HERRERA VALAREZO HUMBERTO EFREN</t>
  </si>
  <si>
    <t>MAJI MOROCHO SEGUNDO TOMAS</t>
  </si>
  <si>
    <t>OCHOA RIOFRIO NESTOR ENRIQUE</t>
  </si>
  <si>
    <t>VIVANCO CORDOVA EVER NICOLAS</t>
  </si>
  <si>
    <t>ZUÑIGA LOAIZA WILVER EFRAIN</t>
  </si>
  <si>
    <t>R.M.U</t>
  </si>
  <si>
    <t>SEGURO DE VIDA $4.00</t>
  </si>
  <si>
    <t>VACACIONES</t>
  </si>
  <si>
    <t xml:space="preserve">SECAP 0.5% </t>
  </si>
  <si>
    <t>IECE 0.5%</t>
  </si>
  <si>
    <t>FONDO RESERVA</t>
  </si>
  <si>
    <t>A. PATR</t>
  </si>
  <si>
    <t>VESTIMENTA 169/12</t>
  </si>
  <si>
    <t>SUB FAMIL (1 % SBU), CONSI 2 HIJOS</t>
  </si>
  <si>
    <t xml:space="preserve">H.EXTRAS </t>
  </si>
  <si>
    <t xml:space="preserve">SBU </t>
  </si>
  <si>
    <t>HORAS DE SOBRETIEMPO</t>
  </si>
  <si>
    <t>TRANSP. $ 0,50</t>
  </si>
  <si>
    <t>SEGURO DE VIDA $ 4,00</t>
  </si>
  <si>
    <t>VESTIM. 169/12</t>
  </si>
  <si>
    <t>FONDO DE RESERVA</t>
  </si>
  <si>
    <t>APORTE PATRONAL</t>
  </si>
  <si>
    <t>TOTAL MENSUAL</t>
  </si>
  <si>
    <t>REMUNERACION ACTUAL</t>
  </si>
  <si>
    <t>REMUNERACION PROPUESTA</t>
  </si>
  <si>
    <t>DIFERENCIAS</t>
  </si>
  <si>
    <t xml:space="preserve">ENERO </t>
  </si>
  <si>
    <t>FEBRERO</t>
  </si>
  <si>
    <t>MARZO</t>
  </si>
  <si>
    <t>ABRIL</t>
  </si>
  <si>
    <t>SUMAN…</t>
  </si>
  <si>
    <t>MESES</t>
  </si>
  <si>
    <t>COMPONENTES</t>
  </si>
  <si>
    <t>No. Orden</t>
  </si>
  <si>
    <t>ROL DE PAGO CON EL INCREMENTOS PROPUESTOS POR LOS MIEMBROS DEL COMITÉ CENTRAL UNICO DE TRABAJADORES DE LA  EMPRESA PUBLICA MUNICIPAL DE ASEO DE MACHALA</t>
  </si>
  <si>
    <t>DIFERENCIA</t>
  </si>
  <si>
    <t>DETALLE DE INGRESOS MENSUALES LIQUIDOS, POR CONCEPTO DE TASA DE RECOLECCION DE DESECHOS SOLIDOS</t>
  </si>
  <si>
    <t>RECIBIDO 2014</t>
  </si>
  <si>
    <t>RECIBIDO 2013</t>
  </si>
  <si>
    <t>PERSONAL OBRERO CONTRATADO MENOS DE 1 AÑO</t>
  </si>
  <si>
    <t>SUB ANTIG  (0,25% RMU) se considera 3 AÑOS</t>
  </si>
  <si>
    <t>INCREM 30 %</t>
  </si>
  <si>
    <t>SERV. ALIMENTACION ($4*25 DIAS)</t>
  </si>
  <si>
    <t>SERV. TRANSPORTE ($0.50*25 DÍAS)</t>
  </si>
  <si>
    <t>SERV. TRANSPORTE ($0.50*25DÍAS)</t>
  </si>
  <si>
    <t>OPERDE MAQUIN</t>
  </si>
  <si>
    <t>SIN INCREM.</t>
  </si>
  <si>
    <t>AUX DE SERV</t>
  </si>
  <si>
    <t>H.SUP.</t>
  </si>
  <si>
    <t>SINDICALIZADOS DE GAD MUNICIPIO DE MACHALA</t>
  </si>
  <si>
    <t>OBREROS SINDICALIZADOS EMAM EP</t>
  </si>
  <si>
    <t>OBREROS MAS DE 1 AÑO</t>
  </si>
  <si>
    <t>Ing. Miriam Palacios Naranjo</t>
  </si>
  <si>
    <t>JEFE ADMINISTRATIVO FINANCIERO</t>
  </si>
  <si>
    <t>H.SUPLEM.</t>
  </si>
  <si>
    <t>TOTAL INGRESOS MENSUAL</t>
  </si>
  <si>
    <t>PERSONAL OBRERO SINDICALIZADO EMAMEP</t>
  </si>
  <si>
    <t>PERSONAL OBRERO SINDICALIZADO GAD MUNICIPIO DE MACHALA</t>
  </si>
  <si>
    <t>PERSONAL OBRERO MAS DE 1 AÑO</t>
  </si>
  <si>
    <t>DECIMA TERCERA</t>
  </si>
  <si>
    <t>DECIMA CUARTA</t>
  </si>
  <si>
    <t>SBU</t>
  </si>
  <si>
    <t>CUADRO DEMOSTRATIVO DEL INCREMENTO PROPUESTO POR EL SINDICATO DE TRABAJADORES DE LA EMAM EP Y SU IMPACTO ECONOMICO  EN LA EMPRESA PUBLICA MUNICIPAL DE ASEO DE MACHALA</t>
  </si>
  <si>
    <t xml:space="preserve">DECIMA TERCERA REMUNERACION </t>
  </si>
  <si>
    <t>DECIMA CUARTA REMUNERACION</t>
  </si>
  <si>
    <t>SUB.FAMIL. (025% SBU) 2 HIJOS</t>
  </si>
  <si>
    <t>SUB. ANTIG. (025 % RMU) 3 AÑOS</t>
  </si>
  <si>
    <t>ROL DE PAGOS ACTUAL</t>
  </si>
  <si>
    <t>JORNADA NOCTURNA</t>
  </si>
  <si>
    <t>Certifico que la informacion que antecede es tomado de los registros que constan en el archivo de esta institución</t>
  </si>
  <si>
    <t>ALIMENT. $ 4,00</t>
  </si>
  <si>
    <t>RECARGO POR JORNADA NOCTURNA</t>
  </si>
  <si>
    <t>Certifico que la informacion que antecede es tomada de los registros que constan en el asrchivo de esta institución</t>
  </si>
  <si>
    <t>Certifico que la informacion que antecede es tomada de los registros que constan en el archivo de esta institución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</si>
</sst>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15">
    <xf numFmtId="0" fontId="0" fillId="0" borderId="0" xfId="0"/>
    <xf numFmtId="4" fontId="0" fillId="0" borderId="0" xfId="0" applyNumberFormat="1"/>
    <xf numFmtId="165" fontId="0" fillId="0" borderId="0" xfId="1" applyFont="1"/>
    <xf numFmtId="164" fontId="0" fillId="0" borderId="0" xfId="0" applyNumberFormat="1"/>
    <xf numFmtId="2" fontId="0" fillId="0" borderId="0" xfId="0" applyNumberFormat="1"/>
    <xf numFmtId="0" fontId="0" fillId="0" borderId="1" xfId="0" applyBorder="1"/>
    <xf numFmtId="4" fontId="3" fillId="0" borderId="1" xfId="0" applyNumberFormat="1" applyFont="1" applyBorder="1"/>
    <xf numFmtId="4" fontId="3" fillId="2" borderId="1" xfId="0" applyNumberFormat="1" applyFont="1" applyFill="1" applyBorder="1"/>
    <xf numFmtId="165" fontId="0" fillId="0" borderId="0" xfId="0" applyNumberFormat="1"/>
    <xf numFmtId="4" fontId="0" fillId="0" borderId="1" xfId="0" applyNumberFormat="1" applyBorder="1"/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Fill="1" applyBorder="1" applyAlignment="1">
      <alignment wrapText="1"/>
    </xf>
    <xf numFmtId="0" fontId="6" fillId="0" borderId="1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right"/>
    </xf>
    <xf numFmtId="2" fontId="4" fillId="0" borderId="1" xfId="1" applyNumberFormat="1" applyFont="1" applyBorder="1" applyAlignment="1">
      <alignment horizontal="right"/>
    </xf>
    <xf numFmtId="4" fontId="4" fillId="0" borderId="1" xfId="1" applyNumberFormat="1" applyFont="1" applyBorder="1" applyAlignment="1">
      <alignment horizontal="right"/>
    </xf>
    <xf numFmtId="4" fontId="5" fillId="0" borderId="1" xfId="1" applyNumberFormat="1" applyFont="1" applyBorder="1" applyAlignment="1">
      <alignment horizontal="right"/>
    </xf>
    <xf numFmtId="4" fontId="4" fillId="0" borderId="1" xfId="1" applyNumberFormat="1" applyFont="1" applyBorder="1" applyAlignment="1"/>
    <xf numFmtId="4" fontId="5" fillId="0" borderId="1" xfId="1" applyNumberFormat="1" applyFont="1" applyBorder="1" applyAlignme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" fontId="5" fillId="0" borderId="1" xfId="1" applyNumberFormat="1" applyFont="1" applyBorder="1" applyAlignment="1">
      <alignment horizontal="right" vertical="center"/>
    </xf>
    <xf numFmtId="4" fontId="4" fillId="0" borderId="1" xfId="1" applyNumberFormat="1" applyFont="1" applyBorder="1"/>
    <xf numFmtId="0" fontId="6" fillId="0" borderId="12" xfId="0" applyFont="1" applyBorder="1" applyAlignment="1">
      <alignment horizontal="center" wrapText="1"/>
    </xf>
    <xf numFmtId="0" fontId="0" fillId="0" borderId="0" xfId="0" applyBorder="1"/>
    <xf numFmtId="0" fontId="6" fillId="0" borderId="13" xfId="0" applyFont="1" applyBorder="1" applyAlignment="1">
      <alignment horizontal="center" wrapText="1"/>
    </xf>
    <xf numFmtId="166" fontId="7" fillId="2" borderId="4" xfId="0" applyNumberFormat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0" borderId="0" xfId="0" applyFont="1"/>
    <xf numFmtId="2" fontId="7" fillId="2" borderId="5" xfId="0" applyNumberFormat="1" applyFont="1" applyFill="1" applyBorder="1" applyAlignment="1">
      <alignment horizontal="center" vertical="center" wrapText="1"/>
    </xf>
    <xf numFmtId="10" fontId="7" fillId="2" borderId="5" xfId="0" applyNumberFormat="1" applyFont="1" applyFill="1" applyBorder="1" applyAlignment="1">
      <alignment horizontal="center" vertical="center" wrapText="1"/>
    </xf>
    <xf numFmtId="10" fontId="7" fillId="2" borderId="5" xfId="0" applyNumberFormat="1" applyFont="1" applyFill="1" applyBorder="1" applyAlignment="1">
      <alignment horizontal="center" vertical="center"/>
    </xf>
    <xf numFmtId="0" fontId="8" fillId="0" borderId="1" xfId="0" applyFont="1" applyBorder="1"/>
    <xf numFmtId="2" fontId="8" fillId="0" borderId="1" xfId="1" applyNumberFormat="1" applyFont="1" applyBorder="1" applyAlignment="1">
      <alignment horizontal="right"/>
    </xf>
    <xf numFmtId="2" fontId="8" fillId="0" borderId="1" xfId="0" applyNumberFormat="1" applyFont="1" applyBorder="1" applyAlignment="1">
      <alignment horizontal="right"/>
    </xf>
    <xf numFmtId="2" fontId="8" fillId="2" borderId="1" xfId="0" applyNumberFormat="1" applyFont="1" applyFill="1" applyBorder="1" applyAlignment="1">
      <alignment horizontal="right"/>
    </xf>
    <xf numFmtId="0" fontId="8" fillId="0" borderId="0" xfId="0" applyFont="1"/>
    <xf numFmtId="0" fontId="7" fillId="0" borderId="1" xfId="0" applyFont="1" applyBorder="1"/>
    <xf numFmtId="2" fontId="7" fillId="0" borderId="1" xfId="1" applyNumberFormat="1" applyFont="1" applyBorder="1" applyAlignment="1">
      <alignment horizontal="right"/>
    </xf>
    <xf numFmtId="165" fontId="8" fillId="0" borderId="0" xfId="1" applyFont="1"/>
    <xf numFmtId="4" fontId="8" fillId="0" borderId="1" xfId="0" applyNumberFormat="1" applyFont="1" applyBorder="1"/>
    <xf numFmtId="4" fontId="8" fillId="2" borderId="1" xfId="0" applyNumberFormat="1" applyFont="1" applyFill="1" applyBorder="1"/>
    <xf numFmtId="0" fontId="8" fillId="0" borderId="1" xfId="0" applyFont="1" applyBorder="1" applyAlignment="1">
      <alignment wrapText="1"/>
    </xf>
    <xf numFmtId="4" fontId="8" fillId="0" borderId="0" xfId="0" applyNumberFormat="1" applyFont="1"/>
    <xf numFmtId="4" fontId="7" fillId="0" borderId="1" xfId="0" applyNumberFormat="1" applyFont="1" applyBorder="1"/>
    <xf numFmtId="165" fontId="8" fillId="0" borderId="0" xfId="0" applyNumberFormat="1" applyFont="1"/>
    <xf numFmtId="164" fontId="8" fillId="0" borderId="0" xfId="0" applyNumberFormat="1" applyFont="1"/>
    <xf numFmtId="2" fontId="8" fillId="0" borderId="0" xfId="0" applyNumberFormat="1" applyFont="1"/>
    <xf numFmtId="4" fontId="7" fillId="0" borderId="1" xfId="1" applyNumberFormat="1" applyFont="1" applyBorder="1" applyAlignment="1">
      <alignment horizontal="right"/>
    </xf>
    <xf numFmtId="4" fontId="7" fillId="0" borderId="1" xfId="0" applyNumberFormat="1" applyFont="1" applyBorder="1" applyAlignment="1">
      <alignment horizontal="right"/>
    </xf>
    <xf numFmtId="4" fontId="8" fillId="0" borderId="1" xfId="1" applyNumberFormat="1" applyFont="1" applyBorder="1"/>
    <xf numFmtId="4" fontId="7" fillId="0" borderId="1" xfId="1" applyNumberFormat="1" applyFont="1" applyBorder="1"/>
    <xf numFmtId="4" fontId="8" fillId="0" borderId="1" xfId="1" applyNumberFormat="1" applyFont="1" applyBorder="1" applyAlignment="1"/>
    <xf numFmtId="4" fontId="7" fillId="0" borderId="1" xfId="1" applyNumberFormat="1" applyFont="1" applyBorder="1" applyAlignment="1"/>
    <xf numFmtId="0" fontId="8" fillId="0" borderId="0" xfId="0" applyFont="1" applyBorder="1"/>
    <xf numFmtId="0" fontId="7" fillId="0" borderId="0" xfId="0" applyFont="1" applyBorder="1"/>
    <xf numFmtId="4" fontId="7" fillId="0" borderId="0" xfId="1" applyNumberFormat="1" applyFont="1" applyBorder="1" applyAlignment="1">
      <alignment horizontal="right"/>
    </xf>
    <xf numFmtId="2" fontId="7" fillId="0" borderId="0" xfId="1" applyNumberFormat="1" applyFont="1" applyBorder="1" applyAlignment="1">
      <alignment horizontal="right"/>
    </xf>
    <xf numFmtId="4" fontId="7" fillId="0" borderId="0" xfId="0" applyNumberFormat="1" applyFont="1" applyBorder="1" applyAlignment="1">
      <alignment horizontal="right"/>
    </xf>
    <xf numFmtId="0" fontId="2" fillId="0" borderId="0" xfId="0" applyFont="1" applyBorder="1"/>
    <xf numFmtId="0" fontId="7" fillId="0" borderId="14" xfId="0" applyFont="1" applyBorder="1"/>
    <xf numFmtId="4" fontId="7" fillId="0" borderId="0" xfId="1" applyNumberFormat="1" applyFont="1" applyBorder="1"/>
    <xf numFmtId="0" fontId="7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/>
    <xf numFmtId="4" fontId="0" fillId="0" borderId="1" xfId="1" applyNumberFormat="1" applyFont="1" applyBorder="1"/>
    <xf numFmtId="0" fontId="9" fillId="0" borderId="1" xfId="0" applyFont="1" applyBorder="1"/>
    <xf numFmtId="4" fontId="9" fillId="0" borderId="1" xfId="1" applyNumberFormat="1" applyFont="1" applyBorder="1"/>
    <xf numFmtId="4" fontId="9" fillId="0" borderId="1" xfId="0" applyNumberFormat="1" applyFont="1" applyBorder="1"/>
    <xf numFmtId="0" fontId="9" fillId="0" borderId="0" xfId="0" applyFont="1"/>
    <xf numFmtId="4" fontId="2" fillId="2" borderId="1" xfId="0" applyNumberFormat="1" applyFont="1" applyFill="1" applyBorder="1"/>
    <xf numFmtId="4" fontId="2" fillId="0" borderId="1" xfId="0" applyNumberFormat="1" applyFont="1" applyFill="1" applyBorder="1"/>
    <xf numFmtId="0" fontId="0" fillId="0" borderId="1" xfId="0" applyBorder="1" applyAlignment="1">
      <alignment wrapText="1"/>
    </xf>
    <xf numFmtId="0" fontId="10" fillId="0" borderId="0" xfId="0" applyFont="1" applyBorder="1"/>
    <xf numFmtId="0" fontId="9" fillId="0" borderId="0" xfId="0" applyFont="1" applyBorder="1"/>
    <xf numFmtId="4" fontId="9" fillId="0" borderId="0" xfId="1" applyNumberFormat="1" applyFont="1" applyBorder="1"/>
    <xf numFmtId="4" fontId="9" fillId="0" borderId="0" xfId="0" applyNumberFormat="1" applyFont="1" applyBorder="1"/>
    <xf numFmtId="0" fontId="5" fillId="0" borderId="0" xfId="0" applyFont="1"/>
    <xf numFmtId="0" fontId="6" fillId="0" borderId="0" xfId="0" applyFont="1" applyAlignment="1">
      <alignment horizontal="center"/>
    </xf>
    <xf numFmtId="4" fontId="7" fillId="2" borderId="4" xfId="0" applyNumberFormat="1" applyFont="1" applyFill="1" applyBorder="1" applyAlignment="1">
      <alignment horizontal="center" vertical="center" wrapText="1"/>
    </xf>
    <xf numFmtId="4" fontId="7" fillId="2" borderId="5" xfId="0" applyNumberFormat="1" applyFont="1" applyFill="1" applyBorder="1" applyAlignment="1">
      <alignment horizontal="center" vertical="center" wrapText="1"/>
    </xf>
    <xf numFmtId="4" fontId="7" fillId="2" borderId="2" xfId="0" applyNumberFormat="1" applyFont="1" applyFill="1" applyBorder="1" applyAlignment="1">
      <alignment horizontal="center" vertical="center" wrapText="1"/>
    </xf>
    <xf numFmtId="4" fontId="7" fillId="2" borderId="3" xfId="0" applyNumberFormat="1" applyFont="1" applyFill="1" applyBorder="1" applyAlignment="1">
      <alignment horizontal="center" vertical="center" wrapText="1"/>
    </xf>
    <xf numFmtId="165" fontId="7" fillId="0" borderId="6" xfId="1" applyFont="1" applyBorder="1" applyAlignment="1">
      <alignment horizontal="center" wrapText="1"/>
    </xf>
    <xf numFmtId="165" fontId="7" fillId="0" borderId="7" xfId="1" applyFont="1" applyBorder="1" applyAlignment="1">
      <alignment horizontal="center" wrapText="1"/>
    </xf>
    <xf numFmtId="0" fontId="7" fillId="2" borderId="6" xfId="0" applyFont="1" applyFill="1" applyBorder="1" applyAlignment="1">
      <alignment horizontal="left" wrapText="1"/>
    </xf>
    <xf numFmtId="0" fontId="7" fillId="2" borderId="7" xfId="0" applyFont="1" applyFill="1" applyBorder="1" applyAlignment="1">
      <alignment horizontal="left" wrapText="1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65" fontId="7" fillId="0" borderId="6" xfId="1" applyFont="1" applyBorder="1" applyAlignment="1">
      <alignment horizontal="center"/>
    </xf>
    <xf numFmtId="165" fontId="7" fillId="0" borderId="7" xfId="1" applyFont="1" applyBorder="1" applyAlignment="1">
      <alignment horizont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2" fontId="7" fillId="2" borderId="2" xfId="0" applyNumberFormat="1" applyFont="1" applyFill="1" applyBorder="1" applyAlignment="1">
      <alignment horizontal="center" vertical="center" wrapText="1"/>
    </xf>
    <xf numFmtId="2" fontId="7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wrapText="1"/>
    </xf>
    <xf numFmtId="0" fontId="0" fillId="0" borderId="0" xfId="0" applyAlignment="1">
      <alignment wrapText="1"/>
    </xf>
    <xf numFmtId="0" fontId="7" fillId="2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165" fontId="7" fillId="2" borderId="6" xfId="1" applyFont="1" applyFill="1" applyBorder="1" applyAlignment="1">
      <alignment horizontal="center" wrapText="1"/>
    </xf>
    <xf numFmtId="165" fontId="7" fillId="2" borderId="7" xfId="1" applyFont="1" applyFill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44"/>
  <sheetViews>
    <sheetView tabSelected="1" view="pageBreakPreview" zoomScale="85" zoomScaleNormal="85" zoomScaleSheetLayoutView="85" workbookViewId="0">
      <selection activeCell="B12" sqref="B12"/>
    </sheetView>
  </sheetViews>
  <sheetFormatPr baseColWidth="10" defaultRowHeight="15" x14ac:dyDescent="0.25"/>
  <cols>
    <col min="1" max="1" width="5.28515625" customWidth="1"/>
    <col min="2" max="2" width="33" customWidth="1"/>
    <col min="3" max="3" width="11.5703125" customWidth="1"/>
    <col min="4" max="4" width="11.7109375" style="2" customWidth="1"/>
    <col min="5" max="5" width="11.42578125" style="2" customWidth="1"/>
    <col min="6" max="6" width="10.5703125" customWidth="1"/>
    <col min="7" max="7" width="11.42578125" style="2" customWidth="1"/>
    <col min="8" max="8" width="12.7109375" style="2" customWidth="1"/>
    <col min="9" max="9" width="13.28515625" customWidth="1"/>
    <col min="10" max="10" width="11.7109375" customWidth="1"/>
    <col min="13" max="13" width="13" customWidth="1"/>
    <col min="15" max="15" width="13.140625" bestFit="1" customWidth="1"/>
    <col min="16" max="17" width="10.7109375" customWidth="1"/>
    <col min="18" max="18" width="11.140625" customWidth="1"/>
    <col min="19" max="20" width="9" customWidth="1"/>
    <col min="21" max="21" width="11.42578125" customWidth="1"/>
    <col min="22" max="22" width="10.85546875" customWidth="1"/>
    <col min="23" max="23" width="12.5703125" customWidth="1"/>
    <col min="24" max="24" width="13.140625" bestFit="1" customWidth="1"/>
  </cols>
  <sheetData>
    <row r="1" spans="1:23" ht="21.75" thickBot="1" x14ac:dyDescent="0.4">
      <c r="A1" s="82" t="s">
        <v>227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</row>
    <row r="2" spans="1:23" s="32" customFormat="1" ht="45" customHeight="1" x14ac:dyDescent="0.2">
      <c r="A2" s="101" t="s">
        <v>226</v>
      </c>
      <c r="B2" s="89" t="s">
        <v>232</v>
      </c>
      <c r="C2" s="91" t="s">
        <v>1</v>
      </c>
      <c r="D2" s="93" t="s">
        <v>254</v>
      </c>
      <c r="E2" s="87" t="s">
        <v>239</v>
      </c>
      <c r="F2" s="87" t="s">
        <v>241</v>
      </c>
      <c r="G2" s="87" t="s">
        <v>207</v>
      </c>
      <c r="H2" s="99" t="s">
        <v>261</v>
      </c>
      <c r="I2" s="91" t="s">
        <v>198</v>
      </c>
      <c r="J2" s="85" t="s">
        <v>206</v>
      </c>
      <c r="K2" s="85" t="s">
        <v>233</v>
      </c>
      <c r="L2" s="85" t="s">
        <v>237</v>
      </c>
      <c r="M2" s="85" t="s">
        <v>235</v>
      </c>
      <c r="N2" s="85" t="s">
        <v>199</v>
      </c>
      <c r="O2" s="83" t="s">
        <v>205</v>
      </c>
      <c r="P2" s="83" t="s">
        <v>252</v>
      </c>
      <c r="Q2" s="29" t="s">
        <v>253</v>
      </c>
      <c r="R2" s="97" t="s">
        <v>200</v>
      </c>
      <c r="S2" s="83" t="s">
        <v>201</v>
      </c>
      <c r="T2" s="95" t="s">
        <v>202</v>
      </c>
      <c r="U2" s="30" t="s">
        <v>203</v>
      </c>
      <c r="V2" s="31" t="s">
        <v>204</v>
      </c>
      <c r="W2" s="95" t="s">
        <v>248</v>
      </c>
    </row>
    <row r="3" spans="1:23" s="32" customFormat="1" ht="24.75" customHeight="1" thickBot="1" x14ac:dyDescent="0.25">
      <c r="A3" s="102"/>
      <c r="B3" s="90"/>
      <c r="C3" s="92"/>
      <c r="D3" s="94"/>
      <c r="E3" s="88"/>
      <c r="F3" s="88"/>
      <c r="G3" s="88"/>
      <c r="H3" s="100"/>
      <c r="I3" s="92"/>
      <c r="J3" s="86"/>
      <c r="K3" s="86"/>
      <c r="L3" s="86"/>
      <c r="M3" s="86"/>
      <c r="N3" s="86"/>
      <c r="O3" s="84"/>
      <c r="P3" s="84"/>
      <c r="Q3" s="33">
        <f>340/12</f>
        <v>28.333333333333332</v>
      </c>
      <c r="R3" s="98"/>
      <c r="S3" s="84"/>
      <c r="T3" s="96"/>
      <c r="U3" s="34">
        <v>8.3299999999999999E-2</v>
      </c>
      <c r="V3" s="35">
        <v>0.1115</v>
      </c>
      <c r="W3" s="96"/>
    </row>
    <row r="4" spans="1:23" s="40" customFormat="1" ht="25.5" customHeight="1" x14ac:dyDescent="0.2">
      <c r="A4" s="36">
        <v>1</v>
      </c>
      <c r="B4" s="36" t="s">
        <v>3</v>
      </c>
      <c r="C4" s="36" t="s">
        <v>4</v>
      </c>
      <c r="D4" s="37">
        <v>340</v>
      </c>
      <c r="E4" s="37">
        <f>D4</f>
        <v>340</v>
      </c>
      <c r="F4" s="37"/>
      <c r="G4" s="37">
        <f>158.67*1.3</f>
        <v>206.27099999999999</v>
      </c>
      <c r="H4" s="38">
        <f>41.54*1.3</f>
        <v>54.002000000000002</v>
      </c>
      <c r="I4" s="38">
        <f>E4+F4+G4+H4</f>
        <v>600.27299999999991</v>
      </c>
      <c r="J4" s="38"/>
      <c r="K4" s="38"/>
      <c r="L4" s="38"/>
      <c r="M4" s="38"/>
      <c r="N4" s="38"/>
      <c r="O4" s="38"/>
      <c r="P4" s="39">
        <f>(I4)/12</f>
        <v>50.022749999999995</v>
      </c>
      <c r="Q4" s="39">
        <v>28.33</v>
      </c>
      <c r="R4" s="39">
        <f>(I4)/24</f>
        <v>25.011374999999997</v>
      </c>
      <c r="S4" s="38">
        <f>(I4)*0.005</f>
        <v>3.0013649999999998</v>
      </c>
      <c r="T4" s="38">
        <f>(I4)*0.005</f>
        <v>3.0013649999999998</v>
      </c>
      <c r="U4" s="38"/>
      <c r="V4" s="38">
        <f>(I4)*0.1115</f>
        <v>66.930439499999991</v>
      </c>
      <c r="W4" s="38">
        <f>I4+J4+K4+L4+M4+N4+O4+P4+Q4+R4+S4+T4+U4+V4</f>
        <v>776.57029449999993</v>
      </c>
    </row>
    <row r="5" spans="1:23" s="40" customFormat="1" ht="12" x14ac:dyDescent="0.2">
      <c r="A5" s="36">
        <v>2</v>
      </c>
      <c r="B5" s="36" t="s">
        <v>5</v>
      </c>
      <c r="C5" s="36" t="s">
        <v>4</v>
      </c>
      <c r="D5" s="37">
        <v>340</v>
      </c>
      <c r="E5" s="37">
        <f t="shared" ref="E5:E51" si="0">D5</f>
        <v>340</v>
      </c>
      <c r="F5" s="37"/>
      <c r="G5" s="37">
        <f>204*1.3</f>
        <v>265.2</v>
      </c>
      <c r="H5" s="38"/>
      <c r="I5" s="38">
        <f>E5+F5+G5+H5</f>
        <v>605.20000000000005</v>
      </c>
      <c r="J5" s="38"/>
      <c r="K5" s="38"/>
      <c r="L5" s="38"/>
      <c r="M5" s="38"/>
      <c r="N5" s="38"/>
      <c r="O5" s="38"/>
      <c r="P5" s="39">
        <f t="shared" ref="P5:P51" si="1">(I5)/12</f>
        <v>50.433333333333337</v>
      </c>
      <c r="Q5" s="39">
        <v>28.33</v>
      </c>
      <c r="R5" s="39">
        <f t="shared" ref="R5:R51" si="2">(I5)/24</f>
        <v>25.216666666666669</v>
      </c>
      <c r="S5" s="38">
        <f t="shared" ref="S5:S51" si="3">(I5)*0.005</f>
        <v>3.0260000000000002</v>
      </c>
      <c r="T5" s="38">
        <f t="shared" ref="T5:T51" si="4">(I5)*0.005</f>
        <v>3.0260000000000002</v>
      </c>
      <c r="U5" s="38"/>
      <c r="V5" s="38">
        <f t="shared" ref="V5:V51" si="5">(I5)*0.1115</f>
        <v>67.479800000000012</v>
      </c>
      <c r="W5" s="38">
        <f>I5+J5+K5+L5+M5+N5+O5+P5+Q5+R5+S5+T5+U5+V5</f>
        <v>782.71180000000004</v>
      </c>
    </row>
    <row r="6" spans="1:23" s="40" customFormat="1" ht="12" x14ac:dyDescent="0.2">
      <c r="A6" s="36">
        <v>3</v>
      </c>
      <c r="B6" s="36" t="s">
        <v>6</v>
      </c>
      <c r="C6" s="36" t="s">
        <v>4</v>
      </c>
      <c r="D6" s="37">
        <v>340</v>
      </c>
      <c r="E6" s="37">
        <f t="shared" si="0"/>
        <v>340</v>
      </c>
      <c r="F6" s="37"/>
      <c r="G6" s="37">
        <f>93.5*1.3</f>
        <v>121.55</v>
      </c>
      <c r="H6" s="38">
        <f>128.2*1.3</f>
        <v>166.66</v>
      </c>
      <c r="I6" s="38">
        <f t="shared" ref="I6:I51" si="6">E6+F6+G6+H6</f>
        <v>628.21</v>
      </c>
      <c r="J6" s="38"/>
      <c r="K6" s="38"/>
      <c r="L6" s="38"/>
      <c r="M6" s="38"/>
      <c r="N6" s="38"/>
      <c r="O6" s="38"/>
      <c r="P6" s="39">
        <f t="shared" si="1"/>
        <v>52.350833333333334</v>
      </c>
      <c r="Q6" s="39">
        <v>28.33</v>
      </c>
      <c r="R6" s="39">
        <f t="shared" si="2"/>
        <v>26.175416666666667</v>
      </c>
      <c r="S6" s="38">
        <f t="shared" si="3"/>
        <v>3.1410500000000003</v>
      </c>
      <c r="T6" s="38">
        <f t="shared" si="4"/>
        <v>3.1410500000000003</v>
      </c>
      <c r="U6" s="38"/>
      <c r="V6" s="38">
        <f t="shared" si="5"/>
        <v>70.045415000000006</v>
      </c>
      <c r="W6" s="38">
        <f t="shared" ref="W6:W51" si="7">I6+J6+K6+L6+M6+N6+O6+P6+Q6+R6+S6+T6+U6+V6</f>
        <v>811.39376500000003</v>
      </c>
    </row>
    <row r="7" spans="1:23" s="40" customFormat="1" ht="12" x14ac:dyDescent="0.2">
      <c r="A7" s="36">
        <v>4</v>
      </c>
      <c r="B7" s="36" t="s">
        <v>7</v>
      </c>
      <c r="C7" s="36" t="s">
        <v>4</v>
      </c>
      <c r="D7" s="37">
        <v>340</v>
      </c>
      <c r="E7" s="37">
        <f t="shared" si="0"/>
        <v>340</v>
      </c>
      <c r="F7" s="37"/>
      <c r="G7" s="37">
        <f>116.17*1.3</f>
        <v>151.02100000000002</v>
      </c>
      <c r="H7" s="38">
        <f>85.01*1.3</f>
        <v>110.51300000000001</v>
      </c>
      <c r="I7" s="38">
        <f t="shared" si="6"/>
        <v>601.53399999999999</v>
      </c>
      <c r="J7" s="38"/>
      <c r="K7" s="38"/>
      <c r="L7" s="38"/>
      <c r="M7" s="38"/>
      <c r="N7" s="38"/>
      <c r="O7" s="38"/>
      <c r="P7" s="39">
        <f t="shared" si="1"/>
        <v>50.127833333333335</v>
      </c>
      <c r="Q7" s="39">
        <v>28.33</v>
      </c>
      <c r="R7" s="39">
        <f t="shared" si="2"/>
        <v>25.063916666666668</v>
      </c>
      <c r="S7" s="38">
        <f t="shared" si="3"/>
        <v>3.0076700000000001</v>
      </c>
      <c r="T7" s="38">
        <f t="shared" si="4"/>
        <v>3.0076700000000001</v>
      </c>
      <c r="U7" s="38"/>
      <c r="V7" s="38">
        <f t="shared" si="5"/>
        <v>67.071040999999994</v>
      </c>
      <c r="W7" s="38">
        <f t="shared" si="7"/>
        <v>778.14213099999995</v>
      </c>
    </row>
    <row r="8" spans="1:23" s="40" customFormat="1" ht="12" x14ac:dyDescent="0.2">
      <c r="A8" s="36">
        <v>5</v>
      </c>
      <c r="B8" s="36" t="s">
        <v>8</v>
      </c>
      <c r="C8" s="36" t="s">
        <v>9</v>
      </c>
      <c r="D8" s="37">
        <v>590</v>
      </c>
      <c r="E8" s="37">
        <f t="shared" si="0"/>
        <v>590</v>
      </c>
      <c r="F8" s="37"/>
      <c r="G8" s="37"/>
      <c r="H8" s="38"/>
      <c r="I8" s="38">
        <f>E8+F8+G8+H8</f>
        <v>590</v>
      </c>
      <c r="J8" s="38"/>
      <c r="K8" s="38"/>
      <c r="L8" s="38"/>
      <c r="M8" s="38"/>
      <c r="N8" s="38"/>
      <c r="O8" s="38"/>
      <c r="P8" s="39">
        <f t="shared" si="1"/>
        <v>49.166666666666664</v>
      </c>
      <c r="Q8" s="39">
        <v>28.33</v>
      </c>
      <c r="R8" s="39">
        <f t="shared" si="2"/>
        <v>24.583333333333332</v>
      </c>
      <c r="S8" s="38">
        <f t="shared" si="3"/>
        <v>2.95</v>
      </c>
      <c r="T8" s="38">
        <f t="shared" si="4"/>
        <v>2.95</v>
      </c>
      <c r="U8" s="38"/>
      <c r="V8" s="38">
        <f t="shared" si="5"/>
        <v>65.784999999999997</v>
      </c>
      <c r="W8" s="38">
        <f t="shared" si="7"/>
        <v>763.7650000000001</v>
      </c>
    </row>
    <row r="9" spans="1:23" s="40" customFormat="1" ht="12" x14ac:dyDescent="0.2">
      <c r="A9" s="36">
        <v>6</v>
      </c>
      <c r="B9" s="36" t="s">
        <v>10</v>
      </c>
      <c r="C9" s="36" t="s">
        <v>4</v>
      </c>
      <c r="D9" s="37">
        <v>340</v>
      </c>
      <c r="E9" s="37">
        <f t="shared" si="0"/>
        <v>340</v>
      </c>
      <c r="F9" s="37">
        <f>17*1.3</f>
        <v>22.1</v>
      </c>
      <c r="G9" s="37">
        <f>76.5*1.3</f>
        <v>99.45</v>
      </c>
      <c r="H9" s="38"/>
      <c r="I9" s="38">
        <f t="shared" si="6"/>
        <v>461.55</v>
      </c>
      <c r="J9" s="38"/>
      <c r="K9" s="38"/>
      <c r="L9" s="38"/>
      <c r="M9" s="38"/>
      <c r="N9" s="38"/>
      <c r="O9" s="38"/>
      <c r="P9" s="39">
        <f t="shared" si="1"/>
        <v>38.462499999999999</v>
      </c>
      <c r="Q9" s="39">
        <v>28.33</v>
      </c>
      <c r="R9" s="39">
        <f t="shared" si="2"/>
        <v>19.231249999999999</v>
      </c>
      <c r="S9" s="38">
        <f t="shared" si="3"/>
        <v>2.30775</v>
      </c>
      <c r="T9" s="38">
        <f t="shared" si="4"/>
        <v>2.30775</v>
      </c>
      <c r="U9" s="38"/>
      <c r="V9" s="38">
        <f t="shared" si="5"/>
        <v>51.462825000000002</v>
      </c>
      <c r="W9" s="38">
        <f t="shared" si="7"/>
        <v>603.65207500000008</v>
      </c>
    </row>
    <row r="10" spans="1:23" s="40" customFormat="1" ht="12" x14ac:dyDescent="0.2">
      <c r="A10" s="36">
        <v>7</v>
      </c>
      <c r="B10" s="36" t="s">
        <v>11</v>
      </c>
      <c r="C10" s="36" t="s">
        <v>4</v>
      </c>
      <c r="D10" s="37">
        <v>340</v>
      </c>
      <c r="E10" s="37">
        <f t="shared" si="0"/>
        <v>340</v>
      </c>
      <c r="F10" s="37"/>
      <c r="G10" s="37">
        <f>187*1.3</f>
        <v>243.1</v>
      </c>
      <c r="H10" s="38">
        <f>134.1*1.3</f>
        <v>174.33</v>
      </c>
      <c r="I10" s="38">
        <f t="shared" si="6"/>
        <v>757.43000000000006</v>
      </c>
      <c r="J10" s="38"/>
      <c r="K10" s="38"/>
      <c r="L10" s="38"/>
      <c r="M10" s="38"/>
      <c r="N10" s="38"/>
      <c r="O10" s="38"/>
      <c r="P10" s="39">
        <f t="shared" si="1"/>
        <v>63.119166666666672</v>
      </c>
      <c r="Q10" s="39">
        <v>28.33</v>
      </c>
      <c r="R10" s="39">
        <f t="shared" si="2"/>
        <v>31.559583333333336</v>
      </c>
      <c r="S10" s="38">
        <f t="shared" si="3"/>
        <v>3.7871500000000005</v>
      </c>
      <c r="T10" s="38">
        <f t="shared" si="4"/>
        <v>3.7871500000000005</v>
      </c>
      <c r="U10" s="38"/>
      <c r="V10" s="38">
        <f t="shared" si="5"/>
        <v>84.453445000000002</v>
      </c>
      <c r="W10" s="38">
        <f t="shared" si="7"/>
        <v>972.46649500000001</v>
      </c>
    </row>
    <row r="11" spans="1:23" s="40" customFormat="1" ht="12" x14ac:dyDescent="0.2">
      <c r="A11" s="36">
        <v>8</v>
      </c>
      <c r="B11" s="36" t="s">
        <v>12</v>
      </c>
      <c r="C11" s="36" t="s">
        <v>4</v>
      </c>
      <c r="D11" s="37">
        <v>340</v>
      </c>
      <c r="E11" s="37">
        <f t="shared" si="0"/>
        <v>340</v>
      </c>
      <c r="F11" s="37"/>
      <c r="G11" s="37">
        <f>164.34*1.3</f>
        <v>213.64200000000002</v>
      </c>
      <c r="H11" s="38">
        <f>85.01*1.3</f>
        <v>110.51300000000001</v>
      </c>
      <c r="I11" s="38">
        <f t="shared" si="6"/>
        <v>664.15500000000009</v>
      </c>
      <c r="J11" s="38"/>
      <c r="K11" s="38"/>
      <c r="L11" s="38"/>
      <c r="M11" s="38"/>
      <c r="N11" s="38"/>
      <c r="O11" s="38"/>
      <c r="P11" s="39">
        <f t="shared" si="1"/>
        <v>55.346250000000005</v>
      </c>
      <c r="Q11" s="39">
        <v>28.33</v>
      </c>
      <c r="R11" s="39">
        <f t="shared" si="2"/>
        <v>27.673125000000002</v>
      </c>
      <c r="S11" s="38">
        <f t="shared" si="3"/>
        <v>3.3207750000000007</v>
      </c>
      <c r="T11" s="38">
        <f t="shared" si="4"/>
        <v>3.3207750000000007</v>
      </c>
      <c r="U11" s="38"/>
      <c r="V11" s="38">
        <f t="shared" si="5"/>
        <v>74.053282500000009</v>
      </c>
      <c r="W11" s="38">
        <f t="shared" si="7"/>
        <v>856.19920750000028</v>
      </c>
    </row>
    <row r="12" spans="1:23" s="40" customFormat="1" ht="12" x14ac:dyDescent="0.2">
      <c r="A12" s="36">
        <v>9</v>
      </c>
      <c r="B12" s="36" t="s">
        <v>13</v>
      </c>
      <c r="C12" s="36" t="s">
        <v>14</v>
      </c>
      <c r="D12" s="37">
        <v>512.35</v>
      </c>
      <c r="E12" s="37">
        <f t="shared" si="0"/>
        <v>512.35</v>
      </c>
      <c r="F12" s="37">
        <f>25.62*1.3</f>
        <v>33.306000000000004</v>
      </c>
      <c r="G12" s="37">
        <f>68.31*1.3</f>
        <v>88.803000000000011</v>
      </c>
      <c r="H12" s="38"/>
      <c r="I12" s="38">
        <f t="shared" si="6"/>
        <v>634.45900000000006</v>
      </c>
      <c r="J12" s="38"/>
      <c r="K12" s="38"/>
      <c r="L12" s="38"/>
      <c r="M12" s="38"/>
      <c r="N12" s="38"/>
      <c r="O12" s="38"/>
      <c r="P12" s="39">
        <f t="shared" si="1"/>
        <v>52.871583333333341</v>
      </c>
      <c r="Q12" s="39">
        <v>28.33</v>
      </c>
      <c r="R12" s="39">
        <f t="shared" si="2"/>
        <v>26.43579166666667</v>
      </c>
      <c r="S12" s="38">
        <f t="shared" si="3"/>
        <v>3.1722950000000005</v>
      </c>
      <c r="T12" s="38">
        <f t="shared" si="4"/>
        <v>3.1722950000000005</v>
      </c>
      <c r="U12" s="38"/>
      <c r="V12" s="38">
        <f t="shared" si="5"/>
        <v>70.742178500000009</v>
      </c>
      <c r="W12" s="38">
        <f t="shared" si="7"/>
        <v>819.18314350000003</v>
      </c>
    </row>
    <row r="13" spans="1:23" s="40" customFormat="1" ht="12" x14ac:dyDescent="0.2">
      <c r="A13" s="36">
        <v>10</v>
      </c>
      <c r="B13" s="36" t="s">
        <v>15</v>
      </c>
      <c r="C13" s="36" t="s">
        <v>4</v>
      </c>
      <c r="D13" s="37">
        <v>340</v>
      </c>
      <c r="E13" s="37">
        <f t="shared" si="0"/>
        <v>340</v>
      </c>
      <c r="F13" s="37"/>
      <c r="G13" s="37">
        <f>45.33*1.3</f>
        <v>58.929000000000002</v>
      </c>
      <c r="H13" s="38"/>
      <c r="I13" s="38">
        <f t="shared" si="6"/>
        <v>398.92899999999997</v>
      </c>
      <c r="J13" s="38"/>
      <c r="K13" s="38"/>
      <c r="L13" s="38"/>
      <c r="M13" s="38"/>
      <c r="N13" s="38"/>
      <c r="O13" s="38"/>
      <c r="P13" s="39">
        <f t="shared" si="1"/>
        <v>33.244083333333329</v>
      </c>
      <c r="Q13" s="39">
        <v>28.33</v>
      </c>
      <c r="R13" s="39">
        <f t="shared" si="2"/>
        <v>16.622041666666664</v>
      </c>
      <c r="S13" s="38">
        <f t="shared" si="3"/>
        <v>1.994645</v>
      </c>
      <c r="T13" s="38">
        <f t="shared" si="4"/>
        <v>1.994645</v>
      </c>
      <c r="U13" s="38"/>
      <c r="V13" s="38">
        <f t="shared" si="5"/>
        <v>44.480583499999995</v>
      </c>
      <c r="W13" s="38">
        <f t="shared" si="7"/>
        <v>525.59499849999997</v>
      </c>
    </row>
    <row r="14" spans="1:23" s="40" customFormat="1" ht="12" x14ac:dyDescent="0.2">
      <c r="A14" s="36">
        <v>11</v>
      </c>
      <c r="B14" s="36" t="s">
        <v>16</v>
      </c>
      <c r="C14" s="36" t="s">
        <v>4</v>
      </c>
      <c r="D14" s="37">
        <v>340</v>
      </c>
      <c r="E14" s="37">
        <f t="shared" si="0"/>
        <v>340</v>
      </c>
      <c r="F14" s="37">
        <f>12.75*1.3</f>
        <v>16.574999999999999</v>
      </c>
      <c r="G14" s="37">
        <f>22.67*1.3</f>
        <v>29.471000000000004</v>
      </c>
      <c r="H14" s="38">
        <f>4.25*1.3</f>
        <v>5.5250000000000004</v>
      </c>
      <c r="I14" s="38">
        <f t="shared" si="6"/>
        <v>391.57099999999997</v>
      </c>
      <c r="J14" s="38"/>
      <c r="K14" s="38"/>
      <c r="L14" s="38"/>
      <c r="M14" s="38"/>
      <c r="N14" s="38"/>
      <c r="O14" s="38"/>
      <c r="P14" s="39">
        <f t="shared" si="1"/>
        <v>32.630916666666664</v>
      </c>
      <c r="Q14" s="39">
        <v>28.33</v>
      </c>
      <c r="R14" s="39">
        <f t="shared" si="2"/>
        <v>16.315458333333332</v>
      </c>
      <c r="S14" s="38">
        <f t="shared" si="3"/>
        <v>1.9578549999999999</v>
      </c>
      <c r="T14" s="38">
        <f t="shared" si="4"/>
        <v>1.9578549999999999</v>
      </c>
      <c r="U14" s="38"/>
      <c r="V14" s="38">
        <f t="shared" si="5"/>
        <v>43.660166499999995</v>
      </c>
      <c r="W14" s="38">
        <f t="shared" si="7"/>
        <v>516.42325149999988</v>
      </c>
    </row>
    <row r="15" spans="1:23" s="40" customFormat="1" ht="12" x14ac:dyDescent="0.2">
      <c r="A15" s="36">
        <v>12</v>
      </c>
      <c r="B15" s="36" t="s">
        <v>17</v>
      </c>
      <c r="C15" s="36" t="s">
        <v>4</v>
      </c>
      <c r="D15" s="37">
        <v>340</v>
      </c>
      <c r="E15" s="37">
        <f t="shared" si="0"/>
        <v>340</v>
      </c>
      <c r="F15" s="37"/>
      <c r="G15" s="37">
        <f>90.67*1.3</f>
        <v>117.87100000000001</v>
      </c>
      <c r="H15" s="38"/>
      <c r="I15" s="38">
        <f t="shared" si="6"/>
        <v>457.87099999999998</v>
      </c>
      <c r="J15" s="38"/>
      <c r="K15" s="38"/>
      <c r="L15" s="38"/>
      <c r="M15" s="38"/>
      <c r="N15" s="38"/>
      <c r="O15" s="38"/>
      <c r="P15" s="39">
        <f t="shared" si="1"/>
        <v>38.155916666666663</v>
      </c>
      <c r="Q15" s="39">
        <v>28.33</v>
      </c>
      <c r="R15" s="39">
        <f t="shared" si="2"/>
        <v>19.077958333333331</v>
      </c>
      <c r="S15" s="38">
        <f t="shared" si="3"/>
        <v>2.289355</v>
      </c>
      <c r="T15" s="38">
        <f t="shared" si="4"/>
        <v>2.289355</v>
      </c>
      <c r="U15" s="38"/>
      <c r="V15" s="38">
        <f t="shared" si="5"/>
        <v>51.052616499999999</v>
      </c>
      <c r="W15" s="38">
        <f t="shared" si="7"/>
        <v>599.06620149999992</v>
      </c>
    </row>
    <row r="16" spans="1:23" s="40" customFormat="1" ht="12" x14ac:dyDescent="0.2">
      <c r="A16" s="36">
        <v>13</v>
      </c>
      <c r="B16" s="36" t="s">
        <v>18</v>
      </c>
      <c r="C16" s="36" t="s">
        <v>4</v>
      </c>
      <c r="D16" s="37">
        <v>340</v>
      </c>
      <c r="E16" s="37">
        <f t="shared" si="0"/>
        <v>340</v>
      </c>
      <c r="F16" s="37"/>
      <c r="G16" s="37">
        <f>124.67*1.3</f>
        <v>162.071</v>
      </c>
      <c r="H16" s="38">
        <f>85.01*1.3</f>
        <v>110.51300000000001</v>
      </c>
      <c r="I16" s="38">
        <f t="shared" si="6"/>
        <v>612.58400000000006</v>
      </c>
      <c r="J16" s="38"/>
      <c r="K16" s="38"/>
      <c r="L16" s="38"/>
      <c r="M16" s="38"/>
      <c r="N16" s="38"/>
      <c r="O16" s="38"/>
      <c r="P16" s="39">
        <f t="shared" si="1"/>
        <v>51.048666666666669</v>
      </c>
      <c r="Q16" s="39">
        <v>28.33</v>
      </c>
      <c r="R16" s="39">
        <f t="shared" si="2"/>
        <v>25.524333333333335</v>
      </c>
      <c r="S16" s="38">
        <f t="shared" si="3"/>
        <v>3.0629200000000005</v>
      </c>
      <c r="T16" s="38">
        <f t="shared" si="4"/>
        <v>3.0629200000000005</v>
      </c>
      <c r="U16" s="38"/>
      <c r="V16" s="38">
        <f t="shared" si="5"/>
        <v>68.303116000000003</v>
      </c>
      <c r="W16" s="38">
        <f t="shared" si="7"/>
        <v>791.91595600000005</v>
      </c>
    </row>
    <row r="17" spans="1:23" s="40" customFormat="1" ht="12" x14ac:dyDescent="0.2">
      <c r="A17" s="36">
        <v>14</v>
      </c>
      <c r="B17" s="36" t="s">
        <v>19</v>
      </c>
      <c r="C17" s="36" t="s">
        <v>4</v>
      </c>
      <c r="D17" s="37">
        <v>340</v>
      </c>
      <c r="E17" s="37">
        <f t="shared" si="0"/>
        <v>340</v>
      </c>
      <c r="F17" s="37"/>
      <c r="G17" s="37">
        <f>45.33*1.3</f>
        <v>58.929000000000002</v>
      </c>
      <c r="H17" s="38"/>
      <c r="I17" s="38">
        <f t="shared" si="6"/>
        <v>398.92899999999997</v>
      </c>
      <c r="J17" s="38"/>
      <c r="K17" s="38"/>
      <c r="L17" s="38"/>
      <c r="M17" s="38"/>
      <c r="N17" s="38"/>
      <c r="O17" s="38"/>
      <c r="P17" s="39">
        <f t="shared" si="1"/>
        <v>33.244083333333329</v>
      </c>
      <c r="Q17" s="39">
        <v>28.33</v>
      </c>
      <c r="R17" s="39">
        <f t="shared" si="2"/>
        <v>16.622041666666664</v>
      </c>
      <c r="S17" s="38">
        <f t="shared" si="3"/>
        <v>1.994645</v>
      </c>
      <c r="T17" s="38">
        <f t="shared" si="4"/>
        <v>1.994645</v>
      </c>
      <c r="U17" s="38"/>
      <c r="V17" s="38">
        <f t="shared" si="5"/>
        <v>44.480583499999995</v>
      </c>
      <c r="W17" s="38">
        <f t="shared" si="7"/>
        <v>525.59499849999997</v>
      </c>
    </row>
    <row r="18" spans="1:23" s="40" customFormat="1" ht="12" x14ac:dyDescent="0.2">
      <c r="A18" s="36">
        <v>15</v>
      </c>
      <c r="B18" s="36" t="s">
        <v>20</v>
      </c>
      <c r="C18" s="36" t="s">
        <v>4</v>
      </c>
      <c r="D18" s="37">
        <v>340</v>
      </c>
      <c r="E18" s="37">
        <f t="shared" si="0"/>
        <v>340</v>
      </c>
      <c r="F18" s="37"/>
      <c r="G18" s="37">
        <f>22.67*1.3</f>
        <v>29.471000000000004</v>
      </c>
      <c r="H18" s="38"/>
      <c r="I18" s="38">
        <f t="shared" si="6"/>
        <v>369.471</v>
      </c>
      <c r="J18" s="38"/>
      <c r="K18" s="38"/>
      <c r="L18" s="38"/>
      <c r="M18" s="38"/>
      <c r="N18" s="38"/>
      <c r="O18" s="38"/>
      <c r="P18" s="39">
        <f t="shared" si="1"/>
        <v>30.789249999999999</v>
      </c>
      <c r="Q18" s="39">
        <v>28.33</v>
      </c>
      <c r="R18" s="39">
        <f t="shared" si="2"/>
        <v>15.394625</v>
      </c>
      <c r="S18" s="38">
        <f t="shared" si="3"/>
        <v>1.8473550000000001</v>
      </c>
      <c r="T18" s="38">
        <f t="shared" si="4"/>
        <v>1.8473550000000001</v>
      </c>
      <c r="U18" s="38"/>
      <c r="V18" s="38">
        <f t="shared" si="5"/>
        <v>41.196016499999999</v>
      </c>
      <c r="W18" s="38">
        <f t="shared" si="7"/>
        <v>488.87560149999996</v>
      </c>
    </row>
    <row r="19" spans="1:23" s="40" customFormat="1" ht="12" x14ac:dyDescent="0.2">
      <c r="A19" s="36">
        <v>16</v>
      </c>
      <c r="B19" s="36" t="s">
        <v>21</v>
      </c>
      <c r="C19" s="36" t="s">
        <v>4</v>
      </c>
      <c r="D19" s="37">
        <v>340</v>
      </c>
      <c r="E19" s="37">
        <f t="shared" si="0"/>
        <v>340</v>
      </c>
      <c r="F19" s="37"/>
      <c r="G19" s="37">
        <f>28.33*1.3</f>
        <v>36.829000000000001</v>
      </c>
      <c r="H19" s="38">
        <f>59.51*1.3</f>
        <v>77.363</v>
      </c>
      <c r="I19" s="38">
        <f t="shared" si="6"/>
        <v>454.19200000000001</v>
      </c>
      <c r="J19" s="38"/>
      <c r="K19" s="38"/>
      <c r="L19" s="38"/>
      <c r="M19" s="38"/>
      <c r="N19" s="38"/>
      <c r="O19" s="38"/>
      <c r="P19" s="39">
        <f t="shared" si="1"/>
        <v>37.849333333333334</v>
      </c>
      <c r="Q19" s="39">
        <v>28.33</v>
      </c>
      <c r="R19" s="39">
        <f t="shared" si="2"/>
        <v>18.924666666666667</v>
      </c>
      <c r="S19" s="38">
        <f t="shared" si="3"/>
        <v>2.2709600000000001</v>
      </c>
      <c r="T19" s="38">
        <f t="shared" si="4"/>
        <v>2.2709600000000001</v>
      </c>
      <c r="U19" s="38"/>
      <c r="V19" s="38">
        <f t="shared" si="5"/>
        <v>50.642408000000003</v>
      </c>
      <c r="W19" s="38">
        <f t="shared" si="7"/>
        <v>594.48032799999999</v>
      </c>
    </row>
    <row r="20" spans="1:23" s="40" customFormat="1" ht="12" x14ac:dyDescent="0.2">
      <c r="A20" s="36">
        <v>17</v>
      </c>
      <c r="B20" s="36" t="s">
        <v>22</v>
      </c>
      <c r="C20" s="36" t="s">
        <v>4</v>
      </c>
      <c r="D20" s="37">
        <v>340</v>
      </c>
      <c r="E20" s="37">
        <f t="shared" si="0"/>
        <v>340</v>
      </c>
      <c r="F20" s="37"/>
      <c r="G20" s="37">
        <f>68*1.3</f>
        <v>88.4</v>
      </c>
      <c r="H20" s="38">
        <f>31.88*1.3</f>
        <v>41.444000000000003</v>
      </c>
      <c r="I20" s="38">
        <f t="shared" si="6"/>
        <v>469.84399999999999</v>
      </c>
      <c r="J20" s="38"/>
      <c r="K20" s="38"/>
      <c r="L20" s="38"/>
      <c r="M20" s="38"/>
      <c r="N20" s="38"/>
      <c r="O20" s="38"/>
      <c r="P20" s="39">
        <f t="shared" si="1"/>
        <v>39.153666666666666</v>
      </c>
      <c r="Q20" s="39">
        <v>28.33</v>
      </c>
      <c r="R20" s="39">
        <f t="shared" si="2"/>
        <v>19.576833333333333</v>
      </c>
      <c r="S20" s="38">
        <f t="shared" si="3"/>
        <v>2.3492199999999999</v>
      </c>
      <c r="T20" s="38">
        <f t="shared" si="4"/>
        <v>2.3492199999999999</v>
      </c>
      <c r="U20" s="38"/>
      <c r="V20" s="38">
        <f t="shared" si="5"/>
        <v>52.387605999999998</v>
      </c>
      <c r="W20" s="38">
        <f t="shared" si="7"/>
        <v>613.99054599999988</v>
      </c>
    </row>
    <row r="21" spans="1:23" s="40" customFormat="1" ht="12" x14ac:dyDescent="0.2">
      <c r="A21" s="36">
        <v>18</v>
      </c>
      <c r="B21" s="36" t="s">
        <v>23</v>
      </c>
      <c r="C21" s="36" t="s">
        <v>4</v>
      </c>
      <c r="D21" s="37">
        <v>340</v>
      </c>
      <c r="E21" s="37">
        <f t="shared" si="0"/>
        <v>340</v>
      </c>
      <c r="F21" s="37">
        <f>29.75*1.3</f>
        <v>38.675000000000004</v>
      </c>
      <c r="G21" s="37">
        <f>130.34*1.3</f>
        <v>169.44200000000001</v>
      </c>
      <c r="H21" s="38"/>
      <c r="I21" s="38">
        <f t="shared" si="6"/>
        <v>548.11699999999996</v>
      </c>
      <c r="J21" s="38"/>
      <c r="K21" s="38"/>
      <c r="L21" s="38"/>
      <c r="M21" s="38"/>
      <c r="N21" s="38"/>
      <c r="O21" s="38"/>
      <c r="P21" s="39">
        <f t="shared" si="1"/>
        <v>45.676416666666661</v>
      </c>
      <c r="Q21" s="39">
        <v>28.33</v>
      </c>
      <c r="R21" s="39">
        <f t="shared" si="2"/>
        <v>22.838208333333331</v>
      </c>
      <c r="S21" s="38">
        <f t="shared" si="3"/>
        <v>2.7405849999999998</v>
      </c>
      <c r="T21" s="38">
        <f t="shared" si="4"/>
        <v>2.7405849999999998</v>
      </c>
      <c r="U21" s="38"/>
      <c r="V21" s="38">
        <f t="shared" si="5"/>
        <v>61.115045499999994</v>
      </c>
      <c r="W21" s="38">
        <f t="shared" si="7"/>
        <v>711.5578405</v>
      </c>
    </row>
    <row r="22" spans="1:23" s="40" customFormat="1" ht="12" x14ac:dyDescent="0.2">
      <c r="A22" s="36">
        <v>19</v>
      </c>
      <c r="B22" s="36" t="s">
        <v>24</v>
      </c>
      <c r="C22" s="36" t="s">
        <v>4</v>
      </c>
      <c r="D22" s="37">
        <v>340</v>
      </c>
      <c r="E22" s="37">
        <f t="shared" si="0"/>
        <v>340</v>
      </c>
      <c r="F22" s="37">
        <f>102*1.3</f>
        <v>132.6</v>
      </c>
      <c r="G22" s="37">
        <f>221.01*1.3</f>
        <v>287.31299999999999</v>
      </c>
      <c r="H22" s="38"/>
      <c r="I22" s="38">
        <f t="shared" si="6"/>
        <v>759.91300000000001</v>
      </c>
      <c r="J22" s="38"/>
      <c r="K22" s="38"/>
      <c r="L22" s="38"/>
      <c r="M22" s="38"/>
      <c r="N22" s="38"/>
      <c r="O22" s="38"/>
      <c r="P22" s="39">
        <f t="shared" si="1"/>
        <v>63.326083333333337</v>
      </c>
      <c r="Q22" s="39">
        <v>28.33</v>
      </c>
      <c r="R22" s="39">
        <f t="shared" si="2"/>
        <v>31.663041666666668</v>
      </c>
      <c r="S22" s="38">
        <f t="shared" si="3"/>
        <v>3.7995650000000003</v>
      </c>
      <c r="T22" s="38">
        <f t="shared" si="4"/>
        <v>3.7995650000000003</v>
      </c>
      <c r="U22" s="38"/>
      <c r="V22" s="38">
        <f t="shared" si="5"/>
        <v>84.730299500000001</v>
      </c>
      <c r="W22" s="38">
        <f t="shared" si="7"/>
        <v>975.56155450000017</v>
      </c>
    </row>
    <row r="23" spans="1:23" s="40" customFormat="1" ht="12" x14ac:dyDescent="0.2">
      <c r="A23" s="36">
        <v>20</v>
      </c>
      <c r="B23" s="36" t="s">
        <v>25</v>
      </c>
      <c r="C23" s="36" t="s">
        <v>4</v>
      </c>
      <c r="D23" s="37">
        <v>340</v>
      </c>
      <c r="E23" s="37">
        <f t="shared" si="0"/>
        <v>340</v>
      </c>
      <c r="F23" s="37"/>
      <c r="G23" s="37">
        <f>79.34*1.3</f>
        <v>103.14200000000001</v>
      </c>
      <c r="H23" s="38">
        <f>31.88*1.3</f>
        <v>41.444000000000003</v>
      </c>
      <c r="I23" s="38">
        <f t="shared" si="6"/>
        <v>484.58600000000001</v>
      </c>
      <c r="J23" s="38"/>
      <c r="K23" s="38"/>
      <c r="L23" s="38"/>
      <c r="M23" s="38"/>
      <c r="N23" s="38"/>
      <c r="O23" s="38"/>
      <c r="P23" s="39">
        <f t="shared" si="1"/>
        <v>40.38216666666667</v>
      </c>
      <c r="Q23" s="39">
        <v>28.33</v>
      </c>
      <c r="R23" s="39">
        <f t="shared" si="2"/>
        <v>20.191083333333335</v>
      </c>
      <c r="S23" s="38">
        <f t="shared" si="3"/>
        <v>2.42293</v>
      </c>
      <c r="T23" s="38">
        <f t="shared" si="4"/>
        <v>2.42293</v>
      </c>
      <c r="U23" s="38"/>
      <c r="V23" s="38">
        <f t="shared" si="5"/>
        <v>54.031339000000003</v>
      </c>
      <c r="W23" s="38">
        <f t="shared" si="7"/>
        <v>632.36644899999999</v>
      </c>
    </row>
    <row r="24" spans="1:23" s="40" customFormat="1" ht="12" x14ac:dyDescent="0.2">
      <c r="A24" s="36">
        <v>21</v>
      </c>
      <c r="B24" s="36" t="s">
        <v>26</v>
      </c>
      <c r="C24" s="36" t="s">
        <v>4</v>
      </c>
      <c r="D24" s="37">
        <v>340</v>
      </c>
      <c r="E24" s="37">
        <f t="shared" si="0"/>
        <v>340</v>
      </c>
      <c r="F24" s="37"/>
      <c r="G24" s="37">
        <f>45.33*1.3</f>
        <v>58.929000000000002</v>
      </c>
      <c r="H24" s="38"/>
      <c r="I24" s="38">
        <f t="shared" si="6"/>
        <v>398.92899999999997</v>
      </c>
      <c r="J24" s="38"/>
      <c r="K24" s="38"/>
      <c r="L24" s="38"/>
      <c r="M24" s="38"/>
      <c r="N24" s="38"/>
      <c r="O24" s="38"/>
      <c r="P24" s="39">
        <f t="shared" si="1"/>
        <v>33.244083333333329</v>
      </c>
      <c r="Q24" s="39">
        <v>28.33</v>
      </c>
      <c r="R24" s="39">
        <f t="shared" si="2"/>
        <v>16.622041666666664</v>
      </c>
      <c r="S24" s="38">
        <f t="shared" si="3"/>
        <v>1.994645</v>
      </c>
      <c r="T24" s="38">
        <f t="shared" si="4"/>
        <v>1.994645</v>
      </c>
      <c r="U24" s="38"/>
      <c r="V24" s="38">
        <f t="shared" si="5"/>
        <v>44.480583499999995</v>
      </c>
      <c r="W24" s="38">
        <f t="shared" si="7"/>
        <v>525.59499849999997</v>
      </c>
    </row>
    <row r="25" spans="1:23" s="40" customFormat="1" ht="12" x14ac:dyDescent="0.2">
      <c r="A25" s="36">
        <v>22</v>
      </c>
      <c r="B25" s="36" t="s">
        <v>27</v>
      </c>
      <c r="C25" s="36" t="s">
        <v>14</v>
      </c>
      <c r="D25" s="37">
        <v>340</v>
      </c>
      <c r="E25" s="37">
        <f t="shared" si="0"/>
        <v>340</v>
      </c>
      <c r="F25" s="37"/>
      <c r="G25" s="37">
        <f>68.31*1.3</f>
        <v>88.803000000000011</v>
      </c>
      <c r="H25" s="38">
        <f>83.25*1.3</f>
        <v>108.22500000000001</v>
      </c>
      <c r="I25" s="38">
        <f t="shared" si="6"/>
        <v>537.02800000000002</v>
      </c>
      <c r="J25" s="38"/>
      <c r="K25" s="38"/>
      <c r="L25" s="38"/>
      <c r="M25" s="38"/>
      <c r="N25" s="38"/>
      <c r="O25" s="38"/>
      <c r="P25" s="39">
        <f t="shared" si="1"/>
        <v>44.752333333333333</v>
      </c>
      <c r="Q25" s="39">
        <v>28.33</v>
      </c>
      <c r="R25" s="39">
        <f t="shared" si="2"/>
        <v>22.376166666666666</v>
      </c>
      <c r="S25" s="38">
        <f t="shared" si="3"/>
        <v>2.6851400000000001</v>
      </c>
      <c r="T25" s="38">
        <f t="shared" si="4"/>
        <v>2.6851400000000001</v>
      </c>
      <c r="U25" s="38"/>
      <c r="V25" s="38">
        <f t="shared" si="5"/>
        <v>59.878622</v>
      </c>
      <c r="W25" s="38">
        <f t="shared" si="7"/>
        <v>697.73540200000014</v>
      </c>
    </row>
    <row r="26" spans="1:23" s="40" customFormat="1" ht="12" x14ac:dyDescent="0.2">
      <c r="A26" s="36">
        <v>23</v>
      </c>
      <c r="B26" s="36" t="s">
        <v>28</v>
      </c>
      <c r="C26" s="36" t="s">
        <v>4</v>
      </c>
      <c r="D26" s="37">
        <v>340</v>
      </c>
      <c r="E26" s="37">
        <f t="shared" si="0"/>
        <v>340</v>
      </c>
      <c r="F26" s="37">
        <f>2.13*1.3</f>
        <v>2.7690000000000001</v>
      </c>
      <c r="G26" s="37"/>
      <c r="H26" s="38"/>
      <c r="I26" s="38">
        <f t="shared" si="6"/>
        <v>342.76900000000001</v>
      </c>
      <c r="J26" s="38"/>
      <c r="K26" s="38"/>
      <c r="L26" s="38"/>
      <c r="M26" s="38"/>
      <c r="N26" s="38"/>
      <c r="O26" s="38"/>
      <c r="P26" s="39">
        <f t="shared" si="1"/>
        <v>28.564083333333333</v>
      </c>
      <c r="Q26" s="39">
        <v>28.33</v>
      </c>
      <c r="R26" s="39">
        <f t="shared" si="2"/>
        <v>14.282041666666666</v>
      </c>
      <c r="S26" s="38">
        <f t="shared" si="3"/>
        <v>1.7138450000000001</v>
      </c>
      <c r="T26" s="38">
        <f t="shared" si="4"/>
        <v>1.7138450000000001</v>
      </c>
      <c r="U26" s="38"/>
      <c r="V26" s="38">
        <f t="shared" si="5"/>
        <v>38.218743500000002</v>
      </c>
      <c r="W26" s="38">
        <f t="shared" si="7"/>
        <v>455.59155849999996</v>
      </c>
    </row>
    <row r="27" spans="1:23" s="40" customFormat="1" ht="12" x14ac:dyDescent="0.2">
      <c r="A27" s="36">
        <v>24</v>
      </c>
      <c r="B27" s="36" t="s">
        <v>29</v>
      </c>
      <c r="C27" s="36" t="s">
        <v>4</v>
      </c>
      <c r="D27" s="37">
        <v>340</v>
      </c>
      <c r="E27" s="37">
        <f t="shared" si="0"/>
        <v>340</v>
      </c>
      <c r="F27" s="37"/>
      <c r="G27" s="37">
        <f>158.67*1.3</f>
        <v>206.27099999999999</v>
      </c>
      <c r="H27" s="38">
        <f>133.63*1.3</f>
        <v>173.71899999999999</v>
      </c>
      <c r="I27" s="38">
        <f t="shared" si="6"/>
        <v>719.99</v>
      </c>
      <c r="J27" s="38"/>
      <c r="K27" s="38"/>
      <c r="L27" s="38"/>
      <c r="M27" s="38"/>
      <c r="N27" s="38"/>
      <c r="O27" s="38"/>
      <c r="P27" s="39">
        <f t="shared" si="1"/>
        <v>59.999166666666667</v>
      </c>
      <c r="Q27" s="39">
        <v>28.33</v>
      </c>
      <c r="R27" s="39">
        <f t="shared" si="2"/>
        <v>29.999583333333334</v>
      </c>
      <c r="S27" s="38">
        <f t="shared" si="3"/>
        <v>3.5999500000000002</v>
      </c>
      <c r="T27" s="38">
        <f t="shared" si="4"/>
        <v>3.5999500000000002</v>
      </c>
      <c r="U27" s="38"/>
      <c r="V27" s="38">
        <f t="shared" si="5"/>
        <v>80.278885000000002</v>
      </c>
      <c r="W27" s="38">
        <f t="shared" si="7"/>
        <v>925.79753500000015</v>
      </c>
    </row>
    <row r="28" spans="1:23" s="40" customFormat="1" ht="12" x14ac:dyDescent="0.2">
      <c r="A28" s="36">
        <v>25</v>
      </c>
      <c r="B28" s="36" t="s">
        <v>30</v>
      </c>
      <c r="C28" s="36" t="s">
        <v>4</v>
      </c>
      <c r="D28" s="37">
        <v>340</v>
      </c>
      <c r="E28" s="37">
        <f t="shared" si="0"/>
        <v>340</v>
      </c>
      <c r="F28" s="37">
        <f>6.38*1.3</f>
        <v>8.2940000000000005</v>
      </c>
      <c r="G28" s="37">
        <f>85*1.3</f>
        <v>110.5</v>
      </c>
      <c r="H28" s="38"/>
      <c r="I28" s="38">
        <f t="shared" si="6"/>
        <v>458.79399999999998</v>
      </c>
      <c r="J28" s="38"/>
      <c r="K28" s="38"/>
      <c r="L28" s="38"/>
      <c r="M28" s="38"/>
      <c r="N28" s="38"/>
      <c r="O28" s="38"/>
      <c r="P28" s="39">
        <f t="shared" si="1"/>
        <v>38.232833333333332</v>
      </c>
      <c r="Q28" s="39">
        <v>28.33</v>
      </c>
      <c r="R28" s="39">
        <f t="shared" si="2"/>
        <v>19.116416666666666</v>
      </c>
      <c r="S28" s="38">
        <f t="shared" si="3"/>
        <v>2.2939699999999998</v>
      </c>
      <c r="T28" s="38">
        <f t="shared" si="4"/>
        <v>2.2939699999999998</v>
      </c>
      <c r="U28" s="38"/>
      <c r="V28" s="38">
        <f t="shared" si="5"/>
        <v>51.155530999999996</v>
      </c>
      <c r="W28" s="38">
        <f t="shared" si="7"/>
        <v>600.21672099999989</v>
      </c>
    </row>
    <row r="29" spans="1:23" s="40" customFormat="1" ht="12" x14ac:dyDescent="0.2">
      <c r="A29" s="36">
        <v>26</v>
      </c>
      <c r="B29" s="36" t="s">
        <v>31</v>
      </c>
      <c r="C29" s="36" t="s">
        <v>4</v>
      </c>
      <c r="D29" s="37">
        <v>340</v>
      </c>
      <c r="E29" s="37">
        <f t="shared" si="0"/>
        <v>340</v>
      </c>
      <c r="F29" s="37"/>
      <c r="G29" s="37">
        <f>204*1.3</f>
        <v>265.2</v>
      </c>
      <c r="H29" s="38">
        <f>137.41*1.3</f>
        <v>178.63300000000001</v>
      </c>
      <c r="I29" s="38">
        <f t="shared" si="6"/>
        <v>783.83300000000008</v>
      </c>
      <c r="J29" s="38"/>
      <c r="K29" s="38"/>
      <c r="L29" s="38"/>
      <c r="M29" s="38"/>
      <c r="N29" s="38"/>
      <c r="O29" s="38"/>
      <c r="P29" s="39">
        <f t="shared" si="1"/>
        <v>65.319416666666669</v>
      </c>
      <c r="Q29" s="39">
        <v>28.33</v>
      </c>
      <c r="R29" s="39">
        <f t="shared" si="2"/>
        <v>32.659708333333334</v>
      </c>
      <c r="S29" s="38">
        <f t="shared" si="3"/>
        <v>3.9191650000000005</v>
      </c>
      <c r="T29" s="38">
        <f t="shared" si="4"/>
        <v>3.9191650000000005</v>
      </c>
      <c r="U29" s="38"/>
      <c r="V29" s="38">
        <f t="shared" si="5"/>
        <v>87.397379500000014</v>
      </c>
      <c r="W29" s="38">
        <f t="shared" si="7"/>
        <v>1005.3778345000003</v>
      </c>
    </row>
    <row r="30" spans="1:23" s="40" customFormat="1" ht="12" x14ac:dyDescent="0.2">
      <c r="A30" s="36">
        <v>27</v>
      </c>
      <c r="B30" s="36" t="s">
        <v>32</v>
      </c>
      <c r="C30" s="36" t="s">
        <v>4</v>
      </c>
      <c r="D30" s="37">
        <v>340</v>
      </c>
      <c r="E30" s="37">
        <f t="shared" si="0"/>
        <v>340</v>
      </c>
      <c r="F30" s="37"/>
      <c r="G30" s="37">
        <f>113.34*1.3</f>
        <v>147.34200000000001</v>
      </c>
      <c r="H30" s="38"/>
      <c r="I30" s="38">
        <f t="shared" si="6"/>
        <v>487.34199999999998</v>
      </c>
      <c r="J30" s="38"/>
      <c r="K30" s="38"/>
      <c r="L30" s="38"/>
      <c r="M30" s="38"/>
      <c r="N30" s="38"/>
      <c r="O30" s="38"/>
      <c r="P30" s="39">
        <f t="shared" si="1"/>
        <v>40.61183333333333</v>
      </c>
      <c r="Q30" s="39">
        <v>28.33</v>
      </c>
      <c r="R30" s="39">
        <f t="shared" si="2"/>
        <v>20.305916666666665</v>
      </c>
      <c r="S30" s="38">
        <f t="shared" si="3"/>
        <v>2.4367100000000002</v>
      </c>
      <c r="T30" s="38">
        <f t="shared" si="4"/>
        <v>2.4367100000000002</v>
      </c>
      <c r="U30" s="38"/>
      <c r="V30" s="38">
        <f t="shared" si="5"/>
        <v>54.338633000000002</v>
      </c>
      <c r="W30" s="38">
        <f t="shared" si="7"/>
        <v>635.80180299999995</v>
      </c>
    </row>
    <row r="31" spans="1:23" s="40" customFormat="1" ht="12" x14ac:dyDescent="0.2">
      <c r="A31" s="36">
        <v>28</v>
      </c>
      <c r="B31" s="36" t="s">
        <v>33</v>
      </c>
      <c r="C31" s="36" t="s">
        <v>4</v>
      </c>
      <c r="D31" s="37">
        <v>340</v>
      </c>
      <c r="E31" s="37">
        <f t="shared" si="0"/>
        <v>340</v>
      </c>
      <c r="F31" s="37"/>
      <c r="G31" s="37">
        <f>22.67*1.3</f>
        <v>29.471000000000004</v>
      </c>
      <c r="H31" s="38"/>
      <c r="I31" s="38">
        <f t="shared" si="6"/>
        <v>369.471</v>
      </c>
      <c r="J31" s="38"/>
      <c r="K31" s="38"/>
      <c r="L31" s="38"/>
      <c r="M31" s="38"/>
      <c r="N31" s="38"/>
      <c r="O31" s="38"/>
      <c r="P31" s="39">
        <f t="shared" si="1"/>
        <v>30.789249999999999</v>
      </c>
      <c r="Q31" s="39">
        <v>28.33</v>
      </c>
      <c r="R31" s="39">
        <f t="shared" si="2"/>
        <v>15.394625</v>
      </c>
      <c r="S31" s="38">
        <f t="shared" si="3"/>
        <v>1.8473550000000001</v>
      </c>
      <c r="T31" s="38">
        <f t="shared" si="4"/>
        <v>1.8473550000000001</v>
      </c>
      <c r="U31" s="38"/>
      <c r="V31" s="38">
        <f t="shared" si="5"/>
        <v>41.196016499999999</v>
      </c>
      <c r="W31" s="38">
        <f t="shared" si="7"/>
        <v>488.87560149999996</v>
      </c>
    </row>
    <row r="32" spans="1:23" s="40" customFormat="1" ht="12" x14ac:dyDescent="0.2">
      <c r="A32" s="36">
        <v>29</v>
      </c>
      <c r="B32" s="36" t="s">
        <v>34</v>
      </c>
      <c r="C32" s="36" t="s">
        <v>4</v>
      </c>
      <c r="D32" s="37">
        <v>340</v>
      </c>
      <c r="E32" s="37">
        <f t="shared" si="0"/>
        <v>340</v>
      </c>
      <c r="F32" s="37"/>
      <c r="G32" s="37">
        <f>172.84*1.3</f>
        <v>224.69200000000001</v>
      </c>
      <c r="H32" s="38">
        <f>85.01*1.3</f>
        <v>110.51300000000001</v>
      </c>
      <c r="I32" s="38">
        <f t="shared" si="6"/>
        <v>675.20500000000004</v>
      </c>
      <c r="J32" s="38"/>
      <c r="K32" s="38"/>
      <c r="L32" s="38"/>
      <c r="M32" s="38"/>
      <c r="N32" s="38"/>
      <c r="O32" s="38"/>
      <c r="P32" s="39">
        <f t="shared" si="1"/>
        <v>56.267083333333339</v>
      </c>
      <c r="Q32" s="39">
        <v>28.33</v>
      </c>
      <c r="R32" s="39">
        <f t="shared" si="2"/>
        <v>28.13354166666667</v>
      </c>
      <c r="S32" s="38">
        <f t="shared" si="3"/>
        <v>3.3760250000000003</v>
      </c>
      <c r="T32" s="38">
        <f t="shared" si="4"/>
        <v>3.3760250000000003</v>
      </c>
      <c r="U32" s="38"/>
      <c r="V32" s="38">
        <f t="shared" si="5"/>
        <v>75.285357500000003</v>
      </c>
      <c r="W32" s="38">
        <f t="shared" si="7"/>
        <v>869.97303250000016</v>
      </c>
    </row>
    <row r="33" spans="1:23" s="40" customFormat="1" ht="12" x14ac:dyDescent="0.2">
      <c r="A33" s="36">
        <v>30</v>
      </c>
      <c r="B33" s="36" t="s">
        <v>35</v>
      </c>
      <c r="C33" s="36" t="s">
        <v>4</v>
      </c>
      <c r="D33" s="37">
        <v>340</v>
      </c>
      <c r="E33" s="37">
        <f t="shared" si="0"/>
        <v>340</v>
      </c>
      <c r="F33" s="37"/>
      <c r="G33" s="37">
        <f>136*1.3</f>
        <v>176.8</v>
      </c>
      <c r="H33" s="38"/>
      <c r="I33" s="38">
        <f t="shared" si="6"/>
        <v>516.79999999999995</v>
      </c>
      <c r="J33" s="38"/>
      <c r="K33" s="38"/>
      <c r="L33" s="38"/>
      <c r="M33" s="38"/>
      <c r="N33" s="38"/>
      <c r="O33" s="38"/>
      <c r="P33" s="39">
        <f t="shared" si="1"/>
        <v>43.066666666666663</v>
      </c>
      <c r="Q33" s="39">
        <v>28.33</v>
      </c>
      <c r="R33" s="39">
        <f t="shared" si="2"/>
        <v>21.533333333333331</v>
      </c>
      <c r="S33" s="38">
        <f t="shared" si="3"/>
        <v>2.5839999999999996</v>
      </c>
      <c r="T33" s="38">
        <f t="shared" si="4"/>
        <v>2.5839999999999996</v>
      </c>
      <c r="U33" s="38"/>
      <c r="V33" s="38">
        <f t="shared" si="5"/>
        <v>57.623199999999997</v>
      </c>
      <c r="W33" s="38">
        <f t="shared" si="7"/>
        <v>672.52119999999979</v>
      </c>
    </row>
    <row r="34" spans="1:23" s="40" customFormat="1" ht="12" x14ac:dyDescent="0.2">
      <c r="A34" s="36">
        <v>31</v>
      </c>
      <c r="B34" s="36" t="s">
        <v>36</v>
      </c>
      <c r="C34" s="36" t="s">
        <v>4</v>
      </c>
      <c r="D34" s="37">
        <v>340</v>
      </c>
      <c r="E34" s="37">
        <f t="shared" si="0"/>
        <v>340</v>
      </c>
      <c r="F34" s="37"/>
      <c r="G34" s="37">
        <f>17*1.3</f>
        <v>22.1</v>
      </c>
      <c r="H34" s="38">
        <f>76.51*1.3</f>
        <v>99.463000000000008</v>
      </c>
      <c r="I34" s="38">
        <f t="shared" si="6"/>
        <v>461.56300000000005</v>
      </c>
      <c r="J34" s="38"/>
      <c r="K34" s="38"/>
      <c r="L34" s="38"/>
      <c r="M34" s="38"/>
      <c r="N34" s="38"/>
      <c r="O34" s="38"/>
      <c r="P34" s="39">
        <f t="shared" si="1"/>
        <v>38.463583333333339</v>
      </c>
      <c r="Q34" s="39">
        <v>28.33</v>
      </c>
      <c r="R34" s="39">
        <f t="shared" si="2"/>
        <v>19.23179166666667</v>
      </c>
      <c r="S34" s="38">
        <f t="shared" si="3"/>
        <v>2.3078150000000002</v>
      </c>
      <c r="T34" s="38">
        <f t="shared" si="4"/>
        <v>2.3078150000000002</v>
      </c>
      <c r="U34" s="38"/>
      <c r="V34" s="38">
        <f t="shared" si="5"/>
        <v>51.464274500000009</v>
      </c>
      <c r="W34" s="38">
        <f t="shared" si="7"/>
        <v>603.66827950000015</v>
      </c>
    </row>
    <row r="35" spans="1:23" s="40" customFormat="1" ht="12" x14ac:dyDescent="0.2">
      <c r="A35" s="36">
        <v>32</v>
      </c>
      <c r="B35" s="36" t="s">
        <v>37</v>
      </c>
      <c r="C35" s="36" t="s">
        <v>14</v>
      </c>
      <c r="D35" s="37">
        <v>512.35</v>
      </c>
      <c r="E35" s="37">
        <f t="shared" si="0"/>
        <v>512.35</v>
      </c>
      <c r="F35" s="37"/>
      <c r="G35" s="37">
        <f>98.2*1.3</f>
        <v>127.66000000000001</v>
      </c>
      <c r="H35" s="38">
        <f>128.08*1.3</f>
        <v>166.50400000000002</v>
      </c>
      <c r="I35" s="38">
        <f t="shared" si="6"/>
        <v>806.51400000000001</v>
      </c>
      <c r="J35" s="38"/>
      <c r="K35" s="38"/>
      <c r="L35" s="38"/>
      <c r="M35" s="38"/>
      <c r="N35" s="38"/>
      <c r="O35" s="38"/>
      <c r="P35" s="39">
        <f t="shared" si="1"/>
        <v>67.209500000000006</v>
      </c>
      <c r="Q35" s="39">
        <v>28.33</v>
      </c>
      <c r="R35" s="39">
        <f t="shared" si="2"/>
        <v>33.604750000000003</v>
      </c>
      <c r="S35" s="38">
        <f t="shared" si="3"/>
        <v>4.0325699999999998</v>
      </c>
      <c r="T35" s="38">
        <f t="shared" si="4"/>
        <v>4.0325699999999998</v>
      </c>
      <c r="U35" s="38"/>
      <c r="V35" s="38">
        <f t="shared" si="5"/>
        <v>89.926310999999998</v>
      </c>
      <c r="W35" s="38">
        <f t="shared" si="7"/>
        <v>1033.6497010000001</v>
      </c>
    </row>
    <row r="36" spans="1:23" s="40" customFormat="1" ht="12" x14ac:dyDescent="0.2">
      <c r="A36" s="36">
        <v>33</v>
      </c>
      <c r="B36" s="36" t="s">
        <v>38</v>
      </c>
      <c r="C36" s="36" t="s">
        <v>4</v>
      </c>
      <c r="D36" s="37">
        <v>340</v>
      </c>
      <c r="E36" s="37">
        <f t="shared" si="0"/>
        <v>340</v>
      </c>
      <c r="F36" s="37"/>
      <c r="G36" s="37">
        <f>96.34*1.3</f>
        <v>125.242</v>
      </c>
      <c r="H36" s="38">
        <f>117.11*1.3</f>
        <v>152.24299999999999</v>
      </c>
      <c r="I36" s="38">
        <f t="shared" si="6"/>
        <v>617.48500000000001</v>
      </c>
      <c r="J36" s="38"/>
      <c r="K36" s="38"/>
      <c r="L36" s="38"/>
      <c r="M36" s="38"/>
      <c r="N36" s="38"/>
      <c r="O36" s="38"/>
      <c r="P36" s="39">
        <f t="shared" si="1"/>
        <v>51.457083333333337</v>
      </c>
      <c r="Q36" s="39">
        <v>28.33</v>
      </c>
      <c r="R36" s="39">
        <f t="shared" si="2"/>
        <v>25.728541666666668</v>
      </c>
      <c r="S36" s="38">
        <f t="shared" si="3"/>
        <v>3.0874250000000001</v>
      </c>
      <c r="T36" s="38">
        <f t="shared" si="4"/>
        <v>3.0874250000000001</v>
      </c>
      <c r="U36" s="38"/>
      <c r="V36" s="38">
        <f t="shared" si="5"/>
        <v>68.849577500000009</v>
      </c>
      <c r="W36" s="38">
        <f t="shared" si="7"/>
        <v>798.02505250000013</v>
      </c>
    </row>
    <row r="37" spans="1:23" s="40" customFormat="1" ht="12" x14ac:dyDescent="0.2">
      <c r="A37" s="36">
        <v>34</v>
      </c>
      <c r="B37" s="36" t="s">
        <v>39</v>
      </c>
      <c r="C37" s="36" t="s">
        <v>4</v>
      </c>
      <c r="D37" s="37">
        <v>340</v>
      </c>
      <c r="E37" s="37">
        <f t="shared" si="0"/>
        <v>340</v>
      </c>
      <c r="F37" s="37"/>
      <c r="G37" s="37">
        <f>99.17*1.3</f>
        <v>128.92100000000002</v>
      </c>
      <c r="H37" s="38">
        <f>85.01*1.3</f>
        <v>110.51300000000001</v>
      </c>
      <c r="I37" s="38">
        <f t="shared" si="6"/>
        <v>579.43400000000008</v>
      </c>
      <c r="J37" s="38"/>
      <c r="K37" s="38"/>
      <c r="L37" s="38"/>
      <c r="M37" s="38"/>
      <c r="N37" s="38"/>
      <c r="O37" s="38"/>
      <c r="P37" s="39">
        <f t="shared" si="1"/>
        <v>48.286166666666674</v>
      </c>
      <c r="Q37" s="39">
        <v>28.33</v>
      </c>
      <c r="R37" s="39">
        <f t="shared" si="2"/>
        <v>24.143083333333337</v>
      </c>
      <c r="S37" s="38">
        <f t="shared" si="3"/>
        <v>2.8971700000000005</v>
      </c>
      <c r="T37" s="38">
        <f t="shared" si="4"/>
        <v>2.8971700000000005</v>
      </c>
      <c r="U37" s="38"/>
      <c r="V37" s="38">
        <f t="shared" si="5"/>
        <v>64.606891000000005</v>
      </c>
      <c r="W37" s="38">
        <f t="shared" si="7"/>
        <v>750.59448100000009</v>
      </c>
    </row>
    <row r="38" spans="1:23" s="40" customFormat="1" ht="12" x14ac:dyDescent="0.2">
      <c r="A38" s="36">
        <v>35</v>
      </c>
      <c r="B38" s="36" t="s">
        <v>40</v>
      </c>
      <c r="C38" s="36" t="s">
        <v>4</v>
      </c>
      <c r="D38" s="37">
        <v>340</v>
      </c>
      <c r="E38" s="37">
        <f t="shared" si="0"/>
        <v>340</v>
      </c>
      <c r="F38" s="37"/>
      <c r="G38" s="37">
        <f>31.17*1.3</f>
        <v>40.521000000000001</v>
      </c>
      <c r="H38" s="38">
        <f>59.51*1.3</f>
        <v>77.363</v>
      </c>
      <c r="I38" s="38">
        <f t="shared" si="6"/>
        <v>457.88400000000001</v>
      </c>
      <c r="J38" s="38"/>
      <c r="K38" s="38"/>
      <c r="L38" s="38"/>
      <c r="M38" s="38"/>
      <c r="N38" s="38"/>
      <c r="O38" s="38"/>
      <c r="P38" s="39">
        <f t="shared" si="1"/>
        <v>38.157000000000004</v>
      </c>
      <c r="Q38" s="39">
        <v>28.33</v>
      </c>
      <c r="R38" s="39">
        <f t="shared" si="2"/>
        <v>19.078500000000002</v>
      </c>
      <c r="S38" s="38">
        <f t="shared" si="3"/>
        <v>2.2894200000000002</v>
      </c>
      <c r="T38" s="38">
        <f t="shared" si="4"/>
        <v>2.2894200000000002</v>
      </c>
      <c r="U38" s="38"/>
      <c r="V38" s="38">
        <f t="shared" si="5"/>
        <v>51.054066000000006</v>
      </c>
      <c r="W38" s="38">
        <f t="shared" si="7"/>
        <v>599.08240599999988</v>
      </c>
    </row>
    <row r="39" spans="1:23" s="40" customFormat="1" ht="12" x14ac:dyDescent="0.2">
      <c r="A39" s="36">
        <v>36</v>
      </c>
      <c r="B39" s="36" t="s">
        <v>41</v>
      </c>
      <c r="C39" s="36" t="s">
        <v>4</v>
      </c>
      <c r="D39" s="37">
        <v>340</v>
      </c>
      <c r="E39" s="37">
        <f t="shared" si="0"/>
        <v>340</v>
      </c>
      <c r="F39" s="37"/>
      <c r="G39" s="37">
        <f>22.67*1.3</f>
        <v>29.471000000000004</v>
      </c>
      <c r="H39" s="38">
        <f>31.88*1.3</f>
        <v>41.444000000000003</v>
      </c>
      <c r="I39" s="38">
        <f t="shared" si="6"/>
        <v>410.91500000000002</v>
      </c>
      <c r="J39" s="38"/>
      <c r="K39" s="38"/>
      <c r="L39" s="38"/>
      <c r="M39" s="38"/>
      <c r="N39" s="38"/>
      <c r="O39" s="38"/>
      <c r="P39" s="39">
        <f t="shared" si="1"/>
        <v>34.242916666666666</v>
      </c>
      <c r="Q39" s="39">
        <v>28.33</v>
      </c>
      <c r="R39" s="39">
        <f t="shared" si="2"/>
        <v>17.121458333333333</v>
      </c>
      <c r="S39" s="38">
        <f t="shared" si="3"/>
        <v>2.0545750000000003</v>
      </c>
      <c r="T39" s="38">
        <f t="shared" si="4"/>
        <v>2.0545750000000003</v>
      </c>
      <c r="U39" s="38"/>
      <c r="V39" s="38">
        <f t="shared" si="5"/>
        <v>45.8170225</v>
      </c>
      <c r="W39" s="38">
        <f t="shared" si="7"/>
        <v>540.53554750000001</v>
      </c>
    </row>
    <row r="40" spans="1:23" s="40" customFormat="1" ht="12" x14ac:dyDescent="0.2">
      <c r="A40" s="36">
        <v>37</v>
      </c>
      <c r="B40" s="36" t="s">
        <v>42</v>
      </c>
      <c r="C40" s="36" t="s">
        <v>4</v>
      </c>
      <c r="D40" s="37">
        <v>340</v>
      </c>
      <c r="E40" s="37">
        <f t="shared" si="0"/>
        <v>340</v>
      </c>
      <c r="F40" s="37">
        <f>6.38*1.3</f>
        <v>8.2940000000000005</v>
      </c>
      <c r="G40" s="37"/>
      <c r="H40" s="38"/>
      <c r="I40" s="38">
        <f t="shared" si="6"/>
        <v>348.29399999999998</v>
      </c>
      <c r="J40" s="38"/>
      <c r="K40" s="38"/>
      <c r="L40" s="38"/>
      <c r="M40" s="38"/>
      <c r="N40" s="38"/>
      <c r="O40" s="38"/>
      <c r="P40" s="39">
        <f t="shared" si="1"/>
        <v>29.0245</v>
      </c>
      <c r="Q40" s="39">
        <v>28.33</v>
      </c>
      <c r="R40" s="39">
        <f t="shared" si="2"/>
        <v>14.51225</v>
      </c>
      <c r="S40" s="38">
        <f t="shared" si="3"/>
        <v>1.7414699999999999</v>
      </c>
      <c r="T40" s="38">
        <f t="shared" si="4"/>
        <v>1.7414699999999999</v>
      </c>
      <c r="U40" s="38"/>
      <c r="V40" s="38">
        <f t="shared" si="5"/>
        <v>38.834781</v>
      </c>
      <c r="W40" s="38">
        <f t="shared" si="7"/>
        <v>462.47847099999996</v>
      </c>
    </row>
    <row r="41" spans="1:23" s="40" customFormat="1" ht="12" x14ac:dyDescent="0.2">
      <c r="A41" s="36">
        <v>38</v>
      </c>
      <c r="B41" s="36" t="s">
        <v>43</v>
      </c>
      <c r="C41" s="36" t="s">
        <v>4</v>
      </c>
      <c r="D41" s="37">
        <v>340</v>
      </c>
      <c r="E41" s="37">
        <f t="shared" si="0"/>
        <v>340</v>
      </c>
      <c r="F41" s="37"/>
      <c r="G41" s="37">
        <f>87.84*1.3</f>
        <v>114.19200000000001</v>
      </c>
      <c r="H41" s="38">
        <f>85.01*1.3</f>
        <v>110.51300000000001</v>
      </c>
      <c r="I41" s="38">
        <f t="shared" si="6"/>
        <v>564.70500000000004</v>
      </c>
      <c r="J41" s="38"/>
      <c r="K41" s="38"/>
      <c r="L41" s="38"/>
      <c r="M41" s="38"/>
      <c r="N41" s="38"/>
      <c r="O41" s="38"/>
      <c r="P41" s="39">
        <f t="shared" si="1"/>
        <v>47.058750000000003</v>
      </c>
      <c r="Q41" s="39">
        <v>28.33</v>
      </c>
      <c r="R41" s="39">
        <f>(I41)/24</f>
        <v>23.529375000000002</v>
      </c>
      <c r="S41" s="38">
        <f t="shared" si="3"/>
        <v>2.8235250000000001</v>
      </c>
      <c r="T41" s="38">
        <f t="shared" si="4"/>
        <v>2.8235250000000001</v>
      </c>
      <c r="U41" s="38"/>
      <c r="V41" s="38">
        <f t="shared" si="5"/>
        <v>62.964607500000007</v>
      </c>
      <c r="W41" s="38">
        <f t="shared" si="7"/>
        <v>732.23478250000016</v>
      </c>
    </row>
    <row r="42" spans="1:23" s="40" customFormat="1" ht="12" x14ac:dyDescent="0.2">
      <c r="A42" s="36">
        <v>39</v>
      </c>
      <c r="B42" s="36" t="s">
        <v>44</v>
      </c>
      <c r="C42" s="36" t="s">
        <v>4</v>
      </c>
      <c r="D42" s="37">
        <v>340</v>
      </c>
      <c r="E42" s="37">
        <f t="shared" si="0"/>
        <v>340</v>
      </c>
      <c r="F42" s="37"/>
      <c r="G42" s="37">
        <f>226.67*1.3</f>
        <v>294.67099999999999</v>
      </c>
      <c r="H42" s="38"/>
      <c r="I42" s="38">
        <f t="shared" si="6"/>
        <v>634.67100000000005</v>
      </c>
      <c r="J42" s="38"/>
      <c r="K42" s="38"/>
      <c r="L42" s="38"/>
      <c r="M42" s="38"/>
      <c r="N42" s="38"/>
      <c r="O42" s="38"/>
      <c r="P42" s="39">
        <f t="shared" si="1"/>
        <v>52.889250000000004</v>
      </c>
      <c r="Q42" s="39">
        <v>28.33</v>
      </c>
      <c r="R42" s="39">
        <f t="shared" si="2"/>
        <v>26.444625000000002</v>
      </c>
      <c r="S42" s="38">
        <f t="shared" si="3"/>
        <v>3.1733550000000004</v>
      </c>
      <c r="T42" s="38">
        <f t="shared" si="4"/>
        <v>3.1733550000000004</v>
      </c>
      <c r="U42" s="38"/>
      <c r="V42" s="38">
        <f t="shared" si="5"/>
        <v>70.7658165</v>
      </c>
      <c r="W42" s="38">
        <f t="shared" si="7"/>
        <v>819.44740150000007</v>
      </c>
    </row>
    <row r="43" spans="1:23" s="40" customFormat="1" ht="12" x14ac:dyDescent="0.2">
      <c r="A43" s="36">
        <v>40</v>
      </c>
      <c r="B43" s="36" t="s">
        <v>45</v>
      </c>
      <c r="C43" s="36" t="s">
        <v>4</v>
      </c>
      <c r="D43" s="37">
        <v>340</v>
      </c>
      <c r="E43" s="37">
        <f t="shared" si="0"/>
        <v>340</v>
      </c>
      <c r="F43" s="37"/>
      <c r="G43" s="37">
        <f>116.17*1.3</f>
        <v>151.02100000000002</v>
      </c>
      <c r="H43" s="38">
        <f>85.01*1.3</f>
        <v>110.51300000000001</v>
      </c>
      <c r="I43" s="38">
        <f t="shared" si="6"/>
        <v>601.53399999999999</v>
      </c>
      <c r="J43" s="38"/>
      <c r="K43" s="38"/>
      <c r="L43" s="38"/>
      <c r="M43" s="38"/>
      <c r="N43" s="38"/>
      <c r="O43" s="38"/>
      <c r="P43" s="39">
        <f t="shared" si="1"/>
        <v>50.127833333333335</v>
      </c>
      <c r="Q43" s="39">
        <v>28.33</v>
      </c>
      <c r="R43" s="39">
        <f t="shared" si="2"/>
        <v>25.063916666666668</v>
      </c>
      <c r="S43" s="38">
        <f t="shared" si="3"/>
        <v>3.0076700000000001</v>
      </c>
      <c r="T43" s="38">
        <f t="shared" si="4"/>
        <v>3.0076700000000001</v>
      </c>
      <c r="U43" s="38"/>
      <c r="V43" s="38">
        <f t="shared" si="5"/>
        <v>67.071040999999994</v>
      </c>
      <c r="W43" s="38">
        <f t="shared" si="7"/>
        <v>778.14213099999995</v>
      </c>
    </row>
    <row r="44" spans="1:23" s="40" customFormat="1" ht="12" x14ac:dyDescent="0.2">
      <c r="A44" s="36">
        <v>41</v>
      </c>
      <c r="B44" s="36" t="s">
        <v>46</v>
      </c>
      <c r="C44" s="36" t="s">
        <v>4</v>
      </c>
      <c r="D44" s="37">
        <v>340</v>
      </c>
      <c r="E44" s="37">
        <f t="shared" si="0"/>
        <v>340</v>
      </c>
      <c r="F44" s="37">
        <f>2.13*1.3</f>
        <v>2.7690000000000001</v>
      </c>
      <c r="G44" s="37">
        <f>22.67*1.3</f>
        <v>29.471000000000004</v>
      </c>
      <c r="H44" s="38"/>
      <c r="I44" s="38">
        <f>E44+F44+G44+H44</f>
        <v>372.24</v>
      </c>
      <c r="J44" s="38"/>
      <c r="K44" s="38"/>
      <c r="L44" s="38"/>
      <c r="M44" s="38"/>
      <c r="N44" s="38"/>
      <c r="O44" s="38"/>
      <c r="P44" s="39">
        <f t="shared" si="1"/>
        <v>31.02</v>
      </c>
      <c r="Q44" s="39">
        <v>28.33</v>
      </c>
      <c r="R44" s="39">
        <f t="shared" si="2"/>
        <v>15.51</v>
      </c>
      <c r="S44" s="38">
        <f t="shared" si="3"/>
        <v>1.8612000000000002</v>
      </c>
      <c r="T44" s="38">
        <f t="shared" si="4"/>
        <v>1.8612000000000002</v>
      </c>
      <c r="U44" s="38"/>
      <c r="V44" s="38">
        <f t="shared" si="5"/>
        <v>41.504760000000005</v>
      </c>
      <c r="W44" s="38">
        <f t="shared" si="7"/>
        <v>492.32715999999994</v>
      </c>
    </row>
    <row r="45" spans="1:23" s="40" customFormat="1" ht="12" x14ac:dyDescent="0.2">
      <c r="A45" s="36">
        <v>42</v>
      </c>
      <c r="B45" s="36" t="s">
        <v>47</v>
      </c>
      <c r="C45" s="36" t="s">
        <v>4</v>
      </c>
      <c r="D45" s="37">
        <v>340</v>
      </c>
      <c r="E45" s="37">
        <f t="shared" si="0"/>
        <v>340</v>
      </c>
      <c r="F45" s="37"/>
      <c r="G45" s="37">
        <f>158.67*1.3</f>
        <v>206.27099999999999</v>
      </c>
      <c r="H45" s="38"/>
      <c r="I45" s="38">
        <f t="shared" si="6"/>
        <v>546.27099999999996</v>
      </c>
      <c r="J45" s="38"/>
      <c r="K45" s="38"/>
      <c r="L45" s="38"/>
      <c r="M45" s="38"/>
      <c r="N45" s="38"/>
      <c r="O45" s="38"/>
      <c r="P45" s="39">
        <f t="shared" si="1"/>
        <v>45.52258333333333</v>
      </c>
      <c r="Q45" s="39">
        <v>28.33</v>
      </c>
      <c r="R45" s="39">
        <f t="shared" si="2"/>
        <v>22.761291666666665</v>
      </c>
      <c r="S45" s="38">
        <f t="shared" si="3"/>
        <v>2.7313549999999998</v>
      </c>
      <c r="T45" s="38">
        <f t="shared" si="4"/>
        <v>2.7313549999999998</v>
      </c>
      <c r="U45" s="38"/>
      <c r="V45" s="38">
        <f t="shared" si="5"/>
        <v>60.909216499999999</v>
      </c>
      <c r="W45" s="38">
        <f t="shared" si="7"/>
        <v>709.25680150000005</v>
      </c>
    </row>
    <row r="46" spans="1:23" s="40" customFormat="1" ht="12" x14ac:dyDescent="0.2">
      <c r="A46" s="36">
        <v>43</v>
      </c>
      <c r="B46" s="36" t="s">
        <v>48</v>
      </c>
      <c r="C46" s="36" t="s">
        <v>14</v>
      </c>
      <c r="D46" s="37">
        <v>512.35</v>
      </c>
      <c r="E46" s="37">
        <f t="shared" si="0"/>
        <v>512.35</v>
      </c>
      <c r="F46" s="37"/>
      <c r="G46" s="37">
        <f>51.24*1.3</f>
        <v>66.612000000000009</v>
      </c>
      <c r="H46" s="38">
        <f>128.08*1.3</f>
        <v>166.50400000000002</v>
      </c>
      <c r="I46" s="38">
        <f t="shared" si="6"/>
        <v>745.46600000000001</v>
      </c>
      <c r="J46" s="38"/>
      <c r="K46" s="38"/>
      <c r="L46" s="38"/>
      <c r="M46" s="38"/>
      <c r="N46" s="38"/>
      <c r="O46" s="38"/>
      <c r="P46" s="39">
        <f t="shared" si="1"/>
        <v>62.122166666666665</v>
      </c>
      <c r="Q46" s="39">
        <v>28.33</v>
      </c>
      <c r="R46" s="39">
        <f t="shared" si="2"/>
        <v>31.061083333333332</v>
      </c>
      <c r="S46" s="38">
        <f t="shared" si="3"/>
        <v>3.7273300000000003</v>
      </c>
      <c r="T46" s="38">
        <f t="shared" si="4"/>
        <v>3.7273300000000003</v>
      </c>
      <c r="U46" s="38"/>
      <c r="V46" s="38">
        <f t="shared" si="5"/>
        <v>83.119459000000006</v>
      </c>
      <c r="W46" s="38">
        <f t="shared" si="7"/>
        <v>957.5533690000002</v>
      </c>
    </row>
    <row r="47" spans="1:23" s="40" customFormat="1" ht="12" x14ac:dyDescent="0.2">
      <c r="A47" s="36">
        <v>44</v>
      </c>
      <c r="B47" s="36" t="s">
        <v>49</v>
      </c>
      <c r="C47" s="36" t="s">
        <v>4</v>
      </c>
      <c r="D47" s="37">
        <v>340</v>
      </c>
      <c r="E47" s="37">
        <f t="shared" si="0"/>
        <v>340</v>
      </c>
      <c r="F47" s="37"/>
      <c r="G47" s="37">
        <f>235.17*1.3</f>
        <v>305.721</v>
      </c>
      <c r="H47" s="38">
        <f>85.01*1.3</f>
        <v>110.51300000000001</v>
      </c>
      <c r="I47" s="38">
        <f t="shared" si="6"/>
        <v>756.23400000000004</v>
      </c>
      <c r="J47" s="38"/>
      <c r="K47" s="38"/>
      <c r="L47" s="38"/>
      <c r="M47" s="38"/>
      <c r="N47" s="38"/>
      <c r="O47" s="38"/>
      <c r="P47" s="39">
        <f t="shared" si="1"/>
        <v>63.019500000000001</v>
      </c>
      <c r="Q47" s="39">
        <v>28.33</v>
      </c>
      <c r="R47" s="39">
        <f t="shared" si="2"/>
        <v>31.50975</v>
      </c>
      <c r="S47" s="38">
        <f t="shared" si="3"/>
        <v>3.7811700000000004</v>
      </c>
      <c r="T47" s="38">
        <f t="shared" si="4"/>
        <v>3.7811700000000004</v>
      </c>
      <c r="U47" s="38"/>
      <c r="V47" s="38">
        <f t="shared" si="5"/>
        <v>84.320091000000005</v>
      </c>
      <c r="W47" s="38">
        <f t="shared" si="7"/>
        <v>970.97568100000012</v>
      </c>
    </row>
    <row r="48" spans="1:23" s="40" customFormat="1" ht="12" x14ac:dyDescent="0.2">
      <c r="A48" s="36">
        <v>45</v>
      </c>
      <c r="B48" s="36" t="s">
        <v>50</v>
      </c>
      <c r="C48" s="36" t="s">
        <v>4</v>
      </c>
      <c r="D48" s="37">
        <v>340</v>
      </c>
      <c r="E48" s="37">
        <f t="shared" si="0"/>
        <v>340</v>
      </c>
      <c r="F48" s="37"/>
      <c r="G48" s="37">
        <f>90.67*1.3</f>
        <v>117.87100000000001</v>
      </c>
      <c r="H48" s="38">
        <f>44.59*1.3</f>
        <v>57.967000000000006</v>
      </c>
      <c r="I48" s="38">
        <f t="shared" si="6"/>
        <v>515.83799999999997</v>
      </c>
      <c r="J48" s="38"/>
      <c r="K48" s="38"/>
      <c r="L48" s="38"/>
      <c r="M48" s="38"/>
      <c r="N48" s="38"/>
      <c r="O48" s="38"/>
      <c r="P48" s="39">
        <f t="shared" si="1"/>
        <v>42.986499999999999</v>
      </c>
      <c r="Q48" s="39">
        <v>28.33</v>
      </c>
      <c r="R48" s="39">
        <f t="shared" si="2"/>
        <v>21.49325</v>
      </c>
      <c r="S48" s="38">
        <f t="shared" si="3"/>
        <v>2.5791900000000001</v>
      </c>
      <c r="T48" s="38">
        <f t="shared" si="4"/>
        <v>2.5791900000000001</v>
      </c>
      <c r="U48" s="38"/>
      <c r="V48" s="38">
        <f t="shared" si="5"/>
        <v>57.515936999999994</v>
      </c>
      <c r="W48" s="38">
        <f t="shared" si="7"/>
        <v>671.32206700000006</v>
      </c>
    </row>
    <row r="49" spans="1:23" s="40" customFormat="1" ht="12" x14ac:dyDescent="0.2">
      <c r="A49" s="36">
        <v>46</v>
      </c>
      <c r="B49" s="36" t="s">
        <v>51</v>
      </c>
      <c r="C49" s="36" t="s">
        <v>4</v>
      </c>
      <c r="D49" s="37">
        <v>340</v>
      </c>
      <c r="E49" s="37">
        <f t="shared" si="0"/>
        <v>340</v>
      </c>
      <c r="F49" s="37">
        <f>6.38*1.3</f>
        <v>8.2940000000000005</v>
      </c>
      <c r="G49" s="37">
        <f>85*1.3</f>
        <v>110.5</v>
      </c>
      <c r="H49" s="38">
        <f>44.59*1.3</f>
        <v>57.967000000000006</v>
      </c>
      <c r="I49" s="38">
        <f t="shared" si="6"/>
        <v>516.76099999999997</v>
      </c>
      <c r="J49" s="38"/>
      <c r="K49" s="38"/>
      <c r="L49" s="38"/>
      <c r="M49" s="38"/>
      <c r="N49" s="38"/>
      <c r="O49" s="38"/>
      <c r="P49" s="39">
        <f t="shared" si="1"/>
        <v>43.063416666666662</v>
      </c>
      <c r="Q49" s="39">
        <v>28.33</v>
      </c>
      <c r="R49" s="39">
        <f t="shared" si="2"/>
        <v>21.531708333333331</v>
      </c>
      <c r="S49" s="38">
        <f t="shared" si="3"/>
        <v>2.5838049999999999</v>
      </c>
      <c r="T49" s="38">
        <f t="shared" si="4"/>
        <v>2.5838049999999999</v>
      </c>
      <c r="U49" s="38"/>
      <c r="V49" s="38">
        <f t="shared" si="5"/>
        <v>57.618851499999998</v>
      </c>
      <c r="W49" s="38">
        <f t="shared" si="7"/>
        <v>672.47258649999992</v>
      </c>
    </row>
    <row r="50" spans="1:23" s="40" customFormat="1" ht="12" x14ac:dyDescent="0.2">
      <c r="A50" s="36">
        <v>47</v>
      </c>
      <c r="B50" s="36" t="s">
        <v>52</v>
      </c>
      <c r="C50" s="36" t="s">
        <v>4</v>
      </c>
      <c r="D50" s="37">
        <v>340</v>
      </c>
      <c r="E50" s="37">
        <f t="shared" si="0"/>
        <v>340</v>
      </c>
      <c r="F50" s="37"/>
      <c r="G50" s="37">
        <f>90.67*1.3</f>
        <v>117.87100000000001</v>
      </c>
      <c r="H50" s="38">
        <f>44.59*1.3</f>
        <v>57.967000000000006</v>
      </c>
      <c r="I50" s="38">
        <f t="shared" si="6"/>
        <v>515.83799999999997</v>
      </c>
      <c r="J50" s="38"/>
      <c r="K50" s="38"/>
      <c r="L50" s="38"/>
      <c r="M50" s="38"/>
      <c r="N50" s="38"/>
      <c r="O50" s="38"/>
      <c r="P50" s="39">
        <f t="shared" si="1"/>
        <v>42.986499999999999</v>
      </c>
      <c r="Q50" s="39">
        <v>28.33</v>
      </c>
      <c r="R50" s="39">
        <f t="shared" si="2"/>
        <v>21.49325</v>
      </c>
      <c r="S50" s="38">
        <f t="shared" si="3"/>
        <v>2.5791900000000001</v>
      </c>
      <c r="T50" s="38">
        <f t="shared" si="4"/>
        <v>2.5791900000000001</v>
      </c>
      <c r="U50" s="38"/>
      <c r="V50" s="38">
        <f t="shared" si="5"/>
        <v>57.515936999999994</v>
      </c>
      <c r="W50" s="38">
        <f t="shared" si="7"/>
        <v>671.32206700000006</v>
      </c>
    </row>
    <row r="51" spans="1:23" s="40" customFormat="1" ht="12" x14ac:dyDescent="0.2">
      <c r="A51" s="36">
        <v>48</v>
      </c>
      <c r="B51" s="36" t="s">
        <v>53</v>
      </c>
      <c r="C51" s="36" t="s">
        <v>4</v>
      </c>
      <c r="D51" s="37">
        <v>340</v>
      </c>
      <c r="E51" s="37">
        <f t="shared" si="0"/>
        <v>340</v>
      </c>
      <c r="F51" s="37">
        <f>19.13*1.3</f>
        <v>24.869</v>
      </c>
      <c r="G51" s="37">
        <f>113.34*1.3</f>
        <v>147.34200000000001</v>
      </c>
      <c r="H51" s="38">
        <f>44.59*1.3</f>
        <v>57.967000000000006</v>
      </c>
      <c r="I51" s="38">
        <f t="shared" si="6"/>
        <v>570.178</v>
      </c>
      <c r="J51" s="38"/>
      <c r="K51" s="38"/>
      <c r="L51" s="38"/>
      <c r="M51" s="38"/>
      <c r="N51" s="38"/>
      <c r="O51" s="38"/>
      <c r="P51" s="39">
        <f t="shared" si="1"/>
        <v>47.514833333333335</v>
      </c>
      <c r="Q51" s="39">
        <v>28.33</v>
      </c>
      <c r="R51" s="39">
        <f t="shared" si="2"/>
        <v>23.757416666666668</v>
      </c>
      <c r="S51" s="38">
        <f t="shared" si="3"/>
        <v>2.8508900000000001</v>
      </c>
      <c r="T51" s="38">
        <f t="shared" si="4"/>
        <v>2.8508900000000001</v>
      </c>
      <c r="U51" s="38"/>
      <c r="V51" s="38">
        <f t="shared" si="5"/>
        <v>63.574846999999998</v>
      </c>
      <c r="W51" s="38">
        <f t="shared" si="7"/>
        <v>739.0568770000001</v>
      </c>
    </row>
    <row r="52" spans="1:23" s="40" customFormat="1" ht="12" x14ac:dyDescent="0.2">
      <c r="A52" s="36"/>
      <c r="B52" s="41" t="s">
        <v>2</v>
      </c>
      <c r="C52" s="41"/>
      <c r="D52" s="52">
        <f t="shared" ref="D52:I52" si="8">SUM(D4:D51)</f>
        <v>17087.050000000003</v>
      </c>
      <c r="E52" s="52">
        <f t="shared" si="8"/>
        <v>17087.050000000003</v>
      </c>
      <c r="F52" s="42">
        <f t="shared" si="8"/>
        <v>298.54499999999996</v>
      </c>
      <c r="G52" s="42">
        <f t="shared" si="8"/>
        <v>5974.3709999999983</v>
      </c>
      <c r="H52" s="52">
        <f>SUM(H4:H51)</f>
        <v>2840.8379999999997</v>
      </c>
      <c r="I52" s="52">
        <f t="shared" si="8"/>
        <v>26200.804</v>
      </c>
      <c r="J52" s="53"/>
      <c r="K52" s="53"/>
      <c r="L52" s="53"/>
      <c r="M52" s="53"/>
      <c r="N52" s="53"/>
      <c r="O52" s="53"/>
      <c r="P52" s="53">
        <f>SUM(P4:P51)</f>
        <v>2183.4003333333335</v>
      </c>
      <c r="Q52" s="53">
        <f>SUM(Q4:Q51)</f>
        <v>1359.8399999999997</v>
      </c>
      <c r="R52" s="53">
        <f>SUM(R4:R51)</f>
        <v>1091.7001666666667</v>
      </c>
      <c r="S52" s="53">
        <f>SUM(S4:S51)</f>
        <v>131.00402000000003</v>
      </c>
      <c r="T52" s="53">
        <f>SUM(T4:T51)</f>
        <v>131.00402000000003</v>
      </c>
      <c r="U52" s="53"/>
      <c r="V52" s="53">
        <f>SUM(V4:V51)</f>
        <v>2921.3896460000001</v>
      </c>
      <c r="W52" s="53">
        <f>SUM(W4:W51)</f>
        <v>34019.142186000005</v>
      </c>
    </row>
    <row r="53" spans="1:23" s="40" customFormat="1" ht="12" x14ac:dyDescent="0.2">
      <c r="A53" s="58"/>
      <c r="B53" s="59"/>
      <c r="C53" s="59"/>
      <c r="D53" s="60"/>
      <c r="E53" s="60"/>
      <c r="F53" s="61"/>
      <c r="G53" s="61"/>
      <c r="H53" s="60"/>
      <c r="I53" s="60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</row>
    <row r="54" spans="1:23" s="40" customFormat="1" ht="17.25" x14ac:dyDescent="0.3">
      <c r="A54" s="58"/>
      <c r="B54" s="77" t="s">
        <v>266</v>
      </c>
      <c r="C54" s="59"/>
      <c r="D54" s="60"/>
      <c r="E54" s="60"/>
      <c r="F54" s="61"/>
      <c r="G54" s="61"/>
      <c r="H54" s="60"/>
      <c r="I54" s="60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</row>
    <row r="55" spans="1:23" s="40" customFormat="1" ht="12" x14ac:dyDescent="0.2">
      <c r="A55" s="58"/>
      <c r="B55" s="59"/>
      <c r="C55" s="59"/>
      <c r="D55" s="60"/>
      <c r="E55" s="60"/>
      <c r="F55" s="61"/>
      <c r="G55" s="61"/>
      <c r="H55" s="60"/>
      <c r="I55" s="60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</row>
    <row r="56" spans="1:23" s="40" customFormat="1" ht="12" x14ac:dyDescent="0.2">
      <c r="A56" s="58"/>
      <c r="B56" s="59"/>
      <c r="C56" s="59"/>
      <c r="D56" s="60"/>
      <c r="E56" s="60"/>
      <c r="F56" s="61"/>
      <c r="G56" s="61"/>
      <c r="H56" s="60"/>
      <c r="I56" s="60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</row>
    <row r="57" spans="1:23" s="40" customFormat="1" ht="12.75" thickBot="1" x14ac:dyDescent="0.25">
      <c r="A57" s="58"/>
      <c r="B57" s="64"/>
      <c r="C57" s="64"/>
      <c r="D57" s="60"/>
      <c r="E57" s="60"/>
      <c r="F57" s="61"/>
      <c r="G57" s="61"/>
      <c r="H57" s="60"/>
      <c r="I57" s="60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</row>
    <row r="58" spans="1:23" s="40" customFormat="1" ht="18" customHeight="1" x14ac:dyDescent="0.2">
      <c r="A58" s="58"/>
      <c r="B58" s="63" t="s">
        <v>245</v>
      </c>
      <c r="C58" s="59"/>
      <c r="D58" s="60"/>
      <c r="E58" s="60"/>
      <c r="F58" s="61"/>
      <c r="G58" s="61"/>
      <c r="H58" s="60"/>
      <c r="I58" s="60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</row>
    <row r="59" spans="1:23" s="40" customFormat="1" ht="12.75" x14ac:dyDescent="0.2">
      <c r="A59" s="58"/>
      <c r="B59" s="63" t="s">
        <v>246</v>
      </c>
      <c r="C59" s="59"/>
      <c r="D59" s="60"/>
      <c r="E59" s="60"/>
      <c r="F59" s="61"/>
      <c r="G59" s="61"/>
      <c r="H59" s="60"/>
      <c r="I59" s="60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</row>
    <row r="60" spans="1:23" s="40" customFormat="1" ht="12" x14ac:dyDescent="0.2">
      <c r="A60" s="58"/>
      <c r="B60" s="59"/>
      <c r="C60" s="59"/>
      <c r="D60" s="60"/>
      <c r="E60" s="60"/>
      <c r="F60" s="61"/>
      <c r="G60" s="61"/>
      <c r="H60" s="60"/>
      <c r="I60" s="60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</row>
    <row r="61" spans="1:23" s="40" customFormat="1" ht="12" x14ac:dyDescent="0.2">
      <c r="A61" s="58"/>
      <c r="B61" s="59"/>
      <c r="C61" s="59"/>
      <c r="D61" s="60"/>
      <c r="E61" s="60"/>
      <c r="F61" s="61"/>
      <c r="G61" s="61"/>
      <c r="H61" s="60"/>
      <c r="I61" s="60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</row>
    <row r="62" spans="1:23" ht="21.75" thickBot="1" x14ac:dyDescent="0.4">
      <c r="A62" s="82" t="s">
        <v>227</v>
      </c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</row>
    <row r="63" spans="1:23" s="32" customFormat="1" ht="45" customHeight="1" x14ac:dyDescent="0.2">
      <c r="A63" s="101" t="s">
        <v>226</v>
      </c>
      <c r="B63" s="89" t="s">
        <v>244</v>
      </c>
      <c r="C63" s="91" t="s">
        <v>1</v>
      </c>
      <c r="D63" s="93" t="s">
        <v>254</v>
      </c>
      <c r="E63" s="87" t="s">
        <v>234</v>
      </c>
      <c r="F63" s="87" t="s">
        <v>241</v>
      </c>
      <c r="G63" s="87" t="s">
        <v>207</v>
      </c>
      <c r="H63" s="99" t="s">
        <v>261</v>
      </c>
      <c r="I63" s="91" t="s">
        <v>198</v>
      </c>
      <c r="J63" s="85" t="s">
        <v>206</v>
      </c>
      <c r="K63" s="85" t="s">
        <v>233</v>
      </c>
      <c r="L63" s="85" t="s">
        <v>236</v>
      </c>
      <c r="M63" s="85" t="s">
        <v>235</v>
      </c>
      <c r="N63" s="85" t="s">
        <v>199</v>
      </c>
      <c r="O63" s="83" t="s">
        <v>205</v>
      </c>
      <c r="P63" s="83" t="s">
        <v>252</v>
      </c>
      <c r="Q63" s="29" t="s">
        <v>253</v>
      </c>
      <c r="R63" s="103" t="s">
        <v>200</v>
      </c>
      <c r="S63" s="83" t="s">
        <v>201</v>
      </c>
      <c r="T63" s="95" t="s">
        <v>202</v>
      </c>
      <c r="U63" s="30" t="s">
        <v>203</v>
      </c>
      <c r="V63" s="31" t="s">
        <v>204</v>
      </c>
      <c r="W63" s="95" t="s">
        <v>248</v>
      </c>
    </row>
    <row r="64" spans="1:23" s="32" customFormat="1" ht="45" customHeight="1" thickBot="1" x14ac:dyDescent="0.25">
      <c r="A64" s="102"/>
      <c r="B64" s="90"/>
      <c r="C64" s="92"/>
      <c r="D64" s="94"/>
      <c r="E64" s="88"/>
      <c r="F64" s="88"/>
      <c r="G64" s="88"/>
      <c r="H64" s="100"/>
      <c r="I64" s="92"/>
      <c r="J64" s="86"/>
      <c r="K64" s="86"/>
      <c r="L64" s="86"/>
      <c r="M64" s="86"/>
      <c r="N64" s="86"/>
      <c r="O64" s="84"/>
      <c r="P64" s="84"/>
      <c r="Q64" s="33">
        <f>340/12</f>
        <v>28.333333333333332</v>
      </c>
      <c r="R64" s="104"/>
      <c r="S64" s="84"/>
      <c r="T64" s="96"/>
      <c r="U64" s="34">
        <v>8.3299999999999999E-2</v>
      </c>
      <c r="V64" s="35">
        <v>0.1115</v>
      </c>
      <c r="W64" s="96"/>
    </row>
    <row r="65" spans="1:23" s="40" customFormat="1" ht="12" x14ac:dyDescent="0.2">
      <c r="A65" s="36">
        <f>A51+1</f>
        <v>49</v>
      </c>
      <c r="B65" s="36" t="s">
        <v>54</v>
      </c>
      <c r="C65" s="36" t="s">
        <v>4</v>
      </c>
      <c r="D65" s="54">
        <v>340</v>
      </c>
      <c r="E65" s="54">
        <f>D65*1.3</f>
        <v>442</v>
      </c>
      <c r="F65" s="54"/>
      <c r="G65" s="54">
        <f>110.5*1.3</f>
        <v>143.65</v>
      </c>
      <c r="H65" s="44">
        <f>31.88*1.3</f>
        <v>41.444000000000003</v>
      </c>
      <c r="I65" s="44">
        <f>E65+F65+G65+H65</f>
        <v>627.09399999999994</v>
      </c>
      <c r="J65" s="44">
        <f>(340*1/100)*2</f>
        <v>6.8</v>
      </c>
      <c r="K65" s="44">
        <f>(I65*0.25%)*3</f>
        <v>4.7032049999999996</v>
      </c>
      <c r="L65" s="44">
        <f>0.5*25</f>
        <v>12.5</v>
      </c>
      <c r="M65" s="44">
        <f>4*25</f>
        <v>100</v>
      </c>
      <c r="N65" s="44">
        <v>4</v>
      </c>
      <c r="O65" s="44">
        <f>169/12</f>
        <v>14.083333333333334</v>
      </c>
      <c r="P65" s="45">
        <f>(I65+J65+K65)/12</f>
        <v>53.216433749999993</v>
      </c>
      <c r="Q65" s="45">
        <v>28.33</v>
      </c>
      <c r="R65" s="45">
        <f>(I65+J65+K65)/24</f>
        <v>26.608216874999997</v>
      </c>
      <c r="S65" s="44">
        <f>(I65)*0.005</f>
        <v>3.1354699999999998</v>
      </c>
      <c r="T65" s="44">
        <f>(I65)*0.005</f>
        <v>3.1354699999999998</v>
      </c>
      <c r="U65" s="44">
        <f>(I65)/12</f>
        <v>52.25783333333333</v>
      </c>
      <c r="V65" s="44">
        <f>(I65)*0.1115</f>
        <v>69.920980999999998</v>
      </c>
      <c r="W65" s="44">
        <f>I65+J65+K65+L65+M65+N65+O65+P65+Q65+R65+S65+T65+U65+V65</f>
        <v>1005.7849432916668</v>
      </c>
    </row>
    <row r="66" spans="1:23" s="40" customFormat="1" ht="12" x14ac:dyDescent="0.2">
      <c r="A66" s="36">
        <f>A65+1</f>
        <v>50</v>
      </c>
      <c r="B66" s="36" t="s">
        <v>55</v>
      </c>
      <c r="C66" s="36" t="s">
        <v>4</v>
      </c>
      <c r="D66" s="54">
        <v>340</v>
      </c>
      <c r="E66" s="54">
        <f t="shared" ref="E66:E86" si="9">D66*1.3</f>
        <v>442</v>
      </c>
      <c r="F66" s="54"/>
      <c r="G66" s="54">
        <f>204*1.3</f>
        <v>265.2</v>
      </c>
      <c r="H66" s="44">
        <f>85.01*1.3</f>
        <v>110.51300000000001</v>
      </c>
      <c r="I66" s="44">
        <f>E66+F66+G66+H66</f>
        <v>817.71300000000008</v>
      </c>
      <c r="J66" s="44">
        <f t="shared" ref="J66:J86" si="10">(340*1/100)*2</f>
        <v>6.8</v>
      </c>
      <c r="K66" s="44">
        <f t="shared" ref="K66:K84" si="11">(I66*0.25%)*3</f>
        <v>6.1328475000000013</v>
      </c>
      <c r="L66" s="44">
        <f t="shared" ref="L66:L86" si="12">0.5*25</f>
        <v>12.5</v>
      </c>
      <c r="M66" s="44">
        <f t="shared" ref="M66:M86" si="13">4*25</f>
        <v>100</v>
      </c>
      <c r="N66" s="44">
        <v>4</v>
      </c>
      <c r="O66" s="44">
        <f t="shared" ref="O66:O86" si="14">169/12</f>
        <v>14.083333333333334</v>
      </c>
      <c r="P66" s="45">
        <f t="shared" ref="P66:P84" si="15">(I66+J66+K66)/12</f>
        <v>69.220487291666672</v>
      </c>
      <c r="Q66" s="45">
        <v>28.33</v>
      </c>
      <c r="R66" s="45">
        <f t="shared" ref="R66:R84" si="16">(I66+J66+K66)/24</f>
        <v>34.610243645833336</v>
      </c>
      <c r="S66" s="44">
        <f t="shared" ref="S66:S84" si="17">(I66)*0.005</f>
        <v>4.0885650000000009</v>
      </c>
      <c r="T66" s="44">
        <f t="shared" ref="T66:T84" si="18">(I66)*0.005</f>
        <v>4.0885650000000009</v>
      </c>
      <c r="U66" s="44">
        <f t="shared" ref="U66:U84" si="19">(I66)/12</f>
        <v>68.142750000000007</v>
      </c>
      <c r="V66" s="44">
        <f t="shared" ref="V66:V84" si="20">(I66)*0.1115</f>
        <v>91.174999500000013</v>
      </c>
      <c r="W66" s="44">
        <f t="shared" ref="W66:W86" si="21">I66+J66+K66+L66+M66+N66+O66+P66+Q66+R66+S66+T66+U66+V66</f>
        <v>1260.8847912708334</v>
      </c>
    </row>
    <row r="67" spans="1:23" s="40" customFormat="1" ht="12" x14ac:dyDescent="0.2">
      <c r="A67" s="36">
        <f t="shared" ref="A67:A86" si="22">A66+1</f>
        <v>51</v>
      </c>
      <c r="B67" s="36" t="s">
        <v>56</v>
      </c>
      <c r="C67" s="36" t="s">
        <v>9</v>
      </c>
      <c r="D67" s="54">
        <v>590</v>
      </c>
      <c r="E67" s="54">
        <v>590</v>
      </c>
      <c r="F67" s="54"/>
      <c r="G67" s="54"/>
      <c r="H67" s="44"/>
      <c r="I67" s="44">
        <f t="shared" ref="I67:I86" si="23">E67+F67+G67+H67</f>
        <v>590</v>
      </c>
      <c r="J67" s="44">
        <f t="shared" si="10"/>
        <v>6.8</v>
      </c>
      <c r="K67" s="44">
        <f t="shared" si="11"/>
        <v>4.4250000000000007</v>
      </c>
      <c r="L67" s="44">
        <f t="shared" si="12"/>
        <v>12.5</v>
      </c>
      <c r="M67" s="44">
        <f t="shared" si="13"/>
        <v>100</v>
      </c>
      <c r="N67" s="44">
        <v>4</v>
      </c>
      <c r="O67" s="44">
        <f t="shared" si="14"/>
        <v>14.083333333333334</v>
      </c>
      <c r="P67" s="45">
        <f t="shared" si="15"/>
        <v>50.102083333333326</v>
      </c>
      <c r="Q67" s="45">
        <v>28.33</v>
      </c>
      <c r="R67" s="45">
        <f t="shared" si="16"/>
        <v>25.051041666666663</v>
      </c>
      <c r="S67" s="44">
        <f t="shared" si="17"/>
        <v>2.95</v>
      </c>
      <c r="T67" s="44">
        <f t="shared" si="18"/>
        <v>2.95</v>
      </c>
      <c r="U67" s="44">
        <f t="shared" si="19"/>
        <v>49.166666666666664</v>
      </c>
      <c r="V67" s="44">
        <f t="shared" si="20"/>
        <v>65.784999999999997</v>
      </c>
      <c r="W67" s="44">
        <f t="shared" si="21"/>
        <v>956.14312500000005</v>
      </c>
    </row>
    <row r="68" spans="1:23" s="40" customFormat="1" ht="12" x14ac:dyDescent="0.2">
      <c r="A68" s="36">
        <f t="shared" si="22"/>
        <v>52</v>
      </c>
      <c r="B68" s="36" t="s">
        <v>57</v>
      </c>
      <c r="C68" s="36" t="s">
        <v>4</v>
      </c>
      <c r="D68" s="54">
        <v>340</v>
      </c>
      <c r="E68" s="54">
        <f t="shared" si="9"/>
        <v>442</v>
      </c>
      <c r="F68" s="54">
        <f>19.13*1.3</f>
        <v>24.869</v>
      </c>
      <c r="G68" s="54">
        <f>39.67*1.3</f>
        <v>51.571000000000005</v>
      </c>
      <c r="H68" s="44">
        <f>29.44*1.3</f>
        <v>38.272000000000006</v>
      </c>
      <c r="I68" s="44">
        <f t="shared" si="23"/>
        <v>556.7120000000001</v>
      </c>
      <c r="J68" s="44">
        <f t="shared" si="10"/>
        <v>6.8</v>
      </c>
      <c r="K68" s="44">
        <f t="shared" si="11"/>
        <v>4.1753400000000003</v>
      </c>
      <c r="L68" s="44">
        <f t="shared" si="12"/>
        <v>12.5</v>
      </c>
      <c r="M68" s="44">
        <f t="shared" si="13"/>
        <v>100</v>
      </c>
      <c r="N68" s="44">
        <v>4</v>
      </c>
      <c r="O68" s="44">
        <f t="shared" si="14"/>
        <v>14.083333333333334</v>
      </c>
      <c r="P68" s="45">
        <f t="shared" si="15"/>
        <v>47.307278333333336</v>
      </c>
      <c r="Q68" s="45">
        <v>28.33</v>
      </c>
      <c r="R68" s="45">
        <f t="shared" si="16"/>
        <v>23.653639166666668</v>
      </c>
      <c r="S68" s="44">
        <f t="shared" si="17"/>
        <v>2.7835600000000005</v>
      </c>
      <c r="T68" s="44">
        <f t="shared" si="18"/>
        <v>2.7835600000000005</v>
      </c>
      <c r="U68" s="44">
        <f t="shared" si="19"/>
        <v>46.392666666666678</v>
      </c>
      <c r="V68" s="44">
        <f t="shared" si="20"/>
        <v>62.073388000000016</v>
      </c>
      <c r="W68" s="44">
        <f t="shared" si="21"/>
        <v>911.59476550000011</v>
      </c>
    </row>
    <row r="69" spans="1:23" s="40" customFormat="1" ht="12" x14ac:dyDescent="0.2">
      <c r="A69" s="36">
        <f t="shared" si="22"/>
        <v>53</v>
      </c>
      <c r="B69" s="36" t="s">
        <v>58</v>
      </c>
      <c r="C69" s="36" t="s">
        <v>4</v>
      </c>
      <c r="D69" s="54">
        <v>340</v>
      </c>
      <c r="E69" s="54">
        <f t="shared" si="9"/>
        <v>442</v>
      </c>
      <c r="F69" s="54"/>
      <c r="G69" s="54">
        <f>68*1.3</f>
        <v>88.4</v>
      </c>
      <c r="H69" s="44">
        <f>33.99*1.3</f>
        <v>44.187000000000005</v>
      </c>
      <c r="I69" s="44">
        <f t="shared" si="23"/>
        <v>574.58699999999999</v>
      </c>
      <c r="J69" s="44">
        <f t="shared" si="10"/>
        <v>6.8</v>
      </c>
      <c r="K69" s="44">
        <f t="shared" si="11"/>
        <v>4.3094025</v>
      </c>
      <c r="L69" s="44">
        <f t="shared" si="12"/>
        <v>12.5</v>
      </c>
      <c r="M69" s="44">
        <f t="shared" si="13"/>
        <v>100</v>
      </c>
      <c r="N69" s="44">
        <v>4</v>
      </c>
      <c r="O69" s="44">
        <f t="shared" si="14"/>
        <v>14.083333333333334</v>
      </c>
      <c r="P69" s="45">
        <f t="shared" si="15"/>
        <v>48.808033541666667</v>
      </c>
      <c r="Q69" s="45">
        <v>28.33</v>
      </c>
      <c r="R69" s="45">
        <f t="shared" si="16"/>
        <v>24.404016770833334</v>
      </c>
      <c r="S69" s="44">
        <f t="shared" si="17"/>
        <v>2.872935</v>
      </c>
      <c r="T69" s="44">
        <f t="shared" si="18"/>
        <v>2.872935</v>
      </c>
      <c r="U69" s="44">
        <f t="shared" si="19"/>
        <v>47.882249999999999</v>
      </c>
      <c r="V69" s="44">
        <f t="shared" si="20"/>
        <v>64.066450500000002</v>
      </c>
      <c r="W69" s="44">
        <f t="shared" si="21"/>
        <v>935.5163566458333</v>
      </c>
    </row>
    <row r="70" spans="1:23" s="40" customFormat="1" ht="12" x14ac:dyDescent="0.2">
      <c r="A70" s="36">
        <f t="shared" si="22"/>
        <v>54</v>
      </c>
      <c r="B70" s="36" t="s">
        <v>59</v>
      </c>
      <c r="C70" s="36" t="s">
        <v>4</v>
      </c>
      <c r="D70" s="54">
        <v>340</v>
      </c>
      <c r="E70" s="54">
        <f t="shared" si="9"/>
        <v>442</v>
      </c>
      <c r="F70" s="54"/>
      <c r="G70" s="54">
        <f>39.67*1.3</f>
        <v>51.571000000000005</v>
      </c>
      <c r="H70" s="44">
        <f>31.88*1.3</f>
        <v>41.444000000000003</v>
      </c>
      <c r="I70" s="44">
        <f t="shared" si="23"/>
        <v>535.01499999999999</v>
      </c>
      <c r="J70" s="44">
        <f t="shared" si="10"/>
        <v>6.8</v>
      </c>
      <c r="K70" s="44">
        <f t="shared" si="11"/>
        <v>4.0126125000000004</v>
      </c>
      <c r="L70" s="44">
        <f t="shared" si="12"/>
        <v>12.5</v>
      </c>
      <c r="M70" s="44">
        <f t="shared" si="13"/>
        <v>100</v>
      </c>
      <c r="N70" s="44">
        <v>4</v>
      </c>
      <c r="O70" s="44">
        <f t="shared" si="14"/>
        <v>14.083333333333334</v>
      </c>
      <c r="P70" s="45">
        <f>(I70+J70+K70)/12</f>
        <v>45.485634374999997</v>
      </c>
      <c r="Q70" s="45">
        <v>28.33</v>
      </c>
      <c r="R70" s="45">
        <f t="shared" si="16"/>
        <v>22.742817187499998</v>
      </c>
      <c r="S70" s="44">
        <f t="shared" si="17"/>
        <v>2.6750750000000001</v>
      </c>
      <c r="T70" s="44">
        <f t="shared" si="18"/>
        <v>2.6750750000000001</v>
      </c>
      <c r="U70" s="44">
        <f t="shared" si="19"/>
        <v>44.584583333333335</v>
      </c>
      <c r="V70" s="44">
        <f t="shared" si="20"/>
        <v>59.654172500000001</v>
      </c>
      <c r="W70" s="44">
        <f t="shared" si="21"/>
        <v>882.55830322916665</v>
      </c>
    </row>
    <row r="71" spans="1:23" s="40" customFormat="1" ht="12" x14ac:dyDescent="0.2">
      <c r="A71" s="36">
        <f t="shared" si="22"/>
        <v>55</v>
      </c>
      <c r="B71" s="36" t="s">
        <v>60</v>
      </c>
      <c r="C71" s="36" t="s">
        <v>4</v>
      </c>
      <c r="D71" s="54">
        <v>340</v>
      </c>
      <c r="E71" s="54">
        <f t="shared" si="9"/>
        <v>442</v>
      </c>
      <c r="F71" s="54"/>
      <c r="G71" s="54">
        <f>45.33*1.3</f>
        <v>58.929000000000002</v>
      </c>
      <c r="H71" s="44">
        <f>85.01*1.3</f>
        <v>110.51300000000001</v>
      </c>
      <c r="I71" s="44">
        <f t="shared" si="23"/>
        <v>611.44200000000001</v>
      </c>
      <c r="J71" s="44">
        <f t="shared" si="10"/>
        <v>6.8</v>
      </c>
      <c r="K71" s="44">
        <f t="shared" si="11"/>
        <v>4.5858150000000002</v>
      </c>
      <c r="L71" s="44">
        <f t="shared" si="12"/>
        <v>12.5</v>
      </c>
      <c r="M71" s="44">
        <f t="shared" si="13"/>
        <v>100</v>
      </c>
      <c r="N71" s="44">
        <v>4</v>
      </c>
      <c r="O71" s="44">
        <f t="shared" si="14"/>
        <v>14.083333333333334</v>
      </c>
      <c r="P71" s="45">
        <f t="shared" si="15"/>
        <v>51.902317916666668</v>
      </c>
      <c r="Q71" s="45">
        <v>28.33</v>
      </c>
      <c r="R71" s="45">
        <f>(I71+J71+K71)/24</f>
        <v>25.951158958333334</v>
      </c>
      <c r="S71" s="44">
        <f t="shared" si="17"/>
        <v>3.05721</v>
      </c>
      <c r="T71" s="44">
        <f t="shared" si="18"/>
        <v>3.05721</v>
      </c>
      <c r="U71" s="44">
        <f t="shared" si="19"/>
        <v>50.953499999999998</v>
      </c>
      <c r="V71" s="44">
        <f t="shared" si="20"/>
        <v>68.175782999999996</v>
      </c>
      <c r="W71" s="44">
        <f t="shared" si="21"/>
        <v>984.83832820833345</v>
      </c>
    </row>
    <row r="72" spans="1:23" s="40" customFormat="1" ht="12" x14ac:dyDescent="0.2">
      <c r="A72" s="36">
        <f t="shared" si="22"/>
        <v>56</v>
      </c>
      <c r="B72" s="36" t="s">
        <v>61</v>
      </c>
      <c r="C72" s="46" t="s">
        <v>240</v>
      </c>
      <c r="D72" s="54">
        <v>500</v>
      </c>
      <c r="E72" s="54">
        <v>531</v>
      </c>
      <c r="F72" s="54"/>
      <c r="G72" s="54"/>
      <c r="H72" s="44"/>
      <c r="I72" s="44">
        <f t="shared" si="23"/>
        <v>531</v>
      </c>
      <c r="J72" s="44">
        <f t="shared" si="10"/>
        <v>6.8</v>
      </c>
      <c r="K72" s="44">
        <f t="shared" si="11"/>
        <v>3.9825000000000004</v>
      </c>
      <c r="L72" s="44">
        <f t="shared" si="12"/>
        <v>12.5</v>
      </c>
      <c r="M72" s="44">
        <f t="shared" si="13"/>
        <v>100</v>
      </c>
      <c r="N72" s="44">
        <v>4</v>
      </c>
      <c r="O72" s="44">
        <f t="shared" si="14"/>
        <v>14.083333333333334</v>
      </c>
      <c r="P72" s="45">
        <f t="shared" si="15"/>
        <v>45.148541666666659</v>
      </c>
      <c r="Q72" s="45">
        <v>28.33</v>
      </c>
      <c r="R72" s="45">
        <f t="shared" si="16"/>
        <v>22.57427083333333</v>
      </c>
      <c r="S72" s="44">
        <f t="shared" si="17"/>
        <v>2.6550000000000002</v>
      </c>
      <c r="T72" s="44">
        <f t="shared" si="18"/>
        <v>2.6550000000000002</v>
      </c>
      <c r="U72" s="44">
        <f t="shared" si="19"/>
        <v>44.25</v>
      </c>
      <c r="V72" s="44">
        <f t="shared" si="20"/>
        <v>59.206499999999998</v>
      </c>
      <c r="W72" s="44">
        <f t="shared" si="21"/>
        <v>877.18514583333331</v>
      </c>
    </row>
    <row r="73" spans="1:23" s="40" customFormat="1" ht="12" x14ac:dyDescent="0.2">
      <c r="A73" s="36">
        <f t="shared" si="22"/>
        <v>57</v>
      </c>
      <c r="B73" s="36" t="s">
        <v>63</v>
      </c>
      <c r="C73" s="36" t="s">
        <v>4</v>
      </c>
      <c r="D73" s="54">
        <v>340</v>
      </c>
      <c r="E73" s="54">
        <f t="shared" si="9"/>
        <v>442</v>
      </c>
      <c r="F73" s="54"/>
      <c r="G73" s="54">
        <f>22.67*1.3</f>
        <v>29.471000000000004</v>
      </c>
      <c r="H73" s="44">
        <f>64.75*1.3</f>
        <v>84.174999999999997</v>
      </c>
      <c r="I73" s="44">
        <f t="shared" si="23"/>
        <v>555.64599999999996</v>
      </c>
      <c r="J73" s="44">
        <f t="shared" si="10"/>
        <v>6.8</v>
      </c>
      <c r="K73" s="44">
        <f t="shared" si="11"/>
        <v>4.1673449999999992</v>
      </c>
      <c r="L73" s="44">
        <f t="shared" si="12"/>
        <v>12.5</v>
      </c>
      <c r="M73" s="44">
        <f t="shared" si="13"/>
        <v>100</v>
      </c>
      <c r="N73" s="44">
        <v>4</v>
      </c>
      <c r="O73" s="44">
        <f t="shared" si="14"/>
        <v>14.083333333333334</v>
      </c>
      <c r="P73" s="45">
        <f t="shared" si="15"/>
        <v>47.217778749999987</v>
      </c>
      <c r="Q73" s="45">
        <v>28.33</v>
      </c>
      <c r="R73" s="45">
        <f t="shared" si="16"/>
        <v>23.608889374999993</v>
      </c>
      <c r="S73" s="44">
        <f t="shared" si="17"/>
        <v>2.7782299999999998</v>
      </c>
      <c r="T73" s="44">
        <f t="shared" si="18"/>
        <v>2.7782299999999998</v>
      </c>
      <c r="U73" s="44">
        <f t="shared" si="19"/>
        <v>46.30383333333333</v>
      </c>
      <c r="V73" s="44">
        <f t="shared" si="20"/>
        <v>61.954528999999994</v>
      </c>
      <c r="W73" s="44">
        <f t="shared" si="21"/>
        <v>910.16816879166652</v>
      </c>
    </row>
    <row r="74" spans="1:23" s="40" customFormat="1" ht="12" x14ac:dyDescent="0.2">
      <c r="A74" s="36">
        <f t="shared" si="22"/>
        <v>58</v>
      </c>
      <c r="B74" s="36" t="s">
        <v>64</v>
      </c>
      <c r="C74" s="36" t="s">
        <v>4</v>
      </c>
      <c r="D74" s="54">
        <v>340</v>
      </c>
      <c r="E74" s="54">
        <f t="shared" si="9"/>
        <v>442</v>
      </c>
      <c r="F74" s="54"/>
      <c r="G74" s="54">
        <f>164.34*0.13</f>
        <v>21.3642</v>
      </c>
      <c r="H74" s="44">
        <f>85.01*1.3</f>
        <v>110.51300000000001</v>
      </c>
      <c r="I74" s="44">
        <f t="shared" si="23"/>
        <v>573.87720000000002</v>
      </c>
      <c r="J74" s="44">
        <f t="shared" si="10"/>
        <v>6.8</v>
      </c>
      <c r="K74" s="44">
        <f t="shared" si="11"/>
        <v>4.3040789999999998</v>
      </c>
      <c r="L74" s="44">
        <f t="shared" si="12"/>
        <v>12.5</v>
      </c>
      <c r="M74" s="44">
        <f t="shared" si="13"/>
        <v>100</v>
      </c>
      <c r="N74" s="44">
        <v>4</v>
      </c>
      <c r="O74" s="44">
        <f t="shared" si="14"/>
        <v>14.083333333333334</v>
      </c>
      <c r="P74" s="45">
        <f t="shared" si="15"/>
        <v>48.748439916666662</v>
      </c>
      <c r="Q74" s="45">
        <v>28.33</v>
      </c>
      <c r="R74" s="45">
        <f t="shared" si="16"/>
        <v>24.374219958333331</v>
      </c>
      <c r="S74" s="44">
        <f t="shared" si="17"/>
        <v>2.869386</v>
      </c>
      <c r="T74" s="44">
        <f t="shared" si="18"/>
        <v>2.869386</v>
      </c>
      <c r="U74" s="44">
        <f t="shared" si="19"/>
        <v>47.823100000000004</v>
      </c>
      <c r="V74" s="44">
        <f t="shared" si="20"/>
        <v>63.987307800000004</v>
      </c>
      <c r="W74" s="44">
        <f t="shared" si="21"/>
        <v>934.56645200833339</v>
      </c>
    </row>
    <row r="75" spans="1:23" s="40" customFormat="1" ht="12" x14ac:dyDescent="0.2">
      <c r="A75" s="36">
        <f t="shared" si="22"/>
        <v>59</v>
      </c>
      <c r="B75" s="36" t="s">
        <v>65</v>
      </c>
      <c r="C75" s="36" t="s">
        <v>4</v>
      </c>
      <c r="D75" s="54">
        <v>340</v>
      </c>
      <c r="E75" s="54">
        <f t="shared" si="9"/>
        <v>442</v>
      </c>
      <c r="F75" s="54"/>
      <c r="G75" s="54">
        <f>22.67*1.3</f>
        <v>29.471000000000004</v>
      </c>
      <c r="H75" s="44"/>
      <c r="I75" s="44">
        <f t="shared" si="23"/>
        <v>471.471</v>
      </c>
      <c r="J75" s="44">
        <f t="shared" si="10"/>
        <v>6.8</v>
      </c>
      <c r="K75" s="44">
        <f t="shared" si="11"/>
        <v>3.5360325000000001</v>
      </c>
      <c r="L75" s="44">
        <f t="shared" si="12"/>
        <v>12.5</v>
      </c>
      <c r="M75" s="44">
        <f t="shared" si="13"/>
        <v>100</v>
      </c>
      <c r="N75" s="44">
        <v>4</v>
      </c>
      <c r="O75" s="44">
        <f t="shared" si="14"/>
        <v>14.083333333333334</v>
      </c>
      <c r="P75" s="45">
        <f t="shared" si="15"/>
        <v>40.150586041666664</v>
      </c>
      <c r="Q75" s="45">
        <v>28.33</v>
      </c>
      <c r="R75" s="45">
        <f t="shared" si="16"/>
        <v>20.075293020833332</v>
      </c>
      <c r="S75" s="44">
        <f t="shared" si="17"/>
        <v>2.3573550000000001</v>
      </c>
      <c r="T75" s="44">
        <f t="shared" si="18"/>
        <v>2.3573550000000001</v>
      </c>
      <c r="U75" s="44">
        <f t="shared" si="19"/>
        <v>39.289250000000003</v>
      </c>
      <c r="V75" s="44">
        <f t="shared" si="20"/>
        <v>52.569016500000004</v>
      </c>
      <c r="W75" s="44">
        <f t="shared" si="21"/>
        <v>797.51922139583337</v>
      </c>
    </row>
    <row r="76" spans="1:23" s="40" customFormat="1" ht="12" x14ac:dyDescent="0.2">
      <c r="A76" s="36">
        <f t="shared" si="22"/>
        <v>60</v>
      </c>
      <c r="B76" s="36" t="s">
        <v>66</v>
      </c>
      <c r="C76" s="36" t="s">
        <v>4</v>
      </c>
      <c r="D76" s="54">
        <v>340</v>
      </c>
      <c r="E76" s="54">
        <f t="shared" si="9"/>
        <v>442</v>
      </c>
      <c r="F76" s="54"/>
      <c r="G76" s="54">
        <f>70.84*1.3</f>
        <v>92.092000000000013</v>
      </c>
      <c r="H76" s="44">
        <f>85.01*1.3</f>
        <v>110.51300000000001</v>
      </c>
      <c r="I76" s="44">
        <f t="shared" si="23"/>
        <v>644.60500000000002</v>
      </c>
      <c r="J76" s="44">
        <f t="shared" si="10"/>
        <v>6.8</v>
      </c>
      <c r="K76" s="44">
        <f t="shared" si="11"/>
        <v>4.8345375000000006</v>
      </c>
      <c r="L76" s="44">
        <f t="shared" si="12"/>
        <v>12.5</v>
      </c>
      <c r="M76" s="44">
        <f t="shared" si="13"/>
        <v>100</v>
      </c>
      <c r="N76" s="44">
        <v>4</v>
      </c>
      <c r="O76" s="44">
        <f t="shared" si="14"/>
        <v>14.083333333333334</v>
      </c>
      <c r="P76" s="45">
        <f t="shared" si="15"/>
        <v>54.686628124999999</v>
      </c>
      <c r="Q76" s="45">
        <v>28.33</v>
      </c>
      <c r="R76" s="45">
        <f t="shared" si="16"/>
        <v>27.343314062499999</v>
      </c>
      <c r="S76" s="44">
        <f t="shared" si="17"/>
        <v>3.2230250000000003</v>
      </c>
      <c r="T76" s="44">
        <f t="shared" si="18"/>
        <v>3.2230250000000003</v>
      </c>
      <c r="U76" s="44">
        <f t="shared" si="19"/>
        <v>53.717083333333335</v>
      </c>
      <c r="V76" s="44">
        <f t="shared" si="20"/>
        <v>71.873457500000001</v>
      </c>
      <c r="W76" s="44">
        <f t="shared" si="21"/>
        <v>1029.2194038541668</v>
      </c>
    </row>
    <row r="77" spans="1:23" s="40" customFormat="1" ht="12" x14ac:dyDescent="0.2">
      <c r="A77" s="36">
        <f t="shared" si="22"/>
        <v>61</v>
      </c>
      <c r="B77" s="36" t="s">
        <v>67</v>
      </c>
      <c r="C77" s="36" t="s">
        <v>4</v>
      </c>
      <c r="D77" s="54">
        <v>340</v>
      </c>
      <c r="E77" s="54">
        <f t="shared" si="9"/>
        <v>442</v>
      </c>
      <c r="F77" s="54">
        <f>17*1.3</f>
        <v>22.1</v>
      </c>
      <c r="G77" s="54">
        <f>62.33*1.3</f>
        <v>81.028999999999996</v>
      </c>
      <c r="H77" s="44">
        <f>39.53*1.3</f>
        <v>51.389000000000003</v>
      </c>
      <c r="I77" s="44">
        <f t="shared" si="23"/>
        <v>596.51800000000003</v>
      </c>
      <c r="J77" s="44">
        <f t="shared" si="10"/>
        <v>6.8</v>
      </c>
      <c r="K77" s="44">
        <f t="shared" si="11"/>
        <v>4.4738850000000001</v>
      </c>
      <c r="L77" s="44">
        <f t="shared" si="12"/>
        <v>12.5</v>
      </c>
      <c r="M77" s="44">
        <f t="shared" si="13"/>
        <v>100</v>
      </c>
      <c r="N77" s="44">
        <v>4</v>
      </c>
      <c r="O77" s="44">
        <f t="shared" si="14"/>
        <v>14.083333333333334</v>
      </c>
      <c r="P77" s="45">
        <f t="shared" si="15"/>
        <v>50.649323750000001</v>
      </c>
      <c r="Q77" s="45">
        <v>28.33</v>
      </c>
      <c r="R77" s="45">
        <f t="shared" si="16"/>
        <v>25.324661875</v>
      </c>
      <c r="S77" s="44">
        <f t="shared" si="17"/>
        <v>2.9825900000000001</v>
      </c>
      <c r="T77" s="44">
        <f t="shared" si="18"/>
        <v>2.9825900000000001</v>
      </c>
      <c r="U77" s="44">
        <f t="shared" si="19"/>
        <v>49.709833333333336</v>
      </c>
      <c r="V77" s="44">
        <f t="shared" si="20"/>
        <v>66.511757000000003</v>
      </c>
      <c r="W77" s="44">
        <f t="shared" si="21"/>
        <v>964.86597429166659</v>
      </c>
    </row>
    <row r="78" spans="1:23" s="40" customFormat="1" ht="12" x14ac:dyDescent="0.2">
      <c r="A78" s="36">
        <f t="shared" si="22"/>
        <v>62</v>
      </c>
      <c r="B78" s="36" t="s">
        <v>68</v>
      </c>
      <c r="C78" s="36" t="s">
        <v>4</v>
      </c>
      <c r="D78" s="54">
        <v>340</v>
      </c>
      <c r="E78" s="54">
        <f t="shared" si="9"/>
        <v>442</v>
      </c>
      <c r="F78" s="54"/>
      <c r="G78" s="54">
        <f>22.67*1.3</f>
        <v>29.471000000000004</v>
      </c>
      <c r="H78" s="44">
        <f>64.75*1.3</f>
        <v>84.174999999999997</v>
      </c>
      <c r="I78" s="44">
        <f t="shared" si="23"/>
        <v>555.64599999999996</v>
      </c>
      <c r="J78" s="44">
        <f t="shared" si="10"/>
        <v>6.8</v>
      </c>
      <c r="K78" s="44">
        <f t="shared" si="11"/>
        <v>4.1673449999999992</v>
      </c>
      <c r="L78" s="44">
        <f t="shared" si="12"/>
        <v>12.5</v>
      </c>
      <c r="M78" s="44">
        <f t="shared" si="13"/>
        <v>100</v>
      </c>
      <c r="N78" s="44">
        <v>4</v>
      </c>
      <c r="O78" s="44">
        <f t="shared" si="14"/>
        <v>14.083333333333334</v>
      </c>
      <c r="P78" s="45">
        <f t="shared" si="15"/>
        <v>47.217778749999987</v>
      </c>
      <c r="Q78" s="45">
        <v>28.33</v>
      </c>
      <c r="R78" s="45">
        <f t="shared" si="16"/>
        <v>23.608889374999993</v>
      </c>
      <c r="S78" s="44">
        <f t="shared" si="17"/>
        <v>2.7782299999999998</v>
      </c>
      <c r="T78" s="44">
        <f t="shared" si="18"/>
        <v>2.7782299999999998</v>
      </c>
      <c r="U78" s="44">
        <f t="shared" si="19"/>
        <v>46.30383333333333</v>
      </c>
      <c r="V78" s="44">
        <f t="shared" si="20"/>
        <v>61.954528999999994</v>
      </c>
      <c r="W78" s="44">
        <f t="shared" si="21"/>
        <v>910.16816879166652</v>
      </c>
    </row>
    <row r="79" spans="1:23" s="40" customFormat="1" ht="12" x14ac:dyDescent="0.2">
      <c r="A79" s="36">
        <f t="shared" si="22"/>
        <v>63</v>
      </c>
      <c r="B79" s="36" t="s">
        <v>69</v>
      </c>
      <c r="C79" s="36" t="s">
        <v>4</v>
      </c>
      <c r="D79" s="54">
        <v>340</v>
      </c>
      <c r="E79" s="54">
        <f t="shared" si="9"/>
        <v>442</v>
      </c>
      <c r="F79" s="54"/>
      <c r="G79" s="54">
        <f>22.67*1.3</f>
        <v>29.471000000000004</v>
      </c>
      <c r="H79" s="44">
        <f>122.3*1.3</f>
        <v>158.99</v>
      </c>
      <c r="I79" s="44">
        <f t="shared" si="23"/>
        <v>630.46100000000001</v>
      </c>
      <c r="J79" s="44">
        <f t="shared" si="10"/>
        <v>6.8</v>
      </c>
      <c r="K79" s="44">
        <f t="shared" si="11"/>
        <v>4.7284575000000002</v>
      </c>
      <c r="L79" s="44">
        <f t="shared" si="12"/>
        <v>12.5</v>
      </c>
      <c r="M79" s="44">
        <f t="shared" si="13"/>
        <v>100</v>
      </c>
      <c r="N79" s="44">
        <v>4</v>
      </c>
      <c r="O79" s="44">
        <f t="shared" si="14"/>
        <v>14.083333333333334</v>
      </c>
      <c r="P79" s="45">
        <f t="shared" si="15"/>
        <v>53.499121458333327</v>
      </c>
      <c r="Q79" s="45">
        <v>28.33</v>
      </c>
      <c r="R79" s="45">
        <f t="shared" si="16"/>
        <v>26.749560729166664</v>
      </c>
      <c r="S79" s="44">
        <f t="shared" si="17"/>
        <v>3.1523050000000001</v>
      </c>
      <c r="T79" s="44">
        <f>(I79)*0.005</f>
        <v>3.1523050000000001</v>
      </c>
      <c r="U79" s="44">
        <f t="shared" si="19"/>
        <v>52.53841666666667</v>
      </c>
      <c r="V79" s="44">
        <f t="shared" si="20"/>
        <v>70.296401500000002</v>
      </c>
      <c r="W79" s="44">
        <f t="shared" si="21"/>
        <v>1010.2909011874999</v>
      </c>
    </row>
    <row r="80" spans="1:23" s="40" customFormat="1" ht="12" x14ac:dyDescent="0.2">
      <c r="A80" s="36">
        <f t="shared" si="22"/>
        <v>64</v>
      </c>
      <c r="B80" s="36" t="s">
        <v>70</v>
      </c>
      <c r="C80" s="36" t="s">
        <v>14</v>
      </c>
      <c r="D80" s="54">
        <v>512.35</v>
      </c>
      <c r="E80" s="54">
        <v>584</v>
      </c>
      <c r="F80" s="54">
        <f>3.21*1.3</f>
        <v>4.173</v>
      </c>
      <c r="G80" s="54">
        <f>136.63*1.3</f>
        <v>177.619</v>
      </c>
      <c r="H80" s="44">
        <f>54.33*1.3</f>
        <v>70.629000000000005</v>
      </c>
      <c r="I80" s="44">
        <f t="shared" si="23"/>
        <v>836.42100000000005</v>
      </c>
      <c r="J80" s="44">
        <f t="shared" si="10"/>
        <v>6.8</v>
      </c>
      <c r="K80" s="44">
        <f t="shared" si="11"/>
        <v>6.2731574999999999</v>
      </c>
      <c r="L80" s="44">
        <f t="shared" si="12"/>
        <v>12.5</v>
      </c>
      <c r="M80" s="44">
        <f t="shared" si="13"/>
        <v>100</v>
      </c>
      <c r="N80" s="44">
        <v>4</v>
      </c>
      <c r="O80" s="44">
        <f t="shared" si="14"/>
        <v>14.083333333333334</v>
      </c>
      <c r="P80" s="45">
        <f t="shared" si="15"/>
        <v>70.791179791666664</v>
      </c>
      <c r="Q80" s="45">
        <v>28.33</v>
      </c>
      <c r="R80" s="45">
        <f t="shared" si="16"/>
        <v>35.395589895833332</v>
      </c>
      <c r="S80" s="44">
        <f t="shared" si="17"/>
        <v>4.182105</v>
      </c>
      <c r="T80" s="44">
        <f t="shared" si="18"/>
        <v>4.182105</v>
      </c>
      <c r="U80" s="44">
        <f t="shared" si="19"/>
        <v>69.701750000000004</v>
      </c>
      <c r="V80" s="44">
        <f t="shared" si="20"/>
        <v>93.260941500000001</v>
      </c>
      <c r="W80" s="44">
        <f t="shared" si="21"/>
        <v>1285.9211620208334</v>
      </c>
    </row>
    <row r="81" spans="1:23" s="40" customFormat="1" ht="12" x14ac:dyDescent="0.2">
      <c r="A81" s="36">
        <f t="shared" si="22"/>
        <v>65</v>
      </c>
      <c r="B81" s="36" t="s">
        <v>71</v>
      </c>
      <c r="C81" s="36" t="s">
        <v>4</v>
      </c>
      <c r="D81" s="54">
        <v>340</v>
      </c>
      <c r="E81" s="54">
        <f t="shared" si="9"/>
        <v>442</v>
      </c>
      <c r="F81" s="54"/>
      <c r="G81" s="54">
        <f>133.17*1.3</f>
        <v>173.12099999999998</v>
      </c>
      <c r="H81" s="44">
        <f>31.88*1.3</f>
        <v>41.444000000000003</v>
      </c>
      <c r="I81" s="44">
        <f t="shared" si="23"/>
        <v>656.56499999999994</v>
      </c>
      <c r="J81" s="44">
        <f t="shared" si="10"/>
        <v>6.8</v>
      </c>
      <c r="K81" s="44">
        <f t="shared" si="11"/>
        <v>4.9242375000000003</v>
      </c>
      <c r="L81" s="44">
        <f t="shared" si="12"/>
        <v>12.5</v>
      </c>
      <c r="M81" s="44">
        <f t="shared" si="13"/>
        <v>100</v>
      </c>
      <c r="N81" s="44">
        <v>4</v>
      </c>
      <c r="O81" s="44">
        <f t="shared" si="14"/>
        <v>14.083333333333334</v>
      </c>
      <c r="P81" s="45">
        <f t="shared" si="15"/>
        <v>55.690769791666661</v>
      </c>
      <c r="Q81" s="45">
        <v>28.33</v>
      </c>
      <c r="R81" s="45">
        <f t="shared" si="16"/>
        <v>27.84538489583333</v>
      </c>
      <c r="S81" s="44">
        <f t="shared" si="17"/>
        <v>3.2828249999999999</v>
      </c>
      <c r="T81" s="44">
        <f t="shared" si="18"/>
        <v>3.2828249999999999</v>
      </c>
      <c r="U81" s="44">
        <f t="shared" si="19"/>
        <v>54.713749999999997</v>
      </c>
      <c r="V81" s="44">
        <f t="shared" si="20"/>
        <v>73.2069975</v>
      </c>
      <c r="W81" s="44">
        <f t="shared" si="21"/>
        <v>1045.2251230208333</v>
      </c>
    </row>
    <row r="82" spans="1:23" s="40" customFormat="1" ht="12" x14ac:dyDescent="0.2">
      <c r="A82" s="36">
        <f t="shared" si="22"/>
        <v>66</v>
      </c>
      <c r="B82" s="36" t="s">
        <v>72</v>
      </c>
      <c r="C82" s="36" t="s">
        <v>14</v>
      </c>
      <c r="D82" s="54">
        <v>512.35</v>
      </c>
      <c r="E82" s="54">
        <v>584</v>
      </c>
      <c r="F82" s="54"/>
      <c r="G82" s="54">
        <f>123.82*1.3</f>
        <v>160.96600000000001</v>
      </c>
      <c r="H82" s="44">
        <f>183.21*1.3</f>
        <v>238.17300000000003</v>
      </c>
      <c r="I82" s="44">
        <f t="shared" si="23"/>
        <v>983.13900000000001</v>
      </c>
      <c r="J82" s="44">
        <f t="shared" si="10"/>
        <v>6.8</v>
      </c>
      <c r="K82" s="44">
        <f t="shared" si="11"/>
        <v>7.373542500000001</v>
      </c>
      <c r="L82" s="44">
        <f t="shared" si="12"/>
        <v>12.5</v>
      </c>
      <c r="M82" s="44">
        <f t="shared" si="13"/>
        <v>100</v>
      </c>
      <c r="N82" s="44">
        <v>4</v>
      </c>
      <c r="O82" s="44">
        <f t="shared" si="14"/>
        <v>14.083333333333334</v>
      </c>
      <c r="P82" s="45">
        <f t="shared" si="15"/>
        <v>83.109378541666658</v>
      </c>
      <c r="Q82" s="45">
        <v>28.33</v>
      </c>
      <c r="R82" s="45">
        <f t="shared" si="16"/>
        <v>41.554689270833329</v>
      </c>
      <c r="S82" s="44">
        <f t="shared" si="17"/>
        <v>4.9156950000000004</v>
      </c>
      <c r="T82" s="44">
        <f t="shared" si="18"/>
        <v>4.9156950000000004</v>
      </c>
      <c r="U82" s="44">
        <f t="shared" si="19"/>
        <v>81.928250000000006</v>
      </c>
      <c r="V82" s="44">
        <f t="shared" si="20"/>
        <v>109.61999850000001</v>
      </c>
      <c r="W82" s="44">
        <f t="shared" si="21"/>
        <v>1482.2695821458328</v>
      </c>
    </row>
    <row r="83" spans="1:23" s="40" customFormat="1" ht="12" x14ac:dyDescent="0.2">
      <c r="A83" s="36">
        <f t="shared" si="22"/>
        <v>67</v>
      </c>
      <c r="B83" s="36" t="s">
        <v>73</v>
      </c>
      <c r="C83" s="36" t="s">
        <v>4</v>
      </c>
      <c r="D83" s="54">
        <v>340</v>
      </c>
      <c r="E83" s="54">
        <f t="shared" si="9"/>
        <v>442</v>
      </c>
      <c r="F83" s="54"/>
      <c r="G83" s="54">
        <f>59.5*1.3</f>
        <v>77.350000000000009</v>
      </c>
      <c r="H83" s="44">
        <f>31.88*1.3</f>
        <v>41.444000000000003</v>
      </c>
      <c r="I83" s="44">
        <f t="shared" si="23"/>
        <v>560.79399999999998</v>
      </c>
      <c r="J83" s="44">
        <f t="shared" si="10"/>
        <v>6.8</v>
      </c>
      <c r="K83" s="44">
        <f t="shared" si="11"/>
        <v>4.2059550000000003</v>
      </c>
      <c r="L83" s="44">
        <f t="shared" si="12"/>
        <v>12.5</v>
      </c>
      <c r="M83" s="44">
        <f t="shared" si="13"/>
        <v>100</v>
      </c>
      <c r="N83" s="44">
        <v>4</v>
      </c>
      <c r="O83" s="44">
        <f t="shared" si="14"/>
        <v>14.083333333333334</v>
      </c>
      <c r="P83" s="45">
        <f t="shared" si="15"/>
        <v>47.649996249999994</v>
      </c>
      <c r="Q83" s="45">
        <v>28.33</v>
      </c>
      <c r="R83" s="45">
        <f t="shared" si="16"/>
        <v>23.824998124999997</v>
      </c>
      <c r="S83" s="44">
        <f t="shared" si="17"/>
        <v>2.8039700000000001</v>
      </c>
      <c r="T83" s="44">
        <f t="shared" si="18"/>
        <v>2.8039700000000001</v>
      </c>
      <c r="U83" s="44">
        <f>(I83)/12</f>
        <v>46.732833333333332</v>
      </c>
      <c r="V83" s="44">
        <f t="shared" si="20"/>
        <v>62.528531000000001</v>
      </c>
      <c r="W83" s="44">
        <f t="shared" si="21"/>
        <v>917.05758704166681</v>
      </c>
    </row>
    <row r="84" spans="1:23" s="40" customFormat="1" ht="12" x14ac:dyDescent="0.2">
      <c r="A84" s="36">
        <f t="shared" si="22"/>
        <v>68</v>
      </c>
      <c r="B84" s="36" t="s">
        <v>74</v>
      </c>
      <c r="C84" s="36" t="s">
        <v>14</v>
      </c>
      <c r="D84" s="54">
        <v>512.35</v>
      </c>
      <c r="E84" s="54">
        <v>584</v>
      </c>
      <c r="F84" s="54"/>
      <c r="G84" s="54">
        <f>324.49*1.3</f>
        <v>421.83700000000005</v>
      </c>
      <c r="H84" s="44">
        <f>128.08*1.3</f>
        <v>166.50400000000002</v>
      </c>
      <c r="I84" s="44">
        <f t="shared" si="23"/>
        <v>1172.3409999999999</v>
      </c>
      <c r="J84" s="44">
        <f t="shared" si="10"/>
        <v>6.8</v>
      </c>
      <c r="K84" s="44">
        <f t="shared" si="11"/>
        <v>8.7925574999999991</v>
      </c>
      <c r="L84" s="44">
        <f t="shared" si="12"/>
        <v>12.5</v>
      </c>
      <c r="M84" s="44">
        <f t="shared" si="13"/>
        <v>100</v>
      </c>
      <c r="N84" s="44">
        <v>4</v>
      </c>
      <c r="O84" s="44">
        <f t="shared" si="14"/>
        <v>14.083333333333334</v>
      </c>
      <c r="P84" s="45">
        <f t="shared" si="15"/>
        <v>98.994463124999982</v>
      </c>
      <c r="Q84" s="45">
        <v>28.33</v>
      </c>
      <c r="R84" s="45">
        <f t="shared" si="16"/>
        <v>49.497231562499991</v>
      </c>
      <c r="S84" s="44">
        <f t="shared" si="17"/>
        <v>5.8617049999999997</v>
      </c>
      <c r="T84" s="44">
        <f t="shared" si="18"/>
        <v>5.8617049999999997</v>
      </c>
      <c r="U84" s="44">
        <f t="shared" si="19"/>
        <v>97.695083333333329</v>
      </c>
      <c r="V84" s="44">
        <f t="shared" si="20"/>
        <v>130.71602149999998</v>
      </c>
      <c r="W84" s="44">
        <f t="shared" si="21"/>
        <v>1735.4731003541663</v>
      </c>
    </row>
    <row r="85" spans="1:23" s="40" customFormat="1" ht="12" x14ac:dyDescent="0.2">
      <c r="A85" s="36">
        <f t="shared" si="22"/>
        <v>69</v>
      </c>
      <c r="B85" s="36" t="s">
        <v>75</v>
      </c>
      <c r="C85" s="36" t="s">
        <v>4</v>
      </c>
      <c r="D85" s="54">
        <v>340</v>
      </c>
      <c r="E85" s="54">
        <f t="shared" si="9"/>
        <v>442</v>
      </c>
      <c r="F85" s="54"/>
      <c r="G85" s="54">
        <f>45.33*1.3</f>
        <v>58.929000000000002</v>
      </c>
      <c r="H85" s="44">
        <f>31.88*1.3</f>
        <v>41.444000000000003</v>
      </c>
      <c r="I85" s="44">
        <f t="shared" si="23"/>
        <v>542.37299999999993</v>
      </c>
      <c r="J85" s="44">
        <f t="shared" si="10"/>
        <v>6.8</v>
      </c>
      <c r="K85" s="44">
        <f t="shared" ref="K85:K86" si="24">(I85*0.25%)*3</f>
        <v>4.0677974999999993</v>
      </c>
      <c r="L85" s="44">
        <f t="shared" si="12"/>
        <v>12.5</v>
      </c>
      <c r="M85" s="44">
        <f t="shared" si="13"/>
        <v>100</v>
      </c>
      <c r="N85" s="44">
        <v>4</v>
      </c>
      <c r="O85" s="44">
        <f t="shared" si="14"/>
        <v>14.083333333333334</v>
      </c>
      <c r="P85" s="45">
        <f t="shared" ref="P85:P86" si="25">(I85+J85+K85)/12</f>
        <v>46.103399791666654</v>
      </c>
      <c r="Q85" s="45">
        <v>28.33</v>
      </c>
      <c r="R85" s="45">
        <f t="shared" ref="R85:R86" si="26">(I85+J85+K85)/24</f>
        <v>23.051699895833327</v>
      </c>
      <c r="S85" s="44">
        <f t="shared" ref="S85:S86" si="27">(I85)*0.005</f>
        <v>2.7118649999999995</v>
      </c>
      <c r="T85" s="44">
        <f t="shared" ref="T85:T86" si="28">(I85)*0.005</f>
        <v>2.7118649999999995</v>
      </c>
      <c r="U85" s="44">
        <f>(I85)/12</f>
        <v>45.197749999999992</v>
      </c>
      <c r="V85" s="44">
        <f t="shared" ref="V85:V86" si="29">(I85)*0.1115</f>
        <v>60.474589499999993</v>
      </c>
      <c r="W85" s="44">
        <f t="shared" si="21"/>
        <v>892.40530002083324</v>
      </c>
    </row>
    <row r="86" spans="1:23" s="40" customFormat="1" ht="12" x14ac:dyDescent="0.2">
      <c r="A86" s="36">
        <f t="shared" si="22"/>
        <v>70</v>
      </c>
      <c r="B86" s="36" t="s">
        <v>76</v>
      </c>
      <c r="C86" s="36" t="s">
        <v>4</v>
      </c>
      <c r="D86" s="54">
        <v>340</v>
      </c>
      <c r="E86" s="54">
        <f t="shared" si="9"/>
        <v>442</v>
      </c>
      <c r="F86" s="54"/>
      <c r="G86" s="54">
        <f>28.33*1.3</f>
        <v>36.829000000000001</v>
      </c>
      <c r="H86" s="44">
        <f>122.77*1.3</f>
        <v>159.601</v>
      </c>
      <c r="I86" s="44">
        <f t="shared" si="23"/>
        <v>638.43000000000006</v>
      </c>
      <c r="J86" s="44">
        <f t="shared" si="10"/>
        <v>6.8</v>
      </c>
      <c r="K86" s="44">
        <f t="shared" si="24"/>
        <v>4.7882250000000006</v>
      </c>
      <c r="L86" s="44">
        <f t="shared" si="12"/>
        <v>12.5</v>
      </c>
      <c r="M86" s="44">
        <f t="shared" si="13"/>
        <v>100</v>
      </c>
      <c r="N86" s="44">
        <v>4</v>
      </c>
      <c r="O86" s="44">
        <f t="shared" si="14"/>
        <v>14.083333333333334</v>
      </c>
      <c r="P86" s="45">
        <f t="shared" si="25"/>
        <v>54.168185416666667</v>
      </c>
      <c r="Q86" s="45">
        <v>28.33</v>
      </c>
      <c r="R86" s="45">
        <f t="shared" si="26"/>
        <v>27.084092708333333</v>
      </c>
      <c r="S86" s="44">
        <f t="shared" si="27"/>
        <v>3.1921500000000003</v>
      </c>
      <c r="T86" s="44">
        <f t="shared" si="28"/>
        <v>3.1921500000000003</v>
      </c>
      <c r="U86" s="44">
        <f>(I86)/12</f>
        <v>53.202500000000008</v>
      </c>
      <c r="V86" s="44">
        <f t="shared" si="29"/>
        <v>71.184945000000013</v>
      </c>
      <c r="W86" s="44">
        <f t="shared" si="21"/>
        <v>1020.9555814583333</v>
      </c>
    </row>
    <row r="87" spans="1:23" s="40" customFormat="1" ht="12" x14ac:dyDescent="0.2">
      <c r="A87" s="36"/>
      <c r="B87" s="41" t="s">
        <v>2</v>
      </c>
      <c r="C87" s="41"/>
      <c r="D87" s="55">
        <f>SUM(D65:D86)</f>
        <v>8407.0500000000011</v>
      </c>
      <c r="E87" s="55">
        <f t="shared" ref="E87:I87" si="30">SUM(E65:E86)</f>
        <v>10387</v>
      </c>
      <c r="F87" s="55">
        <f t="shared" si="30"/>
        <v>51.142000000000003</v>
      </c>
      <c r="G87" s="55">
        <f t="shared" si="30"/>
        <v>2078.3411999999998</v>
      </c>
      <c r="H87" s="55">
        <f t="shared" si="30"/>
        <v>1745.3670000000002</v>
      </c>
      <c r="I87" s="55">
        <f t="shared" si="30"/>
        <v>14261.850199999999</v>
      </c>
      <c r="J87" s="55">
        <f t="shared" ref="J87:W87" si="31">SUM(J65:J86)</f>
        <v>149.6</v>
      </c>
      <c r="K87" s="55">
        <f t="shared" si="31"/>
        <v>106.9638765</v>
      </c>
      <c r="L87" s="55">
        <f t="shared" si="31"/>
        <v>275</v>
      </c>
      <c r="M87" s="55">
        <f t="shared" si="31"/>
        <v>2200</v>
      </c>
      <c r="N87" s="55">
        <f t="shared" si="31"/>
        <v>88</v>
      </c>
      <c r="O87" s="55">
        <f t="shared" si="31"/>
        <v>309.83333333333331</v>
      </c>
      <c r="P87" s="55">
        <f t="shared" si="31"/>
        <v>1209.8678397083329</v>
      </c>
      <c r="Q87" s="55">
        <f t="shared" si="31"/>
        <v>623.25999999999988</v>
      </c>
      <c r="R87" s="55">
        <f t="shared" si="31"/>
        <v>604.93391985416645</v>
      </c>
      <c r="S87" s="55">
        <f t="shared" si="31"/>
        <v>71.309251000000003</v>
      </c>
      <c r="T87" s="55">
        <f t="shared" si="31"/>
        <v>71.309251000000003</v>
      </c>
      <c r="U87" s="55">
        <f t="shared" si="31"/>
        <v>1188.487516666667</v>
      </c>
      <c r="V87" s="55">
        <f t="shared" si="31"/>
        <v>1590.1962972999997</v>
      </c>
      <c r="W87" s="55">
        <f t="shared" si="31"/>
        <v>22750.611485362497</v>
      </c>
    </row>
    <row r="88" spans="1:23" s="40" customFormat="1" ht="12" x14ac:dyDescent="0.2">
      <c r="A88" s="58"/>
      <c r="B88" s="59"/>
      <c r="C88" s="59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</row>
    <row r="89" spans="1:23" s="40" customFormat="1" ht="17.25" x14ac:dyDescent="0.3">
      <c r="A89" s="58"/>
      <c r="B89" s="77" t="s">
        <v>266</v>
      </c>
      <c r="C89" s="59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</row>
    <row r="90" spans="1:23" s="40" customFormat="1" ht="30.75" customHeight="1" thickBot="1" x14ac:dyDescent="0.25">
      <c r="B90" s="64"/>
      <c r="C90" s="64"/>
      <c r="D90" s="43"/>
      <c r="E90" s="43"/>
      <c r="F90" s="43"/>
      <c r="G90" s="43"/>
      <c r="H90" s="47"/>
      <c r="I90" s="47"/>
    </row>
    <row r="91" spans="1:23" s="40" customFormat="1" ht="12.75" x14ac:dyDescent="0.2">
      <c r="B91" s="63" t="s">
        <v>245</v>
      </c>
      <c r="C91" s="59"/>
      <c r="D91" s="43"/>
      <c r="E91" s="43"/>
      <c r="G91" s="43"/>
      <c r="H91" s="43"/>
    </row>
    <row r="92" spans="1:23" s="40" customFormat="1" ht="12.75" x14ac:dyDescent="0.2">
      <c r="B92" s="63" t="s">
        <v>246</v>
      </c>
      <c r="C92" s="59"/>
      <c r="D92" s="43"/>
      <c r="E92" s="43"/>
      <c r="G92" s="43"/>
      <c r="H92" s="43"/>
    </row>
    <row r="93" spans="1:23" s="40" customFormat="1" ht="12.75" x14ac:dyDescent="0.2">
      <c r="B93" s="63"/>
      <c r="C93" s="59"/>
      <c r="D93" s="43"/>
      <c r="E93" s="43"/>
      <c r="G93" s="43"/>
      <c r="H93" s="43"/>
    </row>
    <row r="94" spans="1:23" ht="21.75" thickBot="1" x14ac:dyDescent="0.4">
      <c r="A94" s="82" t="s">
        <v>227</v>
      </c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</row>
    <row r="95" spans="1:23" s="32" customFormat="1" ht="45" customHeight="1" x14ac:dyDescent="0.2">
      <c r="A95" s="101" t="s">
        <v>226</v>
      </c>
      <c r="B95" s="89" t="s">
        <v>243</v>
      </c>
      <c r="C95" s="91" t="s">
        <v>1</v>
      </c>
      <c r="D95" s="93" t="s">
        <v>254</v>
      </c>
      <c r="E95" s="87" t="s">
        <v>234</v>
      </c>
      <c r="F95" s="87" t="s">
        <v>241</v>
      </c>
      <c r="G95" s="87" t="s">
        <v>207</v>
      </c>
      <c r="H95" s="99" t="s">
        <v>261</v>
      </c>
      <c r="I95" s="91" t="s">
        <v>198</v>
      </c>
      <c r="J95" s="85" t="s">
        <v>206</v>
      </c>
      <c r="K95" s="85" t="s">
        <v>233</v>
      </c>
      <c r="L95" s="85" t="s">
        <v>236</v>
      </c>
      <c r="M95" s="85" t="s">
        <v>235</v>
      </c>
      <c r="N95" s="85" t="s">
        <v>199</v>
      </c>
      <c r="O95" s="83" t="s">
        <v>205</v>
      </c>
      <c r="P95" s="83" t="s">
        <v>252</v>
      </c>
      <c r="Q95" s="29" t="s">
        <v>253</v>
      </c>
      <c r="R95" s="97" t="s">
        <v>200</v>
      </c>
      <c r="S95" s="83" t="s">
        <v>201</v>
      </c>
      <c r="T95" s="95" t="s">
        <v>202</v>
      </c>
      <c r="U95" s="30" t="s">
        <v>203</v>
      </c>
      <c r="V95" s="31" t="s">
        <v>204</v>
      </c>
      <c r="W95" s="95" t="s">
        <v>248</v>
      </c>
    </row>
    <row r="96" spans="1:23" s="32" customFormat="1" ht="45" customHeight="1" thickBot="1" x14ac:dyDescent="0.25">
      <c r="A96" s="102"/>
      <c r="B96" s="90"/>
      <c r="C96" s="92"/>
      <c r="D96" s="94"/>
      <c r="E96" s="88"/>
      <c r="F96" s="88"/>
      <c r="G96" s="88"/>
      <c r="H96" s="100"/>
      <c r="I96" s="92"/>
      <c r="J96" s="86"/>
      <c r="K96" s="86"/>
      <c r="L96" s="86"/>
      <c r="M96" s="86"/>
      <c r="N96" s="86"/>
      <c r="O96" s="84"/>
      <c r="P96" s="84"/>
      <c r="Q96" s="33">
        <f>340/12</f>
        <v>28.333333333333332</v>
      </c>
      <c r="R96" s="98"/>
      <c r="S96" s="84"/>
      <c r="T96" s="96"/>
      <c r="U96" s="34">
        <v>8.3299999999999999E-2</v>
      </c>
      <c r="V96" s="35">
        <v>0.1115</v>
      </c>
      <c r="W96" s="96"/>
    </row>
    <row r="97" spans="1:23" s="40" customFormat="1" ht="12" x14ac:dyDescent="0.2">
      <c r="A97" s="36">
        <f>A86+1</f>
        <v>71</v>
      </c>
      <c r="B97" s="36" t="s">
        <v>77</v>
      </c>
      <c r="C97" s="36" t="s">
        <v>4</v>
      </c>
      <c r="D97" s="56">
        <v>340</v>
      </c>
      <c r="E97" s="54">
        <f>D97*1.3</f>
        <v>442</v>
      </c>
      <c r="F97" s="54"/>
      <c r="G97" s="54">
        <f>113.34*1.3</f>
        <v>147.34200000000001</v>
      </c>
      <c r="H97" s="44"/>
      <c r="I97" s="44">
        <f>E97+F97+G97+H97</f>
        <v>589.34199999999998</v>
      </c>
      <c r="J97" s="44">
        <f>(340*1/100)*2</f>
        <v>6.8</v>
      </c>
      <c r="K97" s="44">
        <f>(I97*0.25%)*3</f>
        <v>4.4200650000000001</v>
      </c>
      <c r="L97" s="44">
        <f>0.5*25</f>
        <v>12.5</v>
      </c>
      <c r="M97" s="44">
        <f>4*25</f>
        <v>100</v>
      </c>
      <c r="N97" s="44">
        <v>4</v>
      </c>
      <c r="O97" s="44">
        <f>169/12</f>
        <v>14.083333333333334</v>
      </c>
      <c r="P97" s="45">
        <f>(I97+J97+K97)/12</f>
        <v>50.046838749999999</v>
      </c>
      <c r="Q97" s="45">
        <v>28.33</v>
      </c>
      <c r="R97" s="45">
        <f>(I97+J97+K97)/24</f>
        <v>25.023419375</v>
      </c>
      <c r="S97" s="44">
        <f>(F97+G97+H97+I97)*0.005</f>
        <v>3.6834199999999999</v>
      </c>
      <c r="T97" s="44">
        <f>(F97+G97+H97+I97)*0.005</f>
        <v>3.6834199999999999</v>
      </c>
      <c r="U97" s="44">
        <f>(I97)/12</f>
        <v>49.11183333333333</v>
      </c>
      <c r="V97" s="44">
        <f>(F97+G97+H97+I97)*0.1115</f>
        <v>82.140265999999997</v>
      </c>
      <c r="W97" s="44">
        <f>I97+J97+K97+L97+M97+N97+O97+P97+Q97+R97+S97+T97+U97+V97</f>
        <v>973.16459579166667</v>
      </c>
    </row>
    <row r="98" spans="1:23" s="40" customFormat="1" ht="12" x14ac:dyDescent="0.2">
      <c r="A98" s="36">
        <f>A97+1</f>
        <v>72</v>
      </c>
      <c r="B98" s="36" t="s">
        <v>78</v>
      </c>
      <c r="C98" s="36" t="s">
        <v>4</v>
      </c>
      <c r="D98" s="56">
        <v>340</v>
      </c>
      <c r="E98" s="54">
        <f t="shared" ref="E98:E161" si="32">D98*1.3</f>
        <v>442</v>
      </c>
      <c r="F98" s="54"/>
      <c r="G98" s="54">
        <f>158.67*1.3</f>
        <v>206.27099999999999</v>
      </c>
      <c r="H98" s="44">
        <f>39.65*1.3</f>
        <v>51.545000000000002</v>
      </c>
      <c r="I98" s="44">
        <f t="shared" ref="I98:I161" si="33">E98+F98+G98+H98</f>
        <v>699.81599999999992</v>
      </c>
      <c r="J98" s="44">
        <f t="shared" ref="J98:J161" si="34">(340*1/100)*2</f>
        <v>6.8</v>
      </c>
      <c r="K98" s="44">
        <f t="shared" ref="K98:K116" si="35">(I98*0.25%)*3</f>
        <v>5.2486199999999998</v>
      </c>
      <c r="L98" s="44">
        <f t="shared" ref="L98:L161" si="36">0.5*25</f>
        <v>12.5</v>
      </c>
      <c r="M98" s="44">
        <f t="shared" ref="M98:M161" si="37">4*25</f>
        <v>100</v>
      </c>
      <c r="N98" s="44">
        <v>4</v>
      </c>
      <c r="O98" s="44">
        <f t="shared" ref="O98:O161" si="38">169/12</f>
        <v>14.083333333333334</v>
      </c>
      <c r="P98" s="45">
        <f t="shared" ref="P98:P161" si="39">(I98+J98+K98)/12</f>
        <v>59.322051666666653</v>
      </c>
      <c r="Q98" s="45">
        <v>28.33</v>
      </c>
      <c r="R98" s="45">
        <f t="shared" ref="R98:R161" si="40">(I98+J98+K98)/24</f>
        <v>29.661025833333326</v>
      </c>
      <c r="S98" s="44">
        <f t="shared" ref="S98:S116" si="41">(F98+G98+H98+I98)*0.005</f>
        <v>4.7881599999999995</v>
      </c>
      <c r="T98" s="44">
        <f t="shared" ref="T98:T116" si="42">(F98+G98+H98+I98)*0.005</f>
        <v>4.7881599999999995</v>
      </c>
      <c r="U98" s="44">
        <f t="shared" ref="U98:U161" si="43">(I98)/12</f>
        <v>58.317999999999991</v>
      </c>
      <c r="V98" s="44">
        <f t="shared" ref="V98:V116" si="44">(F98+G98+H98+I98)*0.1115</f>
        <v>106.77596799999998</v>
      </c>
      <c r="W98" s="44">
        <f t="shared" ref="W98:W161" si="45">I98+J98+K98+L98+M98+N98+O98+P98+Q98+R98+S98+T98+U98+V98</f>
        <v>1134.4313188333331</v>
      </c>
    </row>
    <row r="99" spans="1:23" s="40" customFormat="1" ht="12" x14ac:dyDescent="0.2">
      <c r="A99" s="36">
        <f t="shared" ref="A99:A162" si="46">A98+1</f>
        <v>73</v>
      </c>
      <c r="B99" s="36" t="s">
        <v>79</v>
      </c>
      <c r="C99" s="36" t="s">
        <v>4</v>
      </c>
      <c r="D99" s="56">
        <v>340</v>
      </c>
      <c r="E99" s="54">
        <f t="shared" si="32"/>
        <v>442</v>
      </c>
      <c r="F99" s="54"/>
      <c r="G99" s="54">
        <f>172.84*1.3</f>
        <v>224.69200000000001</v>
      </c>
      <c r="H99" s="44">
        <f>134.81*1.3</f>
        <v>175.25300000000001</v>
      </c>
      <c r="I99" s="44">
        <f t="shared" si="33"/>
        <v>841.94500000000005</v>
      </c>
      <c r="J99" s="44">
        <f t="shared" si="34"/>
        <v>6.8</v>
      </c>
      <c r="K99" s="44">
        <f t="shared" si="35"/>
        <v>6.3145875000000009</v>
      </c>
      <c r="L99" s="44">
        <f t="shared" si="36"/>
        <v>12.5</v>
      </c>
      <c r="M99" s="44">
        <f t="shared" si="37"/>
        <v>100</v>
      </c>
      <c r="N99" s="44">
        <v>4</v>
      </c>
      <c r="O99" s="44">
        <f t="shared" si="38"/>
        <v>14.083333333333334</v>
      </c>
      <c r="P99" s="45">
        <f t="shared" si="39"/>
        <v>71.254965624999997</v>
      </c>
      <c r="Q99" s="45">
        <v>28.33</v>
      </c>
      <c r="R99" s="45">
        <f t="shared" si="40"/>
        <v>35.627482812499998</v>
      </c>
      <c r="S99" s="44">
        <f t="shared" si="41"/>
        <v>6.2094500000000004</v>
      </c>
      <c r="T99" s="44">
        <f t="shared" si="42"/>
        <v>6.2094500000000004</v>
      </c>
      <c r="U99" s="44">
        <f t="shared" si="43"/>
        <v>70.162083333333342</v>
      </c>
      <c r="V99" s="44">
        <f t="shared" si="44"/>
        <v>138.47073500000002</v>
      </c>
      <c r="W99" s="44">
        <f t="shared" si="45"/>
        <v>1341.9070876041669</v>
      </c>
    </row>
    <row r="100" spans="1:23" s="40" customFormat="1" ht="12" x14ac:dyDescent="0.2">
      <c r="A100" s="36">
        <f t="shared" si="46"/>
        <v>74</v>
      </c>
      <c r="B100" s="36" t="s">
        <v>80</v>
      </c>
      <c r="C100" s="36" t="s">
        <v>4</v>
      </c>
      <c r="D100" s="56">
        <v>340</v>
      </c>
      <c r="E100" s="54">
        <f t="shared" si="32"/>
        <v>442</v>
      </c>
      <c r="F100" s="54"/>
      <c r="G100" s="54">
        <f>93.5*1.3</f>
        <v>121.55</v>
      </c>
      <c r="H100" s="44">
        <f>31.88*1.3</f>
        <v>41.444000000000003</v>
      </c>
      <c r="I100" s="44">
        <f t="shared" si="33"/>
        <v>604.99399999999991</v>
      </c>
      <c r="J100" s="44">
        <f t="shared" si="34"/>
        <v>6.8</v>
      </c>
      <c r="K100" s="44">
        <f t="shared" si="35"/>
        <v>4.5374549999999996</v>
      </c>
      <c r="L100" s="44">
        <f t="shared" si="36"/>
        <v>12.5</v>
      </c>
      <c r="M100" s="44">
        <f t="shared" si="37"/>
        <v>100</v>
      </c>
      <c r="N100" s="44">
        <v>4</v>
      </c>
      <c r="O100" s="44">
        <f t="shared" si="38"/>
        <v>14.083333333333334</v>
      </c>
      <c r="P100" s="45">
        <f>(I100+J100+K100)/12</f>
        <v>51.360954583333324</v>
      </c>
      <c r="Q100" s="45">
        <v>28.33</v>
      </c>
      <c r="R100" s="45">
        <f t="shared" si="40"/>
        <v>25.680477291666662</v>
      </c>
      <c r="S100" s="44">
        <f t="shared" si="41"/>
        <v>3.8399399999999999</v>
      </c>
      <c r="T100" s="44">
        <f t="shared" si="42"/>
        <v>3.8399399999999999</v>
      </c>
      <c r="U100" s="44">
        <f t="shared" si="43"/>
        <v>50.416166666666662</v>
      </c>
      <c r="V100" s="44">
        <f t="shared" si="44"/>
        <v>85.630662000000001</v>
      </c>
      <c r="W100" s="44">
        <f t="shared" si="45"/>
        <v>996.01292887499983</v>
      </c>
    </row>
    <row r="101" spans="1:23" s="40" customFormat="1" ht="12" x14ac:dyDescent="0.2">
      <c r="A101" s="36">
        <f t="shared" si="46"/>
        <v>75</v>
      </c>
      <c r="B101" s="36" t="s">
        <v>81</v>
      </c>
      <c r="C101" s="36" t="s">
        <v>4</v>
      </c>
      <c r="D101" s="56">
        <v>340</v>
      </c>
      <c r="E101" s="54">
        <f t="shared" si="32"/>
        <v>442</v>
      </c>
      <c r="F101" s="54">
        <f>17*1.3</f>
        <v>22.1</v>
      </c>
      <c r="G101" s="54">
        <f>22.67*1.3</f>
        <v>29.471000000000004</v>
      </c>
      <c r="H101" s="44">
        <f>29.74*1.3</f>
        <v>38.661999999999999</v>
      </c>
      <c r="I101" s="44">
        <f t="shared" si="33"/>
        <v>532.23300000000006</v>
      </c>
      <c r="J101" s="44">
        <f t="shared" si="34"/>
        <v>6.8</v>
      </c>
      <c r="K101" s="44">
        <f t="shared" si="35"/>
        <v>3.9917475000000007</v>
      </c>
      <c r="L101" s="44">
        <f t="shared" si="36"/>
        <v>12.5</v>
      </c>
      <c r="M101" s="44">
        <f t="shared" si="37"/>
        <v>100</v>
      </c>
      <c r="N101" s="44">
        <v>4</v>
      </c>
      <c r="O101" s="44">
        <f t="shared" si="38"/>
        <v>14.083333333333334</v>
      </c>
      <c r="P101" s="45">
        <f t="shared" si="39"/>
        <v>45.252062291666668</v>
      </c>
      <c r="Q101" s="45">
        <v>28.33</v>
      </c>
      <c r="R101" s="45">
        <f t="shared" si="40"/>
        <v>22.626031145833334</v>
      </c>
      <c r="S101" s="44">
        <f t="shared" si="41"/>
        <v>3.1123300000000005</v>
      </c>
      <c r="T101" s="44">
        <f t="shared" si="42"/>
        <v>3.1123300000000005</v>
      </c>
      <c r="U101" s="44">
        <f t="shared" si="43"/>
        <v>44.352750000000007</v>
      </c>
      <c r="V101" s="44">
        <f t="shared" si="44"/>
        <v>69.404959000000019</v>
      </c>
      <c r="W101" s="44">
        <f t="shared" si="45"/>
        <v>889.79854327083353</v>
      </c>
    </row>
    <row r="102" spans="1:23" s="40" customFormat="1" ht="12" x14ac:dyDescent="0.2">
      <c r="A102" s="36">
        <f t="shared" si="46"/>
        <v>76</v>
      </c>
      <c r="B102" s="36" t="s">
        <v>82</v>
      </c>
      <c r="C102" s="36" t="s">
        <v>4</v>
      </c>
      <c r="D102" s="56">
        <v>340</v>
      </c>
      <c r="E102" s="54">
        <f t="shared" si="32"/>
        <v>442</v>
      </c>
      <c r="F102" s="54"/>
      <c r="G102" s="54">
        <f>90.67*1.3</f>
        <v>117.87100000000001</v>
      </c>
      <c r="H102" s="44"/>
      <c r="I102" s="44">
        <f t="shared" si="33"/>
        <v>559.87099999999998</v>
      </c>
      <c r="J102" s="44">
        <f t="shared" si="34"/>
        <v>6.8</v>
      </c>
      <c r="K102" s="44">
        <f t="shared" si="35"/>
        <v>4.1990324999999995</v>
      </c>
      <c r="L102" s="44">
        <f t="shared" si="36"/>
        <v>12.5</v>
      </c>
      <c r="M102" s="44">
        <f t="shared" si="37"/>
        <v>100</v>
      </c>
      <c r="N102" s="44">
        <v>4</v>
      </c>
      <c r="O102" s="44">
        <f t="shared" si="38"/>
        <v>14.083333333333334</v>
      </c>
      <c r="P102" s="45">
        <f t="shared" si="39"/>
        <v>47.572502708333332</v>
      </c>
      <c r="Q102" s="45">
        <v>28.33</v>
      </c>
      <c r="R102" s="45">
        <f t="shared" si="40"/>
        <v>23.786251354166666</v>
      </c>
      <c r="S102" s="44">
        <f t="shared" si="41"/>
        <v>3.3887099999999997</v>
      </c>
      <c r="T102" s="44">
        <f t="shared" si="42"/>
        <v>3.3887099999999997</v>
      </c>
      <c r="U102" s="44">
        <f t="shared" si="43"/>
        <v>46.655916666666663</v>
      </c>
      <c r="V102" s="44">
        <f t="shared" si="44"/>
        <v>75.568232999999992</v>
      </c>
      <c r="W102" s="44">
        <f t="shared" si="45"/>
        <v>930.14368956249996</v>
      </c>
    </row>
    <row r="103" spans="1:23" s="40" customFormat="1" ht="12" x14ac:dyDescent="0.2">
      <c r="A103" s="36">
        <f t="shared" si="46"/>
        <v>77</v>
      </c>
      <c r="B103" s="36" t="s">
        <v>83</v>
      </c>
      <c r="C103" s="36" t="s">
        <v>4</v>
      </c>
      <c r="D103" s="56">
        <v>340</v>
      </c>
      <c r="E103" s="54">
        <f t="shared" si="32"/>
        <v>442</v>
      </c>
      <c r="F103" s="54">
        <f>21.25*1.3</f>
        <v>27.625</v>
      </c>
      <c r="G103" s="54">
        <f>36.83*1.3</f>
        <v>47.878999999999998</v>
      </c>
      <c r="H103" s="44">
        <f>33.16*1.3</f>
        <v>43.107999999999997</v>
      </c>
      <c r="I103" s="44">
        <f t="shared" si="33"/>
        <v>560.61199999999997</v>
      </c>
      <c r="J103" s="44">
        <f t="shared" si="34"/>
        <v>6.8</v>
      </c>
      <c r="K103" s="44">
        <f t="shared" si="35"/>
        <v>4.2045899999999996</v>
      </c>
      <c r="L103" s="44">
        <f t="shared" si="36"/>
        <v>12.5</v>
      </c>
      <c r="M103" s="44">
        <f t="shared" si="37"/>
        <v>100</v>
      </c>
      <c r="N103" s="44">
        <v>4</v>
      </c>
      <c r="O103" s="44">
        <f t="shared" si="38"/>
        <v>14.083333333333334</v>
      </c>
      <c r="P103" s="45">
        <f t="shared" si="39"/>
        <v>47.634715833333331</v>
      </c>
      <c r="Q103" s="45">
        <v>28.33</v>
      </c>
      <c r="R103" s="45">
        <f t="shared" si="40"/>
        <v>23.817357916666666</v>
      </c>
      <c r="S103" s="44">
        <f t="shared" si="41"/>
        <v>3.3961199999999998</v>
      </c>
      <c r="T103" s="44">
        <f t="shared" si="42"/>
        <v>3.3961199999999998</v>
      </c>
      <c r="U103" s="44">
        <f t="shared" si="43"/>
        <v>46.717666666666666</v>
      </c>
      <c r="V103" s="44">
        <f t="shared" si="44"/>
        <v>75.733475999999996</v>
      </c>
      <c r="W103" s="44">
        <f t="shared" si="45"/>
        <v>931.22537975</v>
      </c>
    </row>
    <row r="104" spans="1:23" s="40" customFormat="1" ht="12" x14ac:dyDescent="0.2">
      <c r="A104" s="36">
        <f t="shared" si="46"/>
        <v>78</v>
      </c>
      <c r="B104" s="36" t="s">
        <v>84</v>
      </c>
      <c r="C104" s="36" t="s">
        <v>4</v>
      </c>
      <c r="D104" s="56">
        <v>340</v>
      </c>
      <c r="E104" s="54">
        <f t="shared" si="32"/>
        <v>442</v>
      </c>
      <c r="F104" s="54">
        <f>8.5*1.3</f>
        <v>11.05</v>
      </c>
      <c r="G104" s="54">
        <f>104.84*1.3</f>
        <v>136.292</v>
      </c>
      <c r="H104" s="44">
        <f>41.79*1.3</f>
        <v>54.326999999999998</v>
      </c>
      <c r="I104" s="44">
        <f t="shared" si="33"/>
        <v>643.66899999999998</v>
      </c>
      <c r="J104" s="44">
        <f t="shared" si="34"/>
        <v>6.8</v>
      </c>
      <c r="K104" s="44">
        <f t="shared" si="35"/>
        <v>4.8275174999999999</v>
      </c>
      <c r="L104" s="44">
        <f t="shared" si="36"/>
        <v>12.5</v>
      </c>
      <c r="M104" s="44">
        <f t="shared" si="37"/>
        <v>100</v>
      </c>
      <c r="N104" s="44">
        <v>4</v>
      </c>
      <c r="O104" s="44">
        <f t="shared" si="38"/>
        <v>14.083333333333334</v>
      </c>
      <c r="P104" s="45">
        <f t="shared" si="39"/>
        <v>54.608043124999995</v>
      </c>
      <c r="Q104" s="45">
        <v>28.33</v>
      </c>
      <c r="R104" s="45">
        <f t="shared" si="40"/>
        <v>27.304021562499997</v>
      </c>
      <c r="S104" s="44">
        <f t="shared" si="41"/>
        <v>4.2266899999999996</v>
      </c>
      <c r="T104" s="44">
        <f t="shared" si="42"/>
        <v>4.2266899999999996</v>
      </c>
      <c r="U104" s="44">
        <f t="shared" si="43"/>
        <v>53.639083333333332</v>
      </c>
      <c r="V104" s="44">
        <f t="shared" si="44"/>
        <v>94.255186999999992</v>
      </c>
      <c r="W104" s="44">
        <f t="shared" si="45"/>
        <v>1052.4695658541666</v>
      </c>
    </row>
    <row r="105" spans="1:23" s="40" customFormat="1" ht="12" x14ac:dyDescent="0.2">
      <c r="A105" s="36">
        <f t="shared" si="46"/>
        <v>79</v>
      </c>
      <c r="B105" s="36" t="s">
        <v>85</v>
      </c>
      <c r="C105" s="36" t="s">
        <v>4</v>
      </c>
      <c r="D105" s="56">
        <v>340</v>
      </c>
      <c r="E105" s="54">
        <f t="shared" si="32"/>
        <v>442</v>
      </c>
      <c r="F105" s="54"/>
      <c r="G105" s="54">
        <f>121.84*1.3</f>
        <v>158.392</v>
      </c>
      <c r="H105" s="44">
        <f>85.01*1.3</f>
        <v>110.51300000000001</v>
      </c>
      <c r="I105" s="44">
        <f t="shared" si="33"/>
        <v>710.90500000000009</v>
      </c>
      <c r="J105" s="44">
        <f t="shared" si="34"/>
        <v>6.8</v>
      </c>
      <c r="K105" s="44">
        <f t="shared" si="35"/>
        <v>5.3317875000000008</v>
      </c>
      <c r="L105" s="44">
        <f t="shared" si="36"/>
        <v>12.5</v>
      </c>
      <c r="M105" s="44">
        <f t="shared" si="37"/>
        <v>100</v>
      </c>
      <c r="N105" s="44">
        <v>4</v>
      </c>
      <c r="O105" s="44">
        <f t="shared" si="38"/>
        <v>14.083333333333334</v>
      </c>
      <c r="P105" s="45">
        <f t="shared" si="39"/>
        <v>60.253065625000005</v>
      </c>
      <c r="Q105" s="45">
        <v>28.33</v>
      </c>
      <c r="R105" s="45">
        <f t="shared" si="40"/>
        <v>30.126532812500002</v>
      </c>
      <c r="S105" s="44">
        <f t="shared" si="41"/>
        <v>4.8990500000000008</v>
      </c>
      <c r="T105" s="44">
        <f t="shared" si="42"/>
        <v>4.8990500000000008</v>
      </c>
      <c r="U105" s="44">
        <f t="shared" si="43"/>
        <v>59.242083333333341</v>
      </c>
      <c r="V105" s="44">
        <f t="shared" si="44"/>
        <v>109.24881500000001</v>
      </c>
      <c r="W105" s="44">
        <f t="shared" si="45"/>
        <v>1150.6187176041667</v>
      </c>
    </row>
    <row r="106" spans="1:23" s="40" customFormat="1" ht="12" x14ac:dyDescent="0.2">
      <c r="A106" s="36">
        <f t="shared" si="46"/>
        <v>80</v>
      </c>
      <c r="B106" s="36" t="s">
        <v>86</v>
      </c>
      <c r="C106" s="36" t="s">
        <v>4</v>
      </c>
      <c r="D106" s="56">
        <v>340</v>
      </c>
      <c r="E106" s="54">
        <f t="shared" si="32"/>
        <v>442</v>
      </c>
      <c r="F106" s="54">
        <f>6.38*1.3</f>
        <v>8.2940000000000005</v>
      </c>
      <c r="G106" s="54">
        <f>153*1.3</f>
        <v>198.9</v>
      </c>
      <c r="H106" s="44"/>
      <c r="I106" s="44">
        <f t="shared" si="33"/>
        <v>649.19399999999996</v>
      </c>
      <c r="J106" s="44">
        <f t="shared" si="34"/>
        <v>6.8</v>
      </c>
      <c r="K106" s="44">
        <f t="shared" si="35"/>
        <v>4.8689549999999997</v>
      </c>
      <c r="L106" s="44">
        <f t="shared" si="36"/>
        <v>12.5</v>
      </c>
      <c r="M106" s="44">
        <f t="shared" si="37"/>
        <v>100</v>
      </c>
      <c r="N106" s="44">
        <v>4</v>
      </c>
      <c r="O106" s="44">
        <f t="shared" si="38"/>
        <v>14.083333333333334</v>
      </c>
      <c r="P106" s="45">
        <f t="shared" si="39"/>
        <v>55.071912916666662</v>
      </c>
      <c r="Q106" s="45">
        <v>28.33</v>
      </c>
      <c r="R106" s="45">
        <f t="shared" si="40"/>
        <v>27.535956458333331</v>
      </c>
      <c r="S106" s="44">
        <f t="shared" si="41"/>
        <v>4.2819399999999996</v>
      </c>
      <c r="T106" s="44">
        <f t="shared" si="42"/>
        <v>4.2819399999999996</v>
      </c>
      <c r="U106" s="44">
        <f t="shared" si="43"/>
        <v>54.099499999999999</v>
      </c>
      <c r="V106" s="44">
        <f t="shared" si="44"/>
        <v>95.487261999999987</v>
      </c>
      <c r="W106" s="44">
        <f t="shared" si="45"/>
        <v>1060.5347997083331</v>
      </c>
    </row>
    <row r="107" spans="1:23" s="40" customFormat="1" ht="12" x14ac:dyDescent="0.2">
      <c r="A107" s="36">
        <f t="shared" si="46"/>
        <v>81</v>
      </c>
      <c r="B107" s="36" t="s">
        <v>87</v>
      </c>
      <c r="C107" s="36" t="s">
        <v>4</v>
      </c>
      <c r="D107" s="56">
        <v>340</v>
      </c>
      <c r="E107" s="54">
        <f t="shared" si="32"/>
        <v>442</v>
      </c>
      <c r="F107" s="54">
        <f>8.5*1.3</f>
        <v>11.05</v>
      </c>
      <c r="G107" s="54">
        <f>62.33*1.3</f>
        <v>81.028999999999996</v>
      </c>
      <c r="H107" s="44">
        <f>26.67*1.3</f>
        <v>34.671000000000006</v>
      </c>
      <c r="I107" s="44">
        <f t="shared" si="33"/>
        <v>568.75</v>
      </c>
      <c r="J107" s="44">
        <f t="shared" si="34"/>
        <v>6.8</v>
      </c>
      <c r="K107" s="44">
        <f t="shared" si="35"/>
        <v>4.265625</v>
      </c>
      <c r="L107" s="44">
        <f t="shared" si="36"/>
        <v>12.5</v>
      </c>
      <c r="M107" s="44">
        <f t="shared" si="37"/>
        <v>100</v>
      </c>
      <c r="N107" s="44">
        <v>4</v>
      </c>
      <c r="O107" s="44">
        <f t="shared" si="38"/>
        <v>14.083333333333334</v>
      </c>
      <c r="P107" s="45">
        <f t="shared" si="39"/>
        <v>48.317968749999999</v>
      </c>
      <c r="Q107" s="45">
        <v>28.33</v>
      </c>
      <c r="R107" s="45">
        <f t="shared" si="40"/>
        <v>24.158984374999999</v>
      </c>
      <c r="S107" s="44">
        <f t="shared" si="41"/>
        <v>3.4775</v>
      </c>
      <c r="T107" s="44">
        <f t="shared" si="42"/>
        <v>3.4775</v>
      </c>
      <c r="U107" s="44">
        <f t="shared" si="43"/>
        <v>47.395833333333336</v>
      </c>
      <c r="V107" s="44">
        <f t="shared" si="44"/>
        <v>77.548249999999996</v>
      </c>
      <c r="W107" s="44">
        <f t="shared" si="45"/>
        <v>943.10499479166674</v>
      </c>
    </row>
    <row r="108" spans="1:23" s="40" customFormat="1" ht="12" x14ac:dyDescent="0.2">
      <c r="A108" s="36">
        <f t="shared" si="46"/>
        <v>82</v>
      </c>
      <c r="B108" s="36" t="s">
        <v>88</v>
      </c>
      <c r="C108" s="36" t="s">
        <v>14</v>
      </c>
      <c r="D108" s="56">
        <v>512.35</v>
      </c>
      <c r="E108" s="54">
        <v>584</v>
      </c>
      <c r="F108" s="54"/>
      <c r="G108" s="54">
        <f>38.43*1.3</f>
        <v>49.959000000000003</v>
      </c>
      <c r="H108" s="44">
        <f>184.63*1.3</f>
        <v>240.01900000000001</v>
      </c>
      <c r="I108" s="44">
        <f t="shared" si="33"/>
        <v>873.97800000000007</v>
      </c>
      <c r="J108" s="44">
        <f t="shared" si="34"/>
        <v>6.8</v>
      </c>
      <c r="K108" s="44">
        <f t="shared" si="35"/>
        <v>6.5548350000000006</v>
      </c>
      <c r="L108" s="44">
        <f t="shared" si="36"/>
        <v>12.5</v>
      </c>
      <c r="M108" s="44">
        <f t="shared" si="37"/>
        <v>100</v>
      </c>
      <c r="N108" s="44">
        <v>4</v>
      </c>
      <c r="O108" s="44">
        <f t="shared" si="38"/>
        <v>14.083333333333334</v>
      </c>
      <c r="P108" s="45">
        <f t="shared" si="39"/>
        <v>73.944402916666675</v>
      </c>
      <c r="Q108" s="45">
        <v>28.33</v>
      </c>
      <c r="R108" s="45">
        <f t="shared" si="40"/>
        <v>36.972201458333338</v>
      </c>
      <c r="S108" s="44">
        <f t="shared" si="41"/>
        <v>5.8197800000000006</v>
      </c>
      <c r="T108" s="44">
        <f t="shared" si="42"/>
        <v>5.8197800000000006</v>
      </c>
      <c r="U108" s="44">
        <f t="shared" si="43"/>
        <v>72.831500000000005</v>
      </c>
      <c r="V108" s="44">
        <f t="shared" si="44"/>
        <v>129.78109400000002</v>
      </c>
      <c r="W108" s="44">
        <f t="shared" si="45"/>
        <v>1371.4149267083333</v>
      </c>
    </row>
    <row r="109" spans="1:23" s="40" customFormat="1" ht="12" x14ac:dyDescent="0.2">
      <c r="A109" s="36">
        <f t="shared" si="46"/>
        <v>83</v>
      </c>
      <c r="B109" s="36" t="s">
        <v>89</v>
      </c>
      <c r="C109" s="36" t="s">
        <v>4</v>
      </c>
      <c r="D109" s="56">
        <v>340</v>
      </c>
      <c r="E109" s="54">
        <f t="shared" si="32"/>
        <v>442</v>
      </c>
      <c r="F109" s="54">
        <f>38.25*1.3</f>
        <v>49.725000000000001</v>
      </c>
      <c r="G109" s="54">
        <f>153*1.3</f>
        <v>198.9</v>
      </c>
      <c r="H109" s="44">
        <f>44.25*1.3</f>
        <v>57.524999999999999</v>
      </c>
      <c r="I109" s="44">
        <f t="shared" si="33"/>
        <v>748.15</v>
      </c>
      <c r="J109" s="44">
        <f t="shared" si="34"/>
        <v>6.8</v>
      </c>
      <c r="K109" s="44">
        <f t="shared" si="35"/>
        <v>5.6111249999999995</v>
      </c>
      <c r="L109" s="44">
        <f t="shared" si="36"/>
        <v>12.5</v>
      </c>
      <c r="M109" s="44">
        <f t="shared" si="37"/>
        <v>100</v>
      </c>
      <c r="N109" s="44">
        <v>4</v>
      </c>
      <c r="O109" s="44">
        <f t="shared" si="38"/>
        <v>14.083333333333334</v>
      </c>
      <c r="P109" s="45">
        <f t="shared" si="39"/>
        <v>63.380093749999993</v>
      </c>
      <c r="Q109" s="45">
        <v>28.33</v>
      </c>
      <c r="R109" s="45">
        <f t="shared" si="40"/>
        <v>31.690046874999997</v>
      </c>
      <c r="S109" s="44">
        <f t="shared" si="41"/>
        <v>5.2714999999999996</v>
      </c>
      <c r="T109" s="44">
        <f t="shared" si="42"/>
        <v>5.2714999999999996</v>
      </c>
      <c r="U109" s="44">
        <f t="shared" si="43"/>
        <v>62.345833333333331</v>
      </c>
      <c r="V109" s="44">
        <f t="shared" si="44"/>
        <v>117.55445</v>
      </c>
      <c r="W109" s="44">
        <f t="shared" si="45"/>
        <v>1204.9878822916667</v>
      </c>
    </row>
    <row r="110" spans="1:23" s="40" customFormat="1" ht="12" x14ac:dyDescent="0.2">
      <c r="A110" s="36">
        <f t="shared" si="46"/>
        <v>84</v>
      </c>
      <c r="B110" s="36" t="s">
        <v>90</v>
      </c>
      <c r="C110" s="36" t="s">
        <v>4</v>
      </c>
      <c r="D110" s="56">
        <v>340</v>
      </c>
      <c r="E110" s="54">
        <f t="shared" si="32"/>
        <v>442</v>
      </c>
      <c r="F110" s="54"/>
      <c r="G110" s="54">
        <f>25.5*1.3</f>
        <v>33.15</v>
      </c>
      <c r="H110" s="44">
        <f>85.01*1.3</f>
        <v>110.51300000000001</v>
      </c>
      <c r="I110" s="44">
        <f t="shared" si="33"/>
        <v>585.66300000000001</v>
      </c>
      <c r="J110" s="44">
        <f t="shared" si="34"/>
        <v>6.8</v>
      </c>
      <c r="K110" s="44">
        <f t="shared" si="35"/>
        <v>4.3924725000000002</v>
      </c>
      <c r="L110" s="44">
        <f t="shared" si="36"/>
        <v>12.5</v>
      </c>
      <c r="M110" s="44">
        <f t="shared" si="37"/>
        <v>100</v>
      </c>
      <c r="N110" s="44">
        <v>4</v>
      </c>
      <c r="O110" s="44">
        <f t="shared" si="38"/>
        <v>14.083333333333334</v>
      </c>
      <c r="P110" s="45">
        <f t="shared" si="39"/>
        <v>49.737956041666671</v>
      </c>
      <c r="Q110" s="45">
        <v>28.33</v>
      </c>
      <c r="R110" s="45">
        <f t="shared" si="40"/>
        <v>24.868978020833335</v>
      </c>
      <c r="S110" s="44">
        <f t="shared" si="41"/>
        <v>3.64663</v>
      </c>
      <c r="T110" s="44">
        <f t="shared" si="42"/>
        <v>3.64663</v>
      </c>
      <c r="U110" s="44">
        <f t="shared" si="43"/>
        <v>48.805250000000001</v>
      </c>
      <c r="V110" s="44">
        <f t="shared" si="44"/>
        <v>81.319849000000005</v>
      </c>
      <c r="W110" s="44">
        <f t="shared" si="45"/>
        <v>967.79409889583326</v>
      </c>
    </row>
    <row r="111" spans="1:23" s="40" customFormat="1" ht="12" x14ac:dyDescent="0.2">
      <c r="A111" s="36">
        <f t="shared" si="46"/>
        <v>85</v>
      </c>
      <c r="B111" s="36" t="s">
        <v>91</v>
      </c>
      <c r="C111" s="36" t="s">
        <v>4</v>
      </c>
      <c r="D111" s="56">
        <v>340</v>
      </c>
      <c r="E111" s="54">
        <f t="shared" si="32"/>
        <v>442</v>
      </c>
      <c r="F111" s="54">
        <f>4.25*1.3</f>
        <v>5.5250000000000004</v>
      </c>
      <c r="G111" s="54">
        <f>153*1.3</f>
        <v>198.9</v>
      </c>
      <c r="H111" s="44">
        <f>41.42*1.3</f>
        <v>53.846000000000004</v>
      </c>
      <c r="I111" s="44">
        <f t="shared" si="33"/>
        <v>700.27099999999996</v>
      </c>
      <c r="J111" s="44">
        <f t="shared" si="34"/>
        <v>6.8</v>
      </c>
      <c r="K111" s="44">
        <f t="shared" si="35"/>
        <v>5.2520324999999994</v>
      </c>
      <c r="L111" s="44">
        <f t="shared" si="36"/>
        <v>12.5</v>
      </c>
      <c r="M111" s="44">
        <f t="shared" si="37"/>
        <v>100</v>
      </c>
      <c r="N111" s="44">
        <v>4</v>
      </c>
      <c r="O111" s="44">
        <f t="shared" si="38"/>
        <v>14.083333333333334</v>
      </c>
      <c r="P111" s="45">
        <f t="shared" si="39"/>
        <v>59.360252708333327</v>
      </c>
      <c r="Q111" s="45">
        <v>28.33</v>
      </c>
      <c r="R111" s="45">
        <f t="shared" si="40"/>
        <v>29.680126354166664</v>
      </c>
      <c r="S111" s="44">
        <f t="shared" si="41"/>
        <v>4.7927099999999996</v>
      </c>
      <c r="T111" s="44">
        <f t="shared" si="42"/>
        <v>4.7927099999999996</v>
      </c>
      <c r="U111" s="44">
        <f t="shared" si="43"/>
        <v>58.355916666666666</v>
      </c>
      <c r="V111" s="44">
        <f t="shared" si="44"/>
        <v>106.877433</v>
      </c>
      <c r="W111" s="44">
        <f t="shared" si="45"/>
        <v>1135.0955145624998</v>
      </c>
    </row>
    <row r="112" spans="1:23" s="40" customFormat="1" ht="12" x14ac:dyDescent="0.2">
      <c r="A112" s="36">
        <f t="shared" si="46"/>
        <v>86</v>
      </c>
      <c r="B112" s="36" t="s">
        <v>92</v>
      </c>
      <c r="C112" s="36" t="s">
        <v>4</v>
      </c>
      <c r="D112" s="56">
        <v>340</v>
      </c>
      <c r="E112" s="54">
        <f t="shared" si="32"/>
        <v>442</v>
      </c>
      <c r="F112" s="54"/>
      <c r="G112" s="54">
        <f>51*1.3</f>
        <v>66.3</v>
      </c>
      <c r="H112" s="44">
        <f>85.01*1.3</f>
        <v>110.51300000000001</v>
      </c>
      <c r="I112" s="44">
        <f t="shared" si="33"/>
        <v>618.81299999999999</v>
      </c>
      <c r="J112" s="44">
        <f t="shared" si="34"/>
        <v>6.8</v>
      </c>
      <c r="K112" s="44">
        <f t="shared" si="35"/>
        <v>4.6410974999999999</v>
      </c>
      <c r="L112" s="44">
        <f t="shared" si="36"/>
        <v>12.5</v>
      </c>
      <c r="M112" s="44">
        <f t="shared" si="37"/>
        <v>100</v>
      </c>
      <c r="N112" s="44">
        <v>4</v>
      </c>
      <c r="O112" s="44">
        <f t="shared" si="38"/>
        <v>14.083333333333334</v>
      </c>
      <c r="P112" s="45">
        <f t="shared" si="39"/>
        <v>52.52117479166666</v>
      </c>
      <c r="Q112" s="45">
        <v>28.33</v>
      </c>
      <c r="R112" s="45">
        <f t="shared" si="40"/>
        <v>26.26058739583333</v>
      </c>
      <c r="S112" s="44">
        <f t="shared" si="41"/>
        <v>3.9781300000000002</v>
      </c>
      <c r="T112" s="44">
        <f t="shared" si="42"/>
        <v>3.9781300000000002</v>
      </c>
      <c r="U112" s="44">
        <f t="shared" si="43"/>
        <v>51.567749999999997</v>
      </c>
      <c r="V112" s="44">
        <f t="shared" si="44"/>
        <v>88.712299000000002</v>
      </c>
      <c r="W112" s="44">
        <f t="shared" si="45"/>
        <v>1016.1855020208334</v>
      </c>
    </row>
    <row r="113" spans="1:23" s="40" customFormat="1" ht="12" x14ac:dyDescent="0.2">
      <c r="A113" s="36">
        <f t="shared" si="46"/>
        <v>87</v>
      </c>
      <c r="B113" s="36" t="s">
        <v>93</v>
      </c>
      <c r="C113" s="36" t="s">
        <v>4</v>
      </c>
      <c r="D113" s="56">
        <v>340</v>
      </c>
      <c r="E113" s="54">
        <f t="shared" si="32"/>
        <v>442</v>
      </c>
      <c r="F113" s="54"/>
      <c r="G113" s="54">
        <f>93.5*1.3</f>
        <v>121.55</v>
      </c>
      <c r="H113" s="44">
        <f>85.01*1.3</f>
        <v>110.51300000000001</v>
      </c>
      <c r="I113" s="44">
        <f t="shared" si="33"/>
        <v>674.06299999999999</v>
      </c>
      <c r="J113" s="44">
        <f t="shared" si="34"/>
        <v>6.8</v>
      </c>
      <c r="K113" s="44">
        <f t="shared" si="35"/>
        <v>5.0554725000000005</v>
      </c>
      <c r="L113" s="44">
        <f t="shared" si="36"/>
        <v>12.5</v>
      </c>
      <c r="M113" s="44">
        <f t="shared" si="37"/>
        <v>100</v>
      </c>
      <c r="N113" s="44">
        <v>4</v>
      </c>
      <c r="O113" s="44">
        <f t="shared" si="38"/>
        <v>14.083333333333334</v>
      </c>
      <c r="P113" s="45">
        <f t="shared" si="39"/>
        <v>57.159872708333324</v>
      </c>
      <c r="Q113" s="45">
        <v>28.33</v>
      </c>
      <c r="R113" s="45">
        <f t="shared" si="40"/>
        <v>28.579936354166662</v>
      </c>
      <c r="S113" s="44">
        <f t="shared" si="41"/>
        <v>4.5306300000000004</v>
      </c>
      <c r="T113" s="44">
        <f t="shared" si="42"/>
        <v>4.5306300000000004</v>
      </c>
      <c r="U113" s="44">
        <f t="shared" si="43"/>
        <v>56.171916666666668</v>
      </c>
      <c r="V113" s="44">
        <f t="shared" si="44"/>
        <v>101.03304900000001</v>
      </c>
      <c r="W113" s="44">
        <f t="shared" si="45"/>
        <v>1096.8378405624999</v>
      </c>
    </row>
    <row r="114" spans="1:23" s="40" customFormat="1" ht="12" x14ac:dyDescent="0.2">
      <c r="A114" s="36">
        <f t="shared" si="46"/>
        <v>88</v>
      </c>
      <c r="B114" s="36" t="s">
        <v>94</v>
      </c>
      <c r="C114" s="36" t="s">
        <v>4</v>
      </c>
      <c r="D114" s="56">
        <v>340</v>
      </c>
      <c r="E114" s="54">
        <f t="shared" si="32"/>
        <v>442</v>
      </c>
      <c r="F114" s="54"/>
      <c r="G114" s="54">
        <f>104.84*1.3</f>
        <v>136.292</v>
      </c>
      <c r="H114" s="44"/>
      <c r="I114" s="44">
        <f t="shared" si="33"/>
        <v>578.29200000000003</v>
      </c>
      <c r="J114" s="44">
        <f t="shared" si="34"/>
        <v>6.8</v>
      </c>
      <c r="K114" s="44">
        <f t="shared" si="35"/>
        <v>4.3371900000000005</v>
      </c>
      <c r="L114" s="44">
        <f t="shared" si="36"/>
        <v>12.5</v>
      </c>
      <c r="M114" s="44">
        <f t="shared" si="37"/>
        <v>100</v>
      </c>
      <c r="N114" s="44">
        <v>4</v>
      </c>
      <c r="O114" s="44">
        <f t="shared" si="38"/>
        <v>14.083333333333334</v>
      </c>
      <c r="P114" s="45">
        <f t="shared" si="39"/>
        <v>49.119099166666665</v>
      </c>
      <c r="Q114" s="45">
        <v>28.33</v>
      </c>
      <c r="R114" s="45">
        <f t="shared" si="40"/>
        <v>24.559549583333332</v>
      </c>
      <c r="S114" s="44">
        <f t="shared" si="41"/>
        <v>3.5729200000000003</v>
      </c>
      <c r="T114" s="44">
        <f t="shared" si="42"/>
        <v>3.5729200000000003</v>
      </c>
      <c r="U114" s="44">
        <f t="shared" si="43"/>
        <v>48.191000000000003</v>
      </c>
      <c r="V114" s="44">
        <f t="shared" si="44"/>
        <v>79.676116000000007</v>
      </c>
      <c r="W114" s="44">
        <f t="shared" si="45"/>
        <v>957.03412808333326</v>
      </c>
    </row>
    <row r="115" spans="1:23" s="40" customFormat="1" ht="12" x14ac:dyDescent="0.2">
      <c r="A115" s="36">
        <f t="shared" si="46"/>
        <v>89</v>
      </c>
      <c r="B115" s="36" t="s">
        <v>95</v>
      </c>
      <c r="C115" s="36" t="s">
        <v>14</v>
      </c>
      <c r="D115" s="56">
        <v>512.35</v>
      </c>
      <c r="E115" s="54">
        <v>584</v>
      </c>
      <c r="F115" s="54">
        <f>48.03*1.3</f>
        <v>62.439000000000007</v>
      </c>
      <c r="G115" s="54">
        <f>128.09*1.3</f>
        <v>166.517</v>
      </c>
      <c r="H115" s="44"/>
      <c r="I115" s="44">
        <f t="shared" si="33"/>
        <v>812.9559999999999</v>
      </c>
      <c r="J115" s="44">
        <f t="shared" si="34"/>
        <v>6.8</v>
      </c>
      <c r="K115" s="44">
        <f t="shared" si="35"/>
        <v>6.0971700000000002</v>
      </c>
      <c r="L115" s="44">
        <f t="shared" si="36"/>
        <v>12.5</v>
      </c>
      <c r="M115" s="44">
        <f t="shared" si="37"/>
        <v>100</v>
      </c>
      <c r="N115" s="44">
        <v>4</v>
      </c>
      <c r="O115" s="44">
        <f t="shared" si="38"/>
        <v>14.083333333333334</v>
      </c>
      <c r="P115" s="45">
        <f t="shared" si="39"/>
        <v>68.821097499999993</v>
      </c>
      <c r="Q115" s="45">
        <v>28.33</v>
      </c>
      <c r="R115" s="45">
        <f t="shared" si="40"/>
        <v>34.410548749999997</v>
      </c>
      <c r="S115" s="44">
        <f t="shared" si="41"/>
        <v>5.2095599999999989</v>
      </c>
      <c r="T115" s="44">
        <f t="shared" si="42"/>
        <v>5.2095599999999989</v>
      </c>
      <c r="U115" s="44">
        <f t="shared" si="43"/>
        <v>67.746333333333325</v>
      </c>
      <c r="V115" s="44">
        <f t="shared" si="44"/>
        <v>116.17318799999998</v>
      </c>
      <c r="W115" s="44">
        <f t="shared" si="45"/>
        <v>1282.3367909166666</v>
      </c>
    </row>
    <row r="116" spans="1:23" s="40" customFormat="1" ht="12" x14ac:dyDescent="0.2">
      <c r="A116" s="36">
        <f t="shared" si="46"/>
        <v>90</v>
      </c>
      <c r="B116" s="36" t="s">
        <v>96</v>
      </c>
      <c r="C116" s="36" t="s">
        <v>4</v>
      </c>
      <c r="D116" s="56">
        <v>340</v>
      </c>
      <c r="E116" s="54">
        <f t="shared" si="32"/>
        <v>442</v>
      </c>
      <c r="F116" s="54">
        <f>10.63*1.3</f>
        <v>13.819000000000001</v>
      </c>
      <c r="G116" s="54">
        <f>45.33*1.3</f>
        <v>58.929000000000002</v>
      </c>
      <c r="H116" s="44">
        <f>37.59*1.3</f>
        <v>48.867000000000004</v>
      </c>
      <c r="I116" s="44">
        <f t="shared" si="33"/>
        <v>563.61500000000001</v>
      </c>
      <c r="J116" s="44">
        <f t="shared" si="34"/>
        <v>6.8</v>
      </c>
      <c r="K116" s="44">
        <f t="shared" si="35"/>
        <v>4.2271124999999996</v>
      </c>
      <c r="L116" s="44">
        <f t="shared" si="36"/>
        <v>12.5</v>
      </c>
      <c r="M116" s="44">
        <f t="shared" si="37"/>
        <v>100</v>
      </c>
      <c r="N116" s="44">
        <v>4</v>
      </c>
      <c r="O116" s="44">
        <f t="shared" si="38"/>
        <v>14.083333333333334</v>
      </c>
      <c r="P116" s="45">
        <f t="shared" si="39"/>
        <v>47.886842708333326</v>
      </c>
      <c r="Q116" s="45">
        <v>28.33</v>
      </c>
      <c r="R116" s="45">
        <f t="shared" si="40"/>
        <v>23.943421354166663</v>
      </c>
      <c r="S116" s="44">
        <f t="shared" si="41"/>
        <v>3.4261500000000003</v>
      </c>
      <c r="T116" s="44">
        <f t="shared" si="42"/>
        <v>3.4261500000000003</v>
      </c>
      <c r="U116" s="44">
        <f t="shared" si="43"/>
        <v>46.967916666666667</v>
      </c>
      <c r="V116" s="44">
        <f t="shared" si="44"/>
        <v>76.403145000000009</v>
      </c>
      <c r="W116" s="44">
        <f t="shared" si="45"/>
        <v>935.60907156250005</v>
      </c>
    </row>
    <row r="117" spans="1:23" s="40" customFormat="1" ht="12" x14ac:dyDescent="0.2">
      <c r="A117" s="36">
        <f t="shared" si="46"/>
        <v>91</v>
      </c>
      <c r="B117" s="36" t="s">
        <v>97</v>
      </c>
      <c r="C117" s="36" t="s">
        <v>4</v>
      </c>
      <c r="D117" s="56">
        <v>340</v>
      </c>
      <c r="E117" s="54">
        <f t="shared" si="32"/>
        <v>442</v>
      </c>
      <c r="F117" s="54"/>
      <c r="G117" s="54">
        <f>68*1.3</f>
        <v>88.4</v>
      </c>
      <c r="H117" s="44">
        <f>68.52*1.3</f>
        <v>89.075999999999993</v>
      </c>
      <c r="I117" s="44">
        <f t="shared" si="33"/>
        <v>619.476</v>
      </c>
      <c r="J117" s="44">
        <f>(340*1/100)*2</f>
        <v>6.8</v>
      </c>
      <c r="K117" s="44">
        <f>(I117*0.25%)*3</f>
        <v>4.6460699999999999</v>
      </c>
      <c r="L117" s="44">
        <f t="shared" si="36"/>
        <v>12.5</v>
      </c>
      <c r="M117" s="44">
        <f t="shared" si="37"/>
        <v>100</v>
      </c>
      <c r="N117" s="44">
        <v>4</v>
      </c>
      <c r="O117" s="44">
        <f>169/12</f>
        <v>14.083333333333334</v>
      </c>
      <c r="P117" s="45">
        <f t="shared" si="39"/>
        <v>52.576839166666666</v>
      </c>
      <c r="Q117" s="45">
        <v>28.33</v>
      </c>
      <c r="R117" s="45">
        <f t="shared" si="40"/>
        <v>26.288419583333333</v>
      </c>
      <c r="S117" s="44">
        <f>(F117+G117+H117+I117)*0.005</f>
        <v>3.9847600000000001</v>
      </c>
      <c r="T117" s="44">
        <f>(F117+G117+H117+I117)*0.005</f>
        <v>3.9847600000000001</v>
      </c>
      <c r="U117" s="44">
        <f t="shared" si="43"/>
        <v>51.622999999999998</v>
      </c>
      <c r="V117" s="44">
        <f>(F117+G117+H117+I117)*0.1115</f>
        <v>88.860147999999995</v>
      </c>
      <c r="W117" s="44">
        <f t="shared" si="45"/>
        <v>1017.1533300833335</v>
      </c>
    </row>
    <row r="118" spans="1:23" s="40" customFormat="1" ht="12" x14ac:dyDescent="0.2">
      <c r="A118" s="36">
        <f t="shared" si="46"/>
        <v>92</v>
      </c>
      <c r="B118" s="36" t="s">
        <v>98</v>
      </c>
      <c r="C118" s="36" t="s">
        <v>4</v>
      </c>
      <c r="D118" s="56">
        <v>340</v>
      </c>
      <c r="E118" s="54">
        <f t="shared" si="32"/>
        <v>442</v>
      </c>
      <c r="F118" s="54"/>
      <c r="G118" s="54">
        <f>76.5*1.3</f>
        <v>99.45</v>
      </c>
      <c r="H118" s="44">
        <f>85.01*1.3</f>
        <v>110.51300000000001</v>
      </c>
      <c r="I118" s="44">
        <f t="shared" si="33"/>
        <v>651.96300000000008</v>
      </c>
      <c r="J118" s="44">
        <f t="shared" si="34"/>
        <v>6.8</v>
      </c>
      <c r="K118" s="44">
        <f t="shared" ref="K118:K153" si="47">(I118*0.25%)*3</f>
        <v>4.8897225000000013</v>
      </c>
      <c r="L118" s="44">
        <f t="shared" si="36"/>
        <v>12.5</v>
      </c>
      <c r="M118" s="44">
        <f t="shared" si="37"/>
        <v>100</v>
      </c>
      <c r="N118" s="44">
        <v>4</v>
      </c>
      <c r="O118" s="44">
        <f t="shared" si="38"/>
        <v>14.083333333333334</v>
      </c>
      <c r="P118" s="45">
        <f t="shared" si="39"/>
        <v>55.304393541666663</v>
      </c>
      <c r="Q118" s="45">
        <v>28.33</v>
      </c>
      <c r="R118" s="45">
        <f t="shared" si="40"/>
        <v>27.652196770833331</v>
      </c>
      <c r="S118" s="44">
        <f t="shared" ref="S118:S153" si="48">(F118+G118+H118+I118)*0.005</f>
        <v>4.3096300000000012</v>
      </c>
      <c r="T118" s="44">
        <f t="shared" ref="T118:T153" si="49">(F118+G118+H118+I118)*0.005</f>
        <v>4.3096300000000012</v>
      </c>
      <c r="U118" s="44">
        <f t="shared" si="43"/>
        <v>54.330250000000007</v>
      </c>
      <c r="V118" s="44">
        <f t="shared" ref="V118:V153" si="50">(F118+G118+H118+I118)*0.1115</f>
        <v>96.104749000000012</v>
      </c>
      <c r="W118" s="44">
        <f t="shared" si="45"/>
        <v>1064.5769051458333</v>
      </c>
    </row>
    <row r="119" spans="1:23" s="40" customFormat="1" ht="12" x14ac:dyDescent="0.2">
      <c r="A119" s="36">
        <f t="shared" si="46"/>
        <v>93</v>
      </c>
      <c r="B119" s="36" t="s">
        <v>99</v>
      </c>
      <c r="C119" s="36" t="s">
        <v>4</v>
      </c>
      <c r="D119" s="56">
        <v>340</v>
      </c>
      <c r="E119" s="54">
        <f t="shared" si="32"/>
        <v>442</v>
      </c>
      <c r="F119" s="54">
        <f>14.88*1.3</f>
        <v>19.344000000000001</v>
      </c>
      <c r="G119" s="54">
        <f>158.67*1.3</f>
        <v>206.27099999999999</v>
      </c>
      <c r="H119" s="44">
        <f>47.38*1.3</f>
        <v>61.594000000000008</v>
      </c>
      <c r="I119" s="44">
        <f t="shared" si="33"/>
        <v>729.20900000000006</v>
      </c>
      <c r="J119" s="44">
        <f t="shared" si="34"/>
        <v>6.8</v>
      </c>
      <c r="K119" s="44">
        <f t="shared" si="47"/>
        <v>5.4690675000000004</v>
      </c>
      <c r="L119" s="44">
        <f t="shared" si="36"/>
        <v>12.5</v>
      </c>
      <c r="M119" s="44">
        <f t="shared" si="37"/>
        <v>100</v>
      </c>
      <c r="N119" s="44">
        <v>4</v>
      </c>
      <c r="O119" s="44">
        <f t="shared" si="38"/>
        <v>14.083333333333334</v>
      </c>
      <c r="P119" s="45">
        <f t="shared" si="39"/>
        <v>61.789838958333341</v>
      </c>
      <c r="Q119" s="45">
        <v>28.33</v>
      </c>
      <c r="R119" s="45">
        <f t="shared" si="40"/>
        <v>30.894919479166671</v>
      </c>
      <c r="S119" s="44">
        <f t="shared" si="48"/>
        <v>5.0820900000000009</v>
      </c>
      <c r="T119" s="44">
        <f t="shared" si="49"/>
        <v>5.0820900000000009</v>
      </c>
      <c r="U119" s="44">
        <f t="shared" si="43"/>
        <v>60.767416666666669</v>
      </c>
      <c r="V119" s="44">
        <f t="shared" si="50"/>
        <v>113.33060700000001</v>
      </c>
      <c r="W119" s="44">
        <f t="shared" si="45"/>
        <v>1177.3383629375003</v>
      </c>
    </row>
    <row r="120" spans="1:23" s="40" customFormat="1" ht="12" x14ac:dyDescent="0.2">
      <c r="A120" s="36">
        <f t="shared" si="46"/>
        <v>94</v>
      </c>
      <c r="B120" s="36" t="s">
        <v>100</v>
      </c>
      <c r="C120" s="36" t="s">
        <v>101</v>
      </c>
      <c r="D120" s="56">
        <v>500</v>
      </c>
      <c r="E120" s="54">
        <f t="shared" si="32"/>
        <v>650</v>
      </c>
      <c r="F120" s="54">
        <f>9.38*1.3</f>
        <v>12.194000000000001</v>
      </c>
      <c r="G120" s="54">
        <f>66.67*1.3</f>
        <v>86.671000000000006</v>
      </c>
      <c r="H120" s="44"/>
      <c r="I120" s="44">
        <f t="shared" si="33"/>
        <v>748.86500000000001</v>
      </c>
      <c r="J120" s="44">
        <f t="shared" si="34"/>
        <v>6.8</v>
      </c>
      <c r="K120" s="44">
        <f t="shared" si="47"/>
        <v>5.6164874999999999</v>
      </c>
      <c r="L120" s="44">
        <f t="shared" si="36"/>
        <v>12.5</v>
      </c>
      <c r="M120" s="44">
        <f t="shared" si="37"/>
        <v>100</v>
      </c>
      <c r="N120" s="44">
        <v>4</v>
      </c>
      <c r="O120" s="44">
        <f t="shared" si="38"/>
        <v>14.083333333333334</v>
      </c>
      <c r="P120" s="45">
        <f t="shared" si="39"/>
        <v>63.440123958333324</v>
      </c>
      <c r="Q120" s="45">
        <v>28.33</v>
      </c>
      <c r="R120" s="45">
        <f t="shared" si="40"/>
        <v>31.720061979166662</v>
      </c>
      <c r="S120" s="44">
        <f t="shared" si="48"/>
        <v>4.2386499999999998</v>
      </c>
      <c r="T120" s="44">
        <f t="shared" si="49"/>
        <v>4.2386499999999998</v>
      </c>
      <c r="U120" s="44">
        <f t="shared" si="43"/>
        <v>62.405416666666667</v>
      </c>
      <c r="V120" s="44">
        <f t="shared" si="50"/>
        <v>94.521895000000001</v>
      </c>
      <c r="W120" s="44">
        <f t="shared" si="45"/>
        <v>1180.7596184375</v>
      </c>
    </row>
    <row r="121" spans="1:23" s="40" customFormat="1" ht="12" x14ac:dyDescent="0.2">
      <c r="A121" s="36">
        <f t="shared" si="46"/>
        <v>95</v>
      </c>
      <c r="B121" s="36" t="s">
        <v>102</v>
      </c>
      <c r="C121" s="36" t="s">
        <v>4</v>
      </c>
      <c r="D121" s="56">
        <v>340</v>
      </c>
      <c r="E121" s="54">
        <f t="shared" si="32"/>
        <v>442</v>
      </c>
      <c r="F121" s="54">
        <f>8.5*1.3</f>
        <v>11.05</v>
      </c>
      <c r="G121" s="54">
        <f>22.67*1.3</f>
        <v>29.471000000000004</v>
      </c>
      <c r="H121" s="44"/>
      <c r="I121" s="44">
        <f t="shared" si="33"/>
        <v>482.52100000000002</v>
      </c>
      <c r="J121" s="44">
        <f t="shared" si="34"/>
        <v>6.8</v>
      </c>
      <c r="K121" s="44">
        <f t="shared" si="47"/>
        <v>3.6189075000000002</v>
      </c>
      <c r="L121" s="44">
        <f t="shared" si="36"/>
        <v>12.5</v>
      </c>
      <c r="M121" s="44">
        <f t="shared" si="37"/>
        <v>100</v>
      </c>
      <c r="N121" s="44">
        <v>4</v>
      </c>
      <c r="O121" s="44">
        <f t="shared" si="38"/>
        <v>14.083333333333334</v>
      </c>
      <c r="P121" s="45">
        <f t="shared" si="39"/>
        <v>41.078325624999998</v>
      </c>
      <c r="Q121" s="45">
        <v>28.33</v>
      </c>
      <c r="R121" s="45">
        <f t="shared" si="40"/>
        <v>20.539162812499999</v>
      </c>
      <c r="S121" s="44">
        <f t="shared" si="48"/>
        <v>2.6152100000000003</v>
      </c>
      <c r="T121" s="44">
        <f t="shared" si="49"/>
        <v>2.6152100000000003</v>
      </c>
      <c r="U121" s="44">
        <f t="shared" si="43"/>
        <v>40.210083333333337</v>
      </c>
      <c r="V121" s="44">
        <f t="shared" si="50"/>
        <v>58.319183000000002</v>
      </c>
      <c r="W121" s="44">
        <f t="shared" si="45"/>
        <v>817.23041560416686</v>
      </c>
    </row>
    <row r="122" spans="1:23" s="40" customFormat="1" ht="12" x14ac:dyDescent="0.2">
      <c r="A122" s="36">
        <f t="shared" si="46"/>
        <v>96</v>
      </c>
      <c r="B122" s="36" t="s">
        <v>103</v>
      </c>
      <c r="C122" s="36" t="s">
        <v>4</v>
      </c>
      <c r="D122" s="56">
        <v>340</v>
      </c>
      <c r="E122" s="54">
        <f t="shared" si="32"/>
        <v>442</v>
      </c>
      <c r="F122" s="54"/>
      <c r="G122" s="54"/>
      <c r="H122" s="44"/>
      <c r="I122" s="44">
        <f t="shared" si="33"/>
        <v>442</v>
      </c>
      <c r="J122" s="44">
        <f t="shared" si="34"/>
        <v>6.8</v>
      </c>
      <c r="K122" s="44">
        <f t="shared" si="47"/>
        <v>3.3149999999999999</v>
      </c>
      <c r="L122" s="44">
        <f t="shared" si="36"/>
        <v>12.5</v>
      </c>
      <c r="M122" s="44">
        <f t="shared" si="37"/>
        <v>100</v>
      </c>
      <c r="N122" s="44">
        <v>4</v>
      </c>
      <c r="O122" s="44">
        <f t="shared" si="38"/>
        <v>14.083333333333334</v>
      </c>
      <c r="P122" s="45">
        <f t="shared" si="39"/>
        <v>37.676250000000003</v>
      </c>
      <c r="Q122" s="45">
        <v>28.33</v>
      </c>
      <c r="R122" s="45">
        <f t="shared" si="40"/>
        <v>18.838125000000002</v>
      </c>
      <c r="S122" s="44">
        <f t="shared" si="48"/>
        <v>2.21</v>
      </c>
      <c r="T122" s="44">
        <f t="shared" si="49"/>
        <v>2.21</v>
      </c>
      <c r="U122" s="44">
        <f t="shared" si="43"/>
        <v>36.833333333333336</v>
      </c>
      <c r="V122" s="44">
        <f t="shared" si="50"/>
        <v>49.283000000000001</v>
      </c>
      <c r="W122" s="44">
        <f t="shared" si="45"/>
        <v>758.07904166666685</v>
      </c>
    </row>
    <row r="123" spans="1:23" s="40" customFormat="1" ht="12" x14ac:dyDescent="0.2">
      <c r="A123" s="36">
        <f t="shared" si="46"/>
        <v>97</v>
      </c>
      <c r="B123" s="36" t="s">
        <v>104</v>
      </c>
      <c r="C123" s="36" t="s">
        <v>4</v>
      </c>
      <c r="D123" s="56">
        <v>340</v>
      </c>
      <c r="E123" s="54">
        <f t="shared" si="32"/>
        <v>442</v>
      </c>
      <c r="F123" s="54">
        <f>12.75*1.3</f>
        <v>16.574999999999999</v>
      </c>
      <c r="G123" s="54">
        <f>172.84*1.3</f>
        <v>224.69200000000001</v>
      </c>
      <c r="H123" s="44">
        <f>43.78*1.3</f>
        <v>56.914000000000001</v>
      </c>
      <c r="I123" s="44">
        <f t="shared" si="33"/>
        <v>740.18100000000004</v>
      </c>
      <c r="J123" s="44">
        <f t="shared" si="34"/>
        <v>6.8</v>
      </c>
      <c r="K123" s="44">
        <f t="shared" si="47"/>
        <v>5.5513574999999999</v>
      </c>
      <c r="L123" s="44">
        <f t="shared" si="36"/>
        <v>12.5</v>
      </c>
      <c r="M123" s="44">
        <f t="shared" si="37"/>
        <v>100</v>
      </c>
      <c r="N123" s="44">
        <v>4</v>
      </c>
      <c r="O123" s="44">
        <f t="shared" si="38"/>
        <v>14.083333333333334</v>
      </c>
      <c r="P123" s="45">
        <f t="shared" si="39"/>
        <v>62.711029791666668</v>
      </c>
      <c r="Q123" s="45">
        <v>28.33</v>
      </c>
      <c r="R123" s="45">
        <f t="shared" si="40"/>
        <v>31.355514895833334</v>
      </c>
      <c r="S123" s="44">
        <f t="shared" si="48"/>
        <v>5.1918100000000003</v>
      </c>
      <c r="T123" s="44">
        <f t="shared" si="49"/>
        <v>5.1918100000000003</v>
      </c>
      <c r="U123" s="44">
        <f t="shared" si="43"/>
        <v>61.681750000000001</v>
      </c>
      <c r="V123" s="44">
        <f t="shared" si="50"/>
        <v>115.77736300000001</v>
      </c>
      <c r="W123" s="44">
        <f t="shared" si="45"/>
        <v>1193.3549685208334</v>
      </c>
    </row>
    <row r="124" spans="1:23" s="40" customFormat="1" ht="12" x14ac:dyDescent="0.2">
      <c r="A124" s="36">
        <f t="shared" si="46"/>
        <v>98</v>
      </c>
      <c r="B124" s="36" t="s">
        <v>105</v>
      </c>
      <c r="C124" s="36" t="s">
        <v>4</v>
      </c>
      <c r="D124" s="56">
        <v>340</v>
      </c>
      <c r="E124" s="54">
        <f t="shared" si="32"/>
        <v>442</v>
      </c>
      <c r="F124" s="54"/>
      <c r="G124" s="54">
        <f>36.83*1.3</f>
        <v>47.878999999999998</v>
      </c>
      <c r="H124" s="44">
        <f>85.01*1.3</f>
        <v>110.51300000000001</v>
      </c>
      <c r="I124" s="44">
        <f t="shared" si="33"/>
        <v>600.39200000000005</v>
      </c>
      <c r="J124" s="44">
        <f t="shared" si="34"/>
        <v>6.8</v>
      </c>
      <c r="K124" s="44">
        <f t="shared" si="47"/>
        <v>4.5029400000000006</v>
      </c>
      <c r="L124" s="44">
        <f t="shared" si="36"/>
        <v>12.5</v>
      </c>
      <c r="M124" s="44">
        <f t="shared" si="37"/>
        <v>100</v>
      </c>
      <c r="N124" s="44">
        <v>4</v>
      </c>
      <c r="O124" s="44">
        <f t="shared" si="38"/>
        <v>14.083333333333334</v>
      </c>
      <c r="P124" s="45">
        <f t="shared" si="39"/>
        <v>50.974578333333334</v>
      </c>
      <c r="Q124" s="45">
        <v>28.33</v>
      </c>
      <c r="R124" s="45">
        <f t="shared" si="40"/>
        <v>25.487289166666667</v>
      </c>
      <c r="S124" s="44">
        <f t="shared" si="48"/>
        <v>3.7939200000000004</v>
      </c>
      <c r="T124" s="44">
        <f t="shared" si="49"/>
        <v>3.7939200000000004</v>
      </c>
      <c r="U124" s="44">
        <f t="shared" si="43"/>
        <v>50.032666666666671</v>
      </c>
      <c r="V124" s="44">
        <f t="shared" si="50"/>
        <v>84.604416000000015</v>
      </c>
      <c r="W124" s="44">
        <f t="shared" si="45"/>
        <v>989.29506349999986</v>
      </c>
    </row>
    <row r="125" spans="1:23" s="40" customFormat="1" ht="12" x14ac:dyDescent="0.2">
      <c r="A125" s="36">
        <f t="shared" si="46"/>
        <v>99</v>
      </c>
      <c r="B125" s="36" t="s">
        <v>106</v>
      </c>
      <c r="C125" s="36" t="s">
        <v>4</v>
      </c>
      <c r="D125" s="56">
        <v>340</v>
      </c>
      <c r="E125" s="54">
        <f t="shared" si="32"/>
        <v>442</v>
      </c>
      <c r="F125" s="54">
        <f>12.75*1.3</f>
        <v>16.574999999999999</v>
      </c>
      <c r="G125" s="54">
        <f>90.67*1.3</f>
        <v>117.87100000000001</v>
      </c>
      <c r="H125" s="44"/>
      <c r="I125" s="44">
        <f t="shared" si="33"/>
        <v>576.44600000000003</v>
      </c>
      <c r="J125" s="44">
        <f t="shared" si="34"/>
        <v>6.8</v>
      </c>
      <c r="K125" s="44">
        <f t="shared" si="47"/>
        <v>4.3233450000000007</v>
      </c>
      <c r="L125" s="44">
        <f t="shared" si="36"/>
        <v>12.5</v>
      </c>
      <c r="M125" s="44">
        <f t="shared" si="37"/>
        <v>100</v>
      </c>
      <c r="N125" s="44">
        <v>4</v>
      </c>
      <c r="O125" s="44">
        <f t="shared" si="38"/>
        <v>14.083333333333334</v>
      </c>
      <c r="P125" s="45">
        <f t="shared" si="39"/>
        <v>48.964112083333333</v>
      </c>
      <c r="Q125" s="45">
        <v>28.33</v>
      </c>
      <c r="R125" s="45">
        <f t="shared" si="40"/>
        <v>24.482056041666667</v>
      </c>
      <c r="S125" s="44">
        <f t="shared" si="48"/>
        <v>3.5544600000000002</v>
      </c>
      <c r="T125" s="44">
        <f t="shared" si="49"/>
        <v>3.5544600000000002</v>
      </c>
      <c r="U125" s="44">
        <f t="shared" si="43"/>
        <v>48.037166666666671</v>
      </c>
      <c r="V125" s="44">
        <f t="shared" si="50"/>
        <v>79.264458000000005</v>
      </c>
      <c r="W125" s="44">
        <f t="shared" si="45"/>
        <v>954.33939112499991</v>
      </c>
    </row>
    <row r="126" spans="1:23" s="40" customFormat="1" ht="12" x14ac:dyDescent="0.2">
      <c r="A126" s="36">
        <f t="shared" si="46"/>
        <v>100</v>
      </c>
      <c r="B126" s="36" t="s">
        <v>107</v>
      </c>
      <c r="C126" s="36" t="s">
        <v>14</v>
      </c>
      <c r="D126" s="56">
        <v>512.35</v>
      </c>
      <c r="E126" s="54">
        <v>584</v>
      </c>
      <c r="F126" s="54"/>
      <c r="G126" s="54">
        <f>264.72*1.3</f>
        <v>344.13600000000002</v>
      </c>
      <c r="H126" s="44">
        <f>128.08*1.3</f>
        <v>166.50400000000002</v>
      </c>
      <c r="I126" s="44">
        <f t="shared" si="33"/>
        <v>1094.6399999999999</v>
      </c>
      <c r="J126" s="44">
        <f t="shared" si="34"/>
        <v>6.8</v>
      </c>
      <c r="K126" s="44">
        <f t="shared" si="47"/>
        <v>8.2097999999999995</v>
      </c>
      <c r="L126" s="44">
        <f t="shared" si="36"/>
        <v>12.5</v>
      </c>
      <c r="M126" s="44">
        <f t="shared" si="37"/>
        <v>100</v>
      </c>
      <c r="N126" s="44">
        <v>4</v>
      </c>
      <c r="O126" s="44">
        <f t="shared" si="38"/>
        <v>14.083333333333334</v>
      </c>
      <c r="P126" s="45">
        <f t="shared" si="39"/>
        <v>92.470816666666664</v>
      </c>
      <c r="Q126" s="45">
        <v>28.33</v>
      </c>
      <c r="R126" s="45">
        <f t="shared" si="40"/>
        <v>46.235408333333332</v>
      </c>
      <c r="S126" s="44">
        <f t="shared" si="48"/>
        <v>8.0264000000000006</v>
      </c>
      <c r="T126" s="44">
        <f t="shared" si="49"/>
        <v>8.0264000000000006</v>
      </c>
      <c r="U126" s="44">
        <f t="shared" si="43"/>
        <v>91.219999999999985</v>
      </c>
      <c r="V126" s="44">
        <f t="shared" si="50"/>
        <v>178.98872</v>
      </c>
      <c r="W126" s="44">
        <f t="shared" si="45"/>
        <v>1693.530878333333</v>
      </c>
    </row>
    <row r="127" spans="1:23" s="40" customFormat="1" ht="12" x14ac:dyDescent="0.2">
      <c r="A127" s="36">
        <f t="shared" si="46"/>
        <v>101</v>
      </c>
      <c r="B127" s="36" t="s">
        <v>108</v>
      </c>
      <c r="C127" s="36" t="s">
        <v>4</v>
      </c>
      <c r="D127" s="56">
        <v>340</v>
      </c>
      <c r="E127" s="54">
        <f t="shared" si="32"/>
        <v>442</v>
      </c>
      <c r="F127" s="54"/>
      <c r="G127" s="54">
        <f>79.34*1.3</f>
        <v>103.14200000000001</v>
      </c>
      <c r="H127" s="44">
        <f>85.01*1.3</f>
        <v>110.51300000000001</v>
      </c>
      <c r="I127" s="44">
        <f t="shared" si="33"/>
        <v>655.65500000000009</v>
      </c>
      <c r="J127" s="44">
        <f t="shared" si="34"/>
        <v>6.8</v>
      </c>
      <c r="K127" s="44">
        <f t="shared" si="47"/>
        <v>4.9174125000000011</v>
      </c>
      <c r="L127" s="44">
        <f t="shared" si="36"/>
        <v>12.5</v>
      </c>
      <c r="M127" s="44">
        <f t="shared" si="37"/>
        <v>100</v>
      </c>
      <c r="N127" s="44">
        <v>4</v>
      </c>
      <c r="O127" s="44">
        <f t="shared" si="38"/>
        <v>14.083333333333334</v>
      </c>
      <c r="P127" s="45">
        <f t="shared" si="39"/>
        <v>55.614367708333333</v>
      </c>
      <c r="Q127" s="45">
        <v>28.33</v>
      </c>
      <c r="R127" s="45">
        <f t="shared" si="40"/>
        <v>27.807183854166666</v>
      </c>
      <c r="S127" s="44">
        <f t="shared" si="48"/>
        <v>4.3465500000000006</v>
      </c>
      <c r="T127" s="44">
        <f t="shared" si="49"/>
        <v>4.3465500000000006</v>
      </c>
      <c r="U127" s="44">
        <f t="shared" si="43"/>
        <v>54.637916666666676</v>
      </c>
      <c r="V127" s="44">
        <f t="shared" si="50"/>
        <v>96.928065000000018</v>
      </c>
      <c r="W127" s="44">
        <f t="shared" si="45"/>
        <v>1069.9663790625</v>
      </c>
    </row>
    <row r="128" spans="1:23" s="40" customFormat="1" ht="12" x14ac:dyDescent="0.2">
      <c r="A128" s="36">
        <f t="shared" si="46"/>
        <v>102</v>
      </c>
      <c r="B128" s="36" t="s">
        <v>109</v>
      </c>
      <c r="C128" s="36" t="s">
        <v>4</v>
      </c>
      <c r="D128" s="56">
        <v>340</v>
      </c>
      <c r="E128" s="54">
        <f t="shared" si="32"/>
        <v>442</v>
      </c>
      <c r="F128" s="54"/>
      <c r="G128" s="54">
        <f>22.67*1.3</f>
        <v>29.471000000000004</v>
      </c>
      <c r="H128" s="44">
        <f>31.88*1.3</f>
        <v>41.444000000000003</v>
      </c>
      <c r="I128" s="44">
        <f t="shared" si="33"/>
        <v>512.91499999999996</v>
      </c>
      <c r="J128" s="44">
        <f t="shared" si="34"/>
        <v>6.8</v>
      </c>
      <c r="K128" s="44">
        <f t="shared" si="47"/>
        <v>3.8468625000000003</v>
      </c>
      <c r="L128" s="44">
        <f t="shared" si="36"/>
        <v>12.5</v>
      </c>
      <c r="M128" s="44">
        <f t="shared" si="37"/>
        <v>100</v>
      </c>
      <c r="N128" s="44">
        <v>4</v>
      </c>
      <c r="O128" s="44">
        <f t="shared" si="38"/>
        <v>14.083333333333334</v>
      </c>
      <c r="P128" s="45">
        <f t="shared" si="39"/>
        <v>43.630155208333328</v>
      </c>
      <c r="Q128" s="45">
        <v>28.33</v>
      </c>
      <c r="R128" s="45">
        <f t="shared" si="40"/>
        <v>21.815077604166664</v>
      </c>
      <c r="S128" s="44">
        <f t="shared" si="48"/>
        <v>2.9191499999999997</v>
      </c>
      <c r="T128" s="44">
        <f t="shared" si="49"/>
        <v>2.9191499999999997</v>
      </c>
      <c r="U128" s="44">
        <f t="shared" si="43"/>
        <v>42.742916666666666</v>
      </c>
      <c r="V128" s="44">
        <f t="shared" si="50"/>
        <v>65.097044999999994</v>
      </c>
      <c r="W128" s="44">
        <f t="shared" si="45"/>
        <v>861.59869031249991</v>
      </c>
    </row>
    <row r="129" spans="1:23" s="40" customFormat="1" ht="12" x14ac:dyDescent="0.2">
      <c r="A129" s="36">
        <f t="shared" si="46"/>
        <v>103</v>
      </c>
      <c r="B129" s="36" t="s">
        <v>110</v>
      </c>
      <c r="C129" s="36" t="s">
        <v>4</v>
      </c>
      <c r="D129" s="56">
        <v>340</v>
      </c>
      <c r="E129" s="54">
        <f t="shared" si="32"/>
        <v>442</v>
      </c>
      <c r="F129" s="54">
        <f>12.75*1.3</f>
        <v>16.574999999999999</v>
      </c>
      <c r="G129" s="54">
        <f>22.67*1.3</f>
        <v>29.471000000000004</v>
      </c>
      <c r="H129" s="44">
        <f>31.27*1.3</f>
        <v>40.651000000000003</v>
      </c>
      <c r="I129" s="44">
        <f t="shared" si="33"/>
        <v>528.697</v>
      </c>
      <c r="J129" s="44">
        <f t="shared" si="34"/>
        <v>6.8</v>
      </c>
      <c r="K129" s="44">
        <f t="shared" si="47"/>
        <v>3.9652275000000001</v>
      </c>
      <c r="L129" s="44">
        <f t="shared" si="36"/>
        <v>12.5</v>
      </c>
      <c r="M129" s="44">
        <f t="shared" si="37"/>
        <v>100</v>
      </c>
      <c r="N129" s="44">
        <v>4</v>
      </c>
      <c r="O129" s="44">
        <f t="shared" si="38"/>
        <v>14.083333333333334</v>
      </c>
      <c r="P129" s="45">
        <f t="shared" si="39"/>
        <v>44.955185624999991</v>
      </c>
      <c r="Q129" s="45">
        <v>28.33</v>
      </c>
      <c r="R129" s="45">
        <f t="shared" si="40"/>
        <v>22.477592812499996</v>
      </c>
      <c r="S129" s="44">
        <f t="shared" si="48"/>
        <v>3.0769700000000002</v>
      </c>
      <c r="T129" s="44">
        <f t="shared" si="49"/>
        <v>3.0769700000000002</v>
      </c>
      <c r="U129" s="44">
        <f t="shared" si="43"/>
        <v>44.058083333333336</v>
      </c>
      <c r="V129" s="44">
        <f t="shared" si="50"/>
        <v>68.616431000000006</v>
      </c>
      <c r="W129" s="44">
        <f t="shared" si="45"/>
        <v>884.63679360416666</v>
      </c>
    </row>
    <row r="130" spans="1:23" s="40" customFormat="1" ht="12" x14ac:dyDescent="0.2">
      <c r="A130" s="36">
        <f t="shared" si="46"/>
        <v>104</v>
      </c>
      <c r="B130" s="36" t="s">
        <v>111</v>
      </c>
      <c r="C130" s="36" t="s">
        <v>4</v>
      </c>
      <c r="D130" s="56">
        <v>340</v>
      </c>
      <c r="E130" s="54">
        <f t="shared" si="32"/>
        <v>442</v>
      </c>
      <c r="F130" s="54"/>
      <c r="G130" s="54">
        <f>113.34*1.3</f>
        <v>147.34200000000001</v>
      </c>
      <c r="H130" s="44">
        <f>37.76*1.3</f>
        <v>49.088000000000001</v>
      </c>
      <c r="I130" s="44">
        <f t="shared" si="33"/>
        <v>638.42999999999995</v>
      </c>
      <c r="J130" s="44">
        <f t="shared" si="34"/>
        <v>6.8</v>
      </c>
      <c r="K130" s="44">
        <f t="shared" si="47"/>
        <v>4.7882249999999997</v>
      </c>
      <c r="L130" s="44">
        <f t="shared" si="36"/>
        <v>12.5</v>
      </c>
      <c r="M130" s="44">
        <f t="shared" si="37"/>
        <v>100</v>
      </c>
      <c r="N130" s="44">
        <v>4</v>
      </c>
      <c r="O130" s="44">
        <f t="shared" si="38"/>
        <v>14.083333333333334</v>
      </c>
      <c r="P130" s="45">
        <f t="shared" si="39"/>
        <v>54.16818541666666</v>
      </c>
      <c r="Q130" s="45">
        <v>28.33</v>
      </c>
      <c r="R130" s="45">
        <f t="shared" si="40"/>
        <v>27.08409270833333</v>
      </c>
      <c r="S130" s="44">
        <f t="shared" si="48"/>
        <v>4.1742999999999997</v>
      </c>
      <c r="T130" s="44">
        <f t="shared" si="49"/>
        <v>4.1742999999999997</v>
      </c>
      <c r="U130" s="44">
        <f t="shared" si="43"/>
        <v>53.202499999999993</v>
      </c>
      <c r="V130" s="44">
        <f t="shared" si="50"/>
        <v>93.086889999999997</v>
      </c>
      <c r="W130" s="44">
        <f t="shared" si="45"/>
        <v>1044.8218264583334</v>
      </c>
    </row>
    <row r="131" spans="1:23" s="40" customFormat="1" ht="12" x14ac:dyDescent="0.2">
      <c r="A131" s="36">
        <f t="shared" si="46"/>
        <v>105</v>
      </c>
      <c r="B131" s="36" t="s">
        <v>112</v>
      </c>
      <c r="C131" s="36" t="s">
        <v>4</v>
      </c>
      <c r="D131" s="56">
        <v>340</v>
      </c>
      <c r="E131" s="54">
        <f t="shared" si="32"/>
        <v>442</v>
      </c>
      <c r="F131" s="54"/>
      <c r="G131" s="54">
        <f>158.67*1.3</f>
        <v>206.27099999999999</v>
      </c>
      <c r="H131" s="44"/>
      <c r="I131" s="44">
        <f t="shared" si="33"/>
        <v>648.27099999999996</v>
      </c>
      <c r="J131" s="44">
        <f t="shared" si="34"/>
        <v>6.8</v>
      </c>
      <c r="K131" s="44">
        <f t="shared" si="47"/>
        <v>4.8620324999999998</v>
      </c>
      <c r="L131" s="44">
        <f t="shared" si="36"/>
        <v>12.5</v>
      </c>
      <c r="M131" s="44">
        <f t="shared" si="37"/>
        <v>100</v>
      </c>
      <c r="N131" s="44">
        <v>4</v>
      </c>
      <c r="O131" s="44">
        <f t="shared" si="38"/>
        <v>14.083333333333334</v>
      </c>
      <c r="P131" s="45">
        <f t="shared" si="39"/>
        <v>54.994419375</v>
      </c>
      <c r="Q131" s="45">
        <v>28.33</v>
      </c>
      <c r="R131" s="45">
        <f t="shared" si="40"/>
        <v>27.4972096875</v>
      </c>
      <c r="S131" s="44">
        <f t="shared" si="48"/>
        <v>4.27271</v>
      </c>
      <c r="T131" s="44">
        <f t="shared" si="49"/>
        <v>4.27271</v>
      </c>
      <c r="U131" s="44">
        <f t="shared" si="43"/>
        <v>54.02258333333333</v>
      </c>
      <c r="V131" s="44">
        <f t="shared" si="50"/>
        <v>95.281432999999993</v>
      </c>
      <c r="W131" s="44">
        <f t="shared" si="45"/>
        <v>1059.1874312291666</v>
      </c>
    </row>
    <row r="132" spans="1:23" s="40" customFormat="1" ht="12" x14ac:dyDescent="0.2">
      <c r="A132" s="36">
        <f t="shared" si="46"/>
        <v>106</v>
      </c>
      <c r="B132" s="36" t="s">
        <v>113</v>
      </c>
      <c r="C132" s="36" t="s">
        <v>4</v>
      </c>
      <c r="D132" s="56">
        <v>340</v>
      </c>
      <c r="E132" s="54">
        <f t="shared" si="32"/>
        <v>442</v>
      </c>
      <c r="F132" s="54"/>
      <c r="G132" s="54">
        <f>90.67*1.3</f>
        <v>117.87100000000001</v>
      </c>
      <c r="H132" s="44"/>
      <c r="I132" s="44">
        <f t="shared" si="33"/>
        <v>559.87099999999998</v>
      </c>
      <c r="J132" s="44">
        <f t="shared" si="34"/>
        <v>6.8</v>
      </c>
      <c r="K132" s="44">
        <f t="shared" si="47"/>
        <v>4.1990324999999995</v>
      </c>
      <c r="L132" s="44">
        <f t="shared" si="36"/>
        <v>12.5</v>
      </c>
      <c r="M132" s="44">
        <f t="shared" si="37"/>
        <v>100</v>
      </c>
      <c r="N132" s="44">
        <v>4</v>
      </c>
      <c r="O132" s="44">
        <f t="shared" si="38"/>
        <v>14.083333333333334</v>
      </c>
      <c r="P132" s="45">
        <f t="shared" si="39"/>
        <v>47.572502708333332</v>
      </c>
      <c r="Q132" s="45">
        <v>28.33</v>
      </c>
      <c r="R132" s="45">
        <f t="shared" si="40"/>
        <v>23.786251354166666</v>
      </c>
      <c r="S132" s="44">
        <f t="shared" si="48"/>
        <v>3.3887099999999997</v>
      </c>
      <c r="T132" s="44">
        <f t="shared" si="49"/>
        <v>3.3887099999999997</v>
      </c>
      <c r="U132" s="44">
        <f t="shared" si="43"/>
        <v>46.655916666666663</v>
      </c>
      <c r="V132" s="44">
        <f t="shared" si="50"/>
        <v>75.568232999999992</v>
      </c>
      <c r="W132" s="44">
        <f t="shared" si="45"/>
        <v>930.14368956249996</v>
      </c>
    </row>
    <row r="133" spans="1:23" s="40" customFormat="1" ht="12" x14ac:dyDescent="0.2">
      <c r="A133" s="36">
        <f t="shared" si="46"/>
        <v>107</v>
      </c>
      <c r="B133" s="36" t="s">
        <v>114</v>
      </c>
      <c r="C133" s="36" t="s">
        <v>4</v>
      </c>
      <c r="D133" s="56">
        <v>340</v>
      </c>
      <c r="E133" s="54">
        <f t="shared" si="32"/>
        <v>442</v>
      </c>
      <c r="F133" s="54"/>
      <c r="G133" s="54">
        <f>45.33*1.3</f>
        <v>58.929000000000002</v>
      </c>
      <c r="H133" s="44">
        <f>32.1*130</f>
        <v>4173</v>
      </c>
      <c r="I133" s="44">
        <f t="shared" si="33"/>
        <v>4673.9290000000001</v>
      </c>
      <c r="J133" s="44">
        <f t="shared" si="34"/>
        <v>6.8</v>
      </c>
      <c r="K133" s="44">
        <f t="shared" si="47"/>
        <v>35.054467500000001</v>
      </c>
      <c r="L133" s="44">
        <f t="shared" si="36"/>
        <v>12.5</v>
      </c>
      <c r="M133" s="44">
        <f t="shared" si="37"/>
        <v>100</v>
      </c>
      <c r="N133" s="44">
        <v>4</v>
      </c>
      <c r="O133" s="44">
        <f t="shared" si="38"/>
        <v>14.083333333333334</v>
      </c>
      <c r="P133" s="45">
        <f t="shared" si="39"/>
        <v>392.98195562500001</v>
      </c>
      <c r="Q133" s="45">
        <v>28.33</v>
      </c>
      <c r="R133" s="45">
        <f t="shared" si="40"/>
        <v>196.49097781250001</v>
      </c>
      <c r="S133" s="44">
        <f t="shared" si="48"/>
        <v>44.529290000000003</v>
      </c>
      <c r="T133" s="44">
        <f t="shared" si="49"/>
        <v>44.529290000000003</v>
      </c>
      <c r="U133" s="44">
        <f t="shared" si="43"/>
        <v>389.49408333333332</v>
      </c>
      <c r="V133" s="44">
        <f t="shared" si="50"/>
        <v>993.00316700000008</v>
      </c>
      <c r="W133" s="44">
        <f t="shared" si="45"/>
        <v>6935.7255646041676</v>
      </c>
    </row>
    <row r="134" spans="1:23" s="40" customFormat="1" ht="12" x14ac:dyDescent="0.2">
      <c r="A134" s="36">
        <f t="shared" si="46"/>
        <v>108</v>
      </c>
      <c r="B134" s="36" t="s">
        <v>115</v>
      </c>
      <c r="C134" s="36" t="s">
        <v>4</v>
      </c>
      <c r="D134" s="56">
        <v>340</v>
      </c>
      <c r="E134" s="54">
        <f t="shared" si="32"/>
        <v>442</v>
      </c>
      <c r="F134" s="54"/>
      <c r="G134" s="54">
        <f>14.17*1.3</f>
        <v>18.420999999999999</v>
      </c>
      <c r="H134" s="44"/>
      <c r="I134" s="44">
        <f t="shared" si="33"/>
        <v>460.42099999999999</v>
      </c>
      <c r="J134" s="44">
        <f t="shared" si="34"/>
        <v>6.8</v>
      </c>
      <c r="K134" s="44">
        <f t="shared" si="47"/>
        <v>3.4531575000000001</v>
      </c>
      <c r="L134" s="44">
        <f t="shared" si="36"/>
        <v>12.5</v>
      </c>
      <c r="M134" s="44">
        <f t="shared" si="37"/>
        <v>100</v>
      </c>
      <c r="N134" s="44">
        <v>4</v>
      </c>
      <c r="O134" s="44">
        <f t="shared" si="38"/>
        <v>14.083333333333334</v>
      </c>
      <c r="P134" s="45">
        <f t="shared" si="39"/>
        <v>39.222846458333329</v>
      </c>
      <c r="Q134" s="45">
        <v>28.33</v>
      </c>
      <c r="R134" s="45">
        <f t="shared" si="40"/>
        <v>19.611423229166665</v>
      </c>
      <c r="S134" s="44">
        <f t="shared" si="48"/>
        <v>2.3942100000000002</v>
      </c>
      <c r="T134" s="44">
        <f t="shared" si="49"/>
        <v>2.3942100000000002</v>
      </c>
      <c r="U134" s="44">
        <f t="shared" si="43"/>
        <v>38.368416666666668</v>
      </c>
      <c r="V134" s="44">
        <f t="shared" si="50"/>
        <v>53.390883000000002</v>
      </c>
      <c r="W134" s="44">
        <f t="shared" si="45"/>
        <v>784.96948018750027</v>
      </c>
    </row>
    <row r="135" spans="1:23" s="40" customFormat="1" ht="12" x14ac:dyDescent="0.2">
      <c r="A135" s="36">
        <f t="shared" si="46"/>
        <v>109</v>
      </c>
      <c r="B135" s="36" t="s">
        <v>116</v>
      </c>
      <c r="C135" s="36" t="s">
        <v>4</v>
      </c>
      <c r="D135" s="56">
        <v>340</v>
      </c>
      <c r="E135" s="54">
        <f t="shared" si="32"/>
        <v>442</v>
      </c>
      <c r="F135" s="54">
        <f>10.63*1.3</f>
        <v>13.819000000000001</v>
      </c>
      <c r="G135" s="54">
        <f>45.33*1.3</f>
        <v>58.929000000000002</v>
      </c>
      <c r="H135" s="44"/>
      <c r="I135" s="44">
        <f t="shared" si="33"/>
        <v>514.74800000000005</v>
      </c>
      <c r="J135" s="44">
        <f t="shared" si="34"/>
        <v>6.8</v>
      </c>
      <c r="K135" s="44">
        <f t="shared" si="47"/>
        <v>3.8606100000000003</v>
      </c>
      <c r="L135" s="44">
        <f t="shared" si="36"/>
        <v>12.5</v>
      </c>
      <c r="M135" s="44">
        <f t="shared" si="37"/>
        <v>100</v>
      </c>
      <c r="N135" s="44">
        <v>4</v>
      </c>
      <c r="O135" s="44">
        <f t="shared" si="38"/>
        <v>14.083333333333334</v>
      </c>
      <c r="P135" s="45">
        <f t="shared" si="39"/>
        <v>43.784050833333332</v>
      </c>
      <c r="Q135" s="45">
        <v>28.33</v>
      </c>
      <c r="R135" s="45">
        <f t="shared" si="40"/>
        <v>21.892025416666666</v>
      </c>
      <c r="S135" s="44">
        <f t="shared" si="48"/>
        <v>2.9374800000000003</v>
      </c>
      <c r="T135" s="44">
        <f t="shared" si="49"/>
        <v>2.9374800000000003</v>
      </c>
      <c r="U135" s="44">
        <f t="shared" si="43"/>
        <v>42.895666666666671</v>
      </c>
      <c r="V135" s="44">
        <f t="shared" si="50"/>
        <v>65.505804000000012</v>
      </c>
      <c r="W135" s="44">
        <f t="shared" si="45"/>
        <v>864.2744502500002</v>
      </c>
    </row>
    <row r="136" spans="1:23" s="40" customFormat="1" ht="12" x14ac:dyDescent="0.2">
      <c r="A136" s="36">
        <f t="shared" si="46"/>
        <v>110</v>
      </c>
      <c r="B136" s="36" t="s">
        <v>117</v>
      </c>
      <c r="C136" s="36" t="s">
        <v>4</v>
      </c>
      <c r="D136" s="56">
        <v>340</v>
      </c>
      <c r="E136" s="54">
        <f t="shared" si="32"/>
        <v>442</v>
      </c>
      <c r="F136" s="54"/>
      <c r="G136" s="54">
        <f>45.33*1.3</f>
        <v>58.929000000000002</v>
      </c>
      <c r="H136" s="44">
        <f>32.1*1.3</f>
        <v>41.730000000000004</v>
      </c>
      <c r="I136" s="44">
        <f t="shared" si="33"/>
        <v>542.65899999999999</v>
      </c>
      <c r="J136" s="44">
        <f t="shared" si="34"/>
        <v>6.8</v>
      </c>
      <c r="K136" s="44">
        <f t="shared" si="47"/>
        <v>4.0699424999999998</v>
      </c>
      <c r="L136" s="44">
        <f t="shared" si="36"/>
        <v>12.5</v>
      </c>
      <c r="M136" s="44">
        <f t="shared" si="37"/>
        <v>100</v>
      </c>
      <c r="N136" s="44">
        <v>4</v>
      </c>
      <c r="O136" s="44">
        <f t="shared" si="38"/>
        <v>14.083333333333334</v>
      </c>
      <c r="P136" s="45">
        <f t="shared" si="39"/>
        <v>46.127411875</v>
      </c>
      <c r="Q136" s="45">
        <v>28.33</v>
      </c>
      <c r="R136" s="45">
        <f t="shared" si="40"/>
        <v>23.0637059375</v>
      </c>
      <c r="S136" s="44">
        <f t="shared" si="48"/>
        <v>3.2165900000000001</v>
      </c>
      <c r="T136" s="44">
        <f t="shared" si="49"/>
        <v>3.2165900000000001</v>
      </c>
      <c r="U136" s="44">
        <f t="shared" si="43"/>
        <v>45.221583333333335</v>
      </c>
      <c r="V136" s="44">
        <f t="shared" si="50"/>
        <v>71.729956999999999</v>
      </c>
      <c r="W136" s="44">
        <f t="shared" si="45"/>
        <v>905.01811397916674</v>
      </c>
    </row>
    <row r="137" spans="1:23" s="40" customFormat="1" ht="12" x14ac:dyDescent="0.2">
      <c r="A137" s="36">
        <f t="shared" si="46"/>
        <v>111</v>
      </c>
      <c r="B137" s="36" t="s">
        <v>118</v>
      </c>
      <c r="C137" s="36" t="s">
        <v>4</v>
      </c>
      <c r="D137" s="56">
        <v>340</v>
      </c>
      <c r="E137" s="54">
        <f t="shared" si="32"/>
        <v>442</v>
      </c>
      <c r="F137" s="54">
        <f>17*1.3</f>
        <v>22.1</v>
      </c>
      <c r="G137" s="54">
        <f>851.3</f>
        <v>851.3</v>
      </c>
      <c r="H137" s="44"/>
      <c r="I137" s="44">
        <f t="shared" si="33"/>
        <v>1315.4</v>
      </c>
      <c r="J137" s="44">
        <f t="shared" si="34"/>
        <v>6.8</v>
      </c>
      <c r="K137" s="44">
        <f t="shared" si="47"/>
        <v>9.8655000000000008</v>
      </c>
      <c r="L137" s="44">
        <f t="shared" si="36"/>
        <v>12.5</v>
      </c>
      <c r="M137" s="44">
        <f t="shared" si="37"/>
        <v>100</v>
      </c>
      <c r="N137" s="44">
        <v>4</v>
      </c>
      <c r="O137" s="44">
        <f t="shared" si="38"/>
        <v>14.083333333333334</v>
      </c>
      <c r="P137" s="45">
        <f t="shared" si="39"/>
        <v>111.00545833333335</v>
      </c>
      <c r="Q137" s="45">
        <v>28.33</v>
      </c>
      <c r="R137" s="45">
        <f t="shared" si="40"/>
        <v>55.502729166666676</v>
      </c>
      <c r="S137" s="44">
        <f t="shared" si="48"/>
        <v>10.944000000000001</v>
      </c>
      <c r="T137" s="44">
        <f t="shared" si="49"/>
        <v>10.944000000000001</v>
      </c>
      <c r="U137" s="44">
        <f t="shared" si="43"/>
        <v>109.61666666666667</v>
      </c>
      <c r="V137" s="44">
        <f t="shared" si="50"/>
        <v>244.05120000000002</v>
      </c>
      <c r="W137" s="44">
        <f t="shared" si="45"/>
        <v>2033.0428875</v>
      </c>
    </row>
    <row r="138" spans="1:23" s="40" customFormat="1" ht="12" x14ac:dyDescent="0.2">
      <c r="A138" s="36">
        <f t="shared" si="46"/>
        <v>112</v>
      </c>
      <c r="B138" s="36" t="s">
        <v>119</v>
      </c>
      <c r="C138" s="36" t="s">
        <v>4</v>
      </c>
      <c r="D138" s="56">
        <v>340</v>
      </c>
      <c r="E138" s="54">
        <f t="shared" si="32"/>
        <v>442</v>
      </c>
      <c r="F138" s="54">
        <f>14.88*1.3</f>
        <v>19.344000000000001</v>
      </c>
      <c r="G138" s="54">
        <f>107.67*1.3</f>
        <v>139.971</v>
      </c>
      <c r="H138" s="44"/>
      <c r="I138" s="44">
        <f t="shared" si="33"/>
        <v>601.31500000000005</v>
      </c>
      <c r="J138" s="44">
        <f t="shared" si="34"/>
        <v>6.8</v>
      </c>
      <c r="K138" s="44">
        <f t="shared" si="47"/>
        <v>4.5098625000000006</v>
      </c>
      <c r="L138" s="44">
        <f t="shared" si="36"/>
        <v>12.5</v>
      </c>
      <c r="M138" s="44">
        <f t="shared" si="37"/>
        <v>100</v>
      </c>
      <c r="N138" s="44">
        <v>4</v>
      </c>
      <c r="O138" s="44">
        <f t="shared" si="38"/>
        <v>14.083333333333334</v>
      </c>
      <c r="P138" s="45">
        <f t="shared" si="39"/>
        <v>51.052071875000003</v>
      </c>
      <c r="Q138" s="45">
        <v>28.33</v>
      </c>
      <c r="R138" s="45">
        <f t="shared" si="40"/>
        <v>25.526035937500001</v>
      </c>
      <c r="S138" s="44">
        <f t="shared" si="48"/>
        <v>3.8031500000000005</v>
      </c>
      <c r="T138" s="44">
        <f t="shared" si="49"/>
        <v>3.8031500000000005</v>
      </c>
      <c r="U138" s="44">
        <f t="shared" si="43"/>
        <v>50.10958333333334</v>
      </c>
      <c r="V138" s="44">
        <f t="shared" si="50"/>
        <v>84.810245000000009</v>
      </c>
      <c r="W138" s="44">
        <f t="shared" si="45"/>
        <v>990.64243197916676</v>
      </c>
    </row>
    <row r="139" spans="1:23" s="40" customFormat="1" ht="12" x14ac:dyDescent="0.2">
      <c r="A139" s="36">
        <f t="shared" si="46"/>
        <v>113</v>
      </c>
      <c r="B139" s="36" t="s">
        <v>120</v>
      </c>
      <c r="C139" s="36" t="s">
        <v>4</v>
      </c>
      <c r="D139" s="56">
        <v>340</v>
      </c>
      <c r="E139" s="54">
        <f t="shared" si="32"/>
        <v>442</v>
      </c>
      <c r="F139" s="54"/>
      <c r="G139" s="54">
        <f>90.67*1.3</f>
        <v>117.87100000000001</v>
      </c>
      <c r="H139" s="44"/>
      <c r="I139" s="44">
        <f t="shared" si="33"/>
        <v>559.87099999999998</v>
      </c>
      <c r="J139" s="44">
        <f t="shared" si="34"/>
        <v>6.8</v>
      </c>
      <c r="K139" s="44">
        <f t="shared" si="47"/>
        <v>4.1990324999999995</v>
      </c>
      <c r="L139" s="44">
        <f t="shared" si="36"/>
        <v>12.5</v>
      </c>
      <c r="M139" s="44">
        <f t="shared" si="37"/>
        <v>100</v>
      </c>
      <c r="N139" s="44">
        <v>4</v>
      </c>
      <c r="O139" s="44">
        <f t="shared" si="38"/>
        <v>14.083333333333334</v>
      </c>
      <c r="P139" s="45">
        <f t="shared" si="39"/>
        <v>47.572502708333332</v>
      </c>
      <c r="Q139" s="45">
        <v>28.33</v>
      </c>
      <c r="R139" s="45">
        <f t="shared" si="40"/>
        <v>23.786251354166666</v>
      </c>
      <c r="S139" s="44">
        <f t="shared" si="48"/>
        <v>3.3887099999999997</v>
      </c>
      <c r="T139" s="44">
        <f t="shared" si="49"/>
        <v>3.3887099999999997</v>
      </c>
      <c r="U139" s="44">
        <f t="shared" si="43"/>
        <v>46.655916666666663</v>
      </c>
      <c r="V139" s="44">
        <f t="shared" si="50"/>
        <v>75.568232999999992</v>
      </c>
      <c r="W139" s="44">
        <f t="shared" si="45"/>
        <v>930.14368956249996</v>
      </c>
    </row>
    <row r="140" spans="1:23" s="40" customFormat="1" ht="12" x14ac:dyDescent="0.2">
      <c r="A140" s="36">
        <f t="shared" si="46"/>
        <v>114</v>
      </c>
      <c r="B140" s="36" t="s">
        <v>121</v>
      </c>
      <c r="C140" s="36" t="s">
        <v>14</v>
      </c>
      <c r="D140" s="56">
        <v>512.35</v>
      </c>
      <c r="E140" s="54">
        <v>584</v>
      </c>
      <c r="F140" s="54">
        <f>3.2*1.3</f>
        <v>4.16</v>
      </c>
      <c r="G140" s="54">
        <f>25.62*1.3</f>
        <v>33.306000000000004</v>
      </c>
      <c r="H140" s="44">
        <f>45.08*1.3</f>
        <v>58.603999999999999</v>
      </c>
      <c r="I140" s="44">
        <f t="shared" si="33"/>
        <v>680.07</v>
      </c>
      <c r="J140" s="44">
        <f t="shared" si="34"/>
        <v>6.8</v>
      </c>
      <c r="K140" s="44">
        <f t="shared" si="47"/>
        <v>5.1005250000000011</v>
      </c>
      <c r="L140" s="44">
        <f t="shared" si="36"/>
        <v>12.5</v>
      </c>
      <c r="M140" s="44">
        <f t="shared" si="37"/>
        <v>100</v>
      </c>
      <c r="N140" s="44">
        <v>4</v>
      </c>
      <c r="O140" s="44">
        <f t="shared" si="38"/>
        <v>14.083333333333334</v>
      </c>
      <c r="P140" s="45">
        <f t="shared" si="39"/>
        <v>57.664210416666663</v>
      </c>
      <c r="Q140" s="45">
        <v>28.33</v>
      </c>
      <c r="R140" s="45">
        <f t="shared" si="40"/>
        <v>28.832105208333331</v>
      </c>
      <c r="S140" s="44">
        <f t="shared" si="48"/>
        <v>3.8807000000000005</v>
      </c>
      <c r="T140" s="44">
        <f t="shared" si="49"/>
        <v>3.8807000000000005</v>
      </c>
      <c r="U140" s="44">
        <f t="shared" si="43"/>
        <v>56.672500000000007</v>
      </c>
      <c r="V140" s="44">
        <f t="shared" si="50"/>
        <v>86.53961000000001</v>
      </c>
      <c r="W140" s="44">
        <f t="shared" si="45"/>
        <v>1088.3536839583335</v>
      </c>
    </row>
    <row r="141" spans="1:23" s="40" customFormat="1" ht="12" x14ac:dyDescent="0.2">
      <c r="A141" s="36">
        <f t="shared" si="46"/>
        <v>115</v>
      </c>
      <c r="B141" s="36" t="s">
        <v>122</v>
      </c>
      <c r="C141" s="36" t="s">
        <v>4</v>
      </c>
      <c r="D141" s="56">
        <v>340</v>
      </c>
      <c r="E141" s="54">
        <f t="shared" si="32"/>
        <v>442</v>
      </c>
      <c r="F141" s="54">
        <f>14.88*1.3</f>
        <v>19.344000000000001</v>
      </c>
      <c r="G141" s="54">
        <f>68*1.3</f>
        <v>88.4</v>
      </c>
      <c r="H141" s="44">
        <f>31.45*1.3</f>
        <v>40.884999999999998</v>
      </c>
      <c r="I141" s="44">
        <f t="shared" si="33"/>
        <v>590.62900000000002</v>
      </c>
      <c r="J141" s="44">
        <f t="shared" si="34"/>
        <v>6.8</v>
      </c>
      <c r="K141" s="44">
        <f t="shared" si="47"/>
        <v>4.4297175000000006</v>
      </c>
      <c r="L141" s="44">
        <f t="shared" si="36"/>
        <v>12.5</v>
      </c>
      <c r="M141" s="44">
        <f t="shared" si="37"/>
        <v>100</v>
      </c>
      <c r="N141" s="44">
        <v>4</v>
      </c>
      <c r="O141" s="44">
        <f t="shared" si="38"/>
        <v>14.083333333333334</v>
      </c>
      <c r="P141" s="45">
        <f t="shared" si="39"/>
        <v>50.154893125000001</v>
      </c>
      <c r="Q141" s="45">
        <v>28.33</v>
      </c>
      <c r="R141" s="45">
        <f t="shared" si="40"/>
        <v>25.0774465625</v>
      </c>
      <c r="S141" s="44">
        <f t="shared" si="48"/>
        <v>3.6962900000000003</v>
      </c>
      <c r="T141" s="44">
        <f t="shared" si="49"/>
        <v>3.6962900000000003</v>
      </c>
      <c r="U141" s="44">
        <f t="shared" si="43"/>
        <v>49.219083333333337</v>
      </c>
      <c r="V141" s="44">
        <f t="shared" si="50"/>
        <v>82.427267000000001</v>
      </c>
      <c r="W141" s="44">
        <f t="shared" si="45"/>
        <v>975.04332085416672</v>
      </c>
    </row>
    <row r="142" spans="1:23" s="40" customFormat="1" ht="12" x14ac:dyDescent="0.2">
      <c r="A142" s="36">
        <f t="shared" si="46"/>
        <v>116</v>
      </c>
      <c r="B142" s="36" t="s">
        <v>123</v>
      </c>
      <c r="C142" s="36" t="s">
        <v>4</v>
      </c>
      <c r="D142" s="56">
        <v>340</v>
      </c>
      <c r="E142" s="54">
        <f t="shared" si="32"/>
        <v>442</v>
      </c>
      <c r="F142" s="54"/>
      <c r="G142" s="54">
        <f>158.67*1.3</f>
        <v>206.27099999999999</v>
      </c>
      <c r="H142" s="44"/>
      <c r="I142" s="44">
        <f t="shared" si="33"/>
        <v>648.27099999999996</v>
      </c>
      <c r="J142" s="44">
        <f t="shared" si="34"/>
        <v>6.8</v>
      </c>
      <c r="K142" s="44">
        <f t="shared" si="47"/>
        <v>4.8620324999999998</v>
      </c>
      <c r="L142" s="44">
        <f t="shared" si="36"/>
        <v>12.5</v>
      </c>
      <c r="M142" s="44">
        <f t="shared" si="37"/>
        <v>100</v>
      </c>
      <c r="N142" s="44">
        <v>4</v>
      </c>
      <c r="O142" s="44">
        <f t="shared" si="38"/>
        <v>14.083333333333334</v>
      </c>
      <c r="P142" s="45">
        <f t="shared" si="39"/>
        <v>54.994419375</v>
      </c>
      <c r="Q142" s="45">
        <v>28.33</v>
      </c>
      <c r="R142" s="45">
        <f t="shared" si="40"/>
        <v>27.4972096875</v>
      </c>
      <c r="S142" s="44">
        <f t="shared" si="48"/>
        <v>4.27271</v>
      </c>
      <c r="T142" s="44">
        <f t="shared" si="49"/>
        <v>4.27271</v>
      </c>
      <c r="U142" s="44">
        <f t="shared" si="43"/>
        <v>54.02258333333333</v>
      </c>
      <c r="V142" s="44">
        <f t="shared" si="50"/>
        <v>95.281432999999993</v>
      </c>
      <c r="W142" s="44">
        <f t="shared" si="45"/>
        <v>1059.1874312291666</v>
      </c>
    </row>
    <row r="143" spans="1:23" s="40" customFormat="1" ht="12" x14ac:dyDescent="0.2">
      <c r="A143" s="36">
        <f t="shared" si="46"/>
        <v>117</v>
      </c>
      <c r="B143" s="36" t="s">
        <v>124</v>
      </c>
      <c r="C143" s="36" t="s">
        <v>4</v>
      </c>
      <c r="D143" s="56">
        <v>340</v>
      </c>
      <c r="E143" s="54">
        <f t="shared" si="32"/>
        <v>442</v>
      </c>
      <c r="F143" s="54">
        <f>12.75*1.3</f>
        <v>16.574999999999999</v>
      </c>
      <c r="G143" s="54">
        <f>113.34*1.3</f>
        <v>147.34200000000001</v>
      </c>
      <c r="H143" s="44">
        <f>38.83*1.3</f>
        <v>50.478999999999999</v>
      </c>
      <c r="I143" s="44">
        <f t="shared" si="33"/>
        <v>656.39600000000007</v>
      </c>
      <c r="J143" s="44">
        <f t="shared" si="34"/>
        <v>6.8</v>
      </c>
      <c r="K143" s="44">
        <f t="shared" si="47"/>
        <v>4.9229700000000003</v>
      </c>
      <c r="L143" s="44">
        <f t="shared" si="36"/>
        <v>12.5</v>
      </c>
      <c r="M143" s="44">
        <f t="shared" si="37"/>
        <v>100</v>
      </c>
      <c r="N143" s="44">
        <v>4</v>
      </c>
      <c r="O143" s="44">
        <f t="shared" si="38"/>
        <v>14.083333333333334</v>
      </c>
      <c r="P143" s="45">
        <f t="shared" si="39"/>
        <v>55.676580833333333</v>
      </c>
      <c r="Q143" s="45">
        <v>28.33</v>
      </c>
      <c r="R143" s="45">
        <f t="shared" si="40"/>
        <v>27.838290416666666</v>
      </c>
      <c r="S143" s="44">
        <f t="shared" si="48"/>
        <v>4.3539600000000007</v>
      </c>
      <c r="T143" s="44">
        <f t="shared" si="49"/>
        <v>4.3539600000000007</v>
      </c>
      <c r="U143" s="44">
        <f t="shared" si="43"/>
        <v>54.699666666666673</v>
      </c>
      <c r="V143" s="44">
        <f t="shared" si="50"/>
        <v>97.093308000000022</v>
      </c>
      <c r="W143" s="44">
        <f t="shared" si="45"/>
        <v>1071.04806925</v>
      </c>
    </row>
    <row r="144" spans="1:23" s="40" customFormat="1" ht="12" x14ac:dyDescent="0.2">
      <c r="A144" s="36">
        <f t="shared" si="46"/>
        <v>118</v>
      </c>
      <c r="B144" s="36" t="s">
        <v>125</v>
      </c>
      <c r="C144" s="36" t="s">
        <v>4</v>
      </c>
      <c r="D144" s="56">
        <v>340</v>
      </c>
      <c r="E144" s="54">
        <f t="shared" si="32"/>
        <v>442</v>
      </c>
      <c r="F144" s="54"/>
      <c r="G144" s="54">
        <f>45.33*1.3</f>
        <v>58.929000000000002</v>
      </c>
      <c r="H144" s="44">
        <f>124.19*1.3</f>
        <v>161.447</v>
      </c>
      <c r="I144" s="44">
        <f t="shared" si="33"/>
        <v>662.37599999999998</v>
      </c>
      <c r="J144" s="44">
        <f t="shared" si="34"/>
        <v>6.8</v>
      </c>
      <c r="K144" s="44">
        <f t="shared" si="47"/>
        <v>4.9678199999999997</v>
      </c>
      <c r="L144" s="44">
        <f t="shared" si="36"/>
        <v>12.5</v>
      </c>
      <c r="M144" s="44">
        <f t="shared" si="37"/>
        <v>100</v>
      </c>
      <c r="N144" s="44">
        <v>4</v>
      </c>
      <c r="O144" s="44">
        <f t="shared" si="38"/>
        <v>14.083333333333334</v>
      </c>
      <c r="P144" s="45">
        <f t="shared" si="39"/>
        <v>56.17865166666666</v>
      </c>
      <c r="Q144" s="45">
        <v>28.33</v>
      </c>
      <c r="R144" s="45">
        <f t="shared" si="40"/>
        <v>28.08932583333333</v>
      </c>
      <c r="S144" s="44">
        <f t="shared" si="48"/>
        <v>4.4137599999999999</v>
      </c>
      <c r="T144" s="44">
        <f t="shared" si="49"/>
        <v>4.4137599999999999</v>
      </c>
      <c r="U144" s="44">
        <f t="shared" si="43"/>
        <v>55.198</v>
      </c>
      <c r="V144" s="44">
        <f t="shared" si="50"/>
        <v>98.426847999999993</v>
      </c>
      <c r="W144" s="44">
        <f t="shared" si="45"/>
        <v>1079.7774988333333</v>
      </c>
    </row>
    <row r="145" spans="1:23" s="40" customFormat="1" ht="12" x14ac:dyDescent="0.2">
      <c r="A145" s="36">
        <f t="shared" si="46"/>
        <v>119</v>
      </c>
      <c r="B145" s="36" t="s">
        <v>126</v>
      </c>
      <c r="C145" s="36" t="s">
        <v>4</v>
      </c>
      <c r="D145" s="56">
        <v>340</v>
      </c>
      <c r="E145" s="54">
        <f t="shared" si="32"/>
        <v>442</v>
      </c>
      <c r="F145" s="54"/>
      <c r="G145" s="54">
        <f>113.34*1.3</f>
        <v>147.34200000000001</v>
      </c>
      <c r="H145" s="44">
        <f>129.85*1.3</f>
        <v>168.80500000000001</v>
      </c>
      <c r="I145" s="44">
        <f t="shared" si="33"/>
        <v>758.14699999999993</v>
      </c>
      <c r="J145" s="44">
        <f t="shared" si="34"/>
        <v>6.8</v>
      </c>
      <c r="K145" s="44">
        <f t="shared" si="47"/>
        <v>5.6861024999999996</v>
      </c>
      <c r="L145" s="44">
        <f t="shared" si="36"/>
        <v>12.5</v>
      </c>
      <c r="M145" s="44">
        <f t="shared" si="37"/>
        <v>100</v>
      </c>
      <c r="N145" s="44">
        <v>4</v>
      </c>
      <c r="O145" s="44">
        <f t="shared" si="38"/>
        <v>14.083333333333334</v>
      </c>
      <c r="P145" s="45">
        <f t="shared" si="39"/>
        <v>64.21942520833332</v>
      </c>
      <c r="Q145" s="45">
        <v>28.33</v>
      </c>
      <c r="R145" s="45">
        <f t="shared" si="40"/>
        <v>32.10971260416666</v>
      </c>
      <c r="S145" s="44">
        <f t="shared" si="48"/>
        <v>5.3714699999999995</v>
      </c>
      <c r="T145" s="44">
        <f t="shared" si="49"/>
        <v>5.3714699999999995</v>
      </c>
      <c r="U145" s="44">
        <f t="shared" si="43"/>
        <v>63.178916666666659</v>
      </c>
      <c r="V145" s="44">
        <f t="shared" si="50"/>
        <v>119.78378099999999</v>
      </c>
      <c r="W145" s="44">
        <f t="shared" si="45"/>
        <v>1219.5812113125</v>
      </c>
    </row>
    <row r="146" spans="1:23" s="40" customFormat="1" ht="12" x14ac:dyDescent="0.2">
      <c r="A146" s="36">
        <f t="shared" si="46"/>
        <v>120</v>
      </c>
      <c r="B146" s="36" t="s">
        <v>127</v>
      </c>
      <c r="C146" s="36" t="s">
        <v>14</v>
      </c>
      <c r="D146" s="56">
        <v>512.35</v>
      </c>
      <c r="E146" s="54">
        <v>584</v>
      </c>
      <c r="F146" s="54">
        <f>32.02*1.3</f>
        <v>41.626000000000005</v>
      </c>
      <c r="G146" s="54">
        <f>59.77*1.3</f>
        <v>77.701000000000008</v>
      </c>
      <c r="H146" s="44">
        <f>50.32*1.3</f>
        <v>65.415999999999997</v>
      </c>
      <c r="I146" s="44">
        <f t="shared" si="33"/>
        <v>768.74299999999994</v>
      </c>
      <c r="J146" s="44">
        <f t="shared" si="34"/>
        <v>6.8</v>
      </c>
      <c r="K146" s="44">
        <f t="shared" si="47"/>
        <v>5.7655724999999993</v>
      </c>
      <c r="L146" s="44">
        <f t="shared" si="36"/>
        <v>12.5</v>
      </c>
      <c r="M146" s="44">
        <f t="shared" si="37"/>
        <v>100</v>
      </c>
      <c r="N146" s="44">
        <v>4</v>
      </c>
      <c r="O146" s="44">
        <f t="shared" si="38"/>
        <v>14.083333333333334</v>
      </c>
      <c r="P146" s="45">
        <f t="shared" si="39"/>
        <v>65.109047708333321</v>
      </c>
      <c r="Q146" s="45">
        <v>28.33</v>
      </c>
      <c r="R146" s="45">
        <f t="shared" si="40"/>
        <v>32.554523854166661</v>
      </c>
      <c r="S146" s="44">
        <f t="shared" si="48"/>
        <v>4.7674299999999992</v>
      </c>
      <c r="T146" s="44">
        <f t="shared" si="49"/>
        <v>4.7674299999999992</v>
      </c>
      <c r="U146" s="44">
        <f t="shared" si="43"/>
        <v>64.061916666666662</v>
      </c>
      <c r="V146" s="44">
        <f t="shared" si="50"/>
        <v>106.31368899999998</v>
      </c>
      <c r="W146" s="44">
        <f t="shared" si="45"/>
        <v>1217.7959430625001</v>
      </c>
    </row>
    <row r="147" spans="1:23" s="40" customFormat="1" ht="12" x14ac:dyDescent="0.2">
      <c r="A147" s="36">
        <f t="shared" si="46"/>
        <v>121</v>
      </c>
      <c r="B147" s="36" t="s">
        <v>128</v>
      </c>
      <c r="C147" s="36" t="s">
        <v>4</v>
      </c>
      <c r="D147" s="56">
        <v>340</v>
      </c>
      <c r="E147" s="54">
        <f t="shared" si="32"/>
        <v>442</v>
      </c>
      <c r="F147" s="54"/>
      <c r="G147" s="54">
        <f>90.67*1.3</f>
        <v>117.87100000000001</v>
      </c>
      <c r="H147" s="44"/>
      <c r="I147" s="44">
        <f t="shared" si="33"/>
        <v>559.87099999999998</v>
      </c>
      <c r="J147" s="44">
        <f t="shared" si="34"/>
        <v>6.8</v>
      </c>
      <c r="K147" s="44">
        <f t="shared" si="47"/>
        <v>4.1990324999999995</v>
      </c>
      <c r="L147" s="44">
        <f t="shared" si="36"/>
        <v>12.5</v>
      </c>
      <c r="M147" s="44">
        <f t="shared" si="37"/>
        <v>100</v>
      </c>
      <c r="N147" s="44">
        <v>4</v>
      </c>
      <c r="O147" s="44">
        <f t="shared" si="38"/>
        <v>14.083333333333334</v>
      </c>
      <c r="P147" s="45">
        <f t="shared" si="39"/>
        <v>47.572502708333332</v>
      </c>
      <c r="Q147" s="45">
        <v>28.33</v>
      </c>
      <c r="R147" s="45">
        <f t="shared" si="40"/>
        <v>23.786251354166666</v>
      </c>
      <c r="S147" s="44">
        <f t="shared" si="48"/>
        <v>3.3887099999999997</v>
      </c>
      <c r="T147" s="44">
        <f t="shared" si="49"/>
        <v>3.3887099999999997</v>
      </c>
      <c r="U147" s="44">
        <f t="shared" si="43"/>
        <v>46.655916666666663</v>
      </c>
      <c r="V147" s="44">
        <f t="shared" si="50"/>
        <v>75.568232999999992</v>
      </c>
      <c r="W147" s="44">
        <f t="shared" si="45"/>
        <v>930.14368956249996</v>
      </c>
    </row>
    <row r="148" spans="1:23" s="40" customFormat="1" ht="12" x14ac:dyDescent="0.2">
      <c r="A148" s="36">
        <f t="shared" si="46"/>
        <v>122</v>
      </c>
      <c r="B148" s="36" t="s">
        <v>129</v>
      </c>
      <c r="C148" s="36" t="s">
        <v>14</v>
      </c>
      <c r="D148" s="56">
        <v>512.35</v>
      </c>
      <c r="E148" s="54">
        <v>584</v>
      </c>
      <c r="F148" s="54">
        <f>76.85*1.3</f>
        <v>99.905000000000001</v>
      </c>
      <c r="G148" s="54">
        <f>170.78*1.3</f>
        <v>222.01400000000001</v>
      </c>
      <c r="H148" s="44"/>
      <c r="I148" s="44">
        <f t="shared" si="33"/>
        <v>905.91899999999998</v>
      </c>
      <c r="J148" s="44">
        <f t="shared" si="34"/>
        <v>6.8</v>
      </c>
      <c r="K148" s="44">
        <f t="shared" si="47"/>
        <v>6.7943924999999989</v>
      </c>
      <c r="L148" s="44">
        <f t="shared" si="36"/>
        <v>12.5</v>
      </c>
      <c r="M148" s="44">
        <f t="shared" si="37"/>
        <v>100</v>
      </c>
      <c r="N148" s="44">
        <v>4</v>
      </c>
      <c r="O148" s="44">
        <f t="shared" si="38"/>
        <v>14.083333333333334</v>
      </c>
      <c r="P148" s="45">
        <f t="shared" si="39"/>
        <v>76.626116041666663</v>
      </c>
      <c r="Q148" s="45">
        <v>28.33</v>
      </c>
      <c r="R148" s="45">
        <f t="shared" si="40"/>
        <v>38.313058020833331</v>
      </c>
      <c r="S148" s="44">
        <f t="shared" si="48"/>
        <v>6.1391900000000001</v>
      </c>
      <c r="T148" s="44">
        <f t="shared" si="49"/>
        <v>6.1391900000000001</v>
      </c>
      <c r="U148" s="44">
        <f t="shared" si="43"/>
        <v>75.493250000000003</v>
      </c>
      <c r="V148" s="44">
        <f t="shared" si="50"/>
        <v>136.90393699999998</v>
      </c>
      <c r="W148" s="44">
        <f t="shared" si="45"/>
        <v>1418.0414668958333</v>
      </c>
    </row>
    <row r="149" spans="1:23" s="40" customFormat="1" ht="12" x14ac:dyDescent="0.2">
      <c r="A149" s="36">
        <f t="shared" si="46"/>
        <v>123</v>
      </c>
      <c r="B149" s="36" t="s">
        <v>130</v>
      </c>
      <c r="C149" s="36" t="s">
        <v>4</v>
      </c>
      <c r="D149" s="56">
        <v>340</v>
      </c>
      <c r="E149" s="54">
        <f t="shared" si="32"/>
        <v>442</v>
      </c>
      <c r="F149" s="54"/>
      <c r="G149" s="54"/>
      <c r="H149" s="44"/>
      <c r="I149" s="44">
        <f t="shared" si="33"/>
        <v>442</v>
      </c>
      <c r="J149" s="44">
        <f t="shared" si="34"/>
        <v>6.8</v>
      </c>
      <c r="K149" s="44">
        <f t="shared" si="47"/>
        <v>3.3149999999999999</v>
      </c>
      <c r="L149" s="44">
        <f t="shared" si="36"/>
        <v>12.5</v>
      </c>
      <c r="M149" s="44">
        <f t="shared" si="37"/>
        <v>100</v>
      </c>
      <c r="N149" s="44">
        <v>4</v>
      </c>
      <c r="O149" s="44">
        <f t="shared" si="38"/>
        <v>14.083333333333334</v>
      </c>
      <c r="P149" s="45">
        <f t="shared" si="39"/>
        <v>37.676250000000003</v>
      </c>
      <c r="Q149" s="45">
        <v>28.33</v>
      </c>
      <c r="R149" s="45">
        <f t="shared" si="40"/>
        <v>18.838125000000002</v>
      </c>
      <c r="S149" s="44">
        <f t="shared" si="48"/>
        <v>2.21</v>
      </c>
      <c r="T149" s="44">
        <f t="shared" si="49"/>
        <v>2.21</v>
      </c>
      <c r="U149" s="44">
        <f t="shared" si="43"/>
        <v>36.833333333333336</v>
      </c>
      <c r="V149" s="44">
        <f t="shared" si="50"/>
        <v>49.283000000000001</v>
      </c>
      <c r="W149" s="44">
        <f t="shared" si="45"/>
        <v>758.07904166666685</v>
      </c>
    </row>
    <row r="150" spans="1:23" s="40" customFormat="1" ht="12" x14ac:dyDescent="0.2">
      <c r="A150" s="36">
        <f t="shared" si="46"/>
        <v>124</v>
      </c>
      <c r="B150" s="36" t="s">
        <v>131</v>
      </c>
      <c r="C150" s="36" t="s">
        <v>4</v>
      </c>
      <c r="D150" s="56">
        <v>340</v>
      </c>
      <c r="E150" s="54">
        <f t="shared" si="32"/>
        <v>442</v>
      </c>
      <c r="F150" s="54">
        <f>4.25*1.3</f>
        <v>5.5250000000000004</v>
      </c>
      <c r="G150" s="54">
        <f>681.3</f>
        <v>681.3</v>
      </c>
      <c r="H150" s="44"/>
      <c r="I150" s="44">
        <f t="shared" si="33"/>
        <v>1128.8249999999998</v>
      </c>
      <c r="J150" s="44">
        <f t="shared" si="34"/>
        <v>6.8</v>
      </c>
      <c r="K150" s="44">
        <f t="shared" si="47"/>
        <v>8.4661874999999984</v>
      </c>
      <c r="L150" s="44">
        <f t="shared" si="36"/>
        <v>12.5</v>
      </c>
      <c r="M150" s="44">
        <f t="shared" si="37"/>
        <v>100</v>
      </c>
      <c r="N150" s="44">
        <v>4</v>
      </c>
      <c r="O150" s="44">
        <f t="shared" si="38"/>
        <v>14.083333333333334</v>
      </c>
      <c r="P150" s="45">
        <f t="shared" si="39"/>
        <v>95.340932291666647</v>
      </c>
      <c r="Q150" s="45">
        <v>28.33</v>
      </c>
      <c r="R150" s="45">
        <f t="shared" si="40"/>
        <v>47.670466145833323</v>
      </c>
      <c r="S150" s="44">
        <f t="shared" si="48"/>
        <v>9.0782499999999988</v>
      </c>
      <c r="T150" s="44">
        <f t="shared" si="49"/>
        <v>9.0782499999999988</v>
      </c>
      <c r="U150" s="44">
        <f t="shared" si="43"/>
        <v>94.06874999999998</v>
      </c>
      <c r="V150" s="44">
        <f t="shared" si="50"/>
        <v>202.44497499999997</v>
      </c>
      <c r="W150" s="44">
        <f t="shared" si="45"/>
        <v>1760.6861442708328</v>
      </c>
    </row>
    <row r="151" spans="1:23" s="40" customFormat="1" ht="12" x14ac:dyDescent="0.2">
      <c r="A151" s="36">
        <f t="shared" si="46"/>
        <v>125</v>
      </c>
      <c r="B151" s="36" t="s">
        <v>132</v>
      </c>
      <c r="C151" s="36" t="s">
        <v>4</v>
      </c>
      <c r="D151" s="56">
        <v>340</v>
      </c>
      <c r="E151" s="54">
        <f t="shared" si="32"/>
        <v>442</v>
      </c>
      <c r="F151" s="54"/>
      <c r="G151" s="54">
        <f>192.67*1.3</f>
        <v>250.471</v>
      </c>
      <c r="H151" s="44">
        <f>85.01*1.3</f>
        <v>110.51300000000001</v>
      </c>
      <c r="I151" s="44">
        <f t="shared" si="33"/>
        <v>802.98400000000004</v>
      </c>
      <c r="J151" s="44">
        <f t="shared" si="34"/>
        <v>6.8</v>
      </c>
      <c r="K151" s="44">
        <f t="shared" si="47"/>
        <v>6.0223800000000001</v>
      </c>
      <c r="L151" s="44">
        <f t="shared" si="36"/>
        <v>12.5</v>
      </c>
      <c r="M151" s="44">
        <f t="shared" si="37"/>
        <v>100</v>
      </c>
      <c r="N151" s="44">
        <v>4</v>
      </c>
      <c r="O151" s="44">
        <f t="shared" si="38"/>
        <v>14.083333333333334</v>
      </c>
      <c r="P151" s="45">
        <f t="shared" si="39"/>
        <v>67.983864999999994</v>
      </c>
      <c r="Q151" s="45">
        <v>28.33</v>
      </c>
      <c r="R151" s="45">
        <f t="shared" si="40"/>
        <v>33.991932499999997</v>
      </c>
      <c r="S151" s="44">
        <f t="shared" si="48"/>
        <v>5.8198400000000001</v>
      </c>
      <c r="T151" s="44">
        <f t="shared" si="49"/>
        <v>5.8198400000000001</v>
      </c>
      <c r="U151" s="44">
        <f t="shared" si="43"/>
        <v>66.915333333333336</v>
      </c>
      <c r="V151" s="44">
        <f t="shared" si="50"/>
        <v>129.782432</v>
      </c>
      <c r="W151" s="44">
        <f t="shared" si="45"/>
        <v>1285.032956166667</v>
      </c>
    </row>
    <row r="152" spans="1:23" s="40" customFormat="1" ht="12" x14ac:dyDescent="0.2">
      <c r="A152" s="36">
        <f t="shared" si="46"/>
        <v>126</v>
      </c>
      <c r="B152" s="36" t="s">
        <v>133</v>
      </c>
      <c r="C152" s="36" t="s">
        <v>101</v>
      </c>
      <c r="D152" s="56">
        <v>500</v>
      </c>
      <c r="E152" s="54">
        <f t="shared" si="32"/>
        <v>650</v>
      </c>
      <c r="F152" s="54">
        <f>15.63*1.3</f>
        <v>20.319000000000003</v>
      </c>
      <c r="G152" s="54">
        <f>225*1.3</f>
        <v>292.5</v>
      </c>
      <c r="H152" s="44">
        <f>61.69*1.3</f>
        <v>80.197000000000003</v>
      </c>
      <c r="I152" s="44">
        <f t="shared" si="33"/>
        <v>1043.0160000000001</v>
      </c>
      <c r="J152" s="44">
        <f t="shared" si="34"/>
        <v>6.8</v>
      </c>
      <c r="K152" s="44">
        <f t="shared" si="47"/>
        <v>7.8226200000000006</v>
      </c>
      <c r="L152" s="44">
        <f t="shared" si="36"/>
        <v>12.5</v>
      </c>
      <c r="M152" s="44">
        <f t="shared" si="37"/>
        <v>100</v>
      </c>
      <c r="N152" s="44">
        <v>4</v>
      </c>
      <c r="O152" s="44">
        <f t="shared" si="38"/>
        <v>14.083333333333334</v>
      </c>
      <c r="P152" s="45">
        <f t="shared" si="39"/>
        <v>88.136551666666662</v>
      </c>
      <c r="Q152" s="45">
        <v>28.33</v>
      </c>
      <c r="R152" s="45">
        <f t="shared" si="40"/>
        <v>44.068275833333331</v>
      </c>
      <c r="S152" s="44">
        <f t="shared" si="48"/>
        <v>7.1801600000000008</v>
      </c>
      <c r="T152" s="44">
        <f t="shared" si="49"/>
        <v>7.1801600000000008</v>
      </c>
      <c r="U152" s="44">
        <f t="shared" si="43"/>
        <v>86.918000000000006</v>
      </c>
      <c r="V152" s="44">
        <f t="shared" si="50"/>
        <v>160.11756800000001</v>
      </c>
      <c r="W152" s="44">
        <f t="shared" si="45"/>
        <v>1610.1526688333333</v>
      </c>
    </row>
    <row r="153" spans="1:23" s="40" customFormat="1" ht="12" x14ac:dyDescent="0.2">
      <c r="A153" s="36">
        <f t="shared" si="46"/>
        <v>127</v>
      </c>
      <c r="B153" s="36" t="s">
        <v>134</v>
      </c>
      <c r="C153" s="36" t="s">
        <v>4</v>
      </c>
      <c r="D153" s="56">
        <v>340</v>
      </c>
      <c r="E153" s="54">
        <f t="shared" si="32"/>
        <v>442</v>
      </c>
      <c r="F153" s="54"/>
      <c r="G153" s="54">
        <f>22.67*1.3</f>
        <v>29.471000000000004</v>
      </c>
      <c r="H153" s="44"/>
      <c r="I153" s="44">
        <f t="shared" si="33"/>
        <v>471.471</v>
      </c>
      <c r="J153" s="44">
        <f t="shared" si="34"/>
        <v>6.8</v>
      </c>
      <c r="K153" s="44">
        <f t="shared" si="47"/>
        <v>3.5360325000000001</v>
      </c>
      <c r="L153" s="44">
        <f t="shared" si="36"/>
        <v>12.5</v>
      </c>
      <c r="M153" s="44">
        <f t="shared" si="37"/>
        <v>100</v>
      </c>
      <c r="N153" s="44">
        <v>4</v>
      </c>
      <c r="O153" s="44">
        <f t="shared" si="38"/>
        <v>14.083333333333334</v>
      </c>
      <c r="P153" s="45">
        <f t="shared" si="39"/>
        <v>40.150586041666664</v>
      </c>
      <c r="Q153" s="45">
        <v>28.33</v>
      </c>
      <c r="R153" s="45">
        <f t="shared" si="40"/>
        <v>20.075293020833332</v>
      </c>
      <c r="S153" s="44">
        <f t="shared" si="48"/>
        <v>2.5047100000000002</v>
      </c>
      <c r="T153" s="44">
        <f t="shared" si="49"/>
        <v>2.5047100000000002</v>
      </c>
      <c r="U153" s="44">
        <f t="shared" si="43"/>
        <v>39.289250000000003</v>
      </c>
      <c r="V153" s="44">
        <f t="shared" si="50"/>
        <v>55.855032999999999</v>
      </c>
      <c r="W153" s="44">
        <f t="shared" si="45"/>
        <v>801.09994789583357</v>
      </c>
    </row>
    <row r="154" spans="1:23" s="40" customFormat="1" ht="12" x14ac:dyDescent="0.2">
      <c r="A154" s="36">
        <f t="shared" si="46"/>
        <v>128</v>
      </c>
      <c r="B154" s="36" t="s">
        <v>135</v>
      </c>
      <c r="C154" s="36" t="s">
        <v>4</v>
      </c>
      <c r="D154" s="56">
        <v>340</v>
      </c>
      <c r="E154" s="54">
        <f t="shared" si="32"/>
        <v>442</v>
      </c>
      <c r="F154" s="54">
        <f>19.13*1.3</f>
        <v>24.869</v>
      </c>
      <c r="G154" s="54">
        <f>147.34*1.3</f>
        <v>191.542</v>
      </c>
      <c r="H154" s="44">
        <f>72.12*1.3</f>
        <v>93.756000000000014</v>
      </c>
      <c r="I154" s="44">
        <f t="shared" si="33"/>
        <v>752.16700000000003</v>
      </c>
      <c r="J154" s="44">
        <f t="shared" si="34"/>
        <v>6.8</v>
      </c>
      <c r="K154" s="44">
        <f t="shared" ref="K154:K202" si="51">(I154*0.25%)*3</f>
        <v>5.6412525000000002</v>
      </c>
      <c r="L154" s="44">
        <f t="shared" si="36"/>
        <v>12.5</v>
      </c>
      <c r="M154" s="44">
        <f t="shared" si="37"/>
        <v>100</v>
      </c>
      <c r="N154" s="44">
        <v>4</v>
      </c>
      <c r="O154" s="44">
        <f t="shared" si="38"/>
        <v>14.083333333333334</v>
      </c>
      <c r="P154" s="45">
        <f t="shared" si="39"/>
        <v>63.717354374999992</v>
      </c>
      <c r="Q154" s="45">
        <v>28.33</v>
      </c>
      <c r="R154" s="45">
        <f t="shared" si="40"/>
        <v>31.858677187499996</v>
      </c>
      <c r="S154" s="44">
        <f t="shared" ref="S154:S202" si="52">(F154+G154+H154+I154)*0.005</f>
        <v>5.3116700000000003</v>
      </c>
      <c r="T154" s="44">
        <f t="shared" ref="T154:T202" si="53">(F154+G154+H154+I154)*0.005</f>
        <v>5.3116700000000003</v>
      </c>
      <c r="U154" s="44">
        <f t="shared" si="43"/>
        <v>62.680583333333338</v>
      </c>
      <c r="V154" s="44">
        <f t="shared" ref="V154:V202" si="54">(F154+G154+H154+I154)*0.1115</f>
        <v>118.45024100000001</v>
      </c>
      <c r="W154" s="44">
        <f t="shared" si="45"/>
        <v>1210.8517817291668</v>
      </c>
    </row>
    <row r="155" spans="1:23" s="40" customFormat="1" ht="12" x14ac:dyDescent="0.2">
      <c r="A155" s="36">
        <f t="shared" si="46"/>
        <v>129</v>
      </c>
      <c r="B155" s="36" t="s">
        <v>136</v>
      </c>
      <c r="C155" s="36" t="s">
        <v>4</v>
      </c>
      <c r="D155" s="56">
        <v>340</v>
      </c>
      <c r="E155" s="54">
        <f t="shared" si="32"/>
        <v>442</v>
      </c>
      <c r="F155" s="54"/>
      <c r="G155" s="54">
        <f>82.17*1.3</f>
        <v>106.82100000000001</v>
      </c>
      <c r="H155" s="44">
        <f>127.26*1.3</f>
        <v>165.43800000000002</v>
      </c>
      <c r="I155" s="44">
        <f t="shared" si="33"/>
        <v>714.25900000000001</v>
      </c>
      <c r="J155" s="44">
        <f t="shared" si="34"/>
        <v>6.8</v>
      </c>
      <c r="K155" s="44">
        <f t="shared" si="51"/>
        <v>5.3569425000000006</v>
      </c>
      <c r="L155" s="44">
        <f t="shared" si="36"/>
        <v>12.5</v>
      </c>
      <c r="M155" s="44">
        <f t="shared" si="37"/>
        <v>100</v>
      </c>
      <c r="N155" s="44">
        <v>4</v>
      </c>
      <c r="O155" s="44">
        <f t="shared" si="38"/>
        <v>14.083333333333334</v>
      </c>
      <c r="P155" s="45">
        <f t="shared" si="39"/>
        <v>60.534661874999991</v>
      </c>
      <c r="Q155" s="45">
        <v>28.33</v>
      </c>
      <c r="R155" s="45">
        <f t="shared" si="40"/>
        <v>30.267330937499995</v>
      </c>
      <c r="S155" s="44">
        <f t="shared" si="52"/>
        <v>4.9325900000000003</v>
      </c>
      <c r="T155" s="44">
        <f t="shared" si="53"/>
        <v>4.9325900000000003</v>
      </c>
      <c r="U155" s="44">
        <f t="shared" si="43"/>
        <v>59.521583333333332</v>
      </c>
      <c r="V155" s="44">
        <f t="shared" si="54"/>
        <v>109.996757</v>
      </c>
      <c r="W155" s="44">
        <f t="shared" si="45"/>
        <v>1155.5147889791665</v>
      </c>
    </row>
    <row r="156" spans="1:23" s="40" customFormat="1" ht="12" x14ac:dyDescent="0.2">
      <c r="A156" s="36">
        <f t="shared" si="46"/>
        <v>130</v>
      </c>
      <c r="B156" s="36" t="s">
        <v>137</v>
      </c>
      <c r="C156" s="36" t="s">
        <v>4</v>
      </c>
      <c r="D156" s="56">
        <v>340</v>
      </c>
      <c r="E156" s="54">
        <f t="shared" si="32"/>
        <v>442</v>
      </c>
      <c r="F156" s="54">
        <f>12.75*1.3</f>
        <v>16.574999999999999</v>
      </c>
      <c r="G156" s="54">
        <f>62.33*1.3</f>
        <v>81.028999999999996</v>
      </c>
      <c r="H156" s="44">
        <f>32.69*1.3</f>
        <v>42.497</v>
      </c>
      <c r="I156" s="44">
        <f t="shared" si="33"/>
        <v>582.101</v>
      </c>
      <c r="J156" s="44">
        <f t="shared" si="34"/>
        <v>6.8</v>
      </c>
      <c r="K156" s="44">
        <f t="shared" si="51"/>
        <v>4.3657575</v>
      </c>
      <c r="L156" s="44">
        <f t="shared" si="36"/>
        <v>12.5</v>
      </c>
      <c r="M156" s="44">
        <f t="shared" si="37"/>
        <v>100</v>
      </c>
      <c r="N156" s="44">
        <v>4</v>
      </c>
      <c r="O156" s="44">
        <f t="shared" si="38"/>
        <v>14.083333333333334</v>
      </c>
      <c r="P156" s="45">
        <f t="shared" si="39"/>
        <v>49.438896458333325</v>
      </c>
      <c r="Q156" s="45">
        <v>28.33</v>
      </c>
      <c r="R156" s="45">
        <f t="shared" si="40"/>
        <v>24.719448229166662</v>
      </c>
      <c r="S156" s="44">
        <f t="shared" si="52"/>
        <v>3.6110100000000003</v>
      </c>
      <c r="T156" s="44">
        <f t="shared" si="53"/>
        <v>3.6110100000000003</v>
      </c>
      <c r="U156" s="44">
        <f t="shared" si="43"/>
        <v>48.508416666666669</v>
      </c>
      <c r="V156" s="44">
        <f t="shared" si="54"/>
        <v>80.525523000000007</v>
      </c>
      <c r="W156" s="44">
        <f t="shared" si="45"/>
        <v>962.59439518750003</v>
      </c>
    </row>
    <row r="157" spans="1:23" s="40" customFormat="1" ht="12" x14ac:dyDescent="0.2">
      <c r="A157" s="36">
        <f t="shared" si="46"/>
        <v>131</v>
      </c>
      <c r="B157" s="36" t="s">
        <v>138</v>
      </c>
      <c r="C157" s="36" t="s">
        <v>4</v>
      </c>
      <c r="D157" s="56">
        <v>340</v>
      </c>
      <c r="E157" s="54">
        <f t="shared" si="32"/>
        <v>442</v>
      </c>
      <c r="F157" s="54"/>
      <c r="G157" s="54">
        <f>113.34*1.3</f>
        <v>147.34200000000001</v>
      </c>
      <c r="H157" s="44">
        <f>37.76*1.3</f>
        <v>49.088000000000001</v>
      </c>
      <c r="I157" s="44">
        <f t="shared" si="33"/>
        <v>638.42999999999995</v>
      </c>
      <c r="J157" s="44">
        <f t="shared" si="34"/>
        <v>6.8</v>
      </c>
      <c r="K157" s="44">
        <f t="shared" si="51"/>
        <v>4.7882249999999997</v>
      </c>
      <c r="L157" s="44">
        <f t="shared" si="36"/>
        <v>12.5</v>
      </c>
      <c r="M157" s="44">
        <f t="shared" si="37"/>
        <v>100</v>
      </c>
      <c r="N157" s="44">
        <v>4</v>
      </c>
      <c r="O157" s="44">
        <f t="shared" si="38"/>
        <v>14.083333333333334</v>
      </c>
      <c r="P157" s="45">
        <f t="shared" si="39"/>
        <v>54.16818541666666</v>
      </c>
      <c r="Q157" s="45">
        <v>28.33</v>
      </c>
      <c r="R157" s="45">
        <f t="shared" si="40"/>
        <v>27.08409270833333</v>
      </c>
      <c r="S157" s="44">
        <f t="shared" si="52"/>
        <v>4.1742999999999997</v>
      </c>
      <c r="T157" s="44">
        <f t="shared" si="53"/>
        <v>4.1742999999999997</v>
      </c>
      <c r="U157" s="44">
        <f t="shared" si="43"/>
        <v>53.202499999999993</v>
      </c>
      <c r="V157" s="44">
        <f t="shared" si="54"/>
        <v>93.086889999999997</v>
      </c>
      <c r="W157" s="44">
        <f t="shared" si="45"/>
        <v>1044.8218264583334</v>
      </c>
    </row>
    <row r="158" spans="1:23" s="40" customFormat="1" ht="12" x14ac:dyDescent="0.2">
      <c r="A158" s="36">
        <f t="shared" si="46"/>
        <v>132</v>
      </c>
      <c r="B158" s="36" t="s">
        <v>139</v>
      </c>
      <c r="C158" s="36" t="s">
        <v>4</v>
      </c>
      <c r="D158" s="56">
        <v>340</v>
      </c>
      <c r="E158" s="54">
        <f t="shared" si="32"/>
        <v>442</v>
      </c>
      <c r="F158" s="54">
        <f>102*1.3</f>
        <v>132.6</v>
      </c>
      <c r="G158" s="54">
        <f>130.34*1.3</f>
        <v>169.44200000000001</v>
      </c>
      <c r="H158" s="44"/>
      <c r="I158" s="44">
        <f t="shared" si="33"/>
        <v>744.04200000000003</v>
      </c>
      <c r="J158" s="44">
        <f t="shared" si="34"/>
        <v>6.8</v>
      </c>
      <c r="K158" s="44">
        <f t="shared" si="51"/>
        <v>5.5803150000000006</v>
      </c>
      <c r="L158" s="44">
        <f t="shared" si="36"/>
        <v>12.5</v>
      </c>
      <c r="M158" s="44">
        <f t="shared" si="37"/>
        <v>100</v>
      </c>
      <c r="N158" s="44">
        <v>4</v>
      </c>
      <c r="O158" s="44">
        <f t="shared" si="38"/>
        <v>14.083333333333334</v>
      </c>
      <c r="P158" s="45">
        <f t="shared" si="39"/>
        <v>63.035192916666666</v>
      </c>
      <c r="Q158" s="45">
        <v>28.33</v>
      </c>
      <c r="R158" s="45">
        <f t="shared" si="40"/>
        <v>31.517596458333333</v>
      </c>
      <c r="S158" s="44">
        <f t="shared" si="52"/>
        <v>5.2304200000000005</v>
      </c>
      <c r="T158" s="44">
        <f t="shared" si="53"/>
        <v>5.2304200000000005</v>
      </c>
      <c r="U158" s="44">
        <f t="shared" si="43"/>
        <v>62.003500000000003</v>
      </c>
      <c r="V158" s="44">
        <f t="shared" si="54"/>
        <v>116.638366</v>
      </c>
      <c r="W158" s="44">
        <f t="shared" si="45"/>
        <v>1198.9911437083333</v>
      </c>
    </row>
    <row r="159" spans="1:23" s="40" customFormat="1" ht="12" x14ac:dyDescent="0.2">
      <c r="A159" s="36">
        <f t="shared" si="46"/>
        <v>133</v>
      </c>
      <c r="B159" s="36" t="s">
        <v>140</v>
      </c>
      <c r="C159" s="36" t="s">
        <v>4</v>
      </c>
      <c r="D159" s="56">
        <v>340</v>
      </c>
      <c r="E159" s="54">
        <f t="shared" si="32"/>
        <v>442</v>
      </c>
      <c r="F159" s="54"/>
      <c r="G159" s="54">
        <f>161.5*1.3</f>
        <v>209.95000000000002</v>
      </c>
      <c r="H159" s="44">
        <f>85.01*1.3</f>
        <v>110.51300000000001</v>
      </c>
      <c r="I159" s="44">
        <f t="shared" si="33"/>
        <v>762.46300000000008</v>
      </c>
      <c r="J159" s="44">
        <f t="shared" si="34"/>
        <v>6.8</v>
      </c>
      <c r="K159" s="44">
        <f t="shared" si="51"/>
        <v>5.7184725000000007</v>
      </c>
      <c r="L159" s="44">
        <f t="shared" si="36"/>
        <v>12.5</v>
      </c>
      <c r="M159" s="44">
        <f t="shared" si="37"/>
        <v>100</v>
      </c>
      <c r="N159" s="44">
        <v>4</v>
      </c>
      <c r="O159" s="44">
        <f t="shared" si="38"/>
        <v>14.083333333333334</v>
      </c>
      <c r="P159" s="45">
        <f t="shared" si="39"/>
        <v>64.581789375</v>
      </c>
      <c r="Q159" s="45">
        <v>28.33</v>
      </c>
      <c r="R159" s="45">
        <f t="shared" si="40"/>
        <v>32.2908946875</v>
      </c>
      <c r="S159" s="44">
        <f t="shared" si="52"/>
        <v>5.4146300000000007</v>
      </c>
      <c r="T159" s="44">
        <f t="shared" si="53"/>
        <v>5.4146300000000007</v>
      </c>
      <c r="U159" s="44">
        <f t="shared" si="43"/>
        <v>63.538583333333342</v>
      </c>
      <c r="V159" s="44">
        <f t="shared" si="54"/>
        <v>120.74624900000002</v>
      </c>
      <c r="W159" s="44">
        <f t="shared" si="45"/>
        <v>1225.8815822291667</v>
      </c>
    </row>
    <row r="160" spans="1:23" s="40" customFormat="1" ht="12" x14ac:dyDescent="0.2">
      <c r="A160" s="36">
        <f t="shared" si="46"/>
        <v>134</v>
      </c>
      <c r="B160" s="36" t="s">
        <v>141</v>
      </c>
      <c r="C160" s="36" t="s">
        <v>4</v>
      </c>
      <c r="D160" s="56">
        <v>340</v>
      </c>
      <c r="E160" s="54">
        <f t="shared" si="32"/>
        <v>442</v>
      </c>
      <c r="F160" s="54"/>
      <c r="G160" s="54">
        <f>158.67*1.3</f>
        <v>206.27099999999999</v>
      </c>
      <c r="H160" s="44">
        <f>41.54*1.3</f>
        <v>54.002000000000002</v>
      </c>
      <c r="I160" s="44">
        <f t="shared" si="33"/>
        <v>702.27299999999991</v>
      </c>
      <c r="J160" s="44">
        <f t="shared" si="34"/>
        <v>6.8</v>
      </c>
      <c r="K160" s="44">
        <f t="shared" si="51"/>
        <v>5.2670474999999994</v>
      </c>
      <c r="L160" s="44">
        <f t="shared" si="36"/>
        <v>12.5</v>
      </c>
      <c r="M160" s="44">
        <f t="shared" si="37"/>
        <v>100</v>
      </c>
      <c r="N160" s="44">
        <v>4</v>
      </c>
      <c r="O160" s="44">
        <f t="shared" si="38"/>
        <v>14.083333333333334</v>
      </c>
      <c r="P160" s="45">
        <f t="shared" si="39"/>
        <v>59.528337291666652</v>
      </c>
      <c r="Q160" s="45">
        <v>28.33</v>
      </c>
      <c r="R160" s="45">
        <f t="shared" si="40"/>
        <v>29.764168645833326</v>
      </c>
      <c r="S160" s="44">
        <f t="shared" si="52"/>
        <v>4.8127299999999993</v>
      </c>
      <c r="T160" s="44">
        <f t="shared" si="53"/>
        <v>4.8127299999999993</v>
      </c>
      <c r="U160" s="44">
        <f t="shared" si="43"/>
        <v>58.522749999999995</v>
      </c>
      <c r="V160" s="44">
        <f t="shared" si="54"/>
        <v>107.32387899999998</v>
      </c>
      <c r="W160" s="44">
        <f t="shared" si="45"/>
        <v>1138.0179757708333</v>
      </c>
    </row>
    <row r="161" spans="1:23" s="40" customFormat="1" ht="12" x14ac:dyDescent="0.2">
      <c r="A161" s="36">
        <f t="shared" si="46"/>
        <v>135</v>
      </c>
      <c r="B161" s="36" t="s">
        <v>142</v>
      </c>
      <c r="C161" s="36" t="s">
        <v>4</v>
      </c>
      <c r="D161" s="56">
        <v>340</v>
      </c>
      <c r="E161" s="54">
        <f t="shared" si="32"/>
        <v>442</v>
      </c>
      <c r="F161" s="54"/>
      <c r="G161" s="54">
        <f>45.33*1.3</f>
        <v>58.929000000000002</v>
      </c>
      <c r="H161" s="44">
        <f>66.63*1.3</f>
        <v>86.619</v>
      </c>
      <c r="I161" s="44">
        <f t="shared" si="33"/>
        <v>587.548</v>
      </c>
      <c r="J161" s="44">
        <f t="shared" si="34"/>
        <v>6.8</v>
      </c>
      <c r="K161" s="44">
        <f t="shared" si="51"/>
        <v>4.4066100000000006</v>
      </c>
      <c r="L161" s="44">
        <f t="shared" si="36"/>
        <v>12.5</v>
      </c>
      <c r="M161" s="44">
        <f t="shared" si="37"/>
        <v>100</v>
      </c>
      <c r="N161" s="44">
        <v>4</v>
      </c>
      <c r="O161" s="44">
        <f t="shared" si="38"/>
        <v>14.083333333333334</v>
      </c>
      <c r="P161" s="45">
        <f t="shared" si="39"/>
        <v>49.896217499999999</v>
      </c>
      <c r="Q161" s="45">
        <v>28.33</v>
      </c>
      <c r="R161" s="45">
        <f t="shared" si="40"/>
        <v>24.948108749999999</v>
      </c>
      <c r="S161" s="44">
        <f t="shared" si="52"/>
        <v>3.6654800000000001</v>
      </c>
      <c r="T161" s="44">
        <f t="shared" si="53"/>
        <v>3.6654800000000001</v>
      </c>
      <c r="U161" s="44">
        <f t="shared" si="43"/>
        <v>48.962333333333333</v>
      </c>
      <c r="V161" s="44">
        <f t="shared" si="54"/>
        <v>81.740204000000006</v>
      </c>
      <c r="W161" s="44">
        <f t="shared" si="45"/>
        <v>970.54576691666671</v>
      </c>
    </row>
    <row r="162" spans="1:23" s="40" customFormat="1" ht="12" x14ac:dyDescent="0.2">
      <c r="A162" s="36">
        <f t="shared" si="46"/>
        <v>136</v>
      </c>
      <c r="B162" s="36" t="s">
        <v>143</v>
      </c>
      <c r="C162" s="36" t="s">
        <v>4</v>
      </c>
      <c r="D162" s="56">
        <v>340</v>
      </c>
      <c r="E162" s="54">
        <f t="shared" ref="E162:E202" si="55">D162*1.3</f>
        <v>442</v>
      </c>
      <c r="F162" s="54"/>
      <c r="G162" s="54">
        <f>56.67*1.3</f>
        <v>73.671000000000006</v>
      </c>
      <c r="H162" s="44">
        <f>85.01*1.3</f>
        <v>110.51300000000001</v>
      </c>
      <c r="I162" s="44">
        <f t="shared" ref="I162:I202" si="56">E162+F162+G162+H162</f>
        <v>626.18400000000008</v>
      </c>
      <c r="J162" s="44">
        <f t="shared" ref="J162:J202" si="57">(340*1/100)*2</f>
        <v>6.8</v>
      </c>
      <c r="K162" s="44">
        <f t="shared" si="51"/>
        <v>4.6963800000000013</v>
      </c>
      <c r="L162" s="44">
        <f t="shared" ref="L162:L202" si="58">0.5*25</f>
        <v>12.5</v>
      </c>
      <c r="M162" s="44">
        <f t="shared" ref="M162:M202" si="59">4*25</f>
        <v>100</v>
      </c>
      <c r="N162" s="44">
        <v>4</v>
      </c>
      <c r="O162" s="44">
        <f t="shared" ref="O162:O202" si="60">169/12</f>
        <v>14.083333333333334</v>
      </c>
      <c r="P162" s="45">
        <f t="shared" ref="P162:P202" si="61">(I162+J162+K162)/12</f>
        <v>53.140031666666665</v>
      </c>
      <c r="Q162" s="45">
        <v>28.33</v>
      </c>
      <c r="R162" s="45">
        <f t="shared" ref="R162:R202" si="62">(I162+J162+K162)/24</f>
        <v>26.570015833333333</v>
      </c>
      <c r="S162" s="44">
        <f t="shared" si="52"/>
        <v>4.0518400000000012</v>
      </c>
      <c r="T162" s="44">
        <f t="shared" si="53"/>
        <v>4.0518400000000012</v>
      </c>
      <c r="U162" s="44">
        <f t="shared" ref="U162:U202" si="63">(I162)/12</f>
        <v>52.182000000000009</v>
      </c>
      <c r="V162" s="44">
        <f t="shared" si="54"/>
        <v>90.356032000000013</v>
      </c>
      <c r="W162" s="44">
        <f t="shared" ref="W162:W202" si="64">I162+J162+K162+L162+M162+N162+O162+P162+Q162+R162+S162+T162+U162+V162</f>
        <v>1026.9454728333333</v>
      </c>
    </row>
    <row r="163" spans="1:23" s="40" customFormat="1" ht="12" x14ac:dyDescent="0.2">
      <c r="A163" s="36">
        <f t="shared" ref="A163:A202" si="65">A162+1</f>
        <v>137</v>
      </c>
      <c r="B163" s="36" t="s">
        <v>144</v>
      </c>
      <c r="C163" s="36" t="s">
        <v>4</v>
      </c>
      <c r="D163" s="56">
        <v>340</v>
      </c>
      <c r="E163" s="54">
        <f t="shared" si="55"/>
        <v>442</v>
      </c>
      <c r="F163" s="54">
        <f>12.75*1.3</f>
        <v>16.574999999999999</v>
      </c>
      <c r="G163" s="54">
        <f>22.67*1.3</f>
        <v>29.471000000000004</v>
      </c>
      <c r="H163" s="44">
        <f>29.38*1.3</f>
        <v>38.194000000000003</v>
      </c>
      <c r="I163" s="44">
        <f t="shared" si="56"/>
        <v>526.24</v>
      </c>
      <c r="J163" s="44">
        <f t="shared" si="57"/>
        <v>6.8</v>
      </c>
      <c r="K163" s="44">
        <f t="shared" si="51"/>
        <v>3.9468000000000005</v>
      </c>
      <c r="L163" s="44">
        <f t="shared" si="58"/>
        <v>12.5</v>
      </c>
      <c r="M163" s="44">
        <f t="shared" si="59"/>
        <v>100</v>
      </c>
      <c r="N163" s="44">
        <v>4</v>
      </c>
      <c r="O163" s="44">
        <f t="shared" si="60"/>
        <v>14.083333333333334</v>
      </c>
      <c r="P163" s="45">
        <f t="shared" si="61"/>
        <v>44.748899999999999</v>
      </c>
      <c r="Q163" s="45">
        <v>28.33</v>
      </c>
      <c r="R163" s="45">
        <f t="shared" si="62"/>
        <v>22.37445</v>
      </c>
      <c r="S163" s="44">
        <f t="shared" si="52"/>
        <v>3.0524</v>
      </c>
      <c r="T163" s="44">
        <f t="shared" si="53"/>
        <v>3.0524</v>
      </c>
      <c r="U163" s="44">
        <f t="shared" si="63"/>
        <v>43.853333333333332</v>
      </c>
      <c r="V163" s="44">
        <f t="shared" si="54"/>
        <v>68.068520000000007</v>
      </c>
      <c r="W163" s="44">
        <f t="shared" si="64"/>
        <v>881.05013666666696</v>
      </c>
    </row>
    <row r="164" spans="1:23" s="40" customFormat="1" ht="12" x14ac:dyDescent="0.2">
      <c r="A164" s="36">
        <f t="shared" si="65"/>
        <v>138</v>
      </c>
      <c r="B164" s="36" t="s">
        <v>145</v>
      </c>
      <c r="C164" s="36" t="s">
        <v>4</v>
      </c>
      <c r="D164" s="56">
        <v>340</v>
      </c>
      <c r="E164" s="54">
        <f t="shared" si="55"/>
        <v>442</v>
      </c>
      <c r="F164" s="54"/>
      <c r="G164" s="54">
        <f>25.5*1.3</f>
        <v>33.15</v>
      </c>
      <c r="H164" s="44">
        <f>122.54*1.3</f>
        <v>159.30200000000002</v>
      </c>
      <c r="I164" s="44">
        <f t="shared" si="56"/>
        <v>634.452</v>
      </c>
      <c r="J164" s="44">
        <f t="shared" si="57"/>
        <v>6.8</v>
      </c>
      <c r="K164" s="44">
        <f t="shared" si="51"/>
        <v>4.7583900000000003</v>
      </c>
      <c r="L164" s="44">
        <f t="shared" si="58"/>
        <v>12.5</v>
      </c>
      <c r="M164" s="44">
        <f t="shared" si="59"/>
        <v>100</v>
      </c>
      <c r="N164" s="44">
        <v>4</v>
      </c>
      <c r="O164" s="44">
        <f t="shared" si="60"/>
        <v>14.083333333333334</v>
      </c>
      <c r="P164" s="45">
        <f t="shared" si="61"/>
        <v>53.834199166666657</v>
      </c>
      <c r="Q164" s="45">
        <v>28.33</v>
      </c>
      <c r="R164" s="45">
        <f t="shared" si="62"/>
        <v>26.917099583333329</v>
      </c>
      <c r="S164" s="44">
        <f t="shared" si="52"/>
        <v>4.1345200000000002</v>
      </c>
      <c r="T164" s="44">
        <f t="shared" si="53"/>
        <v>4.1345200000000002</v>
      </c>
      <c r="U164" s="44">
        <f t="shared" si="63"/>
        <v>52.871000000000002</v>
      </c>
      <c r="V164" s="44">
        <f t="shared" si="54"/>
        <v>92.199796000000006</v>
      </c>
      <c r="W164" s="44">
        <f t="shared" si="64"/>
        <v>1039.0148580833331</v>
      </c>
    </row>
    <row r="165" spans="1:23" s="40" customFormat="1" ht="12" x14ac:dyDescent="0.2">
      <c r="A165" s="36">
        <f t="shared" si="65"/>
        <v>139</v>
      </c>
      <c r="B165" s="36" t="s">
        <v>146</v>
      </c>
      <c r="C165" s="36" t="s">
        <v>4</v>
      </c>
      <c r="D165" s="56">
        <v>340</v>
      </c>
      <c r="E165" s="54">
        <f t="shared" si="55"/>
        <v>442</v>
      </c>
      <c r="F165" s="54">
        <f>12.75*1.3</f>
        <v>16.574999999999999</v>
      </c>
      <c r="G165" s="54">
        <f>85*1.3</f>
        <v>110.5</v>
      </c>
      <c r="H165" s="44">
        <f>36.46*1.3</f>
        <v>47.398000000000003</v>
      </c>
      <c r="I165" s="44">
        <f t="shared" si="56"/>
        <v>616.47300000000007</v>
      </c>
      <c r="J165" s="44">
        <f t="shared" si="57"/>
        <v>6.8</v>
      </c>
      <c r="K165" s="44">
        <f t="shared" si="51"/>
        <v>4.6235475000000008</v>
      </c>
      <c r="L165" s="44">
        <f t="shared" si="58"/>
        <v>12.5</v>
      </c>
      <c r="M165" s="44">
        <f t="shared" si="59"/>
        <v>100</v>
      </c>
      <c r="N165" s="44">
        <v>4</v>
      </c>
      <c r="O165" s="44">
        <f t="shared" si="60"/>
        <v>14.083333333333334</v>
      </c>
      <c r="P165" s="45">
        <f t="shared" si="61"/>
        <v>52.324712291666664</v>
      </c>
      <c r="Q165" s="45">
        <v>28.33</v>
      </c>
      <c r="R165" s="45">
        <f t="shared" si="62"/>
        <v>26.162356145833332</v>
      </c>
      <c r="S165" s="44">
        <f t="shared" si="52"/>
        <v>3.954730000000001</v>
      </c>
      <c r="T165" s="44">
        <f t="shared" si="53"/>
        <v>3.954730000000001</v>
      </c>
      <c r="U165" s="44">
        <f t="shared" si="63"/>
        <v>51.372750000000003</v>
      </c>
      <c r="V165" s="44">
        <f t="shared" si="54"/>
        <v>88.190479000000011</v>
      </c>
      <c r="W165" s="44">
        <f t="shared" si="64"/>
        <v>1012.7696382708334</v>
      </c>
    </row>
    <row r="166" spans="1:23" s="40" customFormat="1" ht="12" x14ac:dyDescent="0.2">
      <c r="A166" s="36">
        <f t="shared" si="65"/>
        <v>140</v>
      </c>
      <c r="B166" s="36" t="s">
        <v>147</v>
      </c>
      <c r="C166" s="36" t="s">
        <v>4</v>
      </c>
      <c r="D166" s="56">
        <v>340</v>
      </c>
      <c r="E166" s="54">
        <f t="shared" si="55"/>
        <v>442</v>
      </c>
      <c r="F166" s="54"/>
      <c r="G166" s="54">
        <f>158.67*1.3</f>
        <v>206.27099999999999</v>
      </c>
      <c r="H166" s="44"/>
      <c r="I166" s="44">
        <f t="shared" si="56"/>
        <v>648.27099999999996</v>
      </c>
      <c r="J166" s="44">
        <f t="shared" si="57"/>
        <v>6.8</v>
      </c>
      <c r="K166" s="44">
        <f t="shared" si="51"/>
        <v>4.8620324999999998</v>
      </c>
      <c r="L166" s="44">
        <f t="shared" si="58"/>
        <v>12.5</v>
      </c>
      <c r="M166" s="44">
        <f t="shared" si="59"/>
        <v>100</v>
      </c>
      <c r="N166" s="44">
        <v>4</v>
      </c>
      <c r="O166" s="44">
        <f t="shared" si="60"/>
        <v>14.083333333333334</v>
      </c>
      <c r="P166" s="45">
        <f t="shared" si="61"/>
        <v>54.994419375</v>
      </c>
      <c r="Q166" s="45">
        <v>28.33</v>
      </c>
      <c r="R166" s="45">
        <f t="shared" si="62"/>
        <v>27.4972096875</v>
      </c>
      <c r="S166" s="44">
        <f t="shared" si="52"/>
        <v>4.27271</v>
      </c>
      <c r="T166" s="44">
        <f t="shared" si="53"/>
        <v>4.27271</v>
      </c>
      <c r="U166" s="44">
        <f t="shared" si="63"/>
        <v>54.02258333333333</v>
      </c>
      <c r="V166" s="44">
        <f t="shared" si="54"/>
        <v>95.281432999999993</v>
      </c>
      <c r="W166" s="44">
        <f t="shared" si="64"/>
        <v>1059.1874312291666</v>
      </c>
    </row>
    <row r="167" spans="1:23" s="40" customFormat="1" ht="12" x14ac:dyDescent="0.2">
      <c r="A167" s="36">
        <f t="shared" si="65"/>
        <v>141</v>
      </c>
      <c r="B167" s="36" t="s">
        <v>148</v>
      </c>
      <c r="C167" s="36" t="s">
        <v>4</v>
      </c>
      <c r="D167" s="56">
        <v>340</v>
      </c>
      <c r="E167" s="54">
        <f t="shared" si="55"/>
        <v>442</v>
      </c>
      <c r="F167" s="54"/>
      <c r="G167" s="54">
        <f>113.34*1.3</f>
        <v>147.34200000000001</v>
      </c>
      <c r="H167" s="44"/>
      <c r="I167" s="44">
        <f t="shared" si="56"/>
        <v>589.34199999999998</v>
      </c>
      <c r="J167" s="44">
        <f t="shared" si="57"/>
        <v>6.8</v>
      </c>
      <c r="K167" s="44">
        <f t="shared" si="51"/>
        <v>4.4200650000000001</v>
      </c>
      <c r="L167" s="44">
        <f t="shared" si="58"/>
        <v>12.5</v>
      </c>
      <c r="M167" s="44">
        <f t="shared" si="59"/>
        <v>100</v>
      </c>
      <c r="N167" s="44">
        <v>4</v>
      </c>
      <c r="O167" s="44">
        <f t="shared" si="60"/>
        <v>14.083333333333334</v>
      </c>
      <c r="P167" s="45">
        <f t="shared" si="61"/>
        <v>50.046838749999999</v>
      </c>
      <c r="Q167" s="45">
        <v>28.33</v>
      </c>
      <c r="R167" s="45">
        <f t="shared" si="62"/>
        <v>25.023419375</v>
      </c>
      <c r="S167" s="44">
        <f t="shared" si="52"/>
        <v>3.6834199999999999</v>
      </c>
      <c r="T167" s="44">
        <f t="shared" si="53"/>
        <v>3.6834199999999999</v>
      </c>
      <c r="U167" s="44">
        <f t="shared" si="63"/>
        <v>49.11183333333333</v>
      </c>
      <c r="V167" s="44">
        <f t="shared" si="54"/>
        <v>82.140265999999997</v>
      </c>
      <c r="W167" s="44">
        <f t="shared" si="64"/>
        <v>973.16459579166667</v>
      </c>
    </row>
    <row r="168" spans="1:23" s="40" customFormat="1" ht="12" x14ac:dyDescent="0.2">
      <c r="A168" s="36">
        <f t="shared" si="65"/>
        <v>142</v>
      </c>
      <c r="B168" s="36" t="s">
        <v>149</v>
      </c>
      <c r="C168" s="36" t="s">
        <v>4</v>
      </c>
      <c r="D168" s="56">
        <v>340</v>
      </c>
      <c r="E168" s="54">
        <f t="shared" si="55"/>
        <v>442</v>
      </c>
      <c r="F168" s="54"/>
      <c r="G168" s="54">
        <f>155.84*1.3</f>
        <v>202.59200000000001</v>
      </c>
      <c r="H168" s="44">
        <f>133.39*1.3</f>
        <v>173.40699999999998</v>
      </c>
      <c r="I168" s="44">
        <f t="shared" si="56"/>
        <v>817.99900000000002</v>
      </c>
      <c r="J168" s="44">
        <f t="shared" si="57"/>
        <v>6.8</v>
      </c>
      <c r="K168" s="44">
        <f t="shared" si="51"/>
        <v>6.1349925000000001</v>
      </c>
      <c r="L168" s="44">
        <f t="shared" si="58"/>
        <v>12.5</v>
      </c>
      <c r="M168" s="44">
        <f t="shared" si="59"/>
        <v>100</v>
      </c>
      <c r="N168" s="44">
        <v>4</v>
      </c>
      <c r="O168" s="44">
        <f t="shared" si="60"/>
        <v>14.083333333333334</v>
      </c>
      <c r="P168" s="45">
        <f t="shared" si="61"/>
        <v>69.24449937499999</v>
      </c>
      <c r="Q168" s="45">
        <v>28.33</v>
      </c>
      <c r="R168" s="45">
        <f t="shared" si="62"/>
        <v>34.622249687499995</v>
      </c>
      <c r="S168" s="44">
        <f t="shared" si="52"/>
        <v>5.9699900000000001</v>
      </c>
      <c r="T168" s="44">
        <f t="shared" si="53"/>
        <v>5.9699900000000001</v>
      </c>
      <c r="U168" s="44">
        <f t="shared" si="63"/>
        <v>68.166583333333335</v>
      </c>
      <c r="V168" s="44">
        <f t="shared" si="54"/>
        <v>133.13077699999999</v>
      </c>
      <c r="W168" s="44">
        <f t="shared" si="64"/>
        <v>1306.9514152291667</v>
      </c>
    </row>
    <row r="169" spans="1:23" s="40" customFormat="1" ht="12" x14ac:dyDescent="0.2">
      <c r="A169" s="36">
        <f t="shared" si="65"/>
        <v>143</v>
      </c>
      <c r="B169" s="36" t="s">
        <v>150</v>
      </c>
      <c r="C169" s="36" t="s">
        <v>4</v>
      </c>
      <c r="D169" s="56">
        <v>340</v>
      </c>
      <c r="E169" s="54">
        <f t="shared" si="55"/>
        <v>442</v>
      </c>
      <c r="F169" s="54"/>
      <c r="G169" s="54">
        <f>113.34*1.3</f>
        <v>147.34200000000001</v>
      </c>
      <c r="H169" s="44">
        <f>129.85*1.3</f>
        <v>168.80500000000001</v>
      </c>
      <c r="I169" s="44">
        <f t="shared" si="56"/>
        <v>758.14699999999993</v>
      </c>
      <c r="J169" s="44">
        <f t="shared" si="57"/>
        <v>6.8</v>
      </c>
      <c r="K169" s="44">
        <f t="shared" si="51"/>
        <v>5.6861024999999996</v>
      </c>
      <c r="L169" s="44">
        <f t="shared" si="58"/>
        <v>12.5</v>
      </c>
      <c r="M169" s="44">
        <f t="shared" si="59"/>
        <v>100</v>
      </c>
      <c r="N169" s="44">
        <v>4</v>
      </c>
      <c r="O169" s="44">
        <f t="shared" si="60"/>
        <v>14.083333333333334</v>
      </c>
      <c r="P169" s="45">
        <f t="shared" si="61"/>
        <v>64.21942520833332</v>
      </c>
      <c r="Q169" s="45">
        <v>28.33</v>
      </c>
      <c r="R169" s="45">
        <f t="shared" si="62"/>
        <v>32.10971260416666</v>
      </c>
      <c r="S169" s="44">
        <f t="shared" si="52"/>
        <v>5.3714699999999995</v>
      </c>
      <c r="T169" s="44">
        <f t="shared" si="53"/>
        <v>5.3714699999999995</v>
      </c>
      <c r="U169" s="44">
        <f t="shared" si="63"/>
        <v>63.178916666666659</v>
      </c>
      <c r="V169" s="44">
        <f t="shared" si="54"/>
        <v>119.78378099999999</v>
      </c>
      <c r="W169" s="44">
        <f t="shared" si="64"/>
        <v>1219.5812113125</v>
      </c>
    </row>
    <row r="170" spans="1:23" s="40" customFormat="1" ht="12" x14ac:dyDescent="0.2">
      <c r="A170" s="36">
        <f t="shared" si="65"/>
        <v>144</v>
      </c>
      <c r="B170" s="36" t="s">
        <v>151</v>
      </c>
      <c r="C170" s="36" t="s">
        <v>4</v>
      </c>
      <c r="D170" s="56">
        <v>340</v>
      </c>
      <c r="E170" s="54">
        <f t="shared" si="55"/>
        <v>442</v>
      </c>
      <c r="F170" s="54">
        <f>19.13*1.3</f>
        <v>24.869</v>
      </c>
      <c r="G170" s="54">
        <f>136*1.3</f>
        <v>176.8</v>
      </c>
      <c r="H170" s="44"/>
      <c r="I170" s="44">
        <f t="shared" si="56"/>
        <v>643.6690000000001</v>
      </c>
      <c r="J170" s="44">
        <f t="shared" si="57"/>
        <v>6.8</v>
      </c>
      <c r="K170" s="44">
        <f t="shared" si="51"/>
        <v>4.8275175000000008</v>
      </c>
      <c r="L170" s="44">
        <f t="shared" si="58"/>
        <v>12.5</v>
      </c>
      <c r="M170" s="44">
        <f t="shared" si="59"/>
        <v>100</v>
      </c>
      <c r="N170" s="44">
        <v>4</v>
      </c>
      <c r="O170" s="44">
        <f t="shared" si="60"/>
        <v>14.083333333333334</v>
      </c>
      <c r="P170" s="45">
        <f t="shared" si="61"/>
        <v>54.608043125000002</v>
      </c>
      <c r="Q170" s="45">
        <v>28.33</v>
      </c>
      <c r="R170" s="45">
        <f t="shared" si="62"/>
        <v>27.304021562500001</v>
      </c>
      <c r="S170" s="44">
        <f t="shared" si="52"/>
        <v>4.2266900000000005</v>
      </c>
      <c r="T170" s="44">
        <f t="shared" si="53"/>
        <v>4.2266900000000005</v>
      </c>
      <c r="U170" s="44">
        <f t="shared" si="63"/>
        <v>53.639083333333339</v>
      </c>
      <c r="V170" s="44">
        <f t="shared" si="54"/>
        <v>94.255187000000006</v>
      </c>
      <c r="W170" s="44">
        <f t="shared" si="64"/>
        <v>1052.4695658541668</v>
      </c>
    </row>
    <row r="171" spans="1:23" s="40" customFormat="1" ht="12" x14ac:dyDescent="0.2">
      <c r="A171" s="36">
        <f t="shared" si="65"/>
        <v>145</v>
      </c>
      <c r="B171" s="36" t="s">
        <v>152</v>
      </c>
      <c r="C171" s="36" t="s">
        <v>4</v>
      </c>
      <c r="D171" s="56">
        <v>340</v>
      </c>
      <c r="E171" s="54">
        <f t="shared" si="55"/>
        <v>442</v>
      </c>
      <c r="F171" s="54"/>
      <c r="G171" s="54">
        <f>175.67*1.3</f>
        <v>228.37099999999998</v>
      </c>
      <c r="H171" s="44">
        <f>85.01*1.3</f>
        <v>110.51300000000001</v>
      </c>
      <c r="I171" s="44">
        <f t="shared" si="56"/>
        <v>780.88400000000001</v>
      </c>
      <c r="J171" s="44">
        <f t="shared" si="57"/>
        <v>6.8</v>
      </c>
      <c r="K171" s="44">
        <f t="shared" si="51"/>
        <v>5.85663</v>
      </c>
      <c r="L171" s="44">
        <f t="shared" si="58"/>
        <v>12.5</v>
      </c>
      <c r="M171" s="44">
        <f t="shared" si="59"/>
        <v>100</v>
      </c>
      <c r="N171" s="44">
        <v>4</v>
      </c>
      <c r="O171" s="44">
        <f t="shared" si="60"/>
        <v>14.083333333333334</v>
      </c>
      <c r="P171" s="45">
        <f t="shared" si="61"/>
        <v>66.128385833333326</v>
      </c>
      <c r="Q171" s="45">
        <v>28.33</v>
      </c>
      <c r="R171" s="45">
        <f t="shared" si="62"/>
        <v>33.064192916666663</v>
      </c>
      <c r="S171" s="44">
        <f t="shared" si="52"/>
        <v>5.59884</v>
      </c>
      <c r="T171" s="44">
        <f t="shared" si="53"/>
        <v>5.59884</v>
      </c>
      <c r="U171" s="44">
        <f t="shared" si="63"/>
        <v>65.073666666666668</v>
      </c>
      <c r="V171" s="44">
        <f t="shared" si="54"/>
        <v>124.85413200000001</v>
      </c>
      <c r="W171" s="44">
        <f t="shared" si="64"/>
        <v>1252.7720207500001</v>
      </c>
    </row>
    <row r="172" spans="1:23" s="40" customFormat="1" ht="12" x14ac:dyDescent="0.2">
      <c r="A172" s="36">
        <f t="shared" si="65"/>
        <v>146</v>
      </c>
      <c r="B172" s="36" t="s">
        <v>153</v>
      </c>
      <c r="C172" s="36" t="s">
        <v>4</v>
      </c>
      <c r="D172" s="56">
        <v>340</v>
      </c>
      <c r="E172" s="54">
        <f t="shared" si="55"/>
        <v>442</v>
      </c>
      <c r="F172" s="54">
        <f>10.63*1.3</f>
        <v>13.819000000000001</v>
      </c>
      <c r="G172" s="54">
        <f>113.34*1.3</f>
        <v>147.34200000000001</v>
      </c>
      <c r="H172" s="44"/>
      <c r="I172" s="44">
        <f t="shared" si="56"/>
        <v>603.16100000000006</v>
      </c>
      <c r="J172" s="44">
        <f t="shared" si="57"/>
        <v>6.8</v>
      </c>
      <c r="K172" s="44">
        <f t="shared" si="51"/>
        <v>4.5237075000000004</v>
      </c>
      <c r="L172" s="44">
        <f t="shared" si="58"/>
        <v>12.5</v>
      </c>
      <c r="M172" s="44">
        <f t="shared" si="59"/>
        <v>100</v>
      </c>
      <c r="N172" s="44">
        <v>4</v>
      </c>
      <c r="O172" s="44">
        <f t="shared" si="60"/>
        <v>14.083333333333334</v>
      </c>
      <c r="P172" s="45">
        <f t="shared" si="61"/>
        <v>51.207058958333334</v>
      </c>
      <c r="Q172" s="45">
        <v>28.33</v>
      </c>
      <c r="R172" s="45">
        <f t="shared" si="62"/>
        <v>25.603529479166667</v>
      </c>
      <c r="S172" s="44">
        <f t="shared" si="52"/>
        <v>3.8216100000000006</v>
      </c>
      <c r="T172" s="44">
        <f t="shared" si="53"/>
        <v>3.8216100000000006</v>
      </c>
      <c r="U172" s="44">
        <f t="shared" si="63"/>
        <v>50.263416666666672</v>
      </c>
      <c r="V172" s="44">
        <f t="shared" si="54"/>
        <v>85.221903000000012</v>
      </c>
      <c r="W172" s="44">
        <f t="shared" si="64"/>
        <v>993.3371689375</v>
      </c>
    </row>
    <row r="173" spans="1:23" s="40" customFormat="1" ht="12" x14ac:dyDescent="0.2">
      <c r="A173" s="36">
        <f t="shared" si="65"/>
        <v>147</v>
      </c>
      <c r="B173" s="36" t="s">
        <v>154</v>
      </c>
      <c r="C173" s="36" t="s">
        <v>4</v>
      </c>
      <c r="D173" s="56">
        <v>340</v>
      </c>
      <c r="E173" s="54">
        <f t="shared" si="55"/>
        <v>442</v>
      </c>
      <c r="F173" s="54">
        <f>36.13*1.3</f>
        <v>46.969000000000008</v>
      </c>
      <c r="G173" s="54">
        <f>90.67*1.3</f>
        <v>117.87100000000001</v>
      </c>
      <c r="H173" s="44"/>
      <c r="I173" s="44">
        <f t="shared" si="56"/>
        <v>606.84</v>
      </c>
      <c r="J173" s="44">
        <f t="shared" si="57"/>
        <v>6.8</v>
      </c>
      <c r="K173" s="44">
        <f t="shared" si="51"/>
        <v>4.5513000000000003</v>
      </c>
      <c r="L173" s="44">
        <f t="shared" si="58"/>
        <v>12.5</v>
      </c>
      <c r="M173" s="44">
        <f t="shared" si="59"/>
        <v>100</v>
      </c>
      <c r="N173" s="44">
        <v>4</v>
      </c>
      <c r="O173" s="44">
        <f t="shared" si="60"/>
        <v>14.083333333333334</v>
      </c>
      <c r="P173" s="45">
        <f t="shared" si="61"/>
        <v>51.515941666666663</v>
      </c>
      <c r="Q173" s="45">
        <v>28.33</v>
      </c>
      <c r="R173" s="45">
        <f t="shared" si="62"/>
        <v>25.757970833333331</v>
      </c>
      <c r="S173" s="44">
        <f t="shared" si="52"/>
        <v>3.8584000000000005</v>
      </c>
      <c r="T173" s="44">
        <f t="shared" si="53"/>
        <v>3.8584000000000005</v>
      </c>
      <c r="U173" s="44">
        <f t="shared" si="63"/>
        <v>50.57</v>
      </c>
      <c r="V173" s="44">
        <f t="shared" si="54"/>
        <v>86.042320000000004</v>
      </c>
      <c r="W173" s="44">
        <f t="shared" si="64"/>
        <v>998.70766583333341</v>
      </c>
    </row>
    <row r="174" spans="1:23" s="40" customFormat="1" ht="12" x14ac:dyDescent="0.2">
      <c r="A174" s="36">
        <f t="shared" si="65"/>
        <v>148</v>
      </c>
      <c r="B174" s="36" t="s">
        <v>155</v>
      </c>
      <c r="C174" s="36" t="s">
        <v>4</v>
      </c>
      <c r="D174" s="56">
        <v>340</v>
      </c>
      <c r="E174" s="54">
        <f t="shared" si="55"/>
        <v>442</v>
      </c>
      <c r="F174" s="54"/>
      <c r="G174" s="54">
        <f>110.5*1.3</f>
        <v>143.65</v>
      </c>
      <c r="H174" s="44">
        <f>129.62*1.3</f>
        <v>168.506</v>
      </c>
      <c r="I174" s="44">
        <f t="shared" si="56"/>
        <v>754.15599999999995</v>
      </c>
      <c r="J174" s="44">
        <f t="shared" si="57"/>
        <v>6.8</v>
      </c>
      <c r="K174" s="44">
        <f t="shared" si="51"/>
        <v>5.6561699999999995</v>
      </c>
      <c r="L174" s="44">
        <f t="shared" si="58"/>
        <v>12.5</v>
      </c>
      <c r="M174" s="44">
        <f t="shared" si="59"/>
        <v>100</v>
      </c>
      <c r="N174" s="44">
        <v>4</v>
      </c>
      <c r="O174" s="44">
        <f t="shared" si="60"/>
        <v>14.083333333333334</v>
      </c>
      <c r="P174" s="45">
        <f t="shared" si="61"/>
        <v>63.88434749999999</v>
      </c>
      <c r="Q174" s="45">
        <v>28.33</v>
      </c>
      <c r="R174" s="45">
        <f t="shared" si="62"/>
        <v>31.942173749999995</v>
      </c>
      <c r="S174" s="44">
        <f t="shared" si="52"/>
        <v>5.3315599999999996</v>
      </c>
      <c r="T174" s="44">
        <f t="shared" si="53"/>
        <v>5.3315599999999996</v>
      </c>
      <c r="U174" s="44">
        <f t="shared" si="63"/>
        <v>62.846333333333327</v>
      </c>
      <c r="V174" s="44">
        <f t="shared" si="54"/>
        <v>118.89378799999999</v>
      </c>
      <c r="W174" s="44">
        <f t="shared" si="64"/>
        <v>1213.755265916667</v>
      </c>
    </row>
    <row r="175" spans="1:23" s="40" customFormat="1" ht="12" x14ac:dyDescent="0.2">
      <c r="A175" s="36">
        <f t="shared" si="65"/>
        <v>149</v>
      </c>
      <c r="B175" s="36" t="s">
        <v>156</v>
      </c>
      <c r="C175" s="36" t="s">
        <v>14</v>
      </c>
      <c r="D175" s="56">
        <v>512.35</v>
      </c>
      <c r="E175" s="54">
        <v>584</v>
      </c>
      <c r="F175" s="54"/>
      <c r="G175" s="54"/>
      <c r="H175" s="44">
        <f>42.68*1.3</f>
        <v>55.484000000000002</v>
      </c>
      <c r="I175" s="44">
        <f t="shared" si="56"/>
        <v>639.48400000000004</v>
      </c>
      <c r="J175" s="44">
        <f t="shared" si="57"/>
        <v>6.8</v>
      </c>
      <c r="K175" s="44">
        <f t="shared" si="51"/>
        <v>4.7961299999999998</v>
      </c>
      <c r="L175" s="44">
        <f t="shared" si="58"/>
        <v>12.5</v>
      </c>
      <c r="M175" s="44">
        <f t="shared" si="59"/>
        <v>100</v>
      </c>
      <c r="N175" s="44">
        <v>4</v>
      </c>
      <c r="O175" s="44">
        <f t="shared" si="60"/>
        <v>14.083333333333334</v>
      </c>
      <c r="P175" s="45">
        <f t="shared" si="61"/>
        <v>54.256677499999995</v>
      </c>
      <c r="Q175" s="45">
        <v>28.33</v>
      </c>
      <c r="R175" s="45">
        <f t="shared" si="62"/>
        <v>27.128338749999998</v>
      </c>
      <c r="S175" s="44">
        <f t="shared" si="52"/>
        <v>3.4748400000000004</v>
      </c>
      <c r="T175" s="44">
        <f t="shared" si="53"/>
        <v>3.4748400000000004</v>
      </c>
      <c r="U175" s="44">
        <f t="shared" si="63"/>
        <v>53.290333333333336</v>
      </c>
      <c r="V175" s="44">
        <f t="shared" si="54"/>
        <v>77.488932000000005</v>
      </c>
      <c r="W175" s="44">
        <f t="shared" si="64"/>
        <v>1029.1074249166668</v>
      </c>
    </row>
    <row r="176" spans="1:23" s="40" customFormat="1" ht="12" x14ac:dyDescent="0.2">
      <c r="A176" s="36">
        <f t="shared" si="65"/>
        <v>150</v>
      </c>
      <c r="B176" s="36" t="s">
        <v>157</v>
      </c>
      <c r="C176" s="36" t="s">
        <v>4</v>
      </c>
      <c r="D176" s="56">
        <v>340</v>
      </c>
      <c r="E176" s="54">
        <f t="shared" si="55"/>
        <v>442</v>
      </c>
      <c r="F176" s="54">
        <f>31.88*1.3</f>
        <v>41.444000000000003</v>
      </c>
      <c r="G176" s="54">
        <f>45.33*1.3</f>
        <v>58.929000000000002</v>
      </c>
      <c r="H176" s="44">
        <f>32.87*1.3</f>
        <v>42.731000000000002</v>
      </c>
      <c r="I176" s="44">
        <f t="shared" si="56"/>
        <v>585.10400000000004</v>
      </c>
      <c r="J176" s="44">
        <f t="shared" si="57"/>
        <v>6.8</v>
      </c>
      <c r="K176" s="44">
        <f t="shared" si="51"/>
        <v>4.38828</v>
      </c>
      <c r="L176" s="44">
        <f t="shared" si="58"/>
        <v>12.5</v>
      </c>
      <c r="M176" s="44">
        <f t="shared" si="59"/>
        <v>100</v>
      </c>
      <c r="N176" s="44">
        <v>4</v>
      </c>
      <c r="O176" s="44">
        <f t="shared" si="60"/>
        <v>14.083333333333334</v>
      </c>
      <c r="P176" s="45">
        <f t="shared" si="61"/>
        <v>49.691023333333334</v>
      </c>
      <c r="Q176" s="45">
        <v>28.33</v>
      </c>
      <c r="R176" s="45">
        <f t="shared" si="62"/>
        <v>24.845511666666667</v>
      </c>
      <c r="S176" s="44">
        <f t="shared" si="52"/>
        <v>3.6410400000000003</v>
      </c>
      <c r="T176" s="44">
        <f t="shared" si="53"/>
        <v>3.6410400000000003</v>
      </c>
      <c r="U176" s="44">
        <f t="shared" si="63"/>
        <v>48.75866666666667</v>
      </c>
      <c r="V176" s="44">
        <f t="shared" si="54"/>
        <v>81.195192000000006</v>
      </c>
      <c r="W176" s="44">
        <f t="shared" si="64"/>
        <v>966.97808700000007</v>
      </c>
    </row>
    <row r="177" spans="1:23" s="40" customFormat="1" ht="12" x14ac:dyDescent="0.2">
      <c r="A177" s="36">
        <f t="shared" si="65"/>
        <v>151</v>
      </c>
      <c r="B177" s="36" t="s">
        <v>158</v>
      </c>
      <c r="C177" s="36" t="s">
        <v>4</v>
      </c>
      <c r="D177" s="56">
        <v>340</v>
      </c>
      <c r="E177" s="54">
        <f t="shared" si="55"/>
        <v>442</v>
      </c>
      <c r="F177" s="54"/>
      <c r="G177" s="54">
        <f>45.33*1.3</f>
        <v>58.929000000000002</v>
      </c>
      <c r="H177" s="44">
        <f>85.01*1.3</f>
        <v>110.51300000000001</v>
      </c>
      <c r="I177" s="44">
        <f t="shared" si="56"/>
        <v>611.44200000000001</v>
      </c>
      <c r="J177" s="44">
        <f t="shared" si="57"/>
        <v>6.8</v>
      </c>
      <c r="K177" s="44">
        <f t="shared" si="51"/>
        <v>4.5858150000000002</v>
      </c>
      <c r="L177" s="44">
        <f t="shared" si="58"/>
        <v>12.5</v>
      </c>
      <c r="M177" s="44">
        <f t="shared" si="59"/>
        <v>100</v>
      </c>
      <c r="N177" s="44">
        <v>4</v>
      </c>
      <c r="O177" s="44">
        <f t="shared" si="60"/>
        <v>14.083333333333334</v>
      </c>
      <c r="P177" s="45">
        <f t="shared" si="61"/>
        <v>51.902317916666668</v>
      </c>
      <c r="Q177" s="45">
        <v>28.33</v>
      </c>
      <c r="R177" s="45">
        <f t="shared" si="62"/>
        <v>25.951158958333334</v>
      </c>
      <c r="S177" s="44">
        <f t="shared" si="52"/>
        <v>3.90442</v>
      </c>
      <c r="T177" s="44">
        <f t="shared" si="53"/>
        <v>3.90442</v>
      </c>
      <c r="U177" s="44">
        <f t="shared" si="63"/>
        <v>50.953499999999998</v>
      </c>
      <c r="V177" s="44">
        <f t="shared" si="54"/>
        <v>87.068566000000004</v>
      </c>
      <c r="W177" s="44">
        <f t="shared" si="64"/>
        <v>1005.4255312083333</v>
      </c>
    </row>
    <row r="178" spans="1:23" s="40" customFormat="1" ht="12" x14ac:dyDescent="0.2">
      <c r="A178" s="36">
        <f t="shared" si="65"/>
        <v>152</v>
      </c>
      <c r="B178" s="36" t="s">
        <v>159</v>
      </c>
      <c r="C178" s="36" t="s">
        <v>4</v>
      </c>
      <c r="D178" s="56">
        <v>340</v>
      </c>
      <c r="E178" s="54">
        <f t="shared" si="55"/>
        <v>442</v>
      </c>
      <c r="F178" s="54"/>
      <c r="G178" s="54">
        <f>73.67*1.3</f>
        <v>95.771000000000001</v>
      </c>
      <c r="H178" s="44">
        <f>126.55*1.3</f>
        <v>164.51500000000001</v>
      </c>
      <c r="I178" s="44">
        <f t="shared" si="56"/>
        <v>702.28599999999994</v>
      </c>
      <c r="J178" s="44">
        <f t="shared" si="57"/>
        <v>6.8</v>
      </c>
      <c r="K178" s="44">
        <f t="shared" si="51"/>
        <v>5.2671449999999993</v>
      </c>
      <c r="L178" s="44">
        <f t="shared" si="58"/>
        <v>12.5</v>
      </c>
      <c r="M178" s="44">
        <f t="shared" si="59"/>
        <v>100</v>
      </c>
      <c r="N178" s="44">
        <v>4</v>
      </c>
      <c r="O178" s="44">
        <f t="shared" si="60"/>
        <v>14.083333333333334</v>
      </c>
      <c r="P178" s="45">
        <f t="shared" si="61"/>
        <v>59.529428749999994</v>
      </c>
      <c r="Q178" s="45">
        <v>28.33</v>
      </c>
      <c r="R178" s="45">
        <f t="shared" si="62"/>
        <v>29.764714374999997</v>
      </c>
      <c r="S178" s="44">
        <f t="shared" si="52"/>
        <v>4.8128599999999997</v>
      </c>
      <c r="T178" s="44">
        <f t="shared" si="53"/>
        <v>4.8128599999999997</v>
      </c>
      <c r="U178" s="44">
        <f t="shared" si="63"/>
        <v>58.523833333333329</v>
      </c>
      <c r="V178" s="44">
        <f t="shared" si="54"/>
        <v>107.32677799999999</v>
      </c>
      <c r="W178" s="44">
        <f t="shared" si="64"/>
        <v>1138.0369527916669</v>
      </c>
    </row>
    <row r="179" spans="1:23" s="40" customFormat="1" ht="12" x14ac:dyDescent="0.2">
      <c r="A179" s="36">
        <f t="shared" si="65"/>
        <v>153</v>
      </c>
      <c r="B179" s="36" t="s">
        <v>160</v>
      </c>
      <c r="C179" s="36" t="s">
        <v>4</v>
      </c>
      <c r="D179" s="56">
        <v>340</v>
      </c>
      <c r="E179" s="54">
        <f t="shared" si="55"/>
        <v>442</v>
      </c>
      <c r="F179" s="54"/>
      <c r="G179" s="54">
        <f>22.67*1.3</f>
        <v>29.471000000000004</v>
      </c>
      <c r="H179" s="44">
        <f>30.21*1.3</f>
        <v>39.273000000000003</v>
      </c>
      <c r="I179" s="44">
        <f t="shared" si="56"/>
        <v>510.74400000000003</v>
      </c>
      <c r="J179" s="44">
        <f t="shared" si="57"/>
        <v>6.8</v>
      </c>
      <c r="K179" s="44">
        <f t="shared" si="51"/>
        <v>3.8305800000000003</v>
      </c>
      <c r="L179" s="44">
        <f t="shared" si="58"/>
        <v>12.5</v>
      </c>
      <c r="M179" s="44">
        <f t="shared" si="59"/>
        <v>100</v>
      </c>
      <c r="N179" s="44">
        <v>4</v>
      </c>
      <c r="O179" s="44">
        <f t="shared" si="60"/>
        <v>14.083333333333334</v>
      </c>
      <c r="P179" s="45">
        <f t="shared" si="61"/>
        <v>43.447881666666667</v>
      </c>
      <c r="Q179" s="45">
        <v>28.33</v>
      </c>
      <c r="R179" s="45">
        <f t="shared" si="62"/>
        <v>21.723940833333334</v>
      </c>
      <c r="S179" s="44">
        <f t="shared" si="52"/>
        <v>2.8974400000000005</v>
      </c>
      <c r="T179" s="44">
        <f t="shared" si="53"/>
        <v>2.8974400000000005</v>
      </c>
      <c r="U179" s="44">
        <f t="shared" si="63"/>
        <v>42.562000000000005</v>
      </c>
      <c r="V179" s="44">
        <f t="shared" si="54"/>
        <v>64.612912000000009</v>
      </c>
      <c r="W179" s="44">
        <f t="shared" si="64"/>
        <v>858.42952783333351</v>
      </c>
    </row>
    <row r="180" spans="1:23" s="40" customFormat="1" ht="12" x14ac:dyDescent="0.2">
      <c r="A180" s="36">
        <f t="shared" si="65"/>
        <v>154</v>
      </c>
      <c r="B180" s="36" t="s">
        <v>161</v>
      </c>
      <c r="C180" s="36" t="s">
        <v>4</v>
      </c>
      <c r="D180" s="56">
        <v>340</v>
      </c>
      <c r="E180" s="54">
        <f t="shared" si="55"/>
        <v>442</v>
      </c>
      <c r="F180" s="54">
        <f>17*1.3</f>
        <v>22.1</v>
      </c>
      <c r="G180" s="54">
        <f>85*1.3</f>
        <v>110.5</v>
      </c>
      <c r="H180" s="44">
        <f>36.82*1.3</f>
        <v>47.866</v>
      </c>
      <c r="I180" s="44">
        <f t="shared" si="56"/>
        <v>622.46600000000001</v>
      </c>
      <c r="J180" s="44">
        <f t="shared" si="57"/>
        <v>6.8</v>
      </c>
      <c r="K180" s="44">
        <f t="shared" si="51"/>
        <v>4.6684950000000001</v>
      </c>
      <c r="L180" s="44">
        <f t="shared" si="58"/>
        <v>12.5</v>
      </c>
      <c r="M180" s="44">
        <f t="shared" si="59"/>
        <v>100</v>
      </c>
      <c r="N180" s="44">
        <v>4</v>
      </c>
      <c r="O180" s="44">
        <f t="shared" si="60"/>
        <v>14.083333333333334</v>
      </c>
      <c r="P180" s="45">
        <f t="shared" si="61"/>
        <v>52.827874583333333</v>
      </c>
      <c r="Q180" s="45">
        <v>28.33</v>
      </c>
      <c r="R180" s="45">
        <f t="shared" si="62"/>
        <v>26.413937291666667</v>
      </c>
      <c r="S180" s="44">
        <f t="shared" si="52"/>
        <v>4.0146600000000001</v>
      </c>
      <c r="T180" s="44">
        <f t="shared" si="53"/>
        <v>4.0146600000000001</v>
      </c>
      <c r="U180" s="44">
        <f t="shared" si="63"/>
        <v>51.872166666666665</v>
      </c>
      <c r="V180" s="44">
        <f t="shared" si="54"/>
        <v>89.526918000000009</v>
      </c>
      <c r="W180" s="44">
        <f t="shared" si="64"/>
        <v>1021.5180448750002</v>
      </c>
    </row>
    <row r="181" spans="1:23" s="40" customFormat="1" ht="12" x14ac:dyDescent="0.2">
      <c r="A181" s="36">
        <f t="shared" si="65"/>
        <v>155</v>
      </c>
      <c r="B181" s="36" t="s">
        <v>162</v>
      </c>
      <c r="C181" s="36" t="s">
        <v>14</v>
      </c>
      <c r="D181" s="56">
        <v>512.35</v>
      </c>
      <c r="E181" s="54">
        <v>584</v>
      </c>
      <c r="F181" s="54">
        <f>76.85*1.3</f>
        <v>99.905000000000001</v>
      </c>
      <c r="G181" s="54">
        <f>162.24*1.3</f>
        <v>210.91200000000001</v>
      </c>
      <c r="H181" s="44">
        <f>62.59*1.3</f>
        <v>81.367000000000004</v>
      </c>
      <c r="I181" s="44">
        <f t="shared" si="56"/>
        <v>976.18399999999997</v>
      </c>
      <c r="J181" s="44">
        <f t="shared" si="57"/>
        <v>6.8</v>
      </c>
      <c r="K181" s="44">
        <f t="shared" si="51"/>
        <v>7.3213799999999996</v>
      </c>
      <c r="L181" s="44">
        <f t="shared" si="58"/>
        <v>12.5</v>
      </c>
      <c r="M181" s="44">
        <f t="shared" si="59"/>
        <v>100</v>
      </c>
      <c r="N181" s="44">
        <v>4</v>
      </c>
      <c r="O181" s="44">
        <f t="shared" si="60"/>
        <v>14.083333333333334</v>
      </c>
      <c r="P181" s="45">
        <f t="shared" si="61"/>
        <v>82.52544833333333</v>
      </c>
      <c r="Q181" s="45">
        <v>28.33</v>
      </c>
      <c r="R181" s="45">
        <f t="shared" si="62"/>
        <v>41.262724166666665</v>
      </c>
      <c r="S181" s="44">
        <f t="shared" si="52"/>
        <v>6.8418399999999995</v>
      </c>
      <c r="T181" s="44">
        <f t="shared" si="53"/>
        <v>6.8418399999999995</v>
      </c>
      <c r="U181" s="44">
        <f t="shared" si="63"/>
        <v>81.348666666666659</v>
      </c>
      <c r="V181" s="44">
        <f t="shared" si="54"/>
        <v>152.57303199999998</v>
      </c>
      <c r="W181" s="44">
        <f t="shared" si="64"/>
        <v>1520.6122644999998</v>
      </c>
    </row>
    <row r="182" spans="1:23" s="40" customFormat="1" ht="12" x14ac:dyDescent="0.2">
      <c r="A182" s="36">
        <f t="shared" si="65"/>
        <v>156</v>
      </c>
      <c r="B182" s="36" t="s">
        <v>163</v>
      </c>
      <c r="C182" s="36" t="s">
        <v>4</v>
      </c>
      <c r="D182" s="56">
        <v>340</v>
      </c>
      <c r="E182" s="54">
        <f t="shared" si="55"/>
        <v>442</v>
      </c>
      <c r="F182" s="54"/>
      <c r="G182" s="54">
        <f>113.34*1.3</f>
        <v>147.34200000000001</v>
      </c>
      <c r="H182" s="44"/>
      <c r="I182" s="44">
        <f t="shared" si="56"/>
        <v>589.34199999999998</v>
      </c>
      <c r="J182" s="44">
        <f t="shared" si="57"/>
        <v>6.8</v>
      </c>
      <c r="K182" s="44">
        <f t="shared" si="51"/>
        <v>4.4200650000000001</v>
      </c>
      <c r="L182" s="44">
        <f t="shared" si="58"/>
        <v>12.5</v>
      </c>
      <c r="M182" s="44">
        <f t="shared" si="59"/>
        <v>100</v>
      </c>
      <c r="N182" s="44">
        <v>4</v>
      </c>
      <c r="O182" s="44">
        <f t="shared" si="60"/>
        <v>14.083333333333334</v>
      </c>
      <c r="P182" s="45">
        <f t="shared" si="61"/>
        <v>50.046838749999999</v>
      </c>
      <c r="Q182" s="45">
        <v>28.33</v>
      </c>
      <c r="R182" s="45">
        <f t="shared" si="62"/>
        <v>25.023419375</v>
      </c>
      <c r="S182" s="44">
        <f t="shared" si="52"/>
        <v>3.6834199999999999</v>
      </c>
      <c r="T182" s="44">
        <f t="shared" si="53"/>
        <v>3.6834199999999999</v>
      </c>
      <c r="U182" s="44">
        <f t="shared" si="63"/>
        <v>49.11183333333333</v>
      </c>
      <c r="V182" s="44">
        <f t="shared" si="54"/>
        <v>82.140265999999997</v>
      </c>
      <c r="W182" s="44">
        <f t="shared" si="64"/>
        <v>973.16459579166667</v>
      </c>
    </row>
    <row r="183" spans="1:23" s="40" customFormat="1" ht="12" x14ac:dyDescent="0.2">
      <c r="A183" s="36">
        <f t="shared" si="65"/>
        <v>157</v>
      </c>
      <c r="B183" s="36" t="s">
        <v>164</v>
      </c>
      <c r="C183" s="36" t="s">
        <v>4</v>
      </c>
      <c r="D183" s="56">
        <v>340</v>
      </c>
      <c r="E183" s="54">
        <f t="shared" si="55"/>
        <v>442</v>
      </c>
      <c r="F183" s="54">
        <f>6.38*1.3</f>
        <v>8.2940000000000005</v>
      </c>
      <c r="G183" s="54">
        <f>130.34*1.3</f>
        <v>169.44200000000001</v>
      </c>
      <c r="H183" s="44"/>
      <c r="I183" s="44">
        <f t="shared" si="56"/>
        <v>619.73599999999999</v>
      </c>
      <c r="J183" s="44">
        <f t="shared" si="57"/>
        <v>6.8</v>
      </c>
      <c r="K183" s="44">
        <f t="shared" si="51"/>
        <v>4.6480199999999998</v>
      </c>
      <c r="L183" s="44">
        <f t="shared" si="58"/>
        <v>12.5</v>
      </c>
      <c r="M183" s="44">
        <f t="shared" si="59"/>
        <v>100</v>
      </c>
      <c r="N183" s="44">
        <v>4</v>
      </c>
      <c r="O183" s="44">
        <f t="shared" si="60"/>
        <v>14.083333333333334</v>
      </c>
      <c r="P183" s="45">
        <f t="shared" si="61"/>
        <v>52.598668333333329</v>
      </c>
      <c r="Q183" s="45">
        <v>28.33</v>
      </c>
      <c r="R183" s="45">
        <f t="shared" si="62"/>
        <v>26.299334166666664</v>
      </c>
      <c r="S183" s="44">
        <f t="shared" si="52"/>
        <v>3.9873599999999998</v>
      </c>
      <c r="T183" s="44">
        <f t="shared" si="53"/>
        <v>3.9873599999999998</v>
      </c>
      <c r="U183" s="44">
        <f t="shared" si="63"/>
        <v>51.644666666666666</v>
      </c>
      <c r="V183" s="44">
        <f t="shared" si="54"/>
        <v>88.918127999999996</v>
      </c>
      <c r="W183" s="44">
        <f t="shared" si="64"/>
        <v>1017.5328704999999</v>
      </c>
    </row>
    <row r="184" spans="1:23" s="40" customFormat="1" ht="12" x14ac:dyDescent="0.2">
      <c r="A184" s="36">
        <f t="shared" si="65"/>
        <v>158</v>
      </c>
      <c r="B184" s="36" t="s">
        <v>165</v>
      </c>
      <c r="C184" s="36" t="s">
        <v>4</v>
      </c>
      <c r="D184" s="56">
        <v>340</v>
      </c>
      <c r="E184" s="54">
        <f t="shared" si="55"/>
        <v>442</v>
      </c>
      <c r="F184" s="54">
        <v>19.13</v>
      </c>
      <c r="G184" s="54">
        <f>45.33*1.3</f>
        <v>58.929000000000002</v>
      </c>
      <c r="H184" s="44"/>
      <c r="I184" s="44">
        <f t="shared" si="56"/>
        <v>520.05899999999997</v>
      </c>
      <c r="J184" s="44">
        <f t="shared" si="57"/>
        <v>6.8</v>
      </c>
      <c r="K184" s="44">
        <f t="shared" si="51"/>
        <v>3.9004425</v>
      </c>
      <c r="L184" s="44">
        <f t="shared" si="58"/>
        <v>12.5</v>
      </c>
      <c r="M184" s="44">
        <f t="shared" si="59"/>
        <v>100</v>
      </c>
      <c r="N184" s="44">
        <v>4</v>
      </c>
      <c r="O184" s="44">
        <f t="shared" si="60"/>
        <v>14.083333333333334</v>
      </c>
      <c r="P184" s="45">
        <f t="shared" si="61"/>
        <v>44.229953541666667</v>
      </c>
      <c r="Q184" s="45">
        <v>28.33</v>
      </c>
      <c r="R184" s="45">
        <f t="shared" si="62"/>
        <v>22.114976770833334</v>
      </c>
      <c r="S184" s="44">
        <f t="shared" si="52"/>
        <v>2.9905899999999996</v>
      </c>
      <c r="T184" s="44">
        <f t="shared" si="53"/>
        <v>2.9905899999999996</v>
      </c>
      <c r="U184" s="44">
        <f t="shared" si="63"/>
        <v>43.338249999999995</v>
      </c>
      <c r="V184" s="44">
        <f t="shared" si="54"/>
        <v>66.690156999999999</v>
      </c>
      <c r="W184" s="44">
        <f t="shared" si="64"/>
        <v>872.02729314583337</v>
      </c>
    </row>
    <row r="185" spans="1:23" s="40" customFormat="1" ht="12" x14ac:dyDescent="0.2">
      <c r="A185" s="36">
        <f t="shared" si="65"/>
        <v>159</v>
      </c>
      <c r="B185" s="36" t="s">
        <v>166</v>
      </c>
      <c r="C185" s="36" t="s">
        <v>4</v>
      </c>
      <c r="D185" s="56">
        <v>340</v>
      </c>
      <c r="E185" s="54">
        <f t="shared" si="55"/>
        <v>442</v>
      </c>
      <c r="F185" s="54"/>
      <c r="G185" s="54"/>
      <c r="H185" s="44"/>
      <c r="I185" s="44">
        <f t="shared" si="56"/>
        <v>442</v>
      </c>
      <c r="J185" s="44">
        <f t="shared" si="57"/>
        <v>6.8</v>
      </c>
      <c r="K185" s="44">
        <f t="shared" si="51"/>
        <v>3.3149999999999999</v>
      </c>
      <c r="L185" s="44">
        <f t="shared" si="58"/>
        <v>12.5</v>
      </c>
      <c r="M185" s="44">
        <f t="shared" si="59"/>
        <v>100</v>
      </c>
      <c r="N185" s="44">
        <v>4</v>
      </c>
      <c r="O185" s="44">
        <f t="shared" si="60"/>
        <v>14.083333333333334</v>
      </c>
      <c r="P185" s="45">
        <f t="shared" si="61"/>
        <v>37.676250000000003</v>
      </c>
      <c r="Q185" s="45">
        <v>28.33</v>
      </c>
      <c r="R185" s="45">
        <f t="shared" si="62"/>
        <v>18.838125000000002</v>
      </c>
      <c r="S185" s="44">
        <f t="shared" si="52"/>
        <v>2.21</v>
      </c>
      <c r="T185" s="44">
        <f t="shared" si="53"/>
        <v>2.21</v>
      </c>
      <c r="U185" s="44">
        <f t="shared" si="63"/>
        <v>36.833333333333336</v>
      </c>
      <c r="V185" s="44">
        <f t="shared" si="54"/>
        <v>49.283000000000001</v>
      </c>
      <c r="W185" s="44">
        <f t="shared" si="64"/>
        <v>758.07904166666685</v>
      </c>
    </row>
    <row r="186" spans="1:23" s="40" customFormat="1" ht="12" x14ac:dyDescent="0.2">
      <c r="A186" s="36">
        <f t="shared" si="65"/>
        <v>160</v>
      </c>
      <c r="B186" s="36" t="s">
        <v>167</v>
      </c>
      <c r="C186" s="36" t="s">
        <v>4</v>
      </c>
      <c r="D186" s="56">
        <v>340</v>
      </c>
      <c r="E186" s="54">
        <f t="shared" si="55"/>
        <v>442</v>
      </c>
      <c r="F186" s="54">
        <f>2.13*1.3</f>
        <v>2.7690000000000001</v>
      </c>
      <c r="G186" s="54">
        <f>45.33*1.3</f>
        <v>58.929000000000002</v>
      </c>
      <c r="H186" s="44"/>
      <c r="I186" s="44">
        <f t="shared" si="56"/>
        <v>503.69799999999998</v>
      </c>
      <c r="J186" s="44">
        <f t="shared" si="57"/>
        <v>6.8</v>
      </c>
      <c r="K186" s="44">
        <f t="shared" si="51"/>
        <v>3.7777349999999998</v>
      </c>
      <c r="L186" s="44">
        <f t="shared" si="58"/>
        <v>12.5</v>
      </c>
      <c r="M186" s="44">
        <f t="shared" si="59"/>
        <v>100</v>
      </c>
      <c r="N186" s="44">
        <v>4</v>
      </c>
      <c r="O186" s="44">
        <f t="shared" si="60"/>
        <v>14.083333333333334</v>
      </c>
      <c r="P186" s="45">
        <f t="shared" si="61"/>
        <v>42.856311249999997</v>
      </c>
      <c r="Q186" s="45">
        <v>28.33</v>
      </c>
      <c r="R186" s="45">
        <f t="shared" si="62"/>
        <v>21.428155624999999</v>
      </c>
      <c r="S186" s="44">
        <f t="shared" si="52"/>
        <v>2.8269799999999998</v>
      </c>
      <c r="T186" s="44">
        <f t="shared" si="53"/>
        <v>2.8269799999999998</v>
      </c>
      <c r="U186" s="44">
        <f t="shared" si="63"/>
        <v>41.974833333333329</v>
      </c>
      <c r="V186" s="44">
        <f t="shared" si="54"/>
        <v>63.041653999999994</v>
      </c>
      <c r="W186" s="44">
        <f t="shared" si="64"/>
        <v>848.14398254166679</v>
      </c>
    </row>
    <row r="187" spans="1:23" s="40" customFormat="1" ht="12" x14ac:dyDescent="0.2">
      <c r="A187" s="36">
        <f t="shared" si="65"/>
        <v>161</v>
      </c>
      <c r="B187" s="36" t="s">
        <v>168</v>
      </c>
      <c r="C187" s="36" t="s">
        <v>4</v>
      </c>
      <c r="D187" s="56">
        <v>340</v>
      </c>
      <c r="E187" s="54">
        <f t="shared" si="55"/>
        <v>442</v>
      </c>
      <c r="F187" s="54">
        <f>6.38*1.3</f>
        <v>8.2940000000000005</v>
      </c>
      <c r="G187" s="54">
        <f>130.34*1.3</f>
        <v>169.44200000000001</v>
      </c>
      <c r="H187" s="44">
        <f>39.71*1.3</f>
        <v>51.623000000000005</v>
      </c>
      <c r="I187" s="44">
        <f t="shared" si="56"/>
        <v>671.35900000000004</v>
      </c>
      <c r="J187" s="44">
        <f t="shared" si="57"/>
        <v>6.8</v>
      </c>
      <c r="K187" s="44">
        <f t="shared" si="51"/>
        <v>5.0351925000000008</v>
      </c>
      <c r="L187" s="44">
        <f t="shared" si="58"/>
        <v>12.5</v>
      </c>
      <c r="M187" s="44">
        <f t="shared" si="59"/>
        <v>100</v>
      </c>
      <c r="N187" s="44">
        <v>4</v>
      </c>
      <c r="O187" s="44">
        <f t="shared" si="60"/>
        <v>14.083333333333334</v>
      </c>
      <c r="P187" s="45">
        <f t="shared" si="61"/>
        <v>56.932849374999996</v>
      </c>
      <c r="Q187" s="45">
        <v>28.33</v>
      </c>
      <c r="R187" s="45">
        <f t="shared" si="62"/>
        <v>28.466424687499998</v>
      </c>
      <c r="S187" s="44">
        <f t="shared" si="52"/>
        <v>4.5035900000000009</v>
      </c>
      <c r="T187" s="44">
        <f t="shared" si="53"/>
        <v>4.5035900000000009</v>
      </c>
      <c r="U187" s="44">
        <f t="shared" si="63"/>
        <v>55.946583333333336</v>
      </c>
      <c r="V187" s="44">
        <f t="shared" si="54"/>
        <v>100.43005700000001</v>
      </c>
      <c r="W187" s="44">
        <f t="shared" si="64"/>
        <v>1092.8906202291669</v>
      </c>
    </row>
    <row r="188" spans="1:23" s="40" customFormat="1" ht="12" x14ac:dyDescent="0.2">
      <c r="A188" s="36">
        <f t="shared" si="65"/>
        <v>162</v>
      </c>
      <c r="B188" s="36" t="s">
        <v>169</v>
      </c>
      <c r="C188" s="36" t="s">
        <v>4</v>
      </c>
      <c r="D188" s="56">
        <v>340</v>
      </c>
      <c r="E188" s="54">
        <f t="shared" si="55"/>
        <v>442</v>
      </c>
      <c r="F188" s="54">
        <f>27.63*1.3</f>
        <v>35.918999999999997</v>
      </c>
      <c r="G188" s="54">
        <f>113.34*1.3</f>
        <v>147.34200000000001</v>
      </c>
      <c r="H188" s="44">
        <f>40.06*1.3</f>
        <v>52.078000000000003</v>
      </c>
      <c r="I188" s="44">
        <f t="shared" si="56"/>
        <v>677.33899999999994</v>
      </c>
      <c r="J188" s="44">
        <f t="shared" si="57"/>
        <v>6.8</v>
      </c>
      <c r="K188" s="44">
        <f t="shared" si="51"/>
        <v>5.0800424999999994</v>
      </c>
      <c r="L188" s="44">
        <f t="shared" si="58"/>
        <v>12.5</v>
      </c>
      <c r="M188" s="44">
        <f t="shared" si="59"/>
        <v>100</v>
      </c>
      <c r="N188" s="44">
        <v>4</v>
      </c>
      <c r="O188" s="44">
        <f t="shared" si="60"/>
        <v>14.083333333333334</v>
      </c>
      <c r="P188" s="45">
        <f t="shared" si="61"/>
        <v>57.434920208333324</v>
      </c>
      <c r="Q188" s="45">
        <v>28.33</v>
      </c>
      <c r="R188" s="45">
        <f t="shared" si="62"/>
        <v>28.717460104166662</v>
      </c>
      <c r="S188" s="44">
        <f t="shared" si="52"/>
        <v>4.5633900000000001</v>
      </c>
      <c r="T188" s="44">
        <f t="shared" si="53"/>
        <v>4.5633900000000001</v>
      </c>
      <c r="U188" s="44">
        <f t="shared" si="63"/>
        <v>56.444916666666664</v>
      </c>
      <c r="V188" s="44">
        <f t="shared" si="54"/>
        <v>101.763597</v>
      </c>
      <c r="W188" s="44">
        <f t="shared" si="64"/>
        <v>1101.6200498124999</v>
      </c>
    </row>
    <row r="189" spans="1:23" s="40" customFormat="1" ht="12" x14ac:dyDescent="0.2">
      <c r="A189" s="36">
        <f t="shared" si="65"/>
        <v>163</v>
      </c>
      <c r="B189" s="36" t="s">
        <v>170</v>
      </c>
      <c r="C189" s="36" t="s">
        <v>4</v>
      </c>
      <c r="D189" s="56">
        <v>340</v>
      </c>
      <c r="E189" s="54">
        <f t="shared" si="55"/>
        <v>442</v>
      </c>
      <c r="F189" s="54"/>
      <c r="G189" s="54">
        <f>45.33*1.3</f>
        <v>58.929000000000002</v>
      </c>
      <c r="H189" s="44">
        <f>32.1*1.3</f>
        <v>41.730000000000004</v>
      </c>
      <c r="I189" s="44">
        <f t="shared" si="56"/>
        <v>542.65899999999999</v>
      </c>
      <c r="J189" s="44">
        <f t="shared" si="57"/>
        <v>6.8</v>
      </c>
      <c r="K189" s="44">
        <f t="shared" si="51"/>
        <v>4.0699424999999998</v>
      </c>
      <c r="L189" s="44">
        <f t="shared" si="58"/>
        <v>12.5</v>
      </c>
      <c r="M189" s="44">
        <f t="shared" si="59"/>
        <v>100</v>
      </c>
      <c r="N189" s="44">
        <v>4</v>
      </c>
      <c r="O189" s="44">
        <f t="shared" si="60"/>
        <v>14.083333333333334</v>
      </c>
      <c r="P189" s="45">
        <f t="shared" si="61"/>
        <v>46.127411875</v>
      </c>
      <c r="Q189" s="45">
        <v>28.33</v>
      </c>
      <c r="R189" s="45">
        <f t="shared" si="62"/>
        <v>23.0637059375</v>
      </c>
      <c r="S189" s="44">
        <f t="shared" si="52"/>
        <v>3.2165900000000001</v>
      </c>
      <c r="T189" s="44">
        <f t="shared" si="53"/>
        <v>3.2165900000000001</v>
      </c>
      <c r="U189" s="44">
        <f t="shared" si="63"/>
        <v>45.221583333333335</v>
      </c>
      <c r="V189" s="44">
        <f t="shared" si="54"/>
        <v>71.729956999999999</v>
      </c>
      <c r="W189" s="44">
        <f t="shared" si="64"/>
        <v>905.01811397916674</v>
      </c>
    </row>
    <row r="190" spans="1:23" s="40" customFormat="1" ht="12" x14ac:dyDescent="0.2">
      <c r="A190" s="36">
        <f t="shared" si="65"/>
        <v>164</v>
      </c>
      <c r="B190" s="36" t="s">
        <v>171</v>
      </c>
      <c r="C190" s="36" t="s">
        <v>4</v>
      </c>
      <c r="D190" s="56">
        <v>340</v>
      </c>
      <c r="E190" s="54">
        <f t="shared" si="55"/>
        <v>442</v>
      </c>
      <c r="F190" s="54">
        <f>25.5*1.3</f>
        <v>33.15</v>
      </c>
      <c r="G190" s="54">
        <f>158.67*1.3</f>
        <v>206.27099999999999</v>
      </c>
      <c r="H190" s="44"/>
      <c r="I190" s="44">
        <f t="shared" si="56"/>
        <v>681.42099999999994</v>
      </c>
      <c r="J190" s="44">
        <f t="shared" si="57"/>
        <v>6.8</v>
      </c>
      <c r="K190" s="44">
        <f t="shared" si="51"/>
        <v>5.1106574999999994</v>
      </c>
      <c r="L190" s="44">
        <f t="shared" si="58"/>
        <v>12.5</v>
      </c>
      <c r="M190" s="44">
        <f t="shared" si="59"/>
        <v>100</v>
      </c>
      <c r="N190" s="44">
        <v>4</v>
      </c>
      <c r="O190" s="44">
        <f t="shared" si="60"/>
        <v>14.083333333333334</v>
      </c>
      <c r="P190" s="45">
        <f t="shared" si="61"/>
        <v>57.777638124999989</v>
      </c>
      <c r="Q190" s="45">
        <v>28.33</v>
      </c>
      <c r="R190" s="45">
        <f t="shared" si="62"/>
        <v>28.888819062499994</v>
      </c>
      <c r="S190" s="44">
        <f t="shared" si="52"/>
        <v>4.6042099999999992</v>
      </c>
      <c r="T190" s="44">
        <f t="shared" si="53"/>
        <v>4.6042099999999992</v>
      </c>
      <c r="U190" s="44">
        <f t="shared" si="63"/>
        <v>56.785083333333326</v>
      </c>
      <c r="V190" s="44">
        <f t="shared" si="54"/>
        <v>102.67388299999999</v>
      </c>
      <c r="W190" s="44">
        <f t="shared" si="64"/>
        <v>1107.5788343541665</v>
      </c>
    </row>
    <row r="191" spans="1:23" s="40" customFormat="1" ht="12" x14ac:dyDescent="0.2">
      <c r="A191" s="36">
        <f t="shared" si="65"/>
        <v>165</v>
      </c>
      <c r="B191" s="36" t="s">
        <v>172</v>
      </c>
      <c r="C191" s="36" t="s">
        <v>4</v>
      </c>
      <c r="D191" s="56">
        <v>340</v>
      </c>
      <c r="E191" s="54">
        <f t="shared" si="55"/>
        <v>442</v>
      </c>
      <c r="F191" s="54">
        <f>2.13*1.3</f>
        <v>2.7690000000000001</v>
      </c>
      <c r="G191" s="54"/>
      <c r="H191" s="44"/>
      <c r="I191" s="44">
        <f t="shared" si="56"/>
        <v>444.76900000000001</v>
      </c>
      <c r="J191" s="44">
        <f t="shared" si="57"/>
        <v>6.8</v>
      </c>
      <c r="K191" s="44">
        <f t="shared" si="51"/>
        <v>3.3357675000000002</v>
      </c>
      <c r="L191" s="44">
        <f t="shared" si="58"/>
        <v>12.5</v>
      </c>
      <c r="M191" s="44">
        <f t="shared" si="59"/>
        <v>100</v>
      </c>
      <c r="N191" s="44">
        <v>4</v>
      </c>
      <c r="O191" s="44">
        <f t="shared" si="60"/>
        <v>14.083333333333334</v>
      </c>
      <c r="P191" s="45">
        <f t="shared" si="61"/>
        <v>37.908730624999997</v>
      </c>
      <c r="Q191" s="45">
        <v>28.33</v>
      </c>
      <c r="R191" s="45">
        <f t="shared" si="62"/>
        <v>18.954365312499998</v>
      </c>
      <c r="S191" s="44">
        <f t="shared" si="52"/>
        <v>2.2376900000000002</v>
      </c>
      <c r="T191" s="44">
        <f t="shared" si="53"/>
        <v>2.2376900000000002</v>
      </c>
      <c r="U191" s="44">
        <f t="shared" si="63"/>
        <v>37.064083333333336</v>
      </c>
      <c r="V191" s="44">
        <f t="shared" si="54"/>
        <v>49.900487000000005</v>
      </c>
      <c r="W191" s="44">
        <f t="shared" si="64"/>
        <v>762.12114710416677</v>
      </c>
    </row>
    <row r="192" spans="1:23" s="40" customFormat="1" ht="12" x14ac:dyDescent="0.2">
      <c r="A192" s="36">
        <f t="shared" si="65"/>
        <v>166</v>
      </c>
      <c r="B192" s="36" t="s">
        <v>173</v>
      </c>
      <c r="C192" s="36" t="s">
        <v>4</v>
      </c>
      <c r="D192" s="56">
        <v>340</v>
      </c>
      <c r="E192" s="54">
        <f t="shared" si="55"/>
        <v>442</v>
      </c>
      <c r="F192" s="54"/>
      <c r="G192" s="54">
        <f>150.17*1.3</f>
        <v>195.221</v>
      </c>
      <c r="H192" s="44">
        <f>85.01*1.3</f>
        <v>110.51300000000001</v>
      </c>
      <c r="I192" s="44">
        <f t="shared" si="56"/>
        <v>747.73400000000004</v>
      </c>
      <c r="J192" s="44">
        <f t="shared" si="57"/>
        <v>6.8</v>
      </c>
      <c r="K192" s="44">
        <f t="shared" si="51"/>
        <v>5.6080050000000004</v>
      </c>
      <c r="L192" s="44">
        <f t="shared" si="58"/>
        <v>12.5</v>
      </c>
      <c r="M192" s="44">
        <f t="shared" si="59"/>
        <v>100</v>
      </c>
      <c r="N192" s="44">
        <v>4</v>
      </c>
      <c r="O192" s="44">
        <f t="shared" si="60"/>
        <v>14.083333333333334</v>
      </c>
      <c r="P192" s="45">
        <f t="shared" si="61"/>
        <v>63.345167083333337</v>
      </c>
      <c r="Q192" s="45">
        <v>28.33</v>
      </c>
      <c r="R192" s="45">
        <f t="shared" si="62"/>
        <v>31.672583541666668</v>
      </c>
      <c r="S192" s="44">
        <f t="shared" si="52"/>
        <v>5.2673400000000008</v>
      </c>
      <c r="T192" s="44">
        <f t="shared" si="53"/>
        <v>5.2673400000000008</v>
      </c>
      <c r="U192" s="44">
        <f t="shared" si="63"/>
        <v>62.311166666666672</v>
      </c>
      <c r="V192" s="44">
        <f t="shared" si="54"/>
        <v>117.46168200000001</v>
      </c>
      <c r="W192" s="44">
        <f t="shared" si="64"/>
        <v>1204.3806176250002</v>
      </c>
    </row>
    <row r="193" spans="1:23" s="40" customFormat="1" ht="12" x14ac:dyDescent="0.2">
      <c r="A193" s="36">
        <f t="shared" si="65"/>
        <v>167</v>
      </c>
      <c r="B193" s="36" t="s">
        <v>174</v>
      </c>
      <c r="C193" s="36" t="s">
        <v>4</v>
      </c>
      <c r="D193" s="56">
        <v>340</v>
      </c>
      <c r="E193" s="54">
        <f t="shared" si="55"/>
        <v>442</v>
      </c>
      <c r="F193" s="54"/>
      <c r="G193" s="54">
        <f>22.67*1.3</f>
        <v>29.471000000000004</v>
      </c>
      <c r="H193" s="44">
        <f>85.01*1.3</f>
        <v>110.51300000000001</v>
      </c>
      <c r="I193" s="44">
        <f t="shared" si="56"/>
        <v>581.98400000000004</v>
      </c>
      <c r="J193" s="44">
        <f t="shared" si="57"/>
        <v>6.8</v>
      </c>
      <c r="K193" s="44">
        <f t="shared" si="51"/>
        <v>4.3648800000000003</v>
      </c>
      <c r="L193" s="44">
        <f t="shared" si="58"/>
        <v>12.5</v>
      </c>
      <c r="M193" s="44">
        <f t="shared" si="59"/>
        <v>100</v>
      </c>
      <c r="N193" s="44">
        <v>4</v>
      </c>
      <c r="O193" s="44">
        <f t="shared" si="60"/>
        <v>14.083333333333334</v>
      </c>
      <c r="P193" s="45">
        <f t="shared" si="61"/>
        <v>49.429073333333328</v>
      </c>
      <c r="Q193" s="45">
        <v>28.33</v>
      </c>
      <c r="R193" s="45">
        <f t="shared" si="62"/>
        <v>24.714536666666664</v>
      </c>
      <c r="S193" s="44">
        <f t="shared" si="52"/>
        <v>3.6098400000000006</v>
      </c>
      <c r="T193" s="44">
        <f t="shared" si="53"/>
        <v>3.6098400000000006</v>
      </c>
      <c r="U193" s="44">
        <f t="shared" si="63"/>
        <v>48.498666666666672</v>
      </c>
      <c r="V193" s="44">
        <f t="shared" si="54"/>
        <v>80.499432000000013</v>
      </c>
      <c r="W193" s="44">
        <f t="shared" si="64"/>
        <v>962.42360199999985</v>
      </c>
    </row>
    <row r="194" spans="1:23" s="40" customFormat="1" ht="12" x14ac:dyDescent="0.2">
      <c r="A194" s="36">
        <f t="shared" si="65"/>
        <v>168</v>
      </c>
      <c r="B194" s="36" t="s">
        <v>175</v>
      </c>
      <c r="C194" s="36" t="s">
        <v>4</v>
      </c>
      <c r="D194" s="56">
        <v>340</v>
      </c>
      <c r="E194" s="54">
        <f t="shared" si="55"/>
        <v>442</v>
      </c>
      <c r="F194" s="54">
        <f>8.5*1.3</f>
        <v>11.05</v>
      </c>
      <c r="G194" s="54">
        <f>68*1.3</f>
        <v>88.4</v>
      </c>
      <c r="H194" s="44">
        <f>34.69*1.3</f>
        <v>45.097000000000001</v>
      </c>
      <c r="I194" s="44">
        <f t="shared" si="56"/>
        <v>586.54700000000003</v>
      </c>
      <c r="J194" s="44">
        <f t="shared" si="57"/>
        <v>6.8</v>
      </c>
      <c r="K194" s="44">
        <f t="shared" si="51"/>
        <v>4.3991024999999997</v>
      </c>
      <c r="L194" s="44">
        <f t="shared" si="58"/>
        <v>12.5</v>
      </c>
      <c r="M194" s="44">
        <f t="shared" si="59"/>
        <v>100</v>
      </c>
      <c r="N194" s="44">
        <v>4</v>
      </c>
      <c r="O194" s="44">
        <f t="shared" si="60"/>
        <v>14.083333333333334</v>
      </c>
      <c r="P194" s="45">
        <f t="shared" si="61"/>
        <v>49.812175208333336</v>
      </c>
      <c r="Q194" s="45">
        <v>28.33</v>
      </c>
      <c r="R194" s="45">
        <f t="shared" si="62"/>
        <v>24.906087604166668</v>
      </c>
      <c r="S194" s="44">
        <f t="shared" si="52"/>
        <v>3.6554700000000002</v>
      </c>
      <c r="T194" s="44">
        <f t="shared" si="53"/>
        <v>3.6554700000000002</v>
      </c>
      <c r="U194" s="44">
        <f t="shared" si="63"/>
        <v>48.878916666666669</v>
      </c>
      <c r="V194" s="44">
        <f t="shared" si="54"/>
        <v>81.516981000000001</v>
      </c>
      <c r="W194" s="44">
        <f t="shared" si="64"/>
        <v>969.08453631250018</v>
      </c>
    </row>
    <row r="195" spans="1:23" s="40" customFormat="1" ht="12" x14ac:dyDescent="0.2">
      <c r="A195" s="36">
        <f t="shared" si="65"/>
        <v>169</v>
      </c>
      <c r="B195" s="36" t="s">
        <v>176</v>
      </c>
      <c r="C195" s="36" t="s">
        <v>4</v>
      </c>
      <c r="D195" s="56">
        <v>340</v>
      </c>
      <c r="E195" s="54">
        <f t="shared" si="55"/>
        <v>442</v>
      </c>
      <c r="F195" s="54"/>
      <c r="G195" s="54">
        <f>5.67*1.3</f>
        <v>7.3710000000000004</v>
      </c>
      <c r="H195" s="44">
        <f>85.01*1.3</f>
        <v>110.51300000000001</v>
      </c>
      <c r="I195" s="44">
        <f t="shared" si="56"/>
        <v>559.88400000000001</v>
      </c>
      <c r="J195" s="44">
        <f t="shared" si="57"/>
        <v>6.8</v>
      </c>
      <c r="K195" s="44">
        <f t="shared" si="51"/>
        <v>4.1991300000000003</v>
      </c>
      <c r="L195" s="44">
        <f t="shared" si="58"/>
        <v>12.5</v>
      </c>
      <c r="M195" s="44">
        <f t="shared" si="59"/>
        <v>100</v>
      </c>
      <c r="N195" s="44">
        <v>4</v>
      </c>
      <c r="O195" s="44">
        <f t="shared" si="60"/>
        <v>14.083333333333334</v>
      </c>
      <c r="P195" s="45">
        <f t="shared" si="61"/>
        <v>47.573594166666659</v>
      </c>
      <c r="Q195" s="45">
        <v>28.33</v>
      </c>
      <c r="R195" s="45">
        <f t="shared" si="62"/>
        <v>23.78679708333333</v>
      </c>
      <c r="S195" s="44">
        <f t="shared" si="52"/>
        <v>3.3888400000000001</v>
      </c>
      <c r="T195" s="44">
        <f t="shared" si="53"/>
        <v>3.3888400000000001</v>
      </c>
      <c r="U195" s="44">
        <f t="shared" si="63"/>
        <v>46.657000000000004</v>
      </c>
      <c r="V195" s="44">
        <f t="shared" si="54"/>
        <v>75.571132000000006</v>
      </c>
      <c r="W195" s="44">
        <f t="shared" si="64"/>
        <v>930.16266658333336</v>
      </c>
    </row>
    <row r="196" spans="1:23" s="40" customFormat="1" ht="12" x14ac:dyDescent="0.2">
      <c r="A196" s="36">
        <f t="shared" si="65"/>
        <v>170</v>
      </c>
      <c r="B196" s="36" t="s">
        <v>177</v>
      </c>
      <c r="C196" s="36" t="s">
        <v>14</v>
      </c>
      <c r="D196" s="56">
        <v>512.35</v>
      </c>
      <c r="E196" s="54">
        <v>584</v>
      </c>
      <c r="F196" s="54">
        <f>80.06*1.3</f>
        <v>104.078</v>
      </c>
      <c r="G196" s="54">
        <f>119.55*1.3</f>
        <v>155.41499999999999</v>
      </c>
      <c r="H196" s="44">
        <f>59.31*1.3</f>
        <v>77.103000000000009</v>
      </c>
      <c r="I196" s="44">
        <f t="shared" si="56"/>
        <v>920.596</v>
      </c>
      <c r="J196" s="44">
        <f t="shared" si="57"/>
        <v>6.8</v>
      </c>
      <c r="K196" s="44">
        <f t="shared" si="51"/>
        <v>6.9044700000000008</v>
      </c>
      <c r="L196" s="44">
        <f t="shared" si="58"/>
        <v>12.5</v>
      </c>
      <c r="M196" s="44">
        <f t="shared" si="59"/>
        <v>100</v>
      </c>
      <c r="N196" s="44">
        <v>4</v>
      </c>
      <c r="O196" s="44">
        <f t="shared" si="60"/>
        <v>14.083333333333334</v>
      </c>
      <c r="P196" s="45">
        <f t="shared" si="61"/>
        <v>77.858372499999987</v>
      </c>
      <c r="Q196" s="45">
        <v>28.33</v>
      </c>
      <c r="R196" s="45">
        <f t="shared" si="62"/>
        <v>38.929186249999994</v>
      </c>
      <c r="S196" s="44">
        <f t="shared" si="52"/>
        <v>6.2859600000000002</v>
      </c>
      <c r="T196" s="44">
        <f t="shared" si="53"/>
        <v>6.2859600000000002</v>
      </c>
      <c r="U196" s="44">
        <f t="shared" si="63"/>
        <v>76.716333333333338</v>
      </c>
      <c r="V196" s="44">
        <f t="shared" si="54"/>
        <v>140.176908</v>
      </c>
      <c r="W196" s="44">
        <f t="shared" si="64"/>
        <v>1439.4665234166662</v>
      </c>
    </row>
    <row r="197" spans="1:23" s="40" customFormat="1" ht="12" x14ac:dyDescent="0.2">
      <c r="A197" s="36">
        <f t="shared" si="65"/>
        <v>171</v>
      </c>
      <c r="B197" s="36" t="s">
        <v>178</v>
      </c>
      <c r="C197" s="36" t="s">
        <v>4</v>
      </c>
      <c r="D197" s="56">
        <v>340</v>
      </c>
      <c r="E197" s="54">
        <f t="shared" si="55"/>
        <v>442</v>
      </c>
      <c r="F197" s="54"/>
      <c r="G197" s="54">
        <f>204*1.3</f>
        <v>265.2</v>
      </c>
      <c r="H197" s="44"/>
      <c r="I197" s="44">
        <f t="shared" si="56"/>
        <v>707.2</v>
      </c>
      <c r="J197" s="44">
        <f t="shared" si="57"/>
        <v>6.8</v>
      </c>
      <c r="K197" s="44">
        <f t="shared" si="51"/>
        <v>5.3040000000000003</v>
      </c>
      <c r="L197" s="44">
        <f t="shared" si="58"/>
        <v>12.5</v>
      </c>
      <c r="M197" s="44">
        <f t="shared" si="59"/>
        <v>100</v>
      </c>
      <c r="N197" s="44">
        <v>4</v>
      </c>
      <c r="O197" s="44">
        <f t="shared" si="60"/>
        <v>14.083333333333334</v>
      </c>
      <c r="P197" s="45">
        <f t="shared" si="61"/>
        <v>59.942</v>
      </c>
      <c r="Q197" s="45">
        <v>28.33</v>
      </c>
      <c r="R197" s="45">
        <f t="shared" si="62"/>
        <v>29.971</v>
      </c>
      <c r="S197" s="44">
        <f t="shared" si="52"/>
        <v>4.862000000000001</v>
      </c>
      <c r="T197" s="44">
        <f t="shared" si="53"/>
        <v>4.862000000000001</v>
      </c>
      <c r="U197" s="44">
        <f t="shared" si="63"/>
        <v>58.933333333333337</v>
      </c>
      <c r="V197" s="44">
        <f t="shared" si="54"/>
        <v>108.42260000000002</v>
      </c>
      <c r="W197" s="44">
        <f t="shared" si="64"/>
        <v>1145.2102666666667</v>
      </c>
    </row>
    <row r="198" spans="1:23" s="40" customFormat="1" ht="12" x14ac:dyDescent="0.2">
      <c r="A198" s="36">
        <f t="shared" si="65"/>
        <v>172</v>
      </c>
      <c r="B198" s="36" t="s">
        <v>179</v>
      </c>
      <c r="C198" s="36" t="s">
        <v>4</v>
      </c>
      <c r="D198" s="56">
        <v>340</v>
      </c>
      <c r="E198" s="54">
        <f t="shared" si="55"/>
        <v>442</v>
      </c>
      <c r="F198" s="54"/>
      <c r="G198" s="54">
        <f>90.67*1.3</f>
        <v>117.87100000000001</v>
      </c>
      <c r="H198" s="44"/>
      <c r="I198" s="44">
        <f t="shared" si="56"/>
        <v>559.87099999999998</v>
      </c>
      <c r="J198" s="44">
        <f t="shared" si="57"/>
        <v>6.8</v>
      </c>
      <c r="K198" s="44">
        <f t="shared" si="51"/>
        <v>4.1990324999999995</v>
      </c>
      <c r="L198" s="44">
        <f t="shared" si="58"/>
        <v>12.5</v>
      </c>
      <c r="M198" s="44">
        <f t="shared" si="59"/>
        <v>100</v>
      </c>
      <c r="N198" s="44">
        <v>4</v>
      </c>
      <c r="O198" s="44">
        <f t="shared" si="60"/>
        <v>14.083333333333334</v>
      </c>
      <c r="P198" s="45">
        <f t="shared" si="61"/>
        <v>47.572502708333332</v>
      </c>
      <c r="Q198" s="45">
        <v>28.33</v>
      </c>
      <c r="R198" s="45">
        <f t="shared" si="62"/>
        <v>23.786251354166666</v>
      </c>
      <c r="S198" s="44">
        <f t="shared" si="52"/>
        <v>3.3887099999999997</v>
      </c>
      <c r="T198" s="44">
        <f t="shared" si="53"/>
        <v>3.3887099999999997</v>
      </c>
      <c r="U198" s="44">
        <f t="shared" si="63"/>
        <v>46.655916666666663</v>
      </c>
      <c r="V198" s="44">
        <f t="shared" si="54"/>
        <v>75.568232999999992</v>
      </c>
      <c r="W198" s="44">
        <f t="shared" si="64"/>
        <v>930.14368956249996</v>
      </c>
    </row>
    <row r="199" spans="1:23" s="40" customFormat="1" ht="24" x14ac:dyDescent="0.2">
      <c r="A199" s="36">
        <f t="shared" si="65"/>
        <v>173</v>
      </c>
      <c r="B199" s="36" t="s">
        <v>180</v>
      </c>
      <c r="C199" s="46" t="s">
        <v>238</v>
      </c>
      <c r="D199" s="56">
        <v>500</v>
      </c>
      <c r="E199" s="54">
        <f t="shared" si="55"/>
        <v>650</v>
      </c>
      <c r="F199" s="54">
        <f>15.63*1.3</f>
        <v>20.319000000000003</v>
      </c>
      <c r="G199" s="54">
        <f>33.33*1.3</f>
        <v>43.329000000000001</v>
      </c>
      <c r="H199" s="44"/>
      <c r="I199" s="44">
        <f t="shared" si="56"/>
        <v>713.64799999999991</v>
      </c>
      <c r="J199" s="44">
        <f t="shared" si="57"/>
        <v>6.8</v>
      </c>
      <c r="K199" s="44">
        <f t="shared" si="51"/>
        <v>5.3523599999999991</v>
      </c>
      <c r="L199" s="44">
        <f t="shared" si="58"/>
        <v>12.5</v>
      </c>
      <c r="M199" s="44">
        <f t="shared" si="59"/>
        <v>100</v>
      </c>
      <c r="N199" s="44">
        <v>4</v>
      </c>
      <c r="O199" s="44">
        <f t="shared" si="60"/>
        <v>14.083333333333334</v>
      </c>
      <c r="P199" s="45">
        <f t="shared" si="61"/>
        <v>60.483363333333322</v>
      </c>
      <c r="Q199" s="45">
        <v>28.33</v>
      </c>
      <c r="R199" s="45">
        <f t="shared" si="62"/>
        <v>30.241681666666661</v>
      </c>
      <c r="S199" s="44">
        <f t="shared" si="52"/>
        <v>3.8864799999999997</v>
      </c>
      <c r="T199" s="44">
        <f t="shared" si="53"/>
        <v>3.8864799999999997</v>
      </c>
      <c r="U199" s="44">
        <f t="shared" si="63"/>
        <v>59.470666666666659</v>
      </c>
      <c r="V199" s="44">
        <f t="shared" si="54"/>
        <v>86.668503999999999</v>
      </c>
      <c r="W199" s="44">
        <f t="shared" si="64"/>
        <v>1129.3508689999999</v>
      </c>
    </row>
    <row r="200" spans="1:23" s="40" customFormat="1" ht="12" x14ac:dyDescent="0.2">
      <c r="A200" s="36">
        <f t="shared" si="65"/>
        <v>174</v>
      </c>
      <c r="B200" s="36" t="s">
        <v>182</v>
      </c>
      <c r="C200" s="36" t="s">
        <v>4</v>
      </c>
      <c r="D200" s="56">
        <v>340</v>
      </c>
      <c r="E200" s="54">
        <f t="shared" si="55"/>
        <v>442</v>
      </c>
      <c r="F200" s="54">
        <f>10.63*1.3</f>
        <v>13.819000000000001</v>
      </c>
      <c r="G200" s="54">
        <f>102*1.3</f>
        <v>132.6</v>
      </c>
      <c r="H200" s="44"/>
      <c r="I200" s="44">
        <f t="shared" si="56"/>
        <v>588.41899999999998</v>
      </c>
      <c r="J200" s="44">
        <f t="shared" si="57"/>
        <v>6.8</v>
      </c>
      <c r="K200" s="44">
        <f t="shared" si="51"/>
        <v>4.4131425000000002</v>
      </c>
      <c r="L200" s="44">
        <f t="shared" si="58"/>
        <v>12.5</v>
      </c>
      <c r="M200" s="44">
        <f t="shared" si="59"/>
        <v>100</v>
      </c>
      <c r="N200" s="44">
        <v>4</v>
      </c>
      <c r="O200" s="44">
        <f t="shared" si="60"/>
        <v>14.083333333333334</v>
      </c>
      <c r="P200" s="45">
        <f t="shared" si="61"/>
        <v>49.96934520833333</v>
      </c>
      <c r="Q200" s="45">
        <v>28.33</v>
      </c>
      <c r="R200" s="45">
        <f t="shared" si="62"/>
        <v>24.984672604166665</v>
      </c>
      <c r="S200" s="44">
        <f t="shared" si="52"/>
        <v>3.6741899999999998</v>
      </c>
      <c r="T200" s="44">
        <f t="shared" si="53"/>
        <v>3.6741899999999998</v>
      </c>
      <c r="U200" s="44">
        <f t="shared" si="63"/>
        <v>49.034916666666668</v>
      </c>
      <c r="V200" s="44">
        <f t="shared" si="54"/>
        <v>81.934437000000003</v>
      </c>
      <c r="W200" s="44">
        <f t="shared" si="64"/>
        <v>971.81722731249999</v>
      </c>
    </row>
    <row r="201" spans="1:23" s="40" customFormat="1" ht="12" x14ac:dyDescent="0.2">
      <c r="A201" s="36">
        <f t="shared" si="65"/>
        <v>175</v>
      </c>
      <c r="B201" s="36" t="s">
        <v>183</v>
      </c>
      <c r="C201" s="36" t="s">
        <v>14</v>
      </c>
      <c r="D201" s="56">
        <v>512.35</v>
      </c>
      <c r="E201" s="54">
        <v>584</v>
      </c>
      <c r="F201" s="54">
        <f>41.63*1.3</f>
        <v>54.119000000000007</v>
      </c>
      <c r="G201" s="54">
        <f>59.77*1.3</f>
        <v>77.701000000000008</v>
      </c>
      <c r="H201" s="44">
        <f>51.13*1.3</f>
        <v>66.469000000000008</v>
      </c>
      <c r="I201" s="44">
        <f t="shared" si="56"/>
        <v>782.2890000000001</v>
      </c>
      <c r="J201" s="44">
        <f t="shared" si="57"/>
        <v>6.8</v>
      </c>
      <c r="K201" s="44">
        <f t="shared" si="51"/>
        <v>5.8671675000000008</v>
      </c>
      <c r="L201" s="44">
        <f t="shared" si="58"/>
        <v>12.5</v>
      </c>
      <c r="M201" s="44">
        <f t="shared" si="59"/>
        <v>100</v>
      </c>
      <c r="N201" s="44">
        <v>4</v>
      </c>
      <c r="O201" s="44">
        <f t="shared" si="60"/>
        <v>14.083333333333334</v>
      </c>
      <c r="P201" s="45">
        <f t="shared" si="61"/>
        <v>66.24634729166668</v>
      </c>
      <c r="Q201" s="45">
        <v>28.33</v>
      </c>
      <c r="R201" s="45">
        <f t="shared" si="62"/>
        <v>33.12317364583334</v>
      </c>
      <c r="S201" s="44">
        <f t="shared" si="52"/>
        <v>4.9028900000000011</v>
      </c>
      <c r="T201" s="44">
        <f t="shared" si="53"/>
        <v>4.9028900000000011</v>
      </c>
      <c r="U201" s="44">
        <f t="shared" si="63"/>
        <v>65.190750000000008</v>
      </c>
      <c r="V201" s="44">
        <f t="shared" si="54"/>
        <v>109.33444700000003</v>
      </c>
      <c r="W201" s="44">
        <f t="shared" si="64"/>
        <v>1237.5699987708335</v>
      </c>
    </row>
    <row r="202" spans="1:23" s="40" customFormat="1" ht="12" x14ac:dyDescent="0.2">
      <c r="A202" s="36">
        <f t="shared" si="65"/>
        <v>176</v>
      </c>
      <c r="B202" s="36" t="s">
        <v>184</v>
      </c>
      <c r="C202" s="36" t="s">
        <v>4</v>
      </c>
      <c r="D202" s="56">
        <v>340</v>
      </c>
      <c r="E202" s="54">
        <f t="shared" si="55"/>
        <v>442</v>
      </c>
      <c r="F202" s="54"/>
      <c r="G202" s="54">
        <f>90.67*1.3</f>
        <v>117.87100000000001</v>
      </c>
      <c r="H202" s="44">
        <f>85.01*1.3</f>
        <v>110.51300000000001</v>
      </c>
      <c r="I202" s="44">
        <f t="shared" si="56"/>
        <v>670.38400000000001</v>
      </c>
      <c r="J202" s="44">
        <f t="shared" si="57"/>
        <v>6.8</v>
      </c>
      <c r="K202" s="44">
        <f t="shared" si="51"/>
        <v>5.0278800000000006</v>
      </c>
      <c r="L202" s="44">
        <f t="shared" si="58"/>
        <v>12.5</v>
      </c>
      <c r="M202" s="44">
        <f t="shared" si="59"/>
        <v>100</v>
      </c>
      <c r="N202" s="44">
        <v>4</v>
      </c>
      <c r="O202" s="44">
        <f t="shared" si="60"/>
        <v>14.083333333333334</v>
      </c>
      <c r="P202" s="45">
        <f t="shared" si="61"/>
        <v>56.850989999999996</v>
      </c>
      <c r="Q202" s="45">
        <v>28.33</v>
      </c>
      <c r="R202" s="45">
        <f t="shared" si="62"/>
        <v>28.425494999999998</v>
      </c>
      <c r="S202" s="44">
        <f t="shared" si="52"/>
        <v>4.4938400000000005</v>
      </c>
      <c r="T202" s="44">
        <f t="shared" si="53"/>
        <v>4.4938400000000005</v>
      </c>
      <c r="U202" s="44">
        <f t="shared" si="63"/>
        <v>55.865333333333332</v>
      </c>
      <c r="V202" s="44">
        <f t="shared" si="54"/>
        <v>100.212632</v>
      </c>
      <c r="W202" s="44">
        <f t="shared" si="64"/>
        <v>1091.4673436666667</v>
      </c>
    </row>
    <row r="203" spans="1:23" s="40" customFormat="1" ht="12" x14ac:dyDescent="0.2">
      <c r="A203" s="36"/>
      <c r="B203" s="41" t="s">
        <v>2</v>
      </c>
      <c r="C203" s="41"/>
      <c r="D203" s="57">
        <f t="shared" ref="D203:W203" si="66">SUM(D97:D202)</f>
        <v>38243.499999999993</v>
      </c>
      <c r="E203" s="55">
        <f t="shared" si="66"/>
        <v>48896</v>
      </c>
      <c r="F203" s="55">
        <f t="shared" si="66"/>
        <v>1336.6670000000004</v>
      </c>
      <c r="G203" s="55">
        <f t="shared" si="66"/>
        <v>13783.150000000001</v>
      </c>
      <c r="H203" s="55">
        <f t="shared" si="66"/>
        <v>9965.6570000000011</v>
      </c>
      <c r="I203" s="55">
        <f t="shared" si="66"/>
        <v>73981.473999999987</v>
      </c>
      <c r="J203" s="55">
        <f t="shared" si="66"/>
        <v>720.79999999999916</v>
      </c>
      <c r="K203" s="55">
        <f t="shared" si="66"/>
        <v>554.86105499999996</v>
      </c>
      <c r="L203" s="55">
        <f t="shared" si="66"/>
        <v>1325</v>
      </c>
      <c r="M203" s="55">
        <f t="shared" si="66"/>
        <v>10600</v>
      </c>
      <c r="N203" s="55">
        <f t="shared" si="66"/>
        <v>424</v>
      </c>
      <c r="O203" s="55">
        <f t="shared" si="66"/>
        <v>1492.8333333333319</v>
      </c>
      <c r="P203" s="55">
        <f t="shared" si="66"/>
        <v>6271.4279212499996</v>
      </c>
      <c r="Q203" s="55">
        <f t="shared" si="66"/>
        <v>3002.9799999999955</v>
      </c>
      <c r="R203" s="55">
        <f t="shared" si="66"/>
        <v>3135.7139606249998</v>
      </c>
      <c r="S203" s="55">
        <f t="shared" si="66"/>
        <v>495.33473999999995</v>
      </c>
      <c r="T203" s="55">
        <f t="shared" si="66"/>
        <v>495.33473999999995</v>
      </c>
      <c r="U203" s="55">
        <f t="shared" si="66"/>
        <v>6165.1228333333338</v>
      </c>
      <c r="V203" s="55">
        <f t="shared" si="66"/>
        <v>11045.964701999996</v>
      </c>
      <c r="W203" s="55">
        <f t="shared" si="66"/>
        <v>119710.84728554165</v>
      </c>
    </row>
    <row r="204" spans="1:23" s="40" customFormat="1" ht="12" x14ac:dyDescent="0.2">
      <c r="D204" s="43"/>
      <c r="E204" s="43"/>
      <c r="G204" s="43"/>
      <c r="H204" s="43"/>
    </row>
    <row r="205" spans="1:23" s="40" customFormat="1" ht="17.25" x14ac:dyDescent="0.3">
      <c r="B205" s="77" t="s">
        <v>266</v>
      </c>
      <c r="D205" s="43"/>
      <c r="E205" s="43"/>
      <c r="G205" s="43"/>
      <c r="H205" s="43"/>
    </row>
    <row r="206" spans="1:23" s="40" customFormat="1" ht="30.75" customHeight="1" thickBot="1" x14ac:dyDescent="0.25">
      <c r="B206" s="64"/>
      <c r="C206" s="64"/>
      <c r="D206" s="43"/>
      <c r="E206" s="43"/>
      <c r="G206" s="43"/>
      <c r="H206" s="43"/>
    </row>
    <row r="207" spans="1:23" s="40" customFormat="1" ht="12.75" x14ac:dyDescent="0.2">
      <c r="B207" s="63" t="s">
        <v>245</v>
      </c>
      <c r="C207" s="59"/>
      <c r="D207" s="43"/>
      <c r="E207" s="43"/>
      <c r="G207" s="43"/>
      <c r="H207" s="43"/>
    </row>
    <row r="208" spans="1:23" s="40" customFormat="1" ht="12.75" x14ac:dyDescent="0.2">
      <c r="B208" s="63" t="s">
        <v>246</v>
      </c>
      <c r="C208" s="59"/>
      <c r="D208" s="43"/>
      <c r="E208" s="43"/>
      <c r="G208" s="43"/>
      <c r="H208" s="43"/>
    </row>
    <row r="209" spans="1:23" ht="21.75" thickBot="1" x14ac:dyDescent="0.4">
      <c r="A209" s="82" t="s">
        <v>227</v>
      </c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</row>
    <row r="210" spans="1:23" s="32" customFormat="1" ht="45" customHeight="1" x14ac:dyDescent="0.2">
      <c r="A210" s="101" t="s">
        <v>226</v>
      </c>
      <c r="B210" s="89" t="s">
        <v>242</v>
      </c>
      <c r="C210" s="91" t="s">
        <v>1</v>
      </c>
      <c r="D210" s="93" t="s">
        <v>254</v>
      </c>
      <c r="E210" s="87" t="s">
        <v>234</v>
      </c>
      <c r="F210" s="87" t="s">
        <v>241</v>
      </c>
      <c r="G210" s="87" t="s">
        <v>207</v>
      </c>
      <c r="H210" s="99" t="s">
        <v>261</v>
      </c>
      <c r="I210" s="91" t="s">
        <v>198</v>
      </c>
      <c r="J210" s="85" t="s">
        <v>206</v>
      </c>
      <c r="K210" s="85" t="s">
        <v>233</v>
      </c>
      <c r="L210" s="85" t="s">
        <v>236</v>
      </c>
      <c r="M210" s="85" t="s">
        <v>235</v>
      </c>
      <c r="N210" s="85" t="s">
        <v>199</v>
      </c>
      <c r="O210" s="83" t="s">
        <v>205</v>
      </c>
      <c r="P210" s="83" t="s">
        <v>252</v>
      </c>
      <c r="Q210" s="29" t="s">
        <v>253</v>
      </c>
      <c r="R210" s="97" t="s">
        <v>200</v>
      </c>
      <c r="S210" s="83" t="s">
        <v>201</v>
      </c>
      <c r="T210" s="95" t="s">
        <v>202</v>
      </c>
      <c r="U210" s="30" t="s">
        <v>203</v>
      </c>
      <c r="V210" s="31" t="s">
        <v>204</v>
      </c>
      <c r="W210" s="95" t="s">
        <v>248</v>
      </c>
    </row>
    <row r="211" spans="1:23" s="32" customFormat="1" ht="45" customHeight="1" thickBot="1" x14ac:dyDescent="0.25">
      <c r="A211" s="102"/>
      <c r="B211" s="90"/>
      <c r="C211" s="92"/>
      <c r="D211" s="94"/>
      <c r="E211" s="88"/>
      <c r="F211" s="88"/>
      <c r="G211" s="88"/>
      <c r="H211" s="100"/>
      <c r="I211" s="92"/>
      <c r="J211" s="86"/>
      <c r="K211" s="86"/>
      <c r="L211" s="86"/>
      <c r="M211" s="86"/>
      <c r="N211" s="86"/>
      <c r="O211" s="84"/>
      <c r="P211" s="84"/>
      <c r="Q211" s="33">
        <f>340/12</f>
        <v>28.333333333333332</v>
      </c>
      <c r="R211" s="98"/>
      <c r="S211" s="84"/>
      <c r="T211" s="96"/>
      <c r="U211" s="34">
        <v>8.3299999999999999E-2</v>
      </c>
      <c r="V211" s="35">
        <v>0.1115</v>
      </c>
      <c r="W211" s="96"/>
    </row>
    <row r="212" spans="1:23" s="40" customFormat="1" ht="36" x14ac:dyDescent="0.2">
      <c r="A212" s="36">
        <v>177</v>
      </c>
      <c r="B212" s="36" t="s">
        <v>185</v>
      </c>
      <c r="C212" s="46" t="s">
        <v>186</v>
      </c>
      <c r="D212" s="44">
        <v>463.34</v>
      </c>
      <c r="E212" s="54">
        <v>531</v>
      </c>
      <c r="F212" s="54"/>
      <c r="G212" s="44"/>
      <c r="H212" s="44"/>
      <c r="I212" s="44">
        <f>E212+F212+G212+H212</f>
        <v>531</v>
      </c>
      <c r="J212" s="44">
        <f>(340*1/100)*2</f>
        <v>6.8</v>
      </c>
      <c r="K212" s="44">
        <f>(I212*0.25%)*3</f>
        <v>3.9825000000000004</v>
      </c>
      <c r="L212" s="44">
        <f>0.5*25</f>
        <v>12.5</v>
      </c>
      <c r="M212" s="44">
        <f>4*25</f>
        <v>100</v>
      </c>
      <c r="N212" s="44">
        <v>4</v>
      </c>
      <c r="O212" s="44">
        <f>169/12</f>
        <v>14.083333333333334</v>
      </c>
      <c r="P212" s="45">
        <f>(I212+J212+K212)/12</f>
        <v>45.148541666666659</v>
      </c>
      <c r="Q212" s="45">
        <v>28.33</v>
      </c>
      <c r="R212" s="45">
        <f>(I212+J212+K212)/12</f>
        <v>45.148541666666659</v>
      </c>
      <c r="S212" s="44">
        <f>(F212+G212+H212+I212)*0.005</f>
        <v>2.6550000000000002</v>
      </c>
      <c r="T212" s="44">
        <f>(F212+G212+H212+I212)*0.005</f>
        <v>2.6550000000000002</v>
      </c>
      <c r="U212" s="44">
        <f>(I212)/12</f>
        <v>44.25</v>
      </c>
      <c r="V212" s="44">
        <f>(F212+G212+H212+I212)*0.1115</f>
        <v>59.206499999999998</v>
      </c>
      <c r="W212" s="44">
        <f>I212+J212+K212+L212+M212+N212+O212+P212+Q212+R212+S212+T212+U212+V212</f>
        <v>899.75941666666665</v>
      </c>
    </row>
    <row r="213" spans="1:23" s="40" customFormat="1" ht="24" x14ac:dyDescent="0.2">
      <c r="A213" s="36">
        <v>178</v>
      </c>
      <c r="B213" s="36" t="s">
        <v>187</v>
      </c>
      <c r="C213" s="46" t="s">
        <v>188</v>
      </c>
      <c r="D213" s="44">
        <v>560.61</v>
      </c>
      <c r="E213" s="54">
        <v>560.61</v>
      </c>
      <c r="F213" s="54">
        <f>150.67*1.3</f>
        <v>195.87099999999998</v>
      </c>
      <c r="G213" s="44">
        <f>37.37*1.3</f>
        <v>48.580999999999996</v>
      </c>
      <c r="H213" s="44"/>
      <c r="I213" s="44">
        <f>E213+F213+G213+H213</f>
        <v>805.06200000000001</v>
      </c>
      <c r="J213" s="44">
        <f t="shared" ref="J213:J220" si="67">(340*1/100)*2</f>
        <v>6.8</v>
      </c>
      <c r="K213" s="44">
        <f t="shared" ref="K213:K218" si="68">(I213*0.25%)*3</f>
        <v>6.0379649999999998</v>
      </c>
      <c r="L213" s="44">
        <f t="shared" ref="L213:L220" si="69">0.5*25</f>
        <v>12.5</v>
      </c>
      <c r="M213" s="44">
        <f t="shared" ref="M213:M220" si="70">4*25</f>
        <v>100</v>
      </c>
      <c r="N213" s="44">
        <v>4</v>
      </c>
      <c r="O213" s="44">
        <f t="shared" ref="O213:O220" si="71">169/12</f>
        <v>14.083333333333334</v>
      </c>
      <c r="P213" s="45">
        <f>(I213+J213+K213)/12</f>
        <v>68.158330416666658</v>
      </c>
      <c r="Q213" s="45">
        <v>28.33</v>
      </c>
      <c r="R213" s="45">
        <f t="shared" ref="R213:R220" si="72">(I213+J213+K213)/12</f>
        <v>68.158330416666658</v>
      </c>
      <c r="S213" s="44">
        <f t="shared" ref="S213:S218" si="73">(F213+G213+H213+I213)*0.005</f>
        <v>5.2475699999999996</v>
      </c>
      <c r="T213" s="44">
        <f t="shared" ref="T213:T218" si="74">(F213+G213+H213+I213)*0.005</f>
        <v>5.2475699999999996</v>
      </c>
      <c r="U213" s="44">
        <f t="shared" ref="U213:U220" si="75">(I213)/12</f>
        <v>67.088499999999996</v>
      </c>
      <c r="V213" s="44">
        <f t="shared" ref="V213:V218" si="76">(F213+G213+H213+I213)*0.1115</f>
        <v>117.02081099999999</v>
      </c>
      <c r="W213" s="44">
        <f t="shared" ref="W213:W220" si="77">I213+J213+K213+L213+M213+N213+O213+P213+Q213+R213+S213+T213+U213+V213</f>
        <v>1307.7344101666667</v>
      </c>
    </row>
    <row r="214" spans="1:23" s="40" customFormat="1" ht="24" x14ac:dyDescent="0.2">
      <c r="A214" s="36">
        <v>179</v>
      </c>
      <c r="B214" s="36" t="s">
        <v>189</v>
      </c>
      <c r="C214" s="46" t="s">
        <v>190</v>
      </c>
      <c r="D214" s="44">
        <v>569.16</v>
      </c>
      <c r="E214" s="54">
        <v>569.16</v>
      </c>
      <c r="F214" s="54"/>
      <c r="G214" s="44">
        <f>47.43*1.3</f>
        <v>61.658999999999999</v>
      </c>
      <c r="H214" s="44">
        <f>E214*0.25</f>
        <v>142.29</v>
      </c>
      <c r="I214" s="44">
        <f>E214+F214+G214+H214</f>
        <v>773.10899999999992</v>
      </c>
      <c r="J214" s="44">
        <f t="shared" si="67"/>
        <v>6.8</v>
      </c>
      <c r="K214" s="44">
        <f t="shared" si="68"/>
        <v>5.7983174999999996</v>
      </c>
      <c r="L214" s="44">
        <f t="shared" si="69"/>
        <v>12.5</v>
      </c>
      <c r="M214" s="44">
        <f t="shared" si="70"/>
        <v>100</v>
      </c>
      <c r="N214" s="44">
        <v>4</v>
      </c>
      <c r="O214" s="44">
        <f t="shared" si="71"/>
        <v>14.083333333333334</v>
      </c>
      <c r="P214" s="45">
        <f t="shared" ref="P214:P220" si="78">(I214+J214+K214)/12</f>
        <v>65.475609791666656</v>
      </c>
      <c r="Q214" s="45">
        <v>28.33</v>
      </c>
      <c r="R214" s="45">
        <f t="shared" si="72"/>
        <v>65.475609791666656</v>
      </c>
      <c r="S214" s="44">
        <f t="shared" si="73"/>
        <v>4.8852899999999995</v>
      </c>
      <c r="T214" s="44">
        <f t="shared" si="74"/>
        <v>4.8852899999999995</v>
      </c>
      <c r="U214" s="44">
        <f t="shared" si="75"/>
        <v>64.425749999999994</v>
      </c>
      <c r="V214" s="44">
        <f t="shared" si="76"/>
        <v>108.94196699999999</v>
      </c>
      <c r="W214" s="44">
        <f t="shared" si="77"/>
        <v>1258.7101674166663</v>
      </c>
    </row>
    <row r="215" spans="1:23" s="40" customFormat="1" ht="12" x14ac:dyDescent="0.2">
      <c r="A215" s="36">
        <v>180</v>
      </c>
      <c r="B215" s="36" t="s">
        <v>191</v>
      </c>
      <c r="C215" s="46" t="s">
        <v>192</v>
      </c>
      <c r="D215" s="44">
        <v>655.08000000000004</v>
      </c>
      <c r="E215" s="54">
        <v>655.08000000000004</v>
      </c>
      <c r="F215" s="54"/>
      <c r="G215" s="44">
        <f>54.59*1.3</f>
        <v>70.967000000000013</v>
      </c>
      <c r="H215" s="44">
        <f>E215*0.25</f>
        <v>163.77000000000001</v>
      </c>
      <c r="I215" s="44">
        <f t="shared" ref="I215:I220" si="79">E215+F215+G215+H215</f>
        <v>889.81700000000001</v>
      </c>
      <c r="J215" s="44">
        <f t="shared" si="67"/>
        <v>6.8</v>
      </c>
      <c r="K215" s="44">
        <f t="shared" si="68"/>
        <v>6.6736275000000003</v>
      </c>
      <c r="L215" s="44">
        <f t="shared" si="69"/>
        <v>12.5</v>
      </c>
      <c r="M215" s="44">
        <f t="shared" si="70"/>
        <v>100</v>
      </c>
      <c r="N215" s="44">
        <v>4</v>
      </c>
      <c r="O215" s="44">
        <f t="shared" si="71"/>
        <v>14.083333333333334</v>
      </c>
      <c r="P215" s="45">
        <f t="shared" si="78"/>
        <v>75.274218958333321</v>
      </c>
      <c r="Q215" s="45">
        <v>28.33</v>
      </c>
      <c r="R215" s="45">
        <f t="shared" si="72"/>
        <v>75.274218958333321</v>
      </c>
      <c r="S215" s="44">
        <f t="shared" si="73"/>
        <v>5.6227700000000009</v>
      </c>
      <c r="T215" s="44">
        <f t="shared" si="74"/>
        <v>5.6227700000000009</v>
      </c>
      <c r="U215" s="44">
        <f t="shared" si="75"/>
        <v>74.151416666666663</v>
      </c>
      <c r="V215" s="44">
        <f t="shared" si="76"/>
        <v>125.38777100000001</v>
      </c>
      <c r="W215" s="44">
        <f t="shared" si="77"/>
        <v>1423.5371264166661</v>
      </c>
    </row>
    <row r="216" spans="1:23" s="40" customFormat="1" ht="12" x14ac:dyDescent="0.2">
      <c r="A216" s="36">
        <v>181</v>
      </c>
      <c r="B216" s="36" t="s">
        <v>193</v>
      </c>
      <c r="C216" s="46" t="s">
        <v>192</v>
      </c>
      <c r="D216" s="44">
        <v>891.4</v>
      </c>
      <c r="E216" s="54">
        <v>891.4</v>
      </c>
      <c r="F216" s="54"/>
      <c r="G216" s="44">
        <f>178.28*1.3</f>
        <v>231.76400000000001</v>
      </c>
      <c r="H216" s="44">
        <f>E216*0.25</f>
        <v>222.85</v>
      </c>
      <c r="I216" s="44">
        <f t="shared" si="79"/>
        <v>1346.0139999999999</v>
      </c>
      <c r="J216" s="44">
        <f t="shared" si="67"/>
        <v>6.8</v>
      </c>
      <c r="K216" s="44">
        <f t="shared" si="68"/>
        <v>10.095105</v>
      </c>
      <c r="L216" s="44">
        <f t="shared" si="69"/>
        <v>12.5</v>
      </c>
      <c r="M216" s="44">
        <f t="shared" si="70"/>
        <v>100</v>
      </c>
      <c r="N216" s="44">
        <v>4</v>
      </c>
      <c r="O216" s="44">
        <f t="shared" si="71"/>
        <v>14.083333333333334</v>
      </c>
      <c r="P216" s="45">
        <f t="shared" si="78"/>
        <v>113.57575874999999</v>
      </c>
      <c r="Q216" s="45">
        <v>28.33</v>
      </c>
      <c r="R216" s="45">
        <f t="shared" si="72"/>
        <v>113.57575874999999</v>
      </c>
      <c r="S216" s="44">
        <f t="shared" si="73"/>
        <v>9.0031400000000001</v>
      </c>
      <c r="T216" s="44">
        <f t="shared" si="74"/>
        <v>9.0031400000000001</v>
      </c>
      <c r="U216" s="44">
        <f t="shared" si="75"/>
        <v>112.16783333333332</v>
      </c>
      <c r="V216" s="44">
        <f t="shared" si="76"/>
        <v>200.77002199999998</v>
      </c>
      <c r="W216" s="44">
        <f t="shared" si="77"/>
        <v>2079.9180911666667</v>
      </c>
    </row>
    <row r="217" spans="1:23" s="40" customFormat="1" ht="24" x14ac:dyDescent="0.2">
      <c r="A217" s="36">
        <v>182</v>
      </c>
      <c r="B217" s="36" t="s">
        <v>194</v>
      </c>
      <c r="C217" s="46" t="s">
        <v>190</v>
      </c>
      <c r="D217" s="44">
        <v>560.65</v>
      </c>
      <c r="E217" s="54">
        <v>560.65</v>
      </c>
      <c r="F217" s="54"/>
      <c r="G217" s="44">
        <f>23.36*1.3</f>
        <v>30.367999999999999</v>
      </c>
      <c r="H217" s="44">
        <f>E217*0.25</f>
        <v>140.16249999999999</v>
      </c>
      <c r="I217" s="44">
        <f t="shared" si="79"/>
        <v>731.18050000000005</v>
      </c>
      <c r="J217" s="44">
        <f t="shared" si="67"/>
        <v>6.8</v>
      </c>
      <c r="K217" s="44">
        <f t="shared" si="68"/>
        <v>5.4838537500000006</v>
      </c>
      <c r="L217" s="44">
        <f t="shared" si="69"/>
        <v>12.5</v>
      </c>
      <c r="M217" s="44">
        <f t="shared" si="70"/>
        <v>100</v>
      </c>
      <c r="N217" s="44">
        <v>4</v>
      </c>
      <c r="O217" s="44">
        <f t="shared" si="71"/>
        <v>14.083333333333334</v>
      </c>
      <c r="P217" s="45">
        <f t="shared" si="78"/>
        <v>61.955362812499999</v>
      </c>
      <c r="Q217" s="45">
        <v>28.33</v>
      </c>
      <c r="R217" s="45">
        <f t="shared" si="72"/>
        <v>61.955362812499999</v>
      </c>
      <c r="S217" s="44">
        <f t="shared" si="73"/>
        <v>4.5085550000000003</v>
      </c>
      <c r="T217" s="44">
        <f t="shared" si="74"/>
        <v>4.5085550000000003</v>
      </c>
      <c r="U217" s="44">
        <f t="shared" si="75"/>
        <v>60.93170833333334</v>
      </c>
      <c r="V217" s="44">
        <f t="shared" si="76"/>
        <v>100.54077650000001</v>
      </c>
      <c r="W217" s="44">
        <f t="shared" si="77"/>
        <v>1196.7780075416665</v>
      </c>
    </row>
    <row r="218" spans="1:23" s="40" customFormat="1" ht="24" x14ac:dyDescent="0.2">
      <c r="A218" s="36">
        <v>183</v>
      </c>
      <c r="B218" s="36" t="s">
        <v>195</v>
      </c>
      <c r="C218" s="46" t="s">
        <v>188</v>
      </c>
      <c r="D218" s="44">
        <v>643.41999999999996</v>
      </c>
      <c r="E218" s="54">
        <v>643.41999999999996</v>
      </c>
      <c r="F218" s="54">
        <f>60.32*1.3</f>
        <v>78.415999999999997</v>
      </c>
      <c r="G218" s="44">
        <f>37.53*1.3</f>
        <v>48.789000000000001</v>
      </c>
      <c r="H218" s="44"/>
      <c r="I218" s="44">
        <f t="shared" si="79"/>
        <v>770.625</v>
      </c>
      <c r="J218" s="44">
        <f t="shared" si="67"/>
        <v>6.8</v>
      </c>
      <c r="K218" s="44">
        <f t="shared" si="68"/>
        <v>5.7796874999999996</v>
      </c>
      <c r="L218" s="44">
        <f t="shared" si="69"/>
        <v>12.5</v>
      </c>
      <c r="M218" s="44">
        <f t="shared" si="70"/>
        <v>100</v>
      </c>
      <c r="N218" s="44">
        <v>4</v>
      </c>
      <c r="O218" s="44">
        <f t="shared" si="71"/>
        <v>14.083333333333334</v>
      </c>
      <c r="P218" s="45">
        <f t="shared" si="78"/>
        <v>65.26705729166666</v>
      </c>
      <c r="Q218" s="45">
        <v>28.33</v>
      </c>
      <c r="R218" s="45">
        <f t="shared" si="72"/>
        <v>65.26705729166666</v>
      </c>
      <c r="S218" s="44">
        <f t="shared" si="73"/>
        <v>4.4891500000000004</v>
      </c>
      <c r="T218" s="44">
        <f t="shared" si="74"/>
        <v>4.4891500000000004</v>
      </c>
      <c r="U218" s="44">
        <f t="shared" si="75"/>
        <v>64.21875</v>
      </c>
      <c r="V218" s="44">
        <f t="shared" si="76"/>
        <v>100.108045</v>
      </c>
      <c r="W218" s="44">
        <f t="shared" si="77"/>
        <v>1245.9572304166668</v>
      </c>
    </row>
    <row r="219" spans="1:23" s="40" customFormat="1" ht="12" x14ac:dyDescent="0.2">
      <c r="A219" s="36">
        <v>184</v>
      </c>
      <c r="B219" s="36" t="s">
        <v>196</v>
      </c>
      <c r="C219" s="46" t="s">
        <v>192</v>
      </c>
      <c r="D219" s="44">
        <v>708.89</v>
      </c>
      <c r="E219" s="54">
        <v>708.89</v>
      </c>
      <c r="F219" s="54"/>
      <c r="G219" s="44">
        <f>147.69*1.3</f>
        <v>191.99700000000001</v>
      </c>
      <c r="H219" s="44">
        <f>E219*0.25</f>
        <v>177.2225</v>
      </c>
      <c r="I219" s="44">
        <f t="shared" si="79"/>
        <v>1078.1095</v>
      </c>
      <c r="J219" s="44">
        <f t="shared" si="67"/>
        <v>6.8</v>
      </c>
      <c r="K219" s="44">
        <f t="shared" ref="K219:K220" si="80">(I219*0.25%)*3</f>
        <v>8.0858212500000004</v>
      </c>
      <c r="L219" s="44">
        <f t="shared" si="69"/>
        <v>12.5</v>
      </c>
      <c r="M219" s="44">
        <f t="shared" si="70"/>
        <v>100</v>
      </c>
      <c r="N219" s="44">
        <v>4</v>
      </c>
      <c r="O219" s="44">
        <f t="shared" si="71"/>
        <v>14.083333333333334</v>
      </c>
      <c r="P219" s="45">
        <f t="shared" si="78"/>
        <v>91.082943437499992</v>
      </c>
      <c r="Q219" s="45">
        <v>28.33</v>
      </c>
      <c r="R219" s="45">
        <f t="shared" si="72"/>
        <v>91.082943437499992</v>
      </c>
      <c r="S219" s="44">
        <f t="shared" ref="S219:S220" si="81">(F219+G219+H219+I219)*0.005</f>
        <v>7.2366450000000011</v>
      </c>
      <c r="T219" s="44">
        <f t="shared" ref="T219:T220" si="82">(F219+G219+H219+I219)*0.005</f>
        <v>7.2366450000000011</v>
      </c>
      <c r="U219" s="44">
        <f t="shared" si="75"/>
        <v>89.84245833333334</v>
      </c>
      <c r="V219" s="44">
        <f t="shared" ref="V219:V220" si="83">(F219+G219+H219+I219)*0.1115</f>
        <v>161.37718350000003</v>
      </c>
      <c r="W219" s="44">
        <f t="shared" si="77"/>
        <v>1699.7674732916664</v>
      </c>
    </row>
    <row r="220" spans="1:23" s="40" customFormat="1" ht="24" x14ac:dyDescent="0.2">
      <c r="A220" s="36">
        <v>185</v>
      </c>
      <c r="B220" s="36" t="s">
        <v>197</v>
      </c>
      <c r="C220" s="46" t="s">
        <v>188</v>
      </c>
      <c r="D220" s="44">
        <v>643.14</v>
      </c>
      <c r="E220" s="54">
        <v>643.14</v>
      </c>
      <c r="F220" s="54">
        <f>56.28*1.3</f>
        <v>73.164000000000001</v>
      </c>
      <c r="G220" s="44">
        <f>37.52*1.3</f>
        <v>48.776000000000003</v>
      </c>
      <c r="H220" s="44"/>
      <c r="I220" s="44">
        <f t="shared" si="79"/>
        <v>765.07999999999993</v>
      </c>
      <c r="J220" s="44">
        <f t="shared" si="67"/>
        <v>6.8</v>
      </c>
      <c r="K220" s="44">
        <f t="shared" si="80"/>
        <v>5.7380999999999993</v>
      </c>
      <c r="L220" s="44">
        <f t="shared" si="69"/>
        <v>12.5</v>
      </c>
      <c r="M220" s="44">
        <f t="shared" si="70"/>
        <v>100</v>
      </c>
      <c r="N220" s="44">
        <v>4</v>
      </c>
      <c r="O220" s="44">
        <f t="shared" si="71"/>
        <v>14.083333333333334</v>
      </c>
      <c r="P220" s="45">
        <f t="shared" si="78"/>
        <v>64.801508333333331</v>
      </c>
      <c r="Q220" s="45">
        <v>28.33</v>
      </c>
      <c r="R220" s="45">
        <f t="shared" si="72"/>
        <v>64.801508333333331</v>
      </c>
      <c r="S220" s="44">
        <f t="shared" si="81"/>
        <v>4.4351000000000003</v>
      </c>
      <c r="T220" s="44">
        <f t="shared" si="82"/>
        <v>4.4351000000000003</v>
      </c>
      <c r="U220" s="44">
        <f t="shared" si="75"/>
        <v>63.756666666666661</v>
      </c>
      <c r="V220" s="44">
        <f t="shared" si="83"/>
        <v>98.902730000000005</v>
      </c>
      <c r="W220" s="44">
        <f t="shared" si="77"/>
        <v>1237.6640466666665</v>
      </c>
    </row>
    <row r="221" spans="1:23" s="40" customFormat="1" ht="12" x14ac:dyDescent="0.2">
      <c r="A221" s="36"/>
      <c r="B221" s="41" t="s">
        <v>2</v>
      </c>
      <c r="C221" s="41"/>
      <c r="D221" s="48">
        <f>SUM(D212:D220)</f>
        <v>5695.6900000000005</v>
      </c>
      <c r="E221" s="48">
        <f t="shared" ref="E221" si="84">SUM(E212:E220)</f>
        <v>5763.35</v>
      </c>
      <c r="F221" s="55">
        <f>SUM(F212:F220)</f>
        <v>347.45099999999996</v>
      </c>
      <c r="G221" s="55">
        <f t="shared" ref="G221:W221" si="85">SUM(G212:G220)</f>
        <v>732.90099999999995</v>
      </c>
      <c r="H221" s="55">
        <f t="shared" si="85"/>
        <v>846.29499999999996</v>
      </c>
      <c r="I221" s="55">
        <f t="shared" si="85"/>
        <v>7689.9969999999994</v>
      </c>
      <c r="J221" s="55">
        <f t="shared" si="85"/>
        <v>61.199999999999989</v>
      </c>
      <c r="K221" s="55">
        <f t="shared" si="85"/>
        <v>57.674977499999997</v>
      </c>
      <c r="L221" s="55">
        <f t="shared" si="85"/>
        <v>112.5</v>
      </c>
      <c r="M221" s="55">
        <f t="shared" si="85"/>
        <v>900</v>
      </c>
      <c r="N221" s="55">
        <f t="shared" si="85"/>
        <v>36</v>
      </c>
      <c r="O221" s="55">
        <f t="shared" si="85"/>
        <v>126.74999999999999</v>
      </c>
      <c r="P221" s="55">
        <f t="shared" si="85"/>
        <v>650.73933145833337</v>
      </c>
      <c r="Q221" s="55">
        <f t="shared" si="85"/>
        <v>254.96999999999991</v>
      </c>
      <c r="R221" s="55">
        <f t="shared" si="85"/>
        <v>650.73933145833337</v>
      </c>
      <c r="S221" s="55">
        <f t="shared" si="85"/>
        <v>48.083220000000004</v>
      </c>
      <c r="T221" s="55">
        <f t="shared" si="85"/>
        <v>48.083220000000004</v>
      </c>
      <c r="U221" s="55">
        <f t="shared" si="85"/>
        <v>640.83308333333332</v>
      </c>
      <c r="V221" s="55">
        <f t="shared" si="85"/>
        <v>1072.2558059999999</v>
      </c>
      <c r="W221" s="55">
        <f t="shared" si="85"/>
        <v>12349.825969749998</v>
      </c>
    </row>
    <row r="222" spans="1:23" s="40" customFormat="1" ht="12" x14ac:dyDescent="0.2">
      <c r="D222" s="43"/>
      <c r="E222" s="43"/>
      <c r="F222" s="49"/>
      <c r="G222" s="43"/>
      <c r="H222" s="43"/>
      <c r="I222" s="50"/>
      <c r="J222" s="47"/>
      <c r="K222" s="47"/>
      <c r="L222" s="47"/>
      <c r="M222" s="47"/>
      <c r="N222" s="47"/>
      <c r="O222" s="47"/>
      <c r="P222" s="47"/>
      <c r="Q222" s="51"/>
      <c r="R222" s="47"/>
      <c r="S222" s="47"/>
      <c r="T222" s="47"/>
      <c r="U222" s="47"/>
      <c r="V222" s="47"/>
      <c r="W222" s="47"/>
    </row>
    <row r="223" spans="1:23" s="40" customFormat="1" ht="17.25" x14ac:dyDescent="0.3">
      <c r="B223" s="77" t="s">
        <v>266</v>
      </c>
      <c r="D223" s="43"/>
      <c r="E223" s="43"/>
      <c r="G223" s="43"/>
      <c r="H223" s="43"/>
    </row>
    <row r="224" spans="1:23" s="40" customFormat="1" ht="12" x14ac:dyDescent="0.2"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</row>
    <row r="225" spans="2:24" s="40" customFormat="1" ht="19.5" customHeight="1" thickBot="1" x14ac:dyDescent="0.25">
      <c r="B225" s="64"/>
      <c r="C225" s="64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</row>
    <row r="226" spans="2:24" s="40" customFormat="1" ht="12.75" x14ac:dyDescent="0.2">
      <c r="B226" s="63" t="s">
        <v>245</v>
      </c>
      <c r="C226" s="59"/>
      <c r="D226" s="43"/>
      <c r="E226" s="43"/>
      <c r="G226" s="43"/>
      <c r="H226" s="43"/>
      <c r="W226" s="50"/>
    </row>
    <row r="227" spans="2:24" s="40" customFormat="1" ht="12.75" x14ac:dyDescent="0.2">
      <c r="B227" s="63" t="s">
        <v>246</v>
      </c>
      <c r="C227" s="59"/>
      <c r="D227" s="43"/>
      <c r="E227" s="43"/>
      <c r="G227" s="43"/>
      <c r="H227" s="43"/>
      <c r="W227" s="43"/>
    </row>
    <row r="228" spans="2:24" s="40" customFormat="1" ht="12" x14ac:dyDescent="0.2">
      <c r="D228" s="43"/>
      <c r="E228" s="43"/>
      <c r="G228" s="43"/>
      <c r="H228" s="43"/>
      <c r="U228" s="50"/>
      <c r="W228" s="50"/>
    </row>
    <row r="229" spans="2:24" s="40" customFormat="1" ht="12" x14ac:dyDescent="0.2">
      <c r="D229" s="43"/>
      <c r="E229" s="43"/>
      <c r="G229" s="43"/>
      <c r="H229" s="43"/>
    </row>
    <row r="230" spans="2:24" s="40" customFormat="1" ht="12" x14ac:dyDescent="0.2">
      <c r="D230" s="43"/>
      <c r="E230" s="43"/>
      <c r="G230" s="43"/>
      <c r="H230" s="43"/>
    </row>
    <row r="231" spans="2:24" s="40" customFormat="1" ht="12" x14ac:dyDescent="0.2">
      <c r="D231" s="43"/>
      <c r="E231" s="43"/>
      <c r="G231" s="43"/>
      <c r="H231" s="43"/>
      <c r="S231" s="43"/>
      <c r="T231" s="43"/>
    </row>
    <row r="232" spans="2:24" s="40" customFormat="1" ht="12" x14ac:dyDescent="0.2">
      <c r="D232" s="43"/>
      <c r="E232" s="43"/>
      <c r="G232" s="43"/>
      <c r="H232" s="43"/>
      <c r="S232" s="43"/>
      <c r="T232" s="43"/>
    </row>
    <row r="233" spans="2:24" s="40" customFormat="1" ht="12" x14ac:dyDescent="0.2">
      <c r="D233" s="43"/>
      <c r="E233" s="43"/>
      <c r="G233" s="43"/>
      <c r="H233" s="43"/>
      <c r="S233" s="43"/>
      <c r="T233" s="43"/>
    </row>
    <row r="234" spans="2:24" s="40" customFormat="1" ht="12" x14ac:dyDescent="0.2">
      <c r="D234" s="43"/>
      <c r="E234" s="43"/>
      <c r="G234" s="43"/>
      <c r="H234" s="43"/>
    </row>
    <row r="235" spans="2:24" s="40" customFormat="1" ht="12" x14ac:dyDescent="0.2">
      <c r="D235" s="43"/>
      <c r="E235" s="43"/>
      <c r="G235" s="43"/>
      <c r="H235" s="43"/>
      <c r="X235" s="43"/>
    </row>
    <row r="236" spans="2:24" s="40" customFormat="1" ht="12" x14ac:dyDescent="0.2">
      <c r="D236" s="43"/>
      <c r="E236" s="43"/>
      <c r="G236" s="43"/>
      <c r="H236" s="43"/>
    </row>
    <row r="237" spans="2:24" s="40" customFormat="1" ht="12" x14ac:dyDescent="0.2">
      <c r="D237" s="43"/>
      <c r="E237" s="43"/>
      <c r="G237" s="43"/>
      <c r="H237" s="43"/>
    </row>
    <row r="238" spans="2:24" s="40" customFormat="1" ht="12" x14ac:dyDescent="0.2">
      <c r="D238" s="43"/>
      <c r="E238" s="43"/>
      <c r="G238" s="43"/>
      <c r="H238" s="43"/>
    </row>
    <row r="239" spans="2:24" s="40" customFormat="1" ht="12" x14ac:dyDescent="0.2">
      <c r="D239" s="43"/>
      <c r="E239" s="43"/>
      <c r="G239" s="43"/>
      <c r="H239" s="43"/>
    </row>
    <row r="240" spans="2:24" s="40" customFormat="1" ht="12" x14ac:dyDescent="0.2">
      <c r="D240" s="43"/>
      <c r="E240" s="43"/>
      <c r="G240" s="43"/>
      <c r="H240" s="43"/>
    </row>
    <row r="241" spans="4:24" s="40" customFormat="1" ht="12" x14ac:dyDescent="0.2">
      <c r="D241" s="43"/>
      <c r="E241" s="43"/>
      <c r="G241" s="43"/>
      <c r="H241" s="43"/>
    </row>
    <row r="242" spans="4:24" s="40" customFormat="1" ht="12" x14ac:dyDescent="0.2">
      <c r="D242" s="43"/>
      <c r="E242" s="43"/>
      <c r="G242" s="43"/>
      <c r="H242" s="43"/>
      <c r="X242" s="50"/>
    </row>
    <row r="243" spans="4:24" s="40" customFormat="1" ht="12" x14ac:dyDescent="0.2">
      <c r="D243" s="43"/>
      <c r="E243" s="43"/>
      <c r="G243" s="43"/>
      <c r="H243" s="43"/>
    </row>
    <row r="244" spans="4:24" s="40" customFormat="1" ht="12" x14ac:dyDescent="0.2">
      <c r="D244" s="43"/>
      <c r="E244" s="43"/>
      <c r="G244" s="43"/>
      <c r="H244" s="43"/>
    </row>
  </sheetData>
  <mergeCells count="84">
    <mergeCell ref="E210:E211"/>
    <mergeCell ref="F210:F211"/>
    <mergeCell ref="B95:B96"/>
    <mergeCell ref="C95:C96"/>
    <mergeCell ref="D95:D96"/>
    <mergeCell ref="E95:E96"/>
    <mergeCell ref="F95:F96"/>
    <mergeCell ref="A95:A96"/>
    <mergeCell ref="A210:A211"/>
    <mergeCell ref="B210:B211"/>
    <mergeCell ref="C210:C211"/>
    <mergeCell ref="D210:D211"/>
    <mergeCell ref="A2:A3"/>
    <mergeCell ref="A1:W1"/>
    <mergeCell ref="A63:A64"/>
    <mergeCell ref="B2:B3"/>
    <mergeCell ref="A62:W62"/>
    <mergeCell ref="W63:W64"/>
    <mergeCell ref="R2:R3"/>
    <mergeCell ref="S2:S3"/>
    <mergeCell ref="T2:T3"/>
    <mergeCell ref="W2:W3"/>
    <mergeCell ref="R63:R64"/>
    <mergeCell ref="S63:S64"/>
    <mergeCell ref="T63:T64"/>
    <mergeCell ref="C2:C3"/>
    <mergeCell ref="D2:D3"/>
    <mergeCell ref="E2:E3"/>
    <mergeCell ref="T210:T211"/>
    <mergeCell ref="W210:W211"/>
    <mergeCell ref="G2:G3"/>
    <mergeCell ref="H2:H3"/>
    <mergeCell ref="I2:I3"/>
    <mergeCell ref="G63:G64"/>
    <mergeCell ref="H63:H64"/>
    <mergeCell ref="I63:I64"/>
    <mergeCell ref="G95:G96"/>
    <mergeCell ref="H95:H96"/>
    <mergeCell ref="I95:I96"/>
    <mergeCell ref="H210:H211"/>
    <mergeCell ref="I210:I211"/>
    <mergeCell ref="G210:G211"/>
    <mergeCell ref="J210:J211"/>
    <mergeCell ref="K210:K211"/>
    <mergeCell ref="P210:P211"/>
    <mergeCell ref="R210:R211"/>
    <mergeCell ref="S210:S211"/>
    <mergeCell ref="L210:L211"/>
    <mergeCell ref="M210:M211"/>
    <mergeCell ref="N210:N211"/>
    <mergeCell ref="O210:O211"/>
    <mergeCell ref="T95:T96"/>
    <mergeCell ref="W95:W96"/>
    <mergeCell ref="J95:J96"/>
    <mergeCell ref="K95:K96"/>
    <mergeCell ref="L95:L96"/>
    <mergeCell ref="M95:M96"/>
    <mergeCell ref="N95:N96"/>
    <mergeCell ref="P95:P96"/>
    <mergeCell ref="R95:R96"/>
    <mergeCell ref="S95:S96"/>
    <mergeCell ref="O95:O96"/>
    <mergeCell ref="F2:F3"/>
    <mergeCell ref="B63:B64"/>
    <mergeCell ref="C63:C64"/>
    <mergeCell ref="D63:D64"/>
    <mergeCell ref="E63:E64"/>
    <mergeCell ref="F63:F64"/>
    <mergeCell ref="A94:W94"/>
    <mergeCell ref="A209:W209"/>
    <mergeCell ref="P2:P3"/>
    <mergeCell ref="O2:O3"/>
    <mergeCell ref="J63:J64"/>
    <mergeCell ref="K63:K64"/>
    <mergeCell ref="L63:L64"/>
    <mergeCell ref="M63:M64"/>
    <mergeCell ref="N63:N64"/>
    <mergeCell ref="J2:J3"/>
    <mergeCell ref="K2:K3"/>
    <mergeCell ref="L2:L3"/>
    <mergeCell ref="M2:M3"/>
    <mergeCell ref="N2:N3"/>
    <mergeCell ref="O63:O64"/>
    <mergeCell ref="P63:P64"/>
  </mergeCells>
  <printOptions horizontalCentered="1"/>
  <pageMargins left="0.11811023622047245" right="0.11811023622047245" top="0.35433070866141736" bottom="0.35433070866141736" header="0" footer="0"/>
  <pageSetup paperSize="9" scale="95" orientation="landscape" r:id="rId1"/>
  <rowBreaks count="3" manualBreakCount="3">
    <brk id="61" max="16383" man="1"/>
    <brk id="93" max="22" man="1"/>
    <brk id="208" max="2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0"/>
  <sheetViews>
    <sheetView view="pageBreakPreview" topLeftCell="A40" zoomScale="60" zoomScaleNormal="85" workbookViewId="0">
      <selection activeCell="D68" sqref="D67:D68"/>
    </sheetView>
  </sheetViews>
  <sheetFormatPr baseColWidth="10" defaultRowHeight="15" x14ac:dyDescent="0.25"/>
  <cols>
    <col min="1" max="1" width="6.7109375" customWidth="1"/>
    <col min="2" max="2" width="29.28515625" customWidth="1"/>
    <col min="3" max="3" width="12.5703125" customWidth="1"/>
    <col min="4" max="4" width="13" style="2" customWidth="1"/>
    <col min="5" max="5" width="11.7109375" customWidth="1"/>
    <col min="6" max="6" width="12.7109375" style="2" customWidth="1"/>
    <col min="7" max="7" width="13.42578125" style="2" customWidth="1"/>
    <col min="8" max="8" width="13.28515625" customWidth="1"/>
    <col min="10" max="10" width="12.7109375" customWidth="1"/>
    <col min="15" max="15" width="12.5703125" customWidth="1"/>
    <col min="16" max="16" width="13.5703125" customWidth="1"/>
    <col min="17" max="17" width="16.42578125" customWidth="1"/>
  </cols>
  <sheetData>
    <row r="1" spans="1:16" ht="20.25" customHeight="1" thickBot="1" x14ac:dyDescent="0.3">
      <c r="A1" s="81" t="s">
        <v>260</v>
      </c>
    </row>
    <row r="2" spans="1:16" s="68" customFormat="1" ht="45" customHeight="1" x14ac:dyDescent="0.2">
      <c r="A2" s="101" t="s">
        <v>226</v>
      </c>
      <c r="B2" s="89" t="s">
        <v>232</v>
      </c>
      <c r="C2" s="107" t="s">
        <v>1</v>
      </c>
      <c r="D2" s="109" t="s">
        <v>208</v>
      </c>
      <c r="E2" s="109" t="s">
        <v>247</v>
      </c>
      <c r="F2" s="109" t="s">
        <v>207</v>
      </c>
      <c r="G2" s="99" t="s">
        <v>261</v>
      </c>
      <c r="H2" s="107" t="s">
        <v>198</v>
      </c>
      <c r="I2" s="83" t="s">
        <v>252</v>
      </c>
      <c r="J2" s="29" t="s">
        <v>253</v>
      </c>
      <c r="K2" s="97" t="s">
        <v>200</v>
      </c>
      <c r="L2" s="83" t="s">
        <v>201</v>
      </c>
      <c r="M2" s="95" t="s">
        <v>202</v>
      </c>
      <c r="N2" s="66" t="s">
        <v>203</v>
      </c>
      <c r="O2" s="67" t="s">
        <v>204</v>
      </c>
      <c r="P2" s="95" t="s">
        <v>248</v>
      </c>
    </row>
    <row r="3" spans="1:16" s="68" customFormat="1" ht="45" customHeight="1" thickBot="1" x14ac:dyDescent="0.25">
      <c r="A3" s="102"/>
      <c r="B3" s="90"/>
      <c r="C3" s="108"/>
      <c r="D3" s="110"/>
      <c r="E3" s="110"/>
      <c r="F3" s="110"/>
      <c r="G3" s="100"/>
      <c r="H3" s="108"/>
      <c r="I3" s="84"/>
      <c r="J3" s="33">
        <f>340/12</f>
        <v>28.333333333333332</v>
      </c>
      <c r="K3" s="98"/>
      <c r="L3" s="84"/>
      <c r="M3" s="96"/>
      <c r="N3" s="34">
        <v>8.3299999999999999E-2</v>
      </c>
      <c r="O3" s="35">
        <v>0.1115</v>
      </c>
      <c r="P3" s="96"/>
    </row>
    <row r="4" spans="1:16" ht="25.5" customHeight="1" x14ac:dyDescent="0.25">
      <c r="A4" s="5">
        <v>1</v>
      </c>
      <c r="B4" s="5" t="s">
        <v>3</v>
      </c>
      <c r="C4" s="5" t="s">
        <v>4</v>
      </c>
      <c r="D4" s="69">
        <v>340</v>
      </c>
      <c r="E4" s="69"/>
      <c r="F4" s="69">
        <v>158.66999999999999</v>
      </c>
      <c r="G4" s="9">
        <v>41.54</v>
      </c>
      <c r="H4" s="9">
        <f>D4+E4+F4+G4</f>
        <v>540.20999999999992</v>
      </c>
      <c r="I4" s="7">
        <f t="shared" ref="I4:I51" si="0">(H4)/12</f>
        <v>45.017499999999991</v>
      </c>
      <c r="J4" s="7">
        <v>28.33</v>
      </c>
      <c r="K4" s="7">
        <f t="shared" ref="K4:K51" si="1">(H4)/24</f>
        <v>22.508749999999996</v>
      </c>
      <c r="L4" s="6">
        <f t="shared" ref="L4:L51" si="2">(H4)*0.005</f>
        <v>2.7010499999999995</v>
      </c>
      <c r="M4" s="6">
        <f t="shared" ref="M4:M51" si="3">(H4)*0.005</f>
        <v>2.7010499999999995</v>
      </c>
      <c r="N4" s="6"/>
      <c r="O4" s="6">
        <f t="shared" ref="O4:O51" si="4">(H4)*0.1115</f>
        <v>60.233414999999994</v>
      </c>
      <c r="P4" s="6">
        <f>H4+I4+J4+K4+L4+M4+N4+O4</f>
        <v>701.70176500000002</v>
      </c>
    </row>
    <row r="5" spans="1:16" x14ac:dyDescent="0.25">
      <c r="A5" s="5">
        <v>2</v>
      </c>
      <c r="B5" s="5" t="s">
        <v>5</v>
      </c>
      <c r="C5" s="5" t="s">
        <v>4</v>
      </c>
      <c r="D5" s="69">
        <v>340</v>
      </c>
      <c r="E5" s="69"/>
      <c r="F5" s="69">
        <v>204</v>
      </c>
      <c r="G5" s="9"/>
      <c r="H5" s="9">
        <f>D5+E5+F5+G5</f>
        <v>544</v>
      </c>
      <c r="I5" s="7">
        <f t="shared" si="0"/>
        <v>45.333333333333336</v>
      </c>
      <c r="J5" s="7">
        <v>28.33</v>
      </c>
      <c r="K5" s="7">
        <f t="shared" si="1"/>
        <v>22.666666666666668</v>
      </c>
      <c r="L5" s="6">
        <f t="shared" si="2"/>
        <v>2.72</v>
      </c>
      <c r="M5" s="6">
        <f t="shared" si="3"/>
        <v>2.72</v>
      </c>
      <c r="N5" s="6"/>
      <c r="O5" s="6">
        <f t="shared" si="4"/>
        <v>60.655999999999999</v>
      </c>
      <c r="P5" s="6">
        <f t="shared" ref="P5:P51" si="5">H5+I5+J5+K5+L5+M5+N5+O5</f>
        <v>706.42600000000004</v>
      </c>
    </row>
    <row r="6" spans="1:16" x14ac:dyDescent="0.25">
      <c r="A6" s="5">
        <v>3</v>
      </c>
      <c r="B6" s="5" t="s">
        <v>6</v>
      </c>
      <c r="C6" s="5" t="s">
        <v>4</v>
      </c>
      <c r="D6" s="69">
        <v>340</v>
      </c>
      <c r="E6" s="69"/>
      <c r="F6" s="69">
        <v>93.5</v>
      </c>
      <c r="G6" s="9">
        <v>128.19999999999999</v>
      </c>
      <c r="H6" s="9">
        <f t="shared" ref="H6:H51" si="6">D6+E6+F6+G6</f>
        <v>561.70000000000005</v>
      </c>
      <c r="I6" s="7">
        <f t="shared" si="0"/>
        <v>46.808333333333337</v>
      </c>
      <c r="J6" s="7">
        <v>28.33</v>
      </c>
      <c r="K6" s="7">
        <f t="shared" si="1"/>
        <v>23.404166666666669</v>
      </c>
      <c r="L6" s="6">
        <f t="shared" si="2"/>
        <v>2.8085000000000004</v>
      </c>
      <c r="M6" s="6">
        <f t="shared" si="3"/>
        <v>2.8085000000000004</v>
      </c>
      <c r="N6" s="6"/>
      <c r="O6" s="6">
        <f t="shared" si="4"/>
        <v>62.629550000000009</v>
      </c>
      <c r="P6" s="6">
        <f t="shared" si="5"/>
        <v>728.48905000000013</v>
      </c>
    </row>
    <row r="7" spans="1:16" x14ac:dyDescent="0.25">
      <c r="A7" s="5">
        <v>4</v>
      </c>
      <c r="B7" s="5" t="s">
        <v>7</v>
      </c>
      <c r="C7" s="5" t="s">
        <v>4</v>
      </c>
      <c r="D7" s="69">
        <v>340</v>
      </c>
      <c r="E7" s="69"/>
      <c r="F7" s="69">
        <v>116.17</v>
      </c>
      <c r="G7" s="9">
        <v>85.01</v>
      </c>
      <c r="H7" s="9">
        <f t="shared" si="6"/>
        <v>541.18000000000006</v>
      </c>
      <c r="I7" s="7">
        <f t="shared" si="0"/>
        <v>45.098333333333336</v>
      </c>
      <c r="J7" s="7">
        <v>28.33</v>
      </c>
      <c r="K7" s="7">
        <f t="shared" si="1"/>
        <v>22.549166666666668</v>
      </c>
      <c r="L7" s="6">
        <f t="shared" si="2"/>
        <v>2.7059000000000002</v>
      </c>
      <c r="M7" s="6">
        <f t="shared" si="3"/>
        <v>2.7059000000000002</v>
      </c>
      <c r="N7" s="6"/>
      <c r="O7" s="6">
        <f t="shared" si="4"/>
        <v>60.341570000000011</v>
      </c>
      <c r="P7" s="6">
        <f t="shared" si="5"/>
        <v>702.91087000000027</v>
      </c>
    </row>
    <row r="8" spans="1:16" x14ac:dyDescent="0.25">
      <c r="A8" s="5">
        <v>5</v>
      </c>
      <c r="B8" s="5" t="s">
        <v>8</v>
      </c>
      <c r="C8" s="5" t="s">
        <v>9</v>
      </c>
      <c r="D8" s="69">
        <v>590</v>
      </c>
      <c r="E8" s="69"/>
      <c r="F8" s="69"/>
      <c r="G8" s="9"/>
      <c r="H8" s="9">
        <f>D8+E8+F8+G8</f>
        <v>590</v>
      </c>
      <c r="I8" s="7">
        <f t="shared" si="0"/>
        <v>49.166666666666664</v>
      </c>
      <c r="J8" s="7">
        <v>28.33</v>
      </c>
      <c r="K8" s="7">
        <f t="shared" si="1"/>
        <v>24.583333333333332</v>
      </c>
      <c r="L8" s="6">
        <f t="shared" si="2"/>
        <v>2.95</v>
      </c>
      <c r="M8" s="6">
        <f t="shared" si="3"/>
        <v>2.95</v>
      </c>
      <c r="N8" s="6"/>
      <c r="O8" s="6">
        <f t="shared" si="4"/>
        <v>65.784999999999997</v>
      </c>
      <c r="P8" s="6">
        <f t="shared" si="5"/>
        <v>763.7650000000001</v>
      </c>
    </row>
    <row r="9" spans="1:16" x14ac:dyDescent="0.25">
      <c r="A9" s="5">
        <v>6</v>
      </c>
      <c r="B9" s="5" t="s">
        <v>10</v>
      </c>
      <c r="C9" s="5" t="s">
        <v>4</v>
      </c>
      <c r="D9" s="69">
        <v>340</v>
      </c>
      <c r="E9" s="69">
        <v>17</v>
      </c>
      <c r="F9" s="69">
        <v>76.5</v>
      </c>
      <c r="G9" s="9"/>
      <c r="H9" s="9">
        <f t="shared" si="6"/>
        <v>433.5</v>
      </c>
      <c r="I9" s="7">
        <f t="shared" si="0"/>
        <v>36.125</v>
      </c>
      <c r="J9" s="7">
        <v>28.33</v>
      </c>
      <c r="K9" s="7">
        <f t="shared" si="1"/>
        <v>18.0625</v>
      </c>
      <c r="L9" s="6">
        <f t="shared" si="2"/>
        <v>2.1675</v>
      </c>
      <c r="M9" s="6">
        <f t="shared" si="3"/>
        <v>2.1675</v>
      </c>
      <c r="N9" s="6"/>
      <c r="O9" s="6">
        <f t="shared" si="4"/>
        <v>48.335250000000002</v>
      </c>
      <c r="P9" s="6">
        <f t="shared" si="5"/>
        <v>568.68774999999994</v>
      </c>
    </row>
    <row r="10" spans="1:16" x14ac:dyDescent="0.25">
      <c r="A10" s="5">
        <v>7</v>
      </c>
      <c r="B10" s="5" t="s">
        <v>11</v>
      </c>
      <c r="C10" s="5" t="s">
        <v>4</v>
      </c>
      <c r="D10" s="69">
        <v>340</v>
      </c>
      <c r="E10" s="69"/>
      <c r="F10" s="69">
        <v>187</v>
      </c>
      <c r="G10" s="9">
        <v>134.1</v>
      </c>
      <c r="H10" s="9">
        <f t="shared" si="6"/>
        <v>661.1</v>
      </c>
      <c r="I10" s="7">
        <f t="shared" si="0"/>
        <v>55.091666666666669</v>
      </c>
      <c r="J10" s="7">
        <v>28.33</v>
      </c>
      <c r="K10" s="7">
        <f t="shared" si="1"/>
        <v>27.545833333333334</v>
      </c>
      <c r="L10" s="6">
        <f t="shared" si="2"/>
        <v>3.3055000000000003</v>
      </c>
      <c r="M10" s="6">
        <f t="shared" si="3"/>
        <v>3.3055000000000003</v>
      </c>
      <c r="N10" s="6"/>
      <c r="O10" s="6">
        <f t="shared" si="4"/>
        <v>73.712650000000011</v>
      </c>
      <c r="P10" s="6">
        <f t="shared" si="5"/>
        <v>852.39115000000027</v>
      </c>
    </row>
    <row r="11" spans="1:16" x14ac:dyDescent="0.25">
      <c r="A11" s="5">
        <v>8</v>
      </c>
      <c r="B11" s="5" t="s">
        <v>12</v>
      </c>
      <c r="C11" s="5" t="s">
        <v>4</v>
      </c>
      <c r="D11" s="69">
        <v>340</v>
      </c>
      <c r="E11" s="69"/>
      <c r="F11" s="69">
        <v>164.34</v>
      </c>
      <c r="G11" s="9">
        <v>85.01</v>
      </c>
      <c r="H11" s="9">
        <f t="shared" si="6"/>
        <v>589.35</v>
      </c>
      <c r="I11" s="7">
        <f t="shared" si="0"/>
        <v>49.112500000000004</v>
      </c>
      <c r="J11" s="7">
        <v>28.33</v>
      </c>
      <c r="K11" s="7">
        <f t="shared" si="1"/>
        <v>24.556250000000002</v>
      </c>
      <c r="L11" s="6">
        <f t="shared" si="2"/>
        <v>2.9467500000000002</v>
      </c>
      <c r="M11" s="6">
        <f t="shared" si="3"/>
        <v>2.9467500000000002</v>
      </c>
      <c r="N11" s="6"/>
      <c r="O11" s="6">
        <f t="shared" si="4"/>
        <v>65.712524999999999</v>
      </c>
      <c r="P11" s="6">
        <f t="shared" si="5"/>
        <v>762.95477499999993</v>
      </c>
    </row>
    <row r="12" spans="1:16" x14ac:dyDescent="0.25">
      <c r="A12" s="5">
        <v>9</v>
      </c>
      <c r="B12" s="5" t="s">
        <v>13</v>
      </c>
      <c r="C12" s="5" t="s">
        <v>14</v>
      </c>
      <c r="D12" s="69">
        <v>512.35</v>
      </c>
      <c r="E12" s="69">
        <v>25.62</v>
      </c>
      <c r="F12" s="69">
        <v>68.31</v>
      </c>
      <c r="G12" s="9"/>
      <c r="H12" s="9">
        <f t="shared" si="6"/>
        <v>606.28</v>
      </c>
      <c r="I12" s="7">
        <f t="shared" si="0"/>
        <v>50.523333333333333</v>
      </c>
      <c r="J12" s="7">
        <v>28.33</v>
      </c>
      <c r="K12" s="7">
        <f t="shared" si="1"/>
        <v>25.261666666666667</v>
      </c>
      <c r="L12" s="6">
        <f t="shared" si="2"/>
        <v>3.0314000000000001</v>
      </c>
      <c r="M12" s="6">
        <f t="shared" si="3"/>
        <v>3.0314000000000001</v>
      </c>
      <c r="N12" s="6"/>
      <c r="O12" s="6">
        <f t="shared" si="4"/>
        <v>67.600219999999993</v>
      </c>
      <c r="P12" s="6">
        <f t="shared" si="5"/>
        <v>784.05801999999994</v>
      </c>
    </row>
    <row r="13" spans="1:16" x14ac:dyDescent="0.25">
      <c r="A13" s="5">
        <v>10</v>
      </c>
      <c r="B13" s="5" t="s">
        <v>15</v>
      </c>
      <c r="C13" s="5" t="s">
        <v>4</v>
      </c>
      <c r="D13" s="69">
        <v>340</v>
      </c>
      <c r="E13" s="69"/>
      <c r="F13" s="69">
        <v>45.33</v>
      </c>
      <c r="G13" s="9"/>
      <c r="H13" s="9">
        <f t="shared" si="6"/>
        <v>385.33</v>
      </c>
      <c r="I13" s="7">
        <f t="shared" si="0"/>
        <v>32.110833333333332</v>
      </c>
      <c r="J13" s="7">
        <v>28.33</v>
      </c>
      <c r="K13" s="7">
        <f t="shared" si="1"/>
        <v>16.055416666666666</v>
      </c>
      <c r="L13" s="6">
        <f t="shared" si="2"/>
        <v>1.92665</v>
      </c>
      <c r="M13" s="6">
        <f t="shared" si="3"/>
        <v>1.92665</v>
      </c>
      <c r="N13" s="6"/>
      <c r="O13" s="6">
        <f t="shared" si="4"/>
        <v>42.964295</v>
      </c>
      <c r="P13" s="6">
        <f t="shared" si="5"/>
        <v>508.64384499999994</v>
      </c>
    </row>
    <row r="14" spans="1:16" x14ac:dyDescent="0.25">
      <c r="A14" s="5">
        <v>11</v>
      </c>
      <c r="B14" s="5" t="s">
        <v>16</v>
      </c>
      <c r="C14" s="5" t="s">
        <v>4</v>
      </c>
      <c r="D14" s="69">
        <v>340</v>
      </c>
      <c r="E14" s="69">
        <v>12.75</v>
      </c>
      <c r="F14" s="69">
        <v>22.67</v>
      </c>
      <c r="G14" s="9">
        <v>4.25</v>
      </c>
      <c r="H14" s="9">
        <f t="shared" si="6"/>
        <v>379.67</v>
      </c>
      <c r="I14" s="7">
        <f t="shared" si="0"/>
        <v>31.639166666666668</v>
      </c>
      <c r="J14" s="7">
        <v>28.33</v>
      </c>
      <c r="K14" s="7">
        <f t="shared" si="1"/>
        <v>15.819583333333334</v>
      </c>
      <c r="L14" s="6">
        <f t="shared" si="2"/>
        <v>1.8983500000000002</v>
      </c>
      <c r="M14" s="6">
        <f t="shared" si="3"/>
        <v>1.8983500000000002</v>
      </c>
      <c r="N14" s="6"/>
      <c r="O14" s="6">
        <f t="shared" si="4"/>
        <v>42.333205</v>
      </c>
      <c r="P14" s="6">
        <f t="shared" si="5"/>
        <v>501.58865500000002</v>
      </c>
    </row>
    <row r="15" spans="1:16" x14ac:dyDescent="0.25">
      <c r="A15" s="5">
        <v>12</v>
      </c>
      <c r="B15" s="5" t="s">
        <v>17</v>
      </c>
      <c r="C15" s="5" t="s">
        <v>4</v>
      </c>
      <c r="D15" s="69">
        <v>340</v>
      </c>
      <c r="E15" s="69"/>
      <c r="F15" s="69">
        <v>90.67</v>
      </c>
      <c r="G15" s="9"/>
      <c r="H15" s="9">
        <f t="shared" si="6"/>
        <v>430.67</v>
      </c>
      <c r="I15" s="7">
        <f t="shared" si="0"/>
        <v>35.889166666666668</v>
      </c>
      <c r="J15" s="7">
        <v>28.33</v>
      </c>
      <c r="K15" s="7">
        <f t="shared" si="1"/>
        <v>17.944583333333334</v>
      </c>
      <c r="L15" s="6">
        <f t="shared" si="2"/>
        <v>2.1533500000000001</v>
      </c>
      <c r="M15" s="6">
        <f t="shared" si="3"/>
        <v>2.1533500000000001</v>
      </c>
      <c r="N15" s="6"/>
      <c r="O15" s="6">
        <f t="shared" si="4"/>
        <v>48.019705000000002</v>
      </c>
      <c r="P15" s="6">
        <f t="shared" si="5"/>
        <v>565.16015500000015</v>
      </c>
    </row>
    <row r="16" spans="1:16" x14ac:dyDescent="0.25">
      <c r="A16" s="5">
        <v>13</v>
      </c>
      <c r="B16" s="5" t="s">
        <v>18</v>
      </c>
      <c r="C16" s="5" t="s">
        <v>4</v>
      </c>
      <c r="D16" s="69">
        <v>340</v>
      </c>
      <c r="E16" s="69"/>
      <c r="F16" s="69">
        <v>124.67</v>
      </c>
      <c r="G16" s="9">
        <v>85.01</v>
      </c>
      <c r="H16" s="9">
        <f t="shared" si="6"/>
        <v>549.68000000000006</v>
      </c>
      <c r="I16" s="7">
        <f t="shared" si="0"/>
        <v>45.806666666666672</v>
      </c>
      <c r="J16" s="7">
        <v>28.33</v>
      </c>
      <c r="K16" s="7">
        <f t="shared" si="1"/>
        <v>22.903333333333336</v>
      </c>
      <c r="L16" s="6">
        <f t="shared" si="2"/>
        <v>2.7484000000000002</v>
      </c>
      <c r="M16" s="6">
        <f t="shared" si="3"/>
        <v>2.7484000000000002</v>
      </c>
      <c r="N16" s="6"/>
      <c r="O16" s="6">
        <f t="shared" si="4"/>
        <v>61.289320000000011</v>
      </c>
      <c r="P16" s="6">
        <f t="shared" si="5"/>
        <v>713.5061199999999</v>
      </c>
    </row>
    <row r="17" spans="1:16" x14ac:dyDescent="0.25">
      <c r="A17" s="5">
        <v>14</v>
      </c>
      <c r="B17" s="5" t="s">
        <v>19</v>
      </c>
      <c r="C17" s="5" t="s">
        <v>4</v>
      </c>
      <c r="D17" s="69">
        <v>340</v>
      </c>
      <c r="E17" s="69"/>
      <c r="F17" s="69">
        <v>45.33</v>
      </c>
      <c r="G17" s="9"/>
      <c r="H17" s="9">
        <f t="shared" si="6"/>
        <v>385.33</v>
      </c>
      <c r="I17" s="7">
        <f t="shared" si="0"/>
        <v>32.110833333333332</v>
      </c>
      <c r="J17" s="7">
        <v>28.33</v>
      </c>
      <c r="K17" s="7">
        <f t="shared" si="1"/>
        <v>16.055416666666666</v>
      </c>
      <c r="L17" s="6">
        <f t="shared" si="2"/>
        <v>1.92665</v>
      </c>
      <c r="M17" s="6">
        <f t="shared" si="3"/>
        <v>1.92665</v>
      </c>
      <c r="N17" s="6"/>
      <c r="O17" s="6">
        <f t="shared" si="4"/>
        <v>42.964295</v>
      </c>
      <c r="P17" s="6">
        <f t="shared" si="5"/>
        <v>508.64384499999994</v>
      </c>
    </row>
    <row r="18" spans="1:16" x14ac:dyDescent="0.25">
      <c r="A18" s="5">
        <v>15</v>
      </c>
      <c r="B18" s="5" t="s">
        <v>20</v>
      </c>
      <c r="C18" s="5" t="s">
        <v>4</v>
      </c>
      <c r="D18" s="69">
        <v>340</v>
      </c>
      <c r="E18" s="69"/>
      <c r="F18" s="69">
        <v>22.67</v>
      </c>
      <c r="G18" s="9"/>
      <c r="H18" s="9">
        <f t="shared" si="6"/>
        <v>362.67</v>
      </c>
      <c r="I18" s="7">
        <f t="shared" si="0"/>
        <v>30.2225</v>
      </c>
      <c r="J18" s="7">
        <v>28.33</v>
      </c>
      <c r="K18" s="7">
        <f t="shared" si="1"/>
        <v>15.11125</v>
      </c>
      <c r="L18" s="6">
        <f t="shared" si="2"/>
        <v>1.81335</v>
      </c>
      <c r="M18" s="6">
        <f t="shared" si="3"/>
        <v>1.81335</v>
      </c>
      <c r="N18" s="6"/>
      <c r="O18" s="6">
        <f t="shared" si="4"/>
        <v>40.437705000000001</v>
      </c>
      <c r="P18" s="6">
        <f t="shared" si="5"/>
        <v>480.39815500000003</v>
      </c>
    </row>
    <row r="19" spans="1:16" x14ac:dyDescent="0.25">
      <c r="A19" s="5">
        <v>16</v>
      </c>
      <c r="B19" s="5" t="s">
        <v>21</v>
      </c>
      <c r="C19" s="5" t="s">
        <v>4</v>
      </c>
      <c r="D19" s="69">
        <v>340</v>
      </c>
      <c r="E19" s="69"/>
      <c r="F19" s="69">
        <v>28.33</v>
      </c>
      <c r="G19" s="9">
        <v>59.51</v>
      </c>
      <c r="H19" s="9">
        <f t="shared" si="6"/>
        <v>427.84</v>
      </c>
      <c r="I19" s="7">
        <f t="shared" si="0"/>
        <v>35.653333333333329</v>
      </c>
      <c r="J19" s="7">
        <v>28.33</v>
      </c>
      <c r="K19" s="7">
        <f t="shared" si="1"/>
        <v>17.826666666666664</v>
      </c>
      <c r="L19" s="6">
        <f t="shared" si="2"/>
        <v>2.1391999999999998</v>
      </c>
      <c r="M19" s="6">
        <f t="shared" si="3"/>
        <v>2.1391999999999998</v>
      </c>
      <c r="N19" s="6"/>
      <c r="O19" s="6">
        <f t="shared" si="4"/>
        <v>47.704159999999995</v>
      </c>
      <c r="P19" s="6">
        <f t="shared" si="5"/>
        <v>561.6325599999999</v>
      </c>
    </row>
    <row r="20" spans="1:16" x14ac:dyDescent="0.25">
      <c r="A20" s="5">
        <v>17</v>
      </c>
      <c r="B20" s="5" t="s">
        <v>22</v>
      </c>
      <c r="C20" s="5" t="s">
        <v>4</v>
      </c>
      <c r="D20" s="69">
        <v>340</v>
      </c>
      <c r="E20" s="69"/>
      <c r="F20" s="69">
        <v>68</v>
      </c>
      <c r="G20" s="9">
        <v>31.88</v>
      </c>
      <c r="H20" s="9">
        <f t="shared" si="6"/>
        <v>439.88</v>
      </c>
      <c r="I20" s="7">
        <f t="shared" si="0"/>
        <v>36.656666666666666</v>
      </c>
      <c r="J20" s="7">
        <v>28.33</v>
      </c>
      <c r="K20" s="7">
        <f t="shared" si="1"/>
        <v>18.328333333333333</v>
      </c>
      <c r="L20" s="6">
        <f t="shared" si="2"/>
        <v>2.1994000000000002</v>
      </c>
      <c r="M20" s="6">
        <f t="shared" si="3"/>
        <v>2.1994000000000002</v>
      </c>
      <c r="N20" s="6"/>
      <c r="O20" s="6">
        <f t="shared" si="4"/>
        <v>49.046619999999997</v>
      </c>
      <c r="P20" s="6">
        <f t="shared" si="5"/>
        <v>576.64041999999984</v>
      </c>
    </row>
    <row r="21" spans="1:16" x14ac:dyDescent="0.25">
      <c r="A21" s="5">
        <v>18</v>
      </c>
      <c r="B21" s="5" t="s">
        <v>23</v>
      </c>
      <c r="C21" s="5" t="s">
        <v>4</v>
      </c>
      <c r="D21" s="69">
        <v>340</v>
      </c>
      <c r="E21" s="69">
        <v>29.75</v>
      </c>
      <c r="F21" s="69">
        <v>130.34</v>
      </c>
      <c r="G21" s="9"/>
      <c r="H21" s="9">
        <f t="shared" si="6"/>
        <v>500.09000000000003</v>
      </c>
      <c r="I21" s="7">
        <f t="shared" si="0"/>
        <v>41.674166666666672</v>
      </c>
      <c r="J21" s="7">
        <v>28.33</v>
      </c>
      <c r="K21" s="7">
        <f t="shared" si="1"/>
        <v>20.837083333333336</v>
      </c>
      <c r="L21" s="6">
        <f t="shared" si="2"/>
        <v>2.5004500000000003</v>
      </c>
      <c r="M21" s="6">
        <f t="shared" si="3"/>
        <v>2.5004500000000003</v>
      </c>
      <c r="N21" s="6"/>
      <c r="O21" s="6">
        <f t="shared" si="4"/>
        <v>55.760035000000002</v>
      </c>
      <c r="P21" s="6">
        <f t="shared" si="5"/>
        <v>651.69218500000011</v>
      </c>
    </row>
    <row r="22" spans="1:16" x14ac:dyDescent="0.25">
      <c r="A22" s="5">
        <v>19</v>
      </c>
      <c r="B22" s="5" t="s">
        <v>24</v>
      </c>
      <c r="C22" s="5" t="s">
        <v>4</v>
      </c>
      <c r="D22" s="69">
        <v>340</v>
      </c>
      <c r="E22" s="69">
        <v>102</v>
      </c>
      <c r="F22" s="69">
        <v>221.01</v>
      </c>
      <c r="G22" s="9"/>
      <c r="H22" s="9">
        <f t="shared" si="6"/>
        <v>663.01</v>
      </c>
      <c r="I22" s="7">
        <f t="shared" si="0"/>
        <v>55.250833333333333</v>
      </c>
      <c r="J22" s="7">
        <v>28.33</v>
      </c>
      <c r="K22" s="7">
        <f t="shared" si="1"/>
        <v>27.625416666666666</v>
      </c>
      <c r="L22" s="6">
        <f t="shared" si="2"/>
        <v>3.3150499999999998</v>
      </c>
      <c r="M22" s="6">
        <f t="shared" si="3"/>
        <v>3.3150499999999998</v>
      </c>
      <c r="N22" s="6"/>
      <c r="O22" s="6">
        <f t="shared" si="4"/>
        <v>73.925614999999993</v>
      </c>
      <c r="P22" s="6">
        <f t="shared" si="5"/>
        <v>854.77196500000002</v>
      </c>
    </row>
    <row r="23" spans="1:16" x14ac:dyDescent="0.25">
      <c r="A23" s="5">
        <v>20</v>
      </c>
      <c r="B23" s="5" t="s">
        <v>25</v>
      </c>
      <c r="C23" s="5" t="s">
        <v>4</v>
      </c>
      <c r="D23" s="69">
        <v>340</v>
      </c>
      <c r="E23" s="69"/>
      <c r="F23" s="69">
        <v>79.34</v>
      </c>
      <c r="G23" s="9">
        <v>31.88</v>
      </c>
      <c r="H23" s="9">
        <f t="shared" si="6"/>
        <v>451.22</v>
      </c>
      <c r="I23" s="7">
        <f t="shared" si="0"/>
        <v>37.601666666666667</v>
      </c>
      <c r="J23" s="7">
        <v>28.33</v>
      </c>
      <c r="K23" s="7">
        <f t="shared" si="1"/>
        <v>18.800833333333333</v>
      </c>
      <c r="L23" s="6">
        <f t="shared" si="2"/>
        <v>2.2561</v>
      </c>
      <c r="M23" s="6">
        <f t="shared" si="3"/>
        <v>2.2561</v>
      </c>
      <c r="N23" s="6"/>
      <c r="O23" s="6">
        <f t="shared" si="4"/>
        <v>50.311030000000002</v>
      </c>
      <c r="P23" s="6">
        <f t="shared" si="5"/>
        <v>590.77572999999995</v>
      </c>
    </row>
    <row r="24" spans="1:16" x14ac:dyDescent="0.25">
      <c r="A24" s="5">
        <v>21</v>
      </c>
      <c r="B24" s="5" t="s">
        <v>26</v>
      </c>
      <c r="C24" s="5" t="s">
        <v>4</v>
      </c>
      <c r="D24" s="69">
        <v>340</v>
      </c>
      <c r="E24" s="69"/>
      <c r="F24" s="69">
        <v>45.33</v>
      </c>
      <c r="G24" s="9"/>
      <c r="H24" s="9">
        <f t="shared" si="6"/>
        <v>385.33</v>
      </c>
      <c r="I24" s="7">
        <f t="shared" si="0"/>
        <v>32.110833333333332</v>
      </c>
      <c r="J24" s="7">
        <v>28.33</v>
      </c>
      <c r="K24" s="7">
        <f t="shared" si="1"/>
        <v>16.055416666666666</v>
      </c>
      <c r="L24" s="6">
        <f t="shared" si="2"/>
        <v>1.92665</v>
      </c>
      <c r="M24" s="6">
        <f t="shared" si="3"/>
        <v>1.92665</v>
      </c>
      <c r="N24" s="6"/>
      <c r="O24" s="6">
        <f t="shared" si="4"/>
        <v>42.964295</v>
      </c>
      <c r="P24" s="6">
        <f t="shared" si="5"/>
        <v>508.64384499999994</v>
      </c>
    </row>
    <row r="25" spans="1:16" x14ac:dyDescent="0.25">
      <c r="A25" s="5">
        <v>22</v>
      </c>
      <c r="B25" s="5" t="s">
        <v>27</v>
      </c>
      <c r="C25" s="5" t="s">
        <v>14</v>
      </c>
      <c r="D25" s="69">
        <v>340</v>
      </c>
      <c r="E25" s="69"/>
      <c r="F25" s="69">
        <v>68.31</v>
      </c>
      <c r="G25" s="9">
        <v>83.25</v>
      </c>
      <c r="H25" s="9">
        <f t="shared" si="6"/>
        <v>491.56</v>
      </c>
      <c r="I25" s="7">
        <f t="shared" si="0"/>
        <v>40.963333333333331</v>
      </c>
      <c r="J25" s="7">
        <v>28.33</v>
      </c>
      <c r="K25" s="7">
        <f t="shared" si="1"/>
        <v>20.481666666666666</v>
      </c>
      <c r="L25" s="6">
        <f t="shared" si="2"/>
        <v>2.4578000000000002</v>
      </c>
      <c r="M25" s="6">
        <f t="shared" si="3"/>
        <v>2.4578000000000002</v>
      </c>
      <c r="N25" s="6"/>
      <c r="O25" s="6">
        <f t="shared" si="4"/>
        <v>54.80894</v>
      </c>
      <c r="P25" s="6">
        <f t="shared" si="5"/>
        <v>641.05954000000008</v>
      </c>
    </row>
    <row r="26" spans="1:16" x14ac:dyDescent="0.25">
      <c r="A26" s="5">
        <v>23</v>
      </c>
      <c r="B26" s="5" t="s">
        <v>28</v>
      </c>
      <c r="C26" s="5" t="s">
        <v>4</v>
      </c>
      <c r="D26" s="69">
        <v>340</v>
      </c>
      <c r="E26" s="69">
        <v>2.13</v>
      </c>
      <c r="F26" s="69"/>
      <c r="G26" s="9"/>
      <c r="H26" s="9">
        <f t="shared" si="6"/>
        <v>342.13</v>
      </c>
      <c r="I26" s="7">
        <f t="shared" si="0"/>
        <v>28.510833333333334</v>
      </c>
      <c r="J26" s="7">
        <v>28.33</v>
      </c>
      <c r="K26" s="7">
        <f t="shared" si="1"/>
        <v>14.255416666666667</v>
      </c>
      <c r="L26" s="6">
        <f t="shared" si="2"/>
        <v>1.71065</v>
      </c>
      <c r="M26" s="6">
        <f t="shared" si="3"/>
        <v>1.71065</v>
      </c>
      <c r="N26" s="6"/>
      <c r="O26" s="6">
        <f t="shared" si="4"/>
        <v>38.147494999999999</v>
      </c>
      <c r="P26" s="6">
        <f t="shared" si="5"/>
        <v>454.79504499999996</v>
      </c>
    </row>
    <row r="27" spans="1:16" x14ac:dyDescent="0.25">
      <c r="A27" s="5">
        <v>24</v>
      </c>
      <c r="B27" s="5" t="s">
        <v>29</v>
      </c>
      <c r="C27" s="5" t="s">
        <v>4</v>
      </c>
      <c r="D27" s="69">
        <v>340</v>
      </c>
      <c r="E27" s="69"/>
      <c r="F27" s="69">
        <v>158.66999999999999</v>
      </c>
      <c r="G27" s="9">
        <v>133.63</v>
      </c>
      <c r="H27" s="9">
        <f t="shared" si="6"/>
        <v>632.29999999999995</v>
      </c>
      <c r="I27" s="7">
        <f t="shared" si="0"/>
        <v>52.691666666666663</v>
      </c>
      <c r="J27" s="7">
        <v>28.33</v>
      </c>
      <c r="K27" s="7">
        <f t="shared" si="1"/>
        <v>26.345833333333331</v>
      </c>
      <c r="L27" s="6">
        <f t="shared" si="2"/>
        <v>3.1614999999999998</v>
      </c>
      <c r="M27" s="6">
        <f t="shared" si="3"/>
        <v>3.1614999999999998</v>
      </c>
      <c r="N27" s="6"/>
      <c r="O27" s="6">
        <f t="shared" si="4"/>
        <v>70.501449999999991</v>
      </c>
      <c r="P27" s="6">
        <f t="shared" si="5"/>
        <v>816.49194999999997</v>
      </c>
    </row>
    <row r="28" spans="1:16" x14ac:dyDescent="0.25">
      <c r="A28" s="5">
        <v>25</v>
      </c>
      <c r="B28" s="5" t="s">
        <v>30</v>
      </c>
      <c r="C28" s="5" t="s">
        <v>4</v>
      </c>
      <c r="D28" s="69">
        <v>340</v>
      </c>
      <c r="E28" s="69">
        <v>6.38</v>
      </c>
      <c r="F28" s="69">
        <v>85</v>
      </c>
      <c r="G28" s="9"/>
      <c r="H28" s="9">
        <f t="shared" si="6"/>
        <v>431.38</v>
      </c>
      <c r="I28" s="7">
        <f t="shared" si="0"/>
        <v>35.948333333333331</v>
      </c>
      <c r="J28" s="7">
        <v>28.33</v>
      </c>
      <c r="K28" s="7">
        <f t="shared" si="1"/>
        <v>17.974166666666665</v>
      </c>
      <c r="L28" s="6">
        <f t="shared" si="2"/>
        <v>2.1568999999999998</v>
      </c>
      <c r="M28" s="6">
        <f t="shared" si="3"/>
        <v>2.1568999999999998</v>
      </c>
      <c r="N28" s="6"/>
      <c r="O28" s="6">
        <f t="shared" si="4"/>
        <v>48.098869999999998</v>
      </c>
      <c r="P28" s="6">
        <f t="shared" si="5"/>
        <v>566.04516999999987</v>
      </c>
    </row>
    <row r="29" spans="1:16" x14ac:dyDescent="0.25">
      <c r="A29" s="5">
        <v>26</v>
      </c>
      <c r="B29" s="5" t="s">
        <v>31</v>
      </c>
      <c r="C29" s="5" t="s">
        <v>4</v>
      </c>
      <c r="D29" s="69">
        <v>340</v>
      </c>
      <c r="E29" s="69"/>
      <c r="F29" s="69">
        <v>204</v>
      </c>
      <c r="G29" s="9">
        <v>137.41</v>
      </c>
      <c r="H29" s="9">
        <f t="shared" si="6"/>
        <v>681.41</v>
      </c>
      <c r="I29" s="7">
        <f t="shared" si="0"/>
        <v>56.784166666666664</v>
      </c>
      <c r="J29" s="7">
        <v>28.33</v>
      </c>
      <c r="K29" s="7">
        <f t="shared" si="1"/>
        <v>28.392083333333332</v>
      </c>
      <c r="L29" s="6">
        <f t="shared" si="2"/>
        <v>3.4070499999999999</v>
      </c>
      <c r="M29" s="6">
        <f t="shared" si="3"/>
        <v>3.4070499999999999</v>
      </c>
      <c r="N29" s="6"/>
      <c r="O29" s="6">
        <f t="shared" si="4"/>
        <v>75.977215000000001</v>
      </c>
      <c r="P29" s="6">
        <f t="shared" si="5"/>
        <v>877.70756500000005</v>
      </c>
    </row>
    <row r="30" spans="1:16" x14ac:dyDescent="0.25">
      <c r="A30" s="5">
        <v>27</v>
      </c>
      <c r="B30" s="5" t="s">
        <v>32</v>
      </c>
      <c r="C30" s="5" t="s">
        <v>4</v>
      </c>
      <c r="D30" s="69">
        <v>340</v>
      </c>
      <c r="E30" s="69"/>
      <c r="F30" s="69">
        <v>113.34</v>
      </c>
      <c r="G30" s="9"/>
      <c r="H30" s="9">
        <f t="shared" si="6"/>
        <v>453.34000000000003</v>
      </c>
      <c r="I30" s="7">
        <f t="shared" si="0"/>
        <v>37.778333333333336</v>
      </c>
      <c r="J30" s="7">
        <v>28.33</v>
      </c>
      <c r="K30" s="7">
        <f t="shared" si="1"/>
        <v>18.889166666666668</v>
      </c>
      <c r="L30" s="6">
        <f t="shared" si="2"/>
        <v>2.2667000000000002</v>
      </c>
      <c r="M30" s="6">
        <f t="shared" si="3"/>
        <v>2.2667000000000002</v>
      </c>
      <c r="N30" s="6"/>
      <c r="O30" s="6">
        <f t="shared" si="4"/>
        <v>50.547410000000006</v>
      </c>
      <c r="P30" s="6">
        <f t="shared" si="5"/>
        <v>593.41831000000013</v>
      </c>
    </row>
    <row r="31" spans="1:16" x14ac:dyDescent="0.25">
      <c r="A31" s="5">
        <v>28</v>
      </c>
      <c r="B31" s="5" t="s">
        <v>33</v>
      </c>
      <c r="C31" s="5" t="s">
        <v>4</v>
      </c>
      <c r="D31" s="69">
        <v>340</v>
      </c>
      <c r="E31" s="69"/>
      <c r="F31" s="69">
        <v>22.67</v>
      </c>
      <c r="G31" s="9"/>
      <c r="H31" s="9">
        <f t="shared" si="6"/>
        <v>362.67</v>
      </c>
      <c r="I31" s="7">
        <f t="shared" si="0"/>
        <v>30.2225</v>
      </c>
      <c r="J31" s="7">
        <v>28.33</v>
      </c>
      <c r="K31" s="7">
        <f t="shared" si="1"/>
        <v>15.11125</v>
      </c>
      <c r="L31" s="6">
        <f t="shared" si="2"/>
        <v>1.81335</v>
      </c>
      <c r="M31" s="6">
        <f t="shared" si="3"/>
        <v>1.81335</v>
      </c>
      <c r="N31" s="6"/>
      <c r="O31" s="6">
        <f t="shared" si="4"/>
        <v>40.437705000000001</v>
      </c>
      <c r="P31" s="6">
        <f t="shared" si="5"/>
        <v>480.39815500000003</v>
      </c>
    </row>
    <row r="32" spans="1:16" x14ac:dyDescent="0.25">
      <c r="A32" s="5">
        <v>29</v>
      </c>
      <c r="B32" s="5" t="s">
        <v>34</v>
      </c>
      <c r="C32" s="5" t="s">
        <v>4</v>
      </c>
      <c r="D32" s="69">
        <v>340</v>
      </c>
      <c r="E32" s="69"/>
      <c r="F32" s="69">
        <v>172.84</v>
      </c>
      <c r="G32" s="9">
        <v>85.01</v>
      </c>
      <c r="H32" s="9">
        <f t="shared" si="6"/>
        <v>597.85</v>
      </c>
      <c r="I32" s="7">
        <f t="shared" si="0"/>
        <v>49.820833333333333</v>
      </c>
      <c r="J32" s="7">
        <v>28.33</v>
      </c>
      <c r="K32" s="7">
        <f t="shared" si="1"/>
        <v>24.910416666666666</v>
      </c>
      <c r="L32" s="6">
        <f t="shared" si="2"/>
        <v>2.9892500000000002</v>
      </c>
      <c r="M32" s="6">
        <f t="shared" si="3"/>
        <v>2.9892500000000002</v>
      </c>
      <c r="N32" s="6"/>
      <c r="O32" s="6">
        <f t="shared" si="4"/>
        <v>66.660274999999999</v>
      </c>
      <c r="P32" s="6">
        <f t="shared" si="5"/>
        <v>773.55002500000001</v>
      </c>
    </row>
    <row r="33" spans="1:16" x14ac:dyDescent="0.25">
      <c r="A33" s="5">
        <v>30</v>
      </c>
      <c r="B33" s="5" t="s">
        <v>35</v>
      </c>
      <c r="C33" s="5" t="s">
        <v>4</v>
      </c>
      <c r="D33" s="69">
        <v>340</v>
      </c>
      <c r="E33" s="69"/>
      <c r="F33" s="69">
        <v>136</v>
      </c>
      <c r="G33" s="9"/>
      <c r="H33" s="9">
        <f t="shared" si="6"/>
        <v>476</v>
      </c>
      <c r="I33" s="7">
        <f t="shared" si="0"/>
        <v>39.666666666666664</v>
      </c>
      <c r="J33" s="7">
        <v>28.33</v>
      </c>
      <c r="K33" s="7">
        <f t="shared" si="1"/>
        <v>19.833333333333332</v>
      </c>
      <c r="L33" s="6">
        <f t="shared" si="2"/>
        <v>2.38</v>
      </c>
      <c r="M33" s="6">
        <f t="shared" si="3"/>
        <v>2.38</v>
      </c>
      <c r="N33" s="6"/>
      <c r="O33" s="6">
        <f t="shared" si="4"/>
        <v>53.073999999999998</v>
      </c>
      <c r="P33" s="6">
        <f t="shared" si="5"/>
        <v>621.66399999999999</v>
      </c>
    </row>
    <row r="34" spans="1:16" x14ac:dyDescent="0.25">
      <c r="A34" s="5">
        <v>31</v>
      </c>
      <c r="B34" s="5" t="s">
        <v>36</v>
      </c>
      <c r="C34" s="5" t="s">
        <v>4</v>
      </c>
      <c r="D34" s="69">
        <v>340</v>
      </c>
      <c r="E34" s="69"/>
      <c r="F34" s="69">
        <v>17</v>
      </c>
      <c r="G34" s="9">
        <v>76.510000000000005</v>
      </c>
      <c r="H34" s="9">
        <f t="shared" si="6"/>
        <v>433.51</v>
      </c>
      <c r="I34" s="7">
        <f t="shared" si="0"/>
        <v>36.125833333333333</v>
      </c>
      <c r="J34" s="7">
        <v>28.33</v>
      </c>
      <c r="K34" s="7">
        <f t="shared" si="1"/>
        <v>18.062916666666666</v>
      </c>
      <c r="L34" s="6">
        <f t="shared" si="2"/>
        <v>2.1675499999999999</v>
      </c>
      <c r="M34" s="6">
        <f t="shared" si="3"/>
        <v>2.1675499999999999</v>
      </c>
      <c r="N34" s="6"/>
      <c r="O34" s="6">
        <f t="shared" si="4"/>
        <v>48.336365000000001</v>
      </c>
      <c r="P34" s="6">
        <f t="shared" si="5"/>
        <v>568.70021499999996</v>
      </c>
    </row>
    <row r="35" spans="1:16" x14ac:dyDescent="0.25">
      <c r="A35" s="5">
        <v>32</v>
      </c>
      <c r="B35" s="5" t="s">
        <v>37</v>
      </c>
      <c r="C35" s="5" t="s">
        <v>14</v>
      </c>
      <c r="D35" s="69">
        <v>512.35</v>
      </c>
      <c r="E35" s="69"/>
      <c r="F35" s="69">
        <v>98.2</v>
      </c>
      <c r="G35" s="9">
        <v>128.08000000000001</v>
      </c>
      <c r="H35" s="9">
        <f t="shared" si="6"/>
        <v>738.63000000000011</v>
      </c>
      <c r="I35" s="7">
        <f t="shared" si="0"/>
        <v>61.552500000000009</v>
      </c>
      <c r="J35" s="7">
        <v>28.33</v>
      </c>
      <c r="K35" s="7">
        <f t="shared" si="1"/>
        <v>30.776250000000005</v>
      </c>
      <c r="L35" s="6">
        <f t="shared" si="2"/>
        <v>3.6931500000000006</v>
      </c>
      <c r="M35" s="6">
        <f t="shared" si="3"/>
        <v>3.6931500000000006</v>
      </c>
      <c r="N35" s="6"/>
      <c r="O35" s="6">
        <f t="shared" si="4"/>
        <v>82.35724500000002</v>
      </c>
      <c r="P35" s="6">
        <f t="shared" si="5"/>
        <v>949.03229500000009</v>
      </c>
    </row>
    <row r="36" spans="1:16" x14ac:dyDescent="0.25">
      <c r="A36" s="5">
        <v>33</v>
      </c>
      <c r="B36" s="5" t="s">
        <v>38</v>
      </c>
      <c r="C36" s="5" t="s">
        <v>4</v>
      </c>
      <c r="D36" s="69">
        <v>340</v>
      </c>
      <c r="E36" s="69"/>
      <c r="F36" s="69">
        <v>96.34</v>
      </c>
      <c r="G36" s="9">
        <v>117.11</v>
      </c>
      <c r="H36" s="9">
        <f t="shared" si="6"/>
        <v>553.45000000000005</v>
      </c>
      <c r="I36" s="7">
        <f t="shared" si="0"/>
        <v>46.120833333333337</v>
      </c>
      <c r="J36" s="7">
        <v>28.33</v>
      </c>
      <c r="K36" s="7">
        <f t="shared" si="1"/>
        <v>23.060416666666669</v>
      </c>
      <c r="L36" s="6">
        <f t="shared" si="2"/>
        <v>2.7672500000000002</v>
      </c>
      <c r="M36" s="6">
        <f t="shared" si="3"/>
        <v>2.7672500000000002</v>
      </c>
      <c r="N36" s="6"/>
      <c r="O36" s="6">
        <f t="shared" si="4"/>
        <v>61.709675000000004</v>
      </c>
      <c r="P36" s="6">
        <f t="shared" si="5"/>
        <v>718.2054250000001</v>
      </c>
    </row>
    <row r="37" spans="1:16" x14ac:dyDescent="0.25">
      <c r="A37" s="5">
        <v>34</v>
      </c>
      <c r="B37" s="5" t="s">
        <v>39</v>
      </c>
      <c r="C37" s="5" t="s">
        <v>4</v>
      </c>
      <c r="D37" s="69">
        <v>340</v>
      </c>
      <c r="E37" s="69"/>
      <c r="F37" s="69">
        <v>99.17</v>
      </c>
      <c r="G37" s="9">
        <v>85.01</v>
      </c>
      <c r="H37" s="9">
        <f t="shared" si="6"/>
        <v>524.18000000000006</v>
      </c>
      <c r="I37" s="7">
        <f t="shared" si="0"/>
        <v>43.681666666666672</v>
      </c>
      <c r="J37" s="7">
        <v>28.33</v>
      </c>
      <c r="K37" s="7">
        <f t="shared" si="1"/>
        <v>21.840833333333336</v>
      </c>
      <c r="L37" s="6">
        <f t="shared" si="2"/>
        <v>2.6209000000000002</v>
      </c>
      <c r="M37" s="6">
        <f t="shared" si="3"/>
        <v>2.6209000000000002</v>
      </c>
      <c r="N37" s="6"/>
      <c r="O37" s="6">
        <f t="shared" si="4"/>
        <v>58.446070000000006</v>
      </c>
      <c r="P37" s="6">
        <f t="shared" si="5"/>
        <v>681.72037</v>
      </c>
    </row>
    <row r="38" spans="1:16" x14ac:dyDescent="0.25">
      <c r="A38" s="5">
        <v>35</v>
      </c>
      <c r="B38" s="5" t="s">
        <v>40</v>
      </c>
      <c r="C38" s="5" t="s">
        <v>4</v>
      </c>
      <c r="D38" s="69">
        <v>340</v>
      </c>
      <c r="E38" s="69"/>
      <c r="F38" s="69">
        <v>31.17</v>
      </c>
      <c r="G38" s="9">
        <v>59.51</v>
      </c>
      <c r="H38" s="9">
        <f t="shared" si="6"/>
        <v>430.68</v>
      </c>
      <c r="I38" s="7">
        <f t="shared" si="0"/>
        <v>35.89</v>
      </c>
      <c r="J38" s="7">
        <v>28.33</v>
      </c>
      <c r="K38" s="7">
        <f t="shared" si="1"/>
        <v>17.945</v>
      </c>
      <c r="L38" s="6">
        <f t="shared" si="2"/>
        <v>2.1534</v>
      </c>
      <c r="M38" s="6">
        <f t="shared" si="3"/>
        <v>2.1534</v>
      </c>
      <c r="N38" s="6"/>
      <c r="O38" s="6">
        <f t="shared" si="4"/>
        <v>48.020820000000001</v>
      </c>
      <c r="P38" s="6">
        <f t="shared" si="5"/>
        <v>565.17262000000005</v>
      </c>
    </row>
    <row r="39" spans="1:16" x14ac:dyDescent="0.25">
      <c r="A39" s="5">
        <v>36</v>
      </c>
      <c r="B39" s="5" t="s">
        <v>41</v>
      </c>
      <c r="C39" s="5" t="s">
        <v>4</v>
      </c>
      <c r="D39" s="69">
        <v>340</v>
      </c>
      <c r="E39" s="69"/>
      <c r="F39" s="69">
        <v>22.67</v>
      </c>
      <c r="G39" s="9">
        <v>31.88</v>
      </c>
      <c r="H39" s="9">
        <f t="shared" si="6"/>
        <v>394.55</v>
      </c>
      <c r="I39" s="7">
        <f t="shared" si="0"/>
        <v>32.87916666666667</v>
      </c>
      <c r="J39" s="7">
        <v>28.33</v>
      </c>
      <c r="K39" s="7">
        <f t="shared" si="1"/>
        <v>16.439583333333335</v>
      </c>
      <c r="L39" s="6">
        <f t="shared" si="2"/>
        <v>1.97275</v>
      </c>
      <c r="M39" s="6">
        <f t="shared" si="3"/>
        <v>1.97275</v>
      </c>
      <c r="N39" s="6"/>
      <c r="O39" s="6">
        <f t="shared" si="4"/>
        <v>43.992325000000001</v>
      </c>
      <c r="P39" s="6">
        <f t="shared" si="5"/>
        <v>520.13657500000011</v>
      </c>
    </row>
    <row r="40" spans="1:16" x14ac:dyDescent="0.25">
      <c r="A40" s="5">
        <v>37</v>
      </c>
      <c r="B40" s="5" t="s">
        <v>42</v>
      </c>
      <c r="C40" s="5" t="s">
        <v>4</v>
      </c>
      <c r="D40" s="69">
        <v>340</v>
      </c>
      <c r="E40" s="69">
        <v>6.38</v>
      </c>
      <c r="F40" s="69"/>
      <c r="G40" s="9"/>
      <c r="H40" s="9">
        <f t="shared" si="6"/>
        <v>346.38</v>
      </c>
      <c r="I40" s="7">
        <f t="shared" si="0"/>
        <v>28.864999999999998</v>
      </c>
      <c r="J40" s="7">
        <v>28.33</v>
      </c>
      <c r="K40" s="7">
        <f t="shared" si="1"/>
        <v>14.432499999999999</v>
      </c>
      <c r="L40" s="6">
        <f t="shared" si="2"/>
        <v>1.7319</v>
      </c>
      <c r="M40" s="6">
        <f t="shared" si="3"/>
        <v>1.7319</v>
      </c>
      <c r="N40" s="6"/>
      <c r="O40" s="6">
        <f t="shared" si="4"/>
        <v>38.621369999999999</v>
      </c>
      <c r="P40" s="6">
        <f t="shared" si="5"/>
        <v>460.09267</v>
      </c>
    </row>
    <row r="41" spans="1:16" x14ac:dyDescent="0.25">
      <c r="A41" s="5">
        <v>38</v>
      </c>
      <c r="B41" s="5" t="s">
        <v>43</v>
      </c>
      <c r="C41" s="5" t="s">
        <v>4</v>
      </c>
      <c r="D41" s="69">
        <v>340</v>
      </c>
      <c r="E41" s="69"/>
      <c r="F41" s="69">
        <v>87.84</v>
      </c>
      <c r="G41" s="9">
        <v>85.01</v>
      </c>
      <c r="H41" s="9">
        <f t="shared" si="6"/>
        <v>512.85</v>
      </c>
      <c r="I41" s="7">
        <f t="shared" si="0"/>
        <v>42.737500000000004</v>
      </c>
      <c r="J41" s="7">
        <v>28.33</v>
      </c>
      <c r="K41" s="7">
        <f t="shared" si="1"/>
        <v>21.368750000000002</v>
      </c>
      <c r="L41" s="6">
        <f t="shared" si="2"/>
        <v>2.5642500000000004</v>
      </c>
      <c r="M41" s="6">
        <f t="shared" si="3"/>
        <v>2.5642500000000004</v>
      </c>
      <c r="N41" s="6"/>
      <c r="O41" s="6">
        <f t="shared" si="4"/>
        <v>57.182775000000007</v>
      </c>
      <c r="P41" s="6">
        <f t="shared" si="5"/>
        <v>667.59752500000002</v>
      </c>
    </row>
    <row r="42" spans="1:16" x14ac:dyDescent="0.25">
      <c r="A42" s="5">
        <v>39</v>
      </c>
      <c r="B42" s="5" t="s">
        <v>44</v>
      </c>
      <c r="C42" s="5" t="s">
        <v>4</v>
      </c>
      <c r="D42" s="69">
        <v>340</v>
      </c>
      <c r="E42" s="69"/>
      <c r="F42" s="69">
        <v>226.67</v>
      </c>
      <c r="G42" s="9"/>
      <c r="H42" s="9">
        <f t="shared" si="6"/>
        <v>566.66999999999996</v>
      </c>
      <c r="I42" s="7">
        <f t="shared" si="0"/>
        <v>47.222499999999997</v>
      </c>
      <c r="J42" s="7">
        <v>28.33</v>
      </c>
      <c r="K42" s="7">
        <f t="shared" si="1"/>
        <v>23.611249999999998</v>
      </c>
      <c r="L42" s="6">
        <f t="shared" si="2"/>
        <v>2.8333499999999998</v>
      </c>
      <c r="M42" s="6">
        <f t="shared" si="3"/>
        <v>2.8333499999999998</v>
      </c>
      <c r="N42" s="6"/>
      <c r="O42" s="6">
        <f t="shared" si="4"/>
        <v>63.183704999999996</v>
      </c>
      <c r="P42" s="6">
        <f t="shared" si="5"/>
        <v>734.68415500000003</v>
      </c>
    </row>
    <row r="43" spans="1:16" x14ac:dyDescent="0.25">
      <c r="A43" s="5">
        <v>40</v>
      </c>
      <c r="B43" s="5" t="s">
        <v>45</v>
      </c>
      <c r="C43" s="5" t="s">
        <v>4</v>
      </c>
      <c r="D43" s="69">
        <v>340</v>
      </c>
      <c r="E43" s="69"/>
      <c r="F43" s="69">
        <v>116.17</v>
      </c>
      <c r="G43" s="9">
        <v>85.01</v>
      </c>
      <c r="H43" s="9">
        <f t="shared" si="6"/>
        <v>541.18000000000006</v>
      </c>
      <c r="I43" s="7">
        <f t="shared" si="0"/>
        <v>45.098333333333336</v>
      </c>
      <c r="J43" s="7">
        <v>28.33</v>
      </c>
      <c r="K43" s="7">
        <f t="shared" si="1"/>
        <v>22.549166666666668</v>
      </c>
      <c r="L43" s="6">
        <f t="shared" si="2"/>
        <v>2.7059000000000002</v>
      </c>
      <c r="M43" s="6">
        <f t="shared" si="3"/>
        <v>2.7059000000000002</v>
      </c>
      <c r="N43" s="6"/>
      <c r="O43" s="6">
        <f t="shared" si="4"/>
        <v>60.341570000000011</v>
      </c>
      <c r="P43" s="6">
        <f t="shared" si="5"/>
        <v>702.91087000000027</v>
      </c>
    </row>
    <row r="44" spans="1:16" x14ac:dyDescent="0.25">
      <c r="A44" s="5">
        <v>41</v>
      </c>
      <c r="B44" s="5" t="s">
        <v>46</v>
      </c>
      <c r="C44" s="5" t="s">
        <v>4</v>
      </c>
      <c r="D44" s="69">
        <v>340</v>
      </c>
      <c r="E44" s="69">
        <v>2.13</v>
      </c>
      <c r="F44" s="69">
        <v>22.67</v>
      </c>
      <c r="G44" s="9"/>
      <c r="H44" s="9">
        <f>D44+E44+F44+G44</f>
        <v>364.8</v>
      </c>
      <c r="I44" s="7">
        <f t="shared" si="0"/>
        <v>30.400000000000002</v>
      </c>
      <c r="J44" s="7">
        <v>28.33</v>
      </c>
      <c r="K44" s="7">
        <f t="shared" si="1"/>
        <v>15.200000000000001</v>
      </c>
      <c r="L44" s="6">
        <f t="shared" si="2"/>
        <v>1.8240000000000001</v>
      </c>
      <c r="M44" s="6">
        <f t="shared" si="3"/>
        <v>1.8240000000000001</v>
      </c>
      <c r="N44" s="6"/>
      <c r="O44" s="6">
        <f t="shared" si="4"/>
        <v>40.675200000000004</v>
      </c>
      <c r="P44" s="6">
        <f t="shared" si="5"/>
        <v>483.0532</v>
      </c>
    </row>
    <row r="45" spans="1:16" x14ac:dyDescent="0.25">
      <c r="A45" s="5">
        <v>42</v>
      </c>
      <c r="B45" s="5" t="s">
        <v>47</v>
      </c>
      <c r="C45" s="5" t="s">
        <v>4</v>
      </c>
      <c r="D45" s="69">
        <v>340</v>
      </c>
      <c r="E45" s="69"/>
      <c r="F45" s="69">
        <v>158.66999999999999</v>
      </c>
      <c r="G45" s="9"/>
      <c r="H45" s="9">
        <f t="shared" si="6"/>
        <v>498.66999999999996</v>
      </c>
      <c r="I45" s="7">
        <f t="shared" si="0"/>
        <v>41.555833333333332</v>
      </c>
      <c r="J45" s="7">
        <v>28.33</v>
      </c>
      <c r="K45" s="7">
        <f t="shared" si="1"/>
        <v>20.777916666666666</v>
      </c>
      <c r="L45" s="6">
        <f t="shared" si="2"/>
        <v>2.49335</v>
      </c>
      <c r="M45" s="6">
        <f t="shared" si="3"/>
        <v>2.49335</v>
      </c>
      <c r="N45" s="6"/>
      <c r="O45" s="6">
        <f t="shared" si="4"/>
        <v>55.601704999999995</v>
      </c>
      <c r="P45" s="6">
        <f t="shared" si="5"/>
        <v>649.92215499999998</v>
      </c>
    </row>
    <row r="46" spans="1:16" x14ac:dyDescent="0.25">
      <c r="A46" s="5">
        <v>43</v>
      </c>
      <c r="B46" s="5" t="s">
        <v>48</v>
      </c>
      <c r="C46" s="5" t="s">
        <v>14</v>
      </c>
      <c r="D46" s="69">
        <v>512.35</v>
      </c>
      <c r="E46" s="69"/>
      <c r="F46" s="69">
        <v>51.24</v>
      </c>
      <c r="G46" s="9">
        <v>128.08000000000001</v>
      </c>
      <c r="H46" s="9">
        <f t="shared" si="6"/>
        <v>691.67000000000007</v>
      </c>
      <c r="I46" s="7">
        <f t="shared" si="0"/>
        <v>57.639166666666675</v>
      </c>
      <c r="J46" s="7">
        <v>28.33</v>
      </c>
      <c r="K46" s="7">
        <f t="shared" si="1"/>
        <v>28.819583333333338</v>
      </c>
      <c r="L46" s="6">
        <f t="shared" si="2"/>
        <v>3.4583500000000003</v>
      </c>
      <c r="M46" s="6">
        <f t="shared" si="3"/>
        <v>3.4583500000000003</v>
      </c>
      <c r="N46" s="6"/>
      <c r="O46" s="6">
        <f t="shared" si="4"/>
        <v>77.121205000000003</v>
      </c>
      <c r="P46" s="6">
        <f t="shared" si="5"/>
        <v>890.49665500000015</v>
      </c>
    </row>
    <row r="47" spans="1:16" x14ac:dyDescent="0.25">
      <c r="A47" s="5">
        <v>44</v>
      </c>
      <c r="B47" s="5" t="s">
        <v>49</v>
      </c>
      <c r="C47" s="5" t="s">
        <v>4</v>
      </c>
      <c r="D47" s="69">
        <v>340</v>
      </c>
      <c r="E47" s="69"/>
      <c r="F47" s="69">
        <v>235.17</v>
      </c>
      <c r="G47" s="9">
        <v>85.01</v>
      </c>
      <c r="H47" s="9">
        <f t="shared" si="6"/>
        <v>660.18</v>
      </c>
      <c r="I47" s="7">
        <f t="shared" si="0"/>
        <v>55.014999999999993</v>
      </c>
      <c r="J47" s="7">
        <v>28.33</v>
      </c>
      <c r="K47" s="7">
        <f t="shared" si="1"/>
        <v>27.507499999999997</v>
      </c>
      <c r="L47" s="6">
        <f t="shared" si="2"/>
        <v>3.3008999999999999</v>
      </c>
      <c r="M47" s="6">
        <f t="shared" si="3"/>
        <v>3.3008999999999999</v>
      </c>
      <c r="N47" s="6"/>
      <c r="O47" s="6">
        <f t="shared" si="4"/>
        <v>73.610069999999993</v>
      </c>
      <c r="P47" s="6">
        <f t="shared" si="5"/>
        <v>851.24436999999989</v>
      </c>
    </row>
    <row r="48" spans="1:16" x14ac:dyDescent="0.25">
      <c r="A48" s="5">
        <v>45</v>
      </c>
      <c r="B48" s="5" t="s">
        <v>50</v>
      </c>
      <c r="C48" s="5" t="s">
        <v>4</v>
      </c>
      <c r="D48" s="69">
        <v>340</v>
      </c>
      <c r="E48" s="69"/>
      <c r="F48" s="69">
        <v>90.67</v>
      </c>
      <c r="G48" s="9">
        <v>44.59</v>
      </c>
      <c r="H48" s="9">
        <f t="shared" si="6"/>
        <v>475.26</v>
      </c>
      <c r="I48" s="7">
        <f t="shared" si="0"/>
        <v>39.604999999999997</v>
      </c>
      <c r="J48" s="7">
        <v>28.33</v>
      </c>
      <c r="K48" s="7">
        <f t="shared" si="1"/>
        <v>19.802499999999998</v>
      </c>
      <c r="L48" s="6">
        <f t="shared" si="2"/>
        <v>2.3763000000000001</v>
      </c>
      <c r="M48" s="6">
        <f t="shared" si="3"/>
        <v>2.3763000000000001</v>
      </c>
      <c r="N48" s="6"/>
      <c r="O48" s="6">
        <f t="shared" si="4"/>
        <v>52.991489999999999</v>
      </c>
      <c r="P48" s="6">
        <f t="shared" si="5"/>
        <v>620.74159000000009</v>
      </c>
    </row>
    <row r="49" spans="1:16" x14ac:dyDescent="0.25">
      <c r="A49" s="5">
        <v>46</v>
      </c>
      <c r="B49" s="5" t="s">
        <v>51</v>
      </c>
      <c r="C49" s="5" t="s">
        <v>4</v>
      </c>
      <c r="D49" s="69">
        <v>340</v>
      </c>
      <c r="E49" s="69">
        <v>6.38</v>
      </c>
      <c r="F49" s="69">
        <v>85</v>
      </c>
      <c r="G49" s="9">
        <v>44.59</v>
      </c>
      <c r="H49" s="9">
        <f t="shared" si="6"/>
        <v>475.97</v>
      </c>
      <c r="I49" s="7">
        <f t="shared" si="0"/>
        <v>39.664166666666667</v>
      </c>
      <c r="J49" s="7">
        <v>28.33</v>
      </c>
      <c r="K49" s="7">
        <f t="shared" si="1"/>
        <v>19.832083333333333</v>
      </c>
      <c r="L49" s="6">
        <f t="shared" si="2"/>
        <v>2.3798500000000002</v>
      </c>
      <c r="M49" s="6">
        <f t="shared" si="3"/>
        <v>2.3798500000000002</v>
      </c>
      <c r="N49" s="6"/>
      <c r="O49" s="6">
        <f t="shared" si="4"/>
        <v>53.070655000000002</v>
      </c>
      <c r="P49" s="6">
        <f t="shared" si="5"/>
        <v>621.62660500000015</v>
      </c>
    </row>
    <row r="50" spans="1:16" x14ac:dyDescent="0.25">
      <c r="A50" s="5">
        <v>47</v>
      </c>
      <c r="B50" s="5" t="s">
        <v>52</v>
      </c>
      <c r="C50" s="5" t="s">
        <v>4</v>
      </c>
      <c r="D50" s="69">
        <v>340</v>
      </c>
      <c r="E50" s="69"/>
      <c r="F50" s="69">
        <v>90.67</v>
      </c>
      <c r="G50" s="9">
        <v>44.59</v>
      </c>
      <c r="H50" s="9">
        <f t="shared" si="6"/>
        <v>475.26</v>
      </c>
      <c r="I50" s="7">
        <f t="shared" si="0"/>
        <v>39.604999999999997</v>
      </c>
      <c r="J50" s="7">
        <v>28.33</v>
      </c>
      <c r="K50" s="7">
        <f t="shared" si="1"/>
        <v>19.802499999999998</v>
      </c>
      <c r="L50" s="6">
        <f t="shared" si="2"/>
        <v>2.3763000000000001</v>
      </c>
      <c r="M50" s="6">
        <f t="shared" si="3"/>
        <v>2.3763000000000001</v>
      </c>
      <c r="N50" s="6"/>
      <c r="O50" s="6">
        <f t="shared" si="4"/>
        <v>52.991489999999999</v>
      </c>
      <c r="P50" s="6">
        <f t="shared" si="5"/>
        <v>620.74159000000009</v>
      </c>
    </row>
    <row r="51" spans="1:16" x14ac:dyDescent="0.25">
      <c r="A51" s="5">
        <v>48</v>
      </c>
      <c r="B51" s="5" t="s">
        <v>53</v>
      </c>
      <c r="C51" s="5" t="s">
        <v>4</v>
      </c>
      <c r="D51" s="69">
        <v>340</v>
      </c>
      <c r="E51" s="69">
        <v>19.13</v>
      </c>
      <c r="F51" s="69">
        <v>113.34</v>
      </c>
      <c r="G51" s="9">
        <v>44.59</v>
      </c>
      <c r="H51" s="9">
        <f t="shared" si="6"/>
        <v>517.06000000000006</v>
      </c>
      <c r="I51" s="7">
        <f t="shared" si="0"/>
        <v>43.088333333333338</v>
      </c>
      <c r="J51" s="7">
        <v>28.33</v>
      </c>
      <c r="K51" s="7">
        <f t="shared" si="1"/>
        <v>21.544166666666669</v>
      </c>
      <c r="L51" s="6">
        <f t="shared" si="2"/>
        <v>2.5853000000000002</v>
      </c>
      <c r="M51" s="6">
        <f t="shared" si="3"/>
        <v>2.5853000000000002</v>
      </c>
      <c r="N51" s="6"/>
      <c r="O51" s="6">
        <f t="shared" si="4"/>
        <v>57.652190000000004</v>
      </c>
      <c r="P51" s="6">
        <f t="shared" si="5"/>
        <v>672.84529000000009</v>
      </c>
    </row>
    <row r="52" spans="1:16" s="73" customFormat="1" x14ac:dyDescent="0.25">
      <c r="A52" s="70"/>
      <c r="B52" s="70" t="s">
        <v>2</v>
      </c>
      <c r="C52" s="70"/>
      <c r="D52" s="71">
        <f t="shared" ref="D52:H52" si="7">SUM(D4:D51)</f>
        <v>17087.050000000003</v>
      </c>
      <c r="E52" s="71">
        <f t="shared" si="7"/>
        <v>229.64999999999998</v>
      </c>
      <c r="F52" s="71">
        <f t="shared" si="7"/>
        <v>4595.670000000001</v>
      </c>
      <c r="G52" s="72">
        <f t="shared" si="7"/>
        <v>2185.2600000000002</v>
      </c>
      <c r="H52" s="72">
        <f t="shared" si="7"/>
        <v>24097.629999999994</v>
      </c>
      <c r="I52" s="72">
        <f>SUM(I4:I51)</f>
        <v>2008.1358333333337</v>
      </c>
      <c r="J52" s="72">
        <f>SUM(J4:J51)</f>
        <v>1359.8399999999997</v>
      </c>
      <c r="K52" s="72">
        <f>SUM(K4:K51)</f>
        <v>1004.0679166666669</v>
      </c>
      <c r="L52" s="72">
        <f>SUM(L4:L51)</f>
        <v>120.48815000000002</v>
      </c>
      <c r="M52" s="72">
        <f>SUM(M4:M51)</f>
        <v>120.48815000000002</v>
      </c>
      <c r="N52" s="72"/>
      <c r="O52" s="72">
        <f>SUM(O4:O51)</f>
        <v>2686.8857449999996</v>
      </c>
      <c r="P52" s="72">
        <f>SUM(P4:P51)</f>
        <v>31397.535795000011</v>
      </c>
    </row>
    <row r="53" spans="1:16" s="73" customFormat="1" x14ac:dyDescent="0.25">
      <c r="A53" s="78"/>
      <c r="B53" s="78"/>
      <c r="C53" s="78"/>
      <c r="D53" s="79"/>
      <c r="E53" s="79"/>
      <c r="F53" s="79"/>
      <c r="G53" s="80"/>
      <c r="H53" s="80"/>
      <c r="I53" s="80"/>
      <c r="J53" s="80"/>
      <c r="K53" s="80"/>
      <c r="L53" s="80"/>
      <c r="M53" s="80"/>
      <c r="N53" s="80"/>
      <c r="O53" s="80"/>
      <c r="P53" s="80"/>
    </row>
    <row r="54" spans="1:16" s="73" customFormat="1" ht="43.5" customHeight="1" x14ac:dyDescent="0.3">
      <c r="A54" s="78"/>
      <c r="B54" s="105" t="s">
        <v>262</v>
      </c>
      <c r="C54" s="106"/>
      <c r="D54" s="106"/>
      <c r="E54" s="106"/>
      <c r="F54" s="106"/>
      <c r="G54" s="106"/>
      <c r="H54" s="106"/>
      <c r="I54" s="106"/>
      <c r="J54" s="106"/>
      <c r="K54" s="80"/>
      <c r="L54" s="80"/>
      <c r="M54" s="80"/>
      <c r="N54" s="80"/>
      <c r="O54" s="80"/>
      <c r="P54" s="80"/>
    </row>
    <row r="55" spans="1:16" s="73" customFormat="1" x14ac:dyDescent="0.25">
      <c r="A55" s="78"/>
      <c r="B55" s="59"/>
      <c r="C55" s="78"/>
      <c r="D55" s="79"/>
      <c r="E55" s="79"/>
      <c r="F55" s="79"/>
      <c r="G55" s="80"/>
      <c r="H55" s="80"/>
      <c r="I55" s="80"/>
      <c r="J55" s="80"/>
      <c r="K55" s="80"/>
      <c r="L55" s="80"/>
      <c r="M55" s="80"/>
      <c r="N55" s="80"/>
      <c r="O55" s="80"/>
      <c r="P55" s="80"/>
    </row>
    <row r="56" spans="1:16" s="73" customFormat="1" x14ac:dyDescent="0.25">
      <c r="A56" s="78"/>
      <c r="B56" s="59"/>
      <c r="C56" s="78"/>
      <c r="D56" s="79"/>
      <c r="E56" s="79"/>
      <c r="F56" s="79"/>
      <c r="G56" s="80"/>
      <c r="H56" s="80"/>
      <c r="I56" s="80"/>
      <c r="J56" s="80"/>
      <c r="K56" s="80"/>
      <c r="L56" s="80"/>
      <c r="M56" s="80"/>
      <c r="N56" s="80"/>
      <c r="O56" s="80"/>
      <c r="P56" s="80"/>
    </row>
    <row r="57" spans="1:16" s="73" customFormat="1" ht="15.75" thickBot="1" x14ac:dyDescent="0.3">
      <c r="A57" s="78"/>
      <c r="B57" s="64"/>
      <c r="C57" s="78"/>
      <c r="D57" s="79"/>
      <c r="E57" s="79"/>
      <c r="F57" s="79"/>
      <c r="G57" s="80"/>
      <c r="H57" s="80"/>
      <c r="I57" s="80"/>
      <c r="J57" s="80"/>
      <c r="K57" s="80"/>
      <c r="L57" s="80"/>
      <c r="M57" s="80"/>
      <c r="N57" s="80"/>
      <c r="O57" s="80"/>
      <c r="P57" s="80"/>
    </row>
    <row r="58" spans="1:16" s="73" customFormat="1" x14ac:dyDescent="0.25">
      <c r="A58" s="78"/>
      <c r="B58" s="63" t="s">
        <v>245</v>
      </c>
      <c r="C58" s="78"/>
      <c r="D58" s="79"/>
      <c r="E58" s="79"/>
      <c r="F58" s="79"/>
      <c r="G58" s="80"/>
      <c r="H58" s="80"/>
      <c r="I58" s="80"/>
      <c r="J58" s="80"/>
      <c r="K58" s="80"/>
      <c r="L58" s="80"/>
      <c r="M58" s="80"/>
      <c r="N58" s="80"/>
      <c r="O58" s="80"/>
      <c r="P58" s="80"/>
    </row>
    <row r="59" spans="1:16" s="73" customFormat="1" x14ac:dyDescent="0.25">
      <c r="A59" s="78"/>
      <c r="B59" s="63" t="s">
        <v>246</v>
      </c>
      <c r="C59" s="78"/>
      <c r="D59" s="79"/>
      <c r="E59" s="79"/>
      <c r="F59" s="79"/>
      <c r="G59" s="80"/>
      <c r="H59" s="80"/>
      <c r="I59" s="80"/>
      <c r="J59" s="80"/>
      <c r="K59" s="80"/>
      <c r="L59" s="80"/>
      <c r="M59" s="80"/>
      <c r="N59" s="80"/>
      <c r="O59" s="80"/>
      <c r="P59" s="80"/>
    </row>
    <row r="60" spans="1:16" ht="16.5" thickBot="1" x14ac:dyDescent="0.3">
      <c r="A60" s="81" t="s">
        <v>260</v>
      </c>
    </row>
    <row r="61" spans="1:16" s="68" customFormat="1" ht="45" customHeight="1" x14ac:dyDescent="0.2">
      <c r="A61" s="101" t="s">
        <v>226</v>
      </c>
      <c r="B61" s="89" t="s">
        <v>251</v>
      </c>
      <c r="C61" s="107" t="s">
        <v>1</v>
      </c>
      <c r="D61" s="109" t="s">
        <v>208</v>
      </c>
      <c r="E61" s="109" t="s">
        <v>247</v>
      </c>
      <c r="F61" s="109" t="s">
        <v>207</v>
      </c>
      <c r="G61" s="99" t="s">
        <v>261</v>
      </c>
      <c r="H61" s="107" t="s">
        <v>198</v>
      </c>
      <c r="I61" s="83" t="s">
        <v>252</v>
      </c>
      <c r="J61" s="29" t="s">
        <v>253</v>
      </c>
      <c r="K61" s="97" t="s">
        <v>200</v>
      </c>
      <c r="L61" s="83" t="s">
        <v>201</v>
      </c>
      <c r="M61" s="95" t="s">
        <v>202</v>
      </c>
      <c r="N61" s="66" t="s">
        <v>203</v>
      </c>
      <c r="O61" s="67" t="s">
        <v>204</v>
      </c>
      <c r="P61" s="95" t="s">
        <v>248</v>
      </c>
    </row>
    <row r="62" spans="1:16" s="68" customFormat="1" ht="45" customHeight="1" thickBot="1" x14ac:dyDescent="0.25">
      <c r="A62" s="102"/>
      <c r="B62" s="90"/>
      <c r="C62" s="108"/>
      <c r="D62" s="110"/>
      <c r="E62" s="110"/>
      <c r="F62" s="110"/>
      <c r="G62" s="100"/>
      <c r="H62" s="108"/>
      <c r="I62" s="84"/>
      <c r="J62" s="33">
        <f>340/12</f>
        <v>28.333333333333332</v>
      </c>
      <c r="K62" s="98"/>
      <c r="L62" s="84"/>
      <c r="M62" s="96"/>
      <c r="N62" s="34">
        <v>8.3299999999999999E-2</v>
      </c>
      <c r="O62" s="35">
        <v>0.1115</v>
      </c>
      <c r="P62" s="96"/>
    </row>
    <row r="63" spans="1:16" x14ac:dyDescent="0.25">
      <c r="A63" s="5">
        <v>49</v>
      </c>
      <c r="B63" s="5" t="s">
        <v>54</v>
      </c>
      <c r="C63" s="5" t="s">
        <v>4</v>
      </c>
      <c r="D63" s="69">
        <v>340</v>
      </c>
      <c r="E63" s="69"/>
      <c r="F63" s="69">
        <v>110.5</v>
      </c>
      <c r="G63" s="9">
        <v>31.88</v>
      </c>
      <c r="H63" s="9">
        <f>D63+E63+F63+G63</f>
        <v>482.38</v>
      </c>
      <c r="I63" s="7">
        <f>(H63)/12</f>
        <v>40.198333333333331</v>
      </c>
      <c r="J63" s="7">
        <v>28.33</v>
      </c>
      <c r="K63" s="7">
        <f>(H63)/24</f>
        <v>20.099166666666665</v>
      </c>
      <c r="L63" s="6">
        <f t="shared" ref="L63:L84" si="8">(H63)*0.005</f>
        <v>2.4119000000000002</v>
      </c>
      <c r="M63" s="6">
        <f t="shared" ref="M63:M84" si="9">(H63)*0.005</f>
        <v>2.4119000000000002</v>
      </c>
      <c r="N63" s="6">
        <f t="shared" ref="N63:N84" si="10">(H63)/12</f>
        <v>40.198333333333331</v>
      </c>
      <c r="O63" s="6">
        <f t="shared" ref="O63:O84" si="11">(H63)*0.1115</f>
        <v>53.78537</v>
      </c>
      <c r="P63" s="6">
        <f>H63+I63+J63+K63+L63+M63+N63+O63</f>
        <v>669.81500333333338</v>
      </c>
    </row>
    <row r="64" spans="1:16" x14ac:dyDescent="0.25">
      <c r="A64" s="5">
        <v>50</v>
      </c>
      <c r="B64" s="5" t="s">
        <v>55</v>
      </c>
      <c r="C64" s="5" t="s">
        <v>4</v>
      </c>
      <c r="D64" s="69">
        <v>340</v>
      </c>
      <c r="E64" s="69"/>
      <c r="F64" s="69">
        <v>204</v>
      </c>
      <c r="G64" s="9">
        <v>85.01</v>
      </c>
      <c r="H64" s="9">
        <f>D64+E64+F64+G64</f>
        <v>629.01</v>
      </c>
      <c r="I64" s="7">
        <f t="shared" ref="I64:I84" si="12">(H64)/12</f>
        <v>52.417499999999997</v>
      </c>
      <c r="J64" s="7">
        <v>28.33</v>
      </c>
      <c r="K64" s="7">
        <f t="shared" ref="K64:K84" si="13">(H64)/24</f>
        <v>26.208749999999998</v>
      </c>
      <c r="L64" s="6">
        <f t="shared" si="8"/>
        <v>3.1450499999999999</v>
      </c>
      <c r="M64" s="6">
        <f t="shared" si="9"/>
        <v>3.1450499999999999</v>
      </c>
      <c r="N64" s="6">
        <f t="shared" si="10"/>
        <v>52.417499999999997</v>
      </c>
      <c r="O64" s="6">
        <f t="shared" si="11"/>
        <v>70.134614999999997</v>
      </c>
      <c r="P64" s="6">
        <f t="shared" ref="P64:P84" si="14">H64+I64+J64+K64+L64+M64+N64+O64</f>
        <v>864.80846500000007</v>
      </c>
    </row>
    <row r="65" spans="1:16" x14ac:dyDescent="0.25">
      <c r="A65" s="5">
        <v>51</v>
      </c>
      <c r="B65" s="5" t="s">
        <v>56</v>
      </c>
      <c r="C65" s="5" t="s">
        <v>9</v>
      </c>
      <c r="D65" s="69">
        <v>590</v>
      </c>
      <c r="E65" s="69"/>
      <c r="F65" s="69"/>
      <c r="G65" s="9"/>
      <c r="H65" s="9">
        <f t="shared" ref="H65:H84" si="15">D65+E65+F65+G65</f>
        <v>590</v>
      </c>
      <c r="I65" s="7">
        <f t="shared" si="12"/>
        <v>49.166666666666664</v>
      </c>
      <c r="J65" s="7">
        <v>28.33</v>
      </c>
      <c r="K65" s="7">
        <f t="shared" si="13"/>
        <v>24.583333333333332</v>
      </c>
      <c r="L65" s="6">
        <f t="shared" si="8"/>
        <v>2.95</v>
      </c>
      <c r="M65" s="6">
        <f t="shared" si="9"/>
        <v>2.95</v>
      </c>
      <c r="N65" s="6">
        <f t="shared" si="10"/>
        <v>49.166666666666664</v>
      </c>
      <c r="O65" s="6">
        <f t="shared" si="11"/>
        <v>65.784999999999997</v>
      </c>
      <c r="P65" s="6">
        <f t="shared" si="14"/>
        <v>812.93166666666673</v>
      </c>
    </row>
    <row r="66" spans="1:16" x14ac:dyDescent="0.25">
      <c r="A66" s="5">
        <v>52</v>
      </c>
      <c r="B66" s="5" t="s">
        <v>57</v>
      </c>
      <c r="C66" s="5" t="s">
        <v>4</v>
      </c>
      <c r="D66" s="69">
        <v>340</v>
      </c>
      <c r="E66" s="69">
        <v>19.13</v>
      </c>
      <c r="F66" s="69">
        <v>39.67</v>
      </c>
      <c r="G66" s="9">
        <v>29.44</v>
      </c>
      <c r="H66" s="9">
        <f t="shared" si="15"/>
        <v>428.24</v>
      </c>
      <c r="I66" s="7">
        <f t="shared" si="12"/>
        <v>35.686666666666667</v>
      </c>
      <c r="J66" s="7">
        <v>28.33</v>
      </c>
      <c r="K66" s="7">
        <f>(H66)/24</f>
        <v>17.843333333333334</v>
      </c>
      <c r="L66" s="6">
        <f t="shared" si="8"/>
        <v>2.1412</v>
      </c>
      <c r="M66" s="6">
        <f t="shared" si="9"/>
        <v>2.1412</v>
      </c>
      <c r="N66" s="6">
        <f t="shared" si="10"/>
        <v>35.686666666666667</v>
      </c>
      <c r="O66" s="6">
        <f t="shared" si="11"/>
        <v>47.748760000000004</v>
      </c>
      <c r="P66" s="6">
        <f t="shared" si="14"/>
        <v>597.81782666666663</v>
      </c>
    </row>
    <row r="67" spans="1:16" x14ac:dyDescent="0.25">
      <c r="A67" s="5">
        <v>53</v>
      </c>
      <c r="B67" s="5" t="s">
        <v>58</v>
      </c>
      <c r="C67" s="5" t="s">
        <v>4</v>
      </c>
      <c r="D67" s="69">
        <v>340</v>
      </c>
      <c r="E67" s="69"/>
      <c r="F67" s="69">
        <v>68</v>
      </c>
      <c r="G67" s="9">
        <v>33.99</v>
      </c>
      <c r="H67" s="9">
        <f t="shared" si="15"/>
        <v>441.99</v>
      </c>
      <c r="I67" s="7">
        <f t="shared" si="12"/>
        <v>36.832500000000003</v>
      </c>
      <c r="J67" s="7">
        <v>28.33</v>
      </c>
      <c r="K67" s="7">
        <f t="shared" si="13"/>
        <v>18.416250000000002</v>
      </c>
      <c r="L67" s="6">
        <f t="shared" si="8"/>
        <v>2.2099500000000001</v>
      </c>
      <c r="M67" s="6">
        <f t="shared" si="9"/>
        <v>2.2099500000000001</v>
      </c>
      <c r="N67" s="6">
        <f t="shared" si="10"/>
        <v>36.832500000000003</v>
      </c>
      <c r="O67" s="6">
        <f t="shared" si="11"/>
        <v>49.281885000000003</v>
      </c>
      <c r="P67" s="6">
        <f t="shared" si="14"/>
        <v>616.10303500000009</v>
      </c>
    </row>
    <row r="68" spans="1:16" x14ac:dyDescent="0.25">
      <c r="A68" s="5">
        <v>54</v>
      </c>
      <c r="B68" s="5" t="s">
        <v>59</v>
      </c>
      <c r="C68" s="5" t="s">
        <v>4</v>
      </c>
      <c r="D68" s="69">
        <v>340</v>
      </c>
      <c r="E68" s="69"/>
      <c r="F68" s="69">
        <v>39.67</v>
      </c>
      <c r="G68" s="9">
        <v>31.88</v>
      </c>
      <c r="H68" s="9">
        <f t="shared" si="15"/>
        <v>411.55</v>
      </c>
      <c r="I68" s="7">
        <f t="shared" si="12"/>
        <v>34.295833333333334</v>
      </c>
      <c r="J68" s="7">
        <v>28.33</v>
      </c>
      <c r="K68" s="7">
        <f t="shared" si="13"/>
        <v>17.147916666666667</v>
      </c>
      <c r="L68" s="6">
        <f t="shared" si="8"/>
        <v>2.05775</v>
      </c>
      <c r="M68" s="6">
        <f t="shared" si="9"/>
        <v>2.05775</v>
      </c>
      <c r="N68" s="6">
        <f t="shared" si="10"/>
        <v>34.295833333333334</v>
      </c>
      <c r="O68" s="6">
        <f t="shared" si="11"/>
        <v>45.887824999999999</v>
      </c>
      <c r="P68" s="6">
        <f t="shared" si="14"/>
        <v>575.62290833333338</v>
      </c>
    </row>
    <row r="69" spans="1:16" x14ac:dyDescent="0.25">
      <c r="A69" s="5">
        <v>55</v>
      </c>
      <c r="B69" s="5" t="s">
        <v>60</v>
      </c>
      <c r="C69" s="5" t="s">
        <v>4</v>
      </c>
      <c r="D69" s="69">
        <v>340</v>
      </c>
      <c r="E69" s="69"/>
      <c r="F69" s="69">
        <v>45.33</v>
      </c>
      <c r="G69" s="9">
        <v>85.01</v>
      </c>
      <c r="H69" s="9">
        <f t="shared" si="15"/>
        <v>470.34</v>
      </c>
      <c r="I69" s="7">
        <f t="shared" si="12"/>
        <v>39.195</v>
      </c>
      <c r="J69" s="7">
        <v>28.33</v>
      </c>
      <c r="K69" s="7">
        <f t="shared" si="13"/>
        <v>19.5975</v>
      </c>
      <c r="L69" s="6">
        <f t="shared" si="8"/>
        <v>2.3517000000000001</v>
      </c>
      <c r="M69" s="6">
        <f t="shared" si="9"/>
        <v>2.3517000000000001</v>
      </c>
      <c r="N69" s="6">
        <f t="shared" si="10"/>
        <v>39.195</v>
      </c>
      <c r="O69" s="6">
        <f t="shared" si="11"/>
        <v>52.442909999999998</v>
      </c>
      <c r="P69" s="6">
        <f t="shared" si="14"/>
        <v>653.80381000000011</v>
      </c>
    </row>
    <row r="70" spans="1:16" ht="30" x14ac:dyDescent="0.25">
      <c r="A70" s="5">
        <v>56</v>
      </c>
      <c r="B70" s="5" t="s">
        <v>61</v>
      </c>
      <c r="C70" s="76" t="s">
        <v>62</v>
      </c>
      <c r="D70" s="69">
        <v>500</v>
      </c>
      <c r="E70" s="69"/>
      <c r="F70" s="69"/>
      <c r="G70" s="9"/>
      <c r="H70" s="9">
        <f t="shared" si="15"/>
        <v>500</v>
      </c>
      <c r="I70" s="7">
        <f t="shared" si="12"/>
        <v>41.666666666666664</v>
      </c>
      <c r="J70" s="7">
        <v>28.33</v>
      </c>
      <c r="K70" s="7">
        <f t="shared" si="13"/>
        <v>20.833333333333332</v>
      </c>
      <c r="L70" s="6">
        <f t="shared" si="8"/>
        <v>2.5</v>
      </c>
      <c r="M70" s="6">
        <f t="shared" si="9"/>
        <v>2.5</v>
      </c>
      <c r="N70" s="6">
        <f t="shared" si="10"/>
        <v>41.666666666666664</v>
      </c>
      <c r="O70" s="6">
        <f t="shared" si="11"/>
        <v>55.75</v>
      </c>
      <c r="P70" s="6">
        <f t="shared" si="14"/>
        <v>693.24666666666667</v>
      </c>
    </row>
    <row r="71" spans="1:16" x14ac:dyDescent="0.25">
      <c r="A71" s="5">
        <v>57</v>
      </c>
      <c r="B71" s="5" t="s">
        <v>63</v>
      </c>
      <c r="C71" s="5" t="s">
        <v>4</v>
      </c>
      <c r="D71" s="69">
        <v>340</v>
      </c>
      <c r="E71" s="69"/>
      <c r="F71" s="69">
        <v>22.67</v>
      </c>
      <c r="G71" s="9">
        <v>64.75</v>
      </c>
      <c r="H71" s="9">
        <f t="shared" si="15"/>
        <v>427.42</v>
      </c>
      <c r="I71" s="7">
        <f t="shared" si="12"/>
        <v>35.618333333333332</v>
      </c>
      <c r="J71" s="7">
        <v>28.33</v>
      </c>
      <c r="K71" s="7">
        <f t="shared" si="13"/>
        <v>17.809166666666666</v>
      </c>
      <c r="L71" s="6">
        <f t="shared" si="8"/>
        <v>2.1371000000000002</v>
      </c>
      <c r="M71" s="6">
        <f t="shared" si="9"/>
        <v>2.1371000000000002</v>
      </c>
      <c r="N71" s="6">
        <f t="shared" si="10"/>
        <v>35.618333333333332</v>
      </c>
      <c r="O71" s="6">
        <f t="shared" si="11"/>
        <v>47.657330000000002</v>
      </c>
      <c r="P71" s="6">
        <f t="shared" si="14"/>
        <v>596.7273633333333</v>
      </c>
    </row>
    <row r="72" spans="1:16" x14ac:dyDescent="0.25">
      <c r="A72" s="5">
        <v>58</v>
      </c>
      <c r="B72" s="5" t="s">
        <v>64</v>
      </c>
      <c r="C72" s="5" t="s">
        <v>4</v>
      </c>
      <c r="D72" s="69">
        <v>340</v>
      </c>
      <c r="E72" s="69"/>
      <c r="F72" s="69">
        <v>164.34</v>
      </c>
      <c r="G72" s="9">
        <v>85.01</v>
      </c>
      <c r="H72" s="9">
        <f t="shared" si="15"/>
        <v>589.35</v>
      </c>
      <c r="I72" s="7">
        <f t="shared" si="12"/>
        <v>49.112500000000004</v>
      </c>
      <c r="J72" s="7">
        <v>28.33</v>
      </c>
      <c r="K72" s="7">
        <f t="shared" si="13"/>
        <v>24.556250000000002</v>
      </c>
      <c r="L72" s="6">
        <f t="shared" si="8"/>
        <v>2.9467500000000002</v>
      </c>
      <c r="M72" s="6">
        <f t="shared" si="9"/>
        <v>2.9467500000000002</v>
      </c>
      <c r="N72" s="6">
        <f t="shared" si="10"/>
        <v>49.112500000000004</v>
      </c>
      <c r="O72" s="6">
        <f t="shared" si="11"/>
        <v>65.712524999999999</v>
      </c>
      <c r="P72" s="6">
        <f t="shared" si="14"/>
        <v>812.06727499999988</v>
      </c>
    </row>
    <row r="73" spans="1:16" x14ac:dyDescent="0.25">
      <c r="A73" s="5">
        <v>59</v>
      </c>
      <c r="B73" s="5" t="s">
        <v>65</v>
      </c>
      <c r="C73" s="5" t="s">
        <v>4</v>
      </c>
      <c r="D73" s="69">
        <v>340</v>
      </c>
      <c r="E73" s="69"/>
      <c r="F73" s="69">
        <v>22.67</v>
      </c>
      <c r="G73" s="9"/>
      <c r="H73" s="9">
        <f t="shared" si="15"/>
        <v>362.67</v>
      </c>
      <c r="I73" s="7">
        <f t="shared" si="12"/>
        <v>30.2225</v>
      </c>
      <c r="J73" s="7">
        <v>28.33</v>
      </c>
      <c r="K73" s="7">
        <f t="shared" si="13"/>
        <v>15.11125</v>
      </c>
      <c r="L73" s="6">
        <f t="shared" si="8"/>
        <v>1.81335</v>
      </c>
      <c r="M73" s="6">
        <f t="shared" si="9"/>
        <v>1.81335</v>
      </c>
      <c r="N73" s="6">
        <f t="shared" si="10"/>
        <v>30.2225</v>
      </c>
      <c r="O73" s="6">
        <f t="shared" si="11"/>
        <v>40.437705000000001</v>
      </c>
      <c r="P73" s="6">
        <f t="shared" si="14"/>
        <v>510.62065500000006</v>
      </c>
    </row>
    <row r="74" spans="1:16" x14ac:dyDescent="0.25">
      <c r="A74" s="5">
        <v>60</v>
      </c>
      <c r="B74" s="5" t="s">
        <v>66</v>
      </c>
      <c r="C74" s="5" t="s">
        <v>4</v>
      </c>
      <c r="D74" s="69">
        <v>340</v>
      </c>
      <c r="E74" s="69"/>
      <c r="F74" s="69">
        <v>70.84</v>
      </c>
      <c r="G74" s="9">
        <v>85.01</v>
      </c>
      <c r="H74" s="9">
        <f t="shared" si="15"/>
        <v>495.85</v>
      </c>
      <c r="I74" s="7">
        <f t="shared" si="12"/>
        <v>41.320833333333333</v>
      </c>
      <c r="J74" s="7">
        <v>28.33</v>
      </c>
      <c r="K74" s="7">
        <f t="shared" si="13"/>
        <v>20.660416666666666</v>
      </c>
      <c r="L74" s="6">
        <f t="shared" si="8"/>
        <v>2.47925</v>
      </c>
      <c r="M74" s="6">
        <f t="shared" si="9"/>
        <v>2.47925</v>
      </c>
      <c r="N74" s="6">
        <f t="shared" si="10"/>
        <v>41.320833333333333</v>
      </c>
      <c r="O74" s="6">
        <f t="shared" si="11"/>
        <v>55.287275000000001</v>
      </c>
      <c r="P74" s="6">
        <f t="shared" si="14"/>
        <v>687.72785833333342</v>
      </c>
    </row>
    <row r="75" spans="1:16" x14ac:dyDescent="0.25">
      <c r="A75" s="5">
        <v>61</v>
      </c>
      <c r="B75" s="5" t="s">
        <v>67</v>
      </c>
      <c r="C75" s="5" t="s">
        <v>4</v>
      </c>
      <c r="D75" s="69">
        <v>340</v>
      </c>
      <c r="E75" s="69">
        <v>17</v>
      </c>
      <c r="F75" s="69">
        <v>62.33</v>
      </c>
      <c r="G75" s="9">
        <v>39.53</v>
      </c>
      <c r="H75" s="9">
        <f t="shared" si="15"/>
        <v>458.86</v>
      </c>
      <c r="I75" s="7">
        <f t="shared" si="12"/>
        <v>38.238333333333337</v>
      </c>
      <c r="J75" s="7">
        <v>28.33</v>
      </c>
      <c r="K75" s="7">
        <f t="shared" si="13"/>
        <v>19.119166666666668</v>
      </c>
      <c r="L75" s="6">
        <f t="shared" si="8"/>
        <v>2.2943000000000002</v>
      </c>
      <c r="M75" s="6">
        <f t="shared" si="9"/>
        <v>2.2943000000000002</v>
      </c>
      <c r="N75" s="6">
        <f t="shared" si="10"/>
        <v>38.238333333333337</v>
      </c>
      <c r="O75" s="6">
        <f t="shared" si="11"/>
        <v>51.162890000000004</v>
      </c>
      <c r="P75" s="6">
        <f t="shared" si="14"/>
        <v>638.53732333333346</v>
      </c>
    </row>
    <row r="76" spans="1:16" x14ac:dyDescent="0.25">
      <c r="A76" s="5">
        <v>62</v>
      </c>
      <c r="B76" s="5" t="s">
        <v>68</v>
      </c>
      <c r="C76" s="5" t="s">
        <v>4</v>
      </c>
      <c r="D76" s="69">
        <v>340</v>
      </c>
      <c r="E76" s="69"/>
      <c r="F76" s="69">
        <v>22.67</v>
      </c>
      <c r="G76" s="9">
        <v>64.75</v>
      </c>
      <c r="H76" s="9">
        <f t="shared" si="15"/>
        <v>427.42</v>
      </c>
      <c r="I76" s="7">
        <f t="shared" si="12"/>
        <v>35.618333333333332</v>
      </c>
      <c r="J76" s="7">
        <v>28.33</v>
      </c>
      <c r="K76" s="7">
        <f t="shared" si="13"/>
        <v>17.809166666666666</v>
      </c>
      <c r="L76" s="6">
        <f t="shared" si="8"/>
        <v>2.1371000000000002</v>
      </c>
      <c r="M76" s="6">
        <f t="shared" si="9"/>
        <v>2.1371000000000002</v>
      </c>
      <c r="N76" s="6">
        <f t="shared" si="10"/>
        <v>35.618333333333332</v>
      </c>
      <c r="O76" s="6">
        <f t="shared" si="11"/>
        <v>47.657330000000002</v>
      </c>
      <c r="P76" s="6">
        <f t="shared" si="14"/>
        <v>596.7273633333333</v>
      </c>
    </row>
    <row r="77" spans="1:16" x14ac:dyDescent="0.25">
      <c r="A77" s="5">
        <v>63</v>
      </c>
      <c r="B77" s="5" t="s">
        <v>69</v>
      </c>
      <c r="C77" s="5" t="s">
        <v>4</v>
      </c>
      <c r="D77" s="69">
        <v>340</v>
      </c>
      <c r="E77" s="69"/>
      <c r="F77" s="69">
        <v>22.67</v>
      </c>
      <c r="G77" s="9">
        <v>122.3</v>
      </c>
      <c r="H77" s="9">
        <f t="shared" si="15"/>
        <v>484.97</v>
      </c>
      <c r="I77" s="7">
        <f t="shared" si="12"/>
        <v>40.414166666666667</v>
      </c>
      <c r="J77" s="7">
        <v>28.33</v>
      </c>
      <c r="K77" s="7">
        <f t="shared" si="13"/>
        <v>20.207083333333333</v>
      </c>
      <c r="L77" s="6">
        <f t="shared" si="8"/>
        <v>2.4248500000000002</v>
      </c>
      <c r="M77" s="6">
        <f t="shared" si="9"/>
        <v>2.4248500000000002</v>
      </c>
      <c r="N77" s="6">
        <f t="shared" si="10"/>
        <v>40.414166666666667</v>
      </c>
      <c r="O77" s="6">
        <f t="shared" si="11"/>
        <v>54.074155000000005</v>
      </c>
      <c r="P77" s="6">
        <f t="shared" si="14"/>
        <v>673.25927166666679</v>
      </c>
    </row>
    <row r="78" spans="1:16" x14ac:dyDescent="0.25">
      <c r="A78" s="5">
        <v>64</v>
      </c>
      <c r="B78" s="5" t="s">
        <v>70</v>
      </c>
      <c r="C78" s="5" t="s">
        <v>14</v>
      </c>
      <c r="D78" s="69">
        <v>512.35</v>
      </c>
      <c r="E78" s="69">
        <v>3.2</v>
      </c>
      <c r="F78" s="69">
        <v>136.63</v>
      </c>
      <c r="G78" s="9">
        <v>54.33</v>
      </c>
      <c r="H78" s="9">
        <f t="shared" si="15"/>
        <v>706.5100000000001</v>
      </c>
      <c r="I78" s="7">
        <f t="shared" si="12"/>
        <v>58.87583333333334</v>
      </c>
      <c r="J78" s="7">
        <v>28.33</v>
      </c>
      <c r="K78" s="7">
        <f t="shared" si="13"/>
        <v>29.43791666666667</v>
      </c>
      <c r="L78" s="6">
        <f t="shared" si="8"/>
        <v>3.5325500000000005</v>
      </c>
      <c r="M78" s="6">
        <f t="shared" si="9"/>
        <v>3.5325500000000005</v>
      </c>
      <c r="N78" s="6">
        <f t="shared" si="10"/>
        <v>58.87583333333334</v>
      </c>
      <c r="O78" s="6">
        <f t="shared" si="11"/>
        <v>78.77586500000001</v>
      </c>
      <c r="P78" s="6">
        <f t="shared" si="14"/>
        <v>967.87054833333355</v>
      </c>
    </row>
    <row r="79" spans="1:16" x14ac:dyDescent="0.25">
      <c r="A79" s="5">
        <v>65</v>
      </c>
      <c r="B79" s="5" t="s">
        <v>71</v>
      </c>
      <c r="C79" s="5" t="s">
        <v>4</v>
      </c>
      <c r="D79" s="69">
        <v>340</v>
      </c>
      <c r="E79" s="69"/>
      <c r="F79" s="69">
        <v>133.16999999999999</v>
      </c>
      <c r="G79" s="9">
        <v>31.88</v>
      </c>
      <c r="H79" s="9">
        <f t="shared" si="15"/>
        <v>505.04999999999995</v>
      </c>
      <c r="I79" s="7">
        <f t="shared" si="12"/>
        <v>42.087499999999999</v>
      </c>
      <c r="J79" s="7">
        <v>28.33</v>
      </c>
      <c r="K79" s="7">
        <f t="shared" si="13"/>
        <v>21.043749999999999</v>
      </c>
      <c r="L79" s="6">
        <f t="shared" si="8"/>
        <v>2.5252499999999998</v>
      </c>
      <c r="M79" s="6">
        <f t="shared" si="9"/>
        <v>2.5252499999999998</v>
      </c>
      <c r="N79" s="6">
        <f t="shared" si="10"/>
        <v>42.087499999999999</v>
      </c>
      <c r="O79" s="6">
        <f t="shared" si="11"/>
        <v>56.313074999999998</v>
      </c>
      <c r="P79" s="6">
        <f t="shared" si="14"/>
        <v>699.96232500000008</v>
      </c>
    </row>
    <row r="80" spans="1:16" x14ac:dyDescent="0.25">
      <c r="A80" s="5">
        <v>66</v>
      </c>
      <c r="B80" s="5" t="s">
        <v>72</v>
      </c>
      <c r="C80" s="5" t="s">
        <v>14</v>
      </c>
      <c r="D80" s="69">
        <v>512.35</v>
      </c>
      <c r="E80" s="69"/>
      <c r="F80" s="69">
        <v>123.82</v>
      </c>
      <c r="G80" s="9">
        <v>183.21</v>
      </c>
      <c r="H80" s="9">
        <f t="shared" si="15"/>
        <v>819.38000000000011</v>
      </c>
      <c r="I80" s="7">
        <f t="shared" si="12"/>
        <v>68.28166666666668</v>
      </c>
      <c r="J80" s="7">
        <v>28.33</v>
      </c>
      <c r="K80" s="7">
        <f t="shared" si="13"/>
        <v>34.14083333333334</v>
      </c>
      <c r="L80" s="6">
        <f t="shared" si="8"/>
        <v>4.0969000000000007</v>
      </c>
      <c r="M80" s="6">
        <f t="shared" si="9"/>
        <v>4.0969000000000007</v>
      </c>
      <c r="N80" s="6">
        <f t="shared" si="10"/>
        <v>68.28166666666668</v>
      </c>
      <c r="O80" s="6">
        <f t="shared" si="11"/>
        <v>91.36087000000002</v>
      </c>
      <c r="P80" s="6">
        <f t="shared" si="14"/>
        <v>1117.9688366666669</v>
      </c>
    </row>
    <row r="81" spans="1:16" x14ac:dyDescent="0.25">
      <c r="A81" s="5">
        <v>67</v>
      </c>
      <c r="B81" s="5" t="s">
        <v>73</v>
      </c>
      <c r="C81" s="5" t="s">
        <v>4</v>
      </c>
      <c r="D81" s="69">
        <v>340</v>
      </c>
      <c r="E81" s="69"/>
      <c r="F81" s="69">
        <v>59.5</v>
      </c>
      <c r="G81" s="9">
        <v>31.88</v>
      </c>
      <c r="H81" s="9">
        <f t="shared" si="15"/>
        <v>431.38</v>
      </c>
      <c r="I81" s="7">
        <f t="shared" si="12"/>
        <v>35.948333333333331</v>
      </c>
      <c r="J81" s="7">
        <v>28.33</v>
      </c>
      <c r="K81" s="7">
        <f t="shared" si="13"/>
        <v>17.974166666666665</v>
      </c>
      <c r="L81" s="6">
        <f t="shared" si="8"/>
        <v>2.1568999999999998</v>
      </c>
      <c r="M81" s="6">
        <f t="shared" si="9"/>
        <v>2.1568999999999998</v>
      </c>
      <c r="N81" s="6">
        <f t="shared" si="10"/>
        <v>35.948333333333331</v>
      </c>
      <c r="O81" s="6">
        <f t="shared" si="11"/>
        <v>48.098869999999998</v>
      </c>
      <c r="P81" s="6">
        <f t="shared" si="14"/>
        <v>601.99350333333325</v>
      </c>
    </row>
    <row r="82" spans="1:16" x14ac:dyDescent="0.25">
      <c r="A82" s="5">
        <v>68</v>
      </c>
      <c r="B82" s="5" t="s">
        <v>74</v>
      </c>
      <c r="C82" s="5" t="s">
        <v>14</v>
      </c>
      <c r="D82" s="69">
        <v>512.35</v>
      </c>
      <c r="E82" s="69"/>
      <c r="F82" s="69">
        <v>324.49</v>
      </c>
      <c r="G82" s="9">
        <v>128.08000000000001</v>
      </c>
      <c r="H82" s="9">
        <f t="shared" si="15"/>
        <v>964.92000000000007</v>
      </c>
      <c r="I82" s="7">
        <f t="shared" si="12"/>
        <v>80.410000000000011</v>
      </c>
      <c r="J82" s="7">
        <v>28.33</v>
      </c>
      <c r="K82" s="7">
        <f t="shared" si="13"/>
        <v>40.205000000000005</v>
      </c>
      <c r="L82" s="6">
        <f t="shared" si="8"/>
        <v>4.8246000000000002</v>
      </c>
      <c r="M82" s="6">
        <f t="shared" si="9"/>
        <v>4.8246000000000002</v>
      </c>
      <c r="N82" s="6">
        <f t="shared" si="10"/>
        <v>80.410000000000011</v>
      </c>
      <c r="O82" s="6">
        <f t="shared" si="11"/>
        <v>107.58858000000001</v>
      </c>
      <c r="P82" s="6">
        <f t="shared" si="14"/>
        <v>1311.51278</v>
      </c>
    </row>
    <row r="83" spans="1:16" x14ac:dyDescent="0.25">
      <c r="A83" s="5">
        <v>69</v>
      </c>
      <c r="B83" s="5" t="s">
        <v>75</v>
      </c>
      <c r="C83" s="5" t="s">
        <v>4</v>
      </c>
      <c r="D83" s="69">
        <v>340</v>
      </c>
      <c r="E83" s="69"/>
      <c r="F83" s="69">
        <v>45.33</v>
      </c>
      <c r="G83" s="9">
        <v>31.88</v>
      </c>
      <c r="H83" s="9">
        <f t="shared" si="15"/>
        <v>417.21</v>
      </c>
      <c r="I83" s="7">
        <f t="shared" si="12"/>
        <v>34.767499999999998</v>
      </c>
      <c r="J83" s="7">
        <v>28.33</v>
      </c>
      <c r="K83" s="7">
        <f t="shared" si="13"/>
        <v>17.383749999999999</v>
      </c>
      <c r="L83" s="6">
        <f t="shared" si="8"/>
        <v>2.0860499999999997</v>
      </c>
      <c r="M83" s="6">
        <f t="shared" si="9"/>
        <v>2.0860499999999997</v>
      </c>
      <c r="N83" s="6">
        <f t="shared" si="10"/>
        <v>34.767499999999998</v>
      </c>
      <c r="O83" s="6">
        <f t="shared" si="11"/>
        <v>46.518915</v>
      </c>
      <c r="P83" s="6">
        <f t="shared" si="14"/>
        <v>583.149765</v>
      </c>
    </row>
    <row r="84" spans="1:16" x14ac:dyDescent="0.25">
      <c r="A84" s="5">
        <v>70</v>
      </c>
      <c r="B84" s="5" t="s">
        <v>76</v>
      </c>
      <c r="C84" s="5" t="s">
        <v>4</v>
      </c>
      <c r="D84" s="69">
        <v>340</v>
      </c>
      <c r="E84" s="69"/>
      <c r="F84" s="69">
        <v>28.33</v>
      </c>
      <c r="G84" s="9">
        <v>122.77</v>
      </c>
      <c r="H84" s="9">
        <f t="shared" si="15"/>
        <v>491.09999999999997</v>
      </c>
      <c r="I84" s="7">
        <f t="shared" si="12"/>
        <v>40.924999999999997</v>
      </c>
      <c r="J84" s="7">
        <v>28.33</v>
      </c>
      <c r="K84" s="7">
        <f t="shared" si="13"/>
        <v>20.462499999999999</v>
      </c>
      <c r="L84" s="6">
        <f t="shared" si="8"/>
        <v>2.4554999999999998</v>
      </c>
      <c r="M84" s="6">
        <f t="shared" si="9"/>
        <v>2.4554999999999998</v>
      </c>
      <c r="N84" s="6">
        <f t="shared" si="10"/>
        <v>40.924999999999997</v>
      </c>
      <c r="O84" s="6">
        <f t="shared" si="11"/>
        <v>54.757649999999998</v>
      </c>
      <c r="P84" s="6">
        <f t="shared" si="14"/>
        <v>681.41115000000002</v>
      </c>
    </row>
    <row r="85" spans="1:16" s="73" customFormat="1" x14ac:dyDescent="0.25">
      <c r="A85" s="70"/>
      <c r="B85" s="70" t="s">
        <v>2</v>
      </c>
      <c r="C85" s="70"/>
      <c r="D85" s="71">
        <f t="shared" ref="D85:P85" si="16">SUM(D63:D84)</f>
        <v>8407.0500000000011</v>
      </c>
      <c r="E85" s="71">
        <f>SUM(E63:E84)</f>
        <v>39.33</v>
      </c>
      <c r="F85" s="71">
        <f>SUM(F63:F84)</f>
        <v>1746.6299999999999</v>
      </c>
      <c r="G85" s="71">
        <f>SUM(G63:G84)</f>
        <v>1342.5900000000001</v>
      </c>
      <c r="H85" s="72">
        <f>SUM(H63:H84)</f>
        <v>11535.6</v>
      </c>
      <c r="I85" s="74">
        <f t="shared" si="16"/>
        <v>961.30000000000007</v>
      </c>
      <c r="J85" s="72">
        <f t="shared" si="16"/>
        <v>623.25999999999988</v>
      </c>
      <c r="K85" s="74">
        <f t="shared" si="16"/>
        <v>480.65000000000003</v>
      </c>
      <c r="L85" s="75">
        <f t="shared" si="16"/>
        <v>57.677999999999997</v>
      </c>
      <c r="M85" s="75">
        <f t="shared" si="16"/>
        <v>57.677999999999997</v>
      </c>
      <c r="N85" s="75">
        <f t="shared" si="16"/>
        <v>961.30000000000007</v>
      </c>
      <c r="O85" s="75">
        <f t="shared" si="16"/>
        <v>1286.2194000000004</v>
      </c>
      <c r="P85" s="72">
        <f t="shared" si="16"/>
        <v>15963.685400000004</v>
      </c>
    </row>
    <row r="86" spans="1:16" x14ac:dyDescent="0.25">
      <c r="E86" s="2"/>
      <c r="G86" s="1"/>
      <c r="H86" s="1"/>
    </row>
    <row r="87" spans="1:16" ht="38.25" customHeight="1" x14ac:dyDescent="0.3">
      <c r="B87" s="105" t="s">
        <v>262</v>
      </c>
      <c r="C87" s="106"/>
      <c r="D87" s="106"/>
      <c r="E87" s="106"/>
      <c r="F87" s="106"/>
      <c r="G87" s="106"/>
      <c r="H87" s="106"/>
      <c r="I87" s="106"/>
      <c r="J87" s="106"/>
    </row>
    <row r="88" spans="1:16" x14ac:dyDescent="0.25">
      <c r="B88" s="59"/>
      <c r="C88" s="78"/>
      <c r="D88" s="79"/>
      <c r="E88" s="79"/>
      <c r="F88" s="79"/>
      <c r="G88" s="80"/>
      <c r="H88" s="80"/>
      <c r="I88" s="80"/>
      <c r="J88" s="80"/>
    </row>
    <row r="89" spans="1:16" x14ac:dyDescent="0.25">
      <c r="B89" s="59"/>
      <c r="C89" s="78"/>
      <c r="D89" s="79"/>
      <c r="E89" s="79"/>
      <c r="F89" s="79"/>
      <c r="G89" s="80"/>
      <c r="H89" s="80"/>
      <c r="I89" s="80"/>
      <c r="J89" s="80"/>
    </row>
    <row r="90" spans="1:16" ht="15.75" thickBot="1" x14ac:dyDescent="0.3">
      <c r="B90" s="64"/>
      <c r="C90" s="78"/>
      <c r="D90" s="79"/>
      <c r="E90" s="79"/>
      <c r="F90" s="79"/>
      <c r="G90" s="80"/>
      <c r="H90" s="80"/>
      <c r="I90" s="80"/>
      <c r="J90" s="80"/>
    </row>
    <row r="91" spans="1:16" x14ac:dyDescent="0.25">
      <c r="B91" s="63" t="s">
        <v>245</v>
      </c>
      <c r="C91" s="78"/>
      <c r="D91" s="79"/>
      <c r="E91" s="79"/>
      <c r="F91" s="79"/>
      <c r="G91" s="80"/>
      <c r="H91" s="80"/>
      <c r="I91" s="80"/>
      <c r="J91" s="80"/>
    </row>
    <row r="92" spans="1:16" x14ac:dyDescent="0.25">
      <c r="B92" s="63" t="s">
        <v>246</v>
      </c>
      <c r="C92" s="78"/>
      <c r="D92" s="79"/>
      <c r="E92" s="79"/>
      <c r="F92" s="79"/>
      <c r="G92" s="80"/>
      <c r="H92" s="80"/>
      <c r="I92" s="80"/>
      <c r="J92" s="80"/>
    </row>
    <row r="93" spans="1:16" ht="16.5" thickBot="1" x14ac:dyDescent="0.3">
      <c r="A93" s="81" t="s">
        <v>260</v>
      </c>
      <c r="C93" s="78"/>
      <c r="D93" s="79"/>
      <c r="E93" s="79"/>
      <c r="F93" s="79"/>
      <c r="G93" s="80"/>
      <c r="H93" s="80"/>
      <c r="I93" s="80"/>
      <c r="J93" s="80"/>
    </row>
    <row r="94" spans="1:16" s="68" customFormat="1" ht="45" customHeight="1" x14ac:dyDescent="0.2">
      <c r="A94" s="101" t="s">
        <v>226</v>
      </c>
      <c r="B94" s="89" t="s">
        <v>249</v>
      </c>
      <c r="C94" s="107" t="s">
        <v>1</v>
      </c>
      <c r="D94" s="109" t="s">
        <v>208</v>
      </c>
      <c r="E94" s="109" t="s">
        <v>247</v>
      </c>
      <c r="F94" s="109" t="s">
        <v>207</v>
      </c>
      <c r="G94" s="99" t="s">
        <v>261</v>
      </c>
      <c r="H94" s="107" t="s">
        <v>198</v>
      </c>
      <c r="I94" s="83" t="s">
        <v>252</v>
      </c>
      <c r="J94" s="29" t="s">
        <v>253</v>
      </c>
      <c r="K94" s="97" t="s">
        <v>200</v>
      </c>
      <c r="L94" s="83" t="s">
        <v>201</v>
      </c>
      <c r="M94" s="95" t="s">
        <v>202</v>
      </c>
      <c r="N94" s="66" t="s">
        <v>203</v>
      </c>
      <c r="O94" s="67" t="s">
        <v>204</v>
      </c>
      <c r="P94" s="95" t="s">
        <v>248</v>
      </c>
    </row>
    <row r="95" spans="1:16" s="68" customFormat="1" ht="45" customHeight="1" thickBot="1" x14ac:dyDescent="0.25">
      <c r="A95" s="102"/>
      <c r="B95" s="90"/>
      <c r="C95" s="108"/>
      <c r="D95" s="110"/>
      <c r="E95" s="110"/>
      <c r="F95" s="110"/>
      <c r="G95" s="100"/>
      <c r="H95" s="108"/>
      <c r="I95" s="84"/>
      <c r="J95" s="33">
        <f>340/12</f>
        <v>28.333333333333332</v>
      </c>
      <c r="K95" s="98"/>
      <c r="L95" s="84"/>
      <c r="M95" s="96"/>
      <c r="N95" s="34">
        <v>8.3299999999999999E-2</v>
      </c>
      <c r="O95" s="35">
        <v>0.1115</v>
      </c>
      <c r="P95" s="96"/>
    </row>
    <row r="96" spans="1:16" x14ac:dyDescent="0.25">
      <c r="A96" s="5">
        <v>71</v>
      </c>
      <c r="B96" s="5" t="s">
        <v>77</v>
      </c>
      <c r="C96" s="5" t="s">
        <v>4</v>
      </c>
      <c r="D96" s="69">
        <v>340</v>
      </c>
      <c r="E96" s="69"/>
      <c r="F96" s="69">
        <v>113.34</v>
      </c>
      <c r="G96" s="9"/>
      <c r="H96" s="9">
        <f>D96+E96+F96+G96</f>
        <v>453.34000000000003</v>
      </c>
      <c r="I96" s="7">
        <f>(H96)/12</f>
        <v>37.778333333333336</v>
      </c>
      <c r="J96" s="7">
        <v>28.33</v>
      </c>
      <c r="K96" s="7">
        <f>(H96)/24</f>
        <v>18.889166666666668</v>
      </c>
      <c r="L96" s="6">
        <f t="shared" ref="L96:L127" si="17">(E96+F96+G96+H96)*0.005</f>
        <v>2.8334000000000006</v>
      </c>
      <c r="M96" s="6">
        <f t="shared" ref="M96:M127" si="18">(E96+F96+G96+H96)*0.005</f>
        <v>2.8334000000000006</v>
      </c>
      <c r="N96" s="6">
        <f t="shared" ref="N96:N127" si="19">(E96+F96+G96+H96)/12</f>
        <v>47.223333333333336</v>
      </c>
      <c r="O96" s="6">
        <f t="shared" ref="O96:O127" si="20">(E96+F96+G96+H96)*0.1115</f>
        <v>63.184820000000009</v>
      </c>
      <c r="P96" s="6">
        <f>H96+I96+J96+K96+L96+M96+N96+O96</f>
        <v>654.41245333333347</v>
      </c>
    </row>
    <row r="97" spans="1:16" x14ac:dyDescent="0.25">
      <c r="A97" s="5">
        <v>72</v>
      </c>
      <c r="B97" s="5" t="s">
        <v>78</v>
      </c>
      <c r="C97" s="5" t="s">
        <v>4</v>
      </c>
      <c r="D97" s="69">
        <v>340</v>
      </c>
      <c r="E97" s="69"/>
      <c r="F97" s="69">
        <v>158.66999999999999</v>
      </c>
      <c r="G97" s="9">
        <v>39.65</v>
      </c>
      <c r="H97" s="9">
        <f t="shared" ref="H97:H160" si="21">D97+E97+F97+G97</f>
        <v>538.31999999999994</v>
      </c>
      <c r="I97" s="7">
        <f t="shared" ref="I97:I160" si="22">(H97)/12</f>
        <v>44.859999999999992</v>
      </c>
      <c r="J97" s="7">
        <v>28.33</v>
      </c>
      <c r="K97" s="7">
        <f t="shared" ref="K97:K160" si="23">(H97)/24</f>
        <v>22.429999999999996</v>
      </c>
      <c r="L97" s="6">
        <f t="shared" si="17"/>
        <v>3.6831999999999994</v>
      </c>
      <c r="M97" s="6">
        <f t="shared" si="18"/>
        <v>3.6831999999999994</v>
      </c>
      <c r="N97" s="6">
        <f t="shared" si="19"/>
        <v>61.386666666666656</v>
      </c>
      <c r="O97" s="6">
        <f t="shared" si="20"/>
        <v>82.135359999999991</v>
      </c>
      <c r="P97" s="6">
        <f t="shared" ref="P97:P160" si="24">H97+I97+J97+K97+L97+M97+N97+O97</f>
        <v>784.82842666666659</v>
      </c>
    </row>
    <row r="98" spans="1:16" x14ac:dyDescent="0.25">
      <c r="A98" s="5">
        <v>73</v>
      </c>
      <c r="B98" s="5" t="s">
        <v>79</v>
      </c>
      <c r="C98" s="5" t="s">
        <v>4</v>
      </c>
      <c r="D98" s="69">
        <v>340</v>
      </c>
      <c r="E98" s="69"/>
      <c r="F98" s="69">
        <v>172.84</v>
      </c>
      <c r="G98" s="9">
        <v>134.81</v>
      </c>
      <c r="H98" s="9">
        <f t="shared" si="21"/>
        <v>647.65000000000009</v>
      </c>
      <c r="I98" s="7">
        <f t="shared" si="22"/>
        <v>53.970833333333339</v>
      </c>
      <c r="J98" s="7">
        <v>28.33</v>
      </c>
      <c r="K98" s="7">
        <f t="shared" si="23"/>
        <v>26.985416666666669</v>
      </c>
      <c r="L98" s="6">
        <f t="shared" si="17"/>
        <v>4.7765000000000004</v>
      </c>
      <c r="M98" s="6">
        <f t="shared" si="18"/>
        <v>4.7765000000000004</v>
      </c>
      <c r="N98" s="6">
        <f t="shared" si="19"/>
        <v>79.608333333333334</v>
      </c>
      <c r="O98" s="6">
        <f t="shared" si="20"/>
        <v>106.51595</v>
      </c>
      <c r="P98" s="6">
        <f t="shared" si="24"/>
        <v>952.61353333333352</v>
      </c>
    </row>
    <row r="99" spans="1:16" x14ac:dyDescent="0.25">
      <c r="A99" s="5">
        <v>74</v>
      </c>
      <c r="B99" s="5" t="s">
        <v>80</v>
      </c>
      <c r="C99" s="5" t="s">
        <v>4</v>
      </c>
      <c r="D99" s="69">
        <v>340</v>
      </c>
      <c r="E99" s="69"/>
      <c r="F99" s="69">
        <v>93.5</v>
      </c>
      <c r="G99" s="9">
        <v>31.88</v>
      </c>
      <c r="H99" s="9">
        <f t="shared" si="21"/>
        <v>465.38</v>
      </c>
      <c r="I99" s="7">
        <f t="shared" si="22"/>
        <v>38.781666666666666</v>
      </c>
      <c r="J99" s="7">
        <v>28.33</v>
      </c>
      <c r="K99" s="7">
        <f t="shared" si="23"/>
        <v>19.390833333333333</v>
      </c>
      <c r="L99" s="6">
        <f t="shared" si="17"/>
        <v>2.9538000000000002</v>
      </c>
      <c r="M99" s="6">
        <f t="shared" si="18"/>
        <v>2.9538000000000002</v>
      </c>
      <c r="N99" s="6">
        <f t="shared" si="19"/>
        <v>49.23</v>
      </c>
      <c r="O99" s="6">
        <f t="shared" si="20"/>
        <v>65.869739999999993</v>
      </c>
      <c r="P99" s="6">
        <f t="shared" si="24"/>
        <v>672.88984000000005</v>
      </c>
    </row>
    <row r="100" spans="1:16" x14ac:dyDescent="0.25">
      <c r="A100" s="5">
        <v>75</v>
      </c>
      <c r="B100" s="5" t="s">
        <v>81</v>
      </c>
      <c r="C100" s="5" t="s">
        <v>4</v>
      </c>
      <c r="D100" s="69">
        <v>340</v>
      </c>
      <c r="E100" s="69">
        <v>17</v>
      </c>
      <c r="F100" s="69">
        <v>22.67</v>
      </c>
      <c r="G100" s="9">
        <v>29.74</v>
      </c>
      <c r="H100" s="9">
        <f t="shared" si="21"/>
        <v>409.41</v>
      </c>
      <c r="I100" s="7">
        <f t="shared" si="22"/>
        <v>34.1175</v>
      </c>
      <c r="J100" s="7">
        <v>28.33</v>
      </c>
      <c r="K100" s="7">
        <f t="shared" si="23"/>
        <v>17.05875</v>
      </c>
      <c r="L100" s="6">
        <f t="shared" si="17"/>
        <v>2.3941000000000003</v>
      </c>
      <c r="M100" s="6">
        <f t="shared" si="18"/>
        <v>2.3941000000000003</v>
      </c>
      <c r="N100" s="6">
        <f t="shared" si="19"/>
        <v>39.901666666666671</v>
      </c>
      <c r="O100" s="6">
        <f t="shared" si="20"/>
        <v>53.388430000000007</v>
      </c>
      <c r="P100" s="6">
        <f t="shared" si="24"/>
        <v>586.99454666666657</v>
      </c>
    </row>
    <row r="101" spans="1:16" x14ac:dyDescent="0.25">
      <c r="A101" s="5">
        <v>76</v>
      </c>
      <c r="B101" s="5" t="s">
        <v>82</v>
      </c>
      <c r="C101" s="5" t="s">
        <v>4</v>
      </c>
      <c r="D101" s="69">
        <v>340</v>
      </c>
      <c r="E101" s="69"/>
      <c r="F101" s="69">
        <v>90.67</v>
      </c>
      <c r="G101" s="9"/>
      <c r="H101" s="9">
        <f t="shared" si="21"/>
        <v>430.67</v>
      </c>
      <c r="I101" s="7">
        <f t="shared" si="22"/>
        <v>35.889166666666668</v>
      </c>
      <c r="J101" s="7">
        <v>28.33</v>
      </c>
      <c r="K101" s="7">
        <f t="shared" si="23"/>
        <v>17.944583333333334</v>
      </c>
      <c r="L101" s="6">
        <f t="shared" si="17"/>
        <v>2.6067</v>
      </c>
      <c r="M101" s="6">
        <f t="shared" si="18"/>
        <v>2.6067</v>
      </c>
      <c r="N101" s="6">
        <f t="shared" si="19"/>
        <v>43.445</v>
      </c>
      <c r="O101" s="6">
        <f t="shared" si="20"/>
        <v>58.129410000000007</v>
      </c>
      <c r="P101" s="6">
        <f t="shared" si="24"/>
        <v>619.62156000000016</v>
      </c>
    </row>
    <row r="102" spans="1:16" x14ac:dyDescent="0.25">
      <c r="A102" s="5">
        <v>77</v>
      </c>
      <c r="B102" s="5" t="s">
        <v>83</v>
      </c>
      <c r="C102" s="5" t="s">
        <v>4</v>
      </c>
      <c r="D102" s="69">
        <v>340</v>
      </c>
      <c r="E102" s="69">
        <v>21.25</v>
      </c>
      <c r="F102" s="69">
        <v>36.83</v>
      </c>
      <c r="G102" s="9">
        <v>33.159999999999997</v>
      </c>
      <c r="H102" s="9">
        <f t="shared" si="21"/>
        <v>431.24</v>
      </c>
      <c r="I102" s="7">
        <f t="shared" si="22"/>
        <v>35.936666666666667</v>
      </c>
      <c r="J102" s="7">
        <v>28.33</v>
      </c>
      <c r="K102" s="7">
        <f t="shared" si="23"/>
        <v>17.968333333333334</v>
      </c>
      <c r="L102" s="6">
        <f t="shared" si="17"/>
        <v>2.6124000000000001</v>
      </c>
      <c r="M102" s="6">
        <f t="shared" si="18"/>
        <v>2.6124000000000001</v>
      </c>
      <c r="N102" s="6">
        <f t="shared" si="19"/>
        <v>43.54</v>
      </c>
      <c r="O102" s="6">
        <f t="shared" si="20"/>
        <v>58.256520000000002</v>
      </c>
      <c r="P102" s="6">
        <f t="shared" si="24"/>
        <v>620.49631999999997</v>
      </c>
    </row>
    <row r="103" spans="1:16" x14ac:dyDescent="0.25">
      <c r="A103" s="5">
        <v>78</v>
      </c>
      <c r="B103" s="5" t="s">
        <v>84</v>
      </c>
      <c r="C103" s="5" t="s">
        <v>4</v>
      </c>
      <c r="D103" s="69">
        <v>340</v>
      </c>
      <c r="E103" s="69">
        <v>8.5</v>
      </c>
      <c r="F103" s="69">
        <v>104.84</v>
      </c>
      <c r="G103" s="9">
        <v>41.79</v>
      </c>
      <c r="H103" s="9">
        <f t="shared" si="21"/>
        <v>495.13000000000005</v>
      </c>
      <c r="I103" s="7">
        <f t="shared" si="22"/>
        <v>41.260833333333338</v>
      </c>
      <c r="J103" s="7">
        <v>28.33</v>
      </c>
      <c r="K103" s="7">
        <f t="shared" si="23"/>
        <v>20.630416666666669</v>
      </c>
      <c r="L103" s="6">
        <f t="shared" si="17"/>
        <v>3.2513000000000001</v>
      </c>
      <c r="M103" s="6">
        <f t="shared" si="18"/>
        <v>3.2513000000000001</v>
      </c>
      <c r="N103" s="6">
        <f t="shared" si="19"/>
        <v>54.188333333333333</v>
      </c>
      <c r="O103" s="6">
        <f t="shared" si="20"/>
        <v>72.503990000000002</v>
      </c>
      <c r="P103" s="6">
        <f t="shared" si="24"/>
        <v>718.54617333333351</v>
      </c>
    </row>
    <row r="104" spans="1:16" x14ac:dyDescent="0.25">
      <c r="A104" s="5">
        <v>79</v>
      </c>
      <c r="B104" s="5" t="s">
        <v>85</v>
      </c>
      <c r="C104" s="5" t="s">
        <v>4</v>
      </c>
      <c r="D104" s="69">
        <v>340</v>
      </c>
      <c r="E104" s="69"/>
      <c r="F104" s="69">
        <v>121.84</v>
      </c>
      <c r="G104" s="9">
        <v>85.01</v>
      </c>
      <c r="H104" s="9">
        <f t="shared" si="21"/>
        <v>546.85</v>
      </c>
      <c r="I104" s="7">
        <f t="shared" si="22"/>
        <v>45.570833333333333</v>
      </c>
      <c r="J104" s="7">
        <v>28.33</v>
      </c>
      <c r="K104" s="7">
        <f t="shared" si="23"/>
        <v>22.785416666666666</v>
      </c>
      <c r="L104" s="6">
        <f t="shared" si="17"/>
        <v>3.7685000000000004</v>
      </c>
      <c r="M104" s="6">
        <f t="shared" si="18"/>
        <v>3.7685000000000004</v>
      </c>
      <c r="N104" s="6">
        <f t="shared" si="19"/>
        <v>62.808333333333337</v>
      </c>
      <c r="O104" s="6">
        <f t="shared" si="20"/>
        <v>84.03755000000001</v>
      </c>
      <c r="P104" s="6">
        <f t="shared" si="24"/>
        <v>797.91913333333355</v>
      </c>
    </row>
    <row r="105" spans="1:16" x14ac:dyDescent="0.25">
      <c r="A105" s="5">
        <v>80</v>
      </c>
      <c r="B105" s="5" t="s">
        <v>86</v>
      </c>
      <c r="C105" s="5" t="s">
        <v>4</v>
      </c>
      <c r="D105" s="69">
        <v>340</v>
      </c>
      <c r="E105" s="69">
        <v>6.38</v>
      </c>
      <c r="F105" s="69">
        <v>153</v>
      </c>
      <c r="G105" s="9"/>
      <c r="H105" s="9">
        <f t="shared" si="21"/>
        <v>499.38</v>
      </c>
      <c r="I105" s="7">
        <f t="shared" si="22"/>
        <v>41.615000000000002</v>
      </c>
      <c r="J105" s="7">
        <v>28.33</v>
      </c>
      <c r="K105" s="7">
        <f t="shared" si="23"/>
        <v>20.807500000000001</v>
      </c>
      <c r="L105" s="6">
        <f t="shared" si="17"/>
        <v>3.2938000000000001</v>
      </c>
      <c r="M105" s="6">
        <f t="shared" si="18"/>
        <v>3.2938000000000001</v>
      </c>
      <c r="N105" s="6">
        <f t="shared" si="19"/>
        <v>54.896666666666668</v>
      </c>
      <c r="O105" s="6">
        <f t="shared" si="20"/>
        <v>73.451740000000001</v>
      </c>
      <c r="P105" s="6">
        <f t="shared" si="24"/>
        <v>725.06850666666674</v>
      </c>
    </row>
    <row r="106" spans="1:16" x14ac:dyDescent="0.25">
      <c r="A106" s="5">
        <v>81</v>
      </c>
      <c r="B106" s="5" t="s">
        <v>87</v>
      </c>
      <c r="C106" s="5" t="s">
        <v>4</v>
      </c>
      <c r="D106" s="69">
        <v>340</v>
      </c>
      <c r="E106" s="69">
        <v>8.5</v>
      </c>
      <c r="F106" s="69">
        <v>62.33</v>
      </c>
      <c r="G106" s="9">
        <v>26.67</v>
      </c>
      <c r="H106" s="9">
        <f t="shared" si="21"/>
        <v>437.5</v>
      </c>
      <c r="I106" s="7">
        <f t="shared" si="22"/>
        <v>36.458333333333336</v>
      </c>
      <c r="J106" s="7">
        <v>28.33</v>
      </c>
      <c r="K106" s="7">
        <f t="shared" si="23"/>
        <v>18.229166666666668</v>
      </c>
      <c r="L106" s="6">
        <f t="shared" si="17"/>
        <v>2.6750000000000003</v>
      </c>
      <c r="M106" s="6">
        <f t="shared" si="18"/>
        <v>2.6750000000000003</v>
      </c>
      <c r="N106" s="6">
        <f t="shared" si="19"/>
        <v>44.583333333333336</v>
      </c>
      <c r="O106" s="6">
        <f t="shared" si="20"/>
        <v>59.652500000000003</v>
      </c>
      <c r="P106" s="6">
        <f t="shared" si="24"/>
        <v>630.10333333333324</v>
      </c>
    </row>
    <row r="107" spans="1:16" x14ac:dyDescent="0.25">
      <c r="A107" s="5">
        <v>82</v>
      </c>
      <c r="B107" s="5" t="s">
        <v>88</v>
      </c>
      <c r="C107" s="5" t="s">
        <v>14</v>
      </c>
      <c r="D107" s="69">
        <v>512.35</v>
      </c>
      <c r="E107" s="69"/>
      <c r="F107" s="69">
        <v>38.43</v>
      </c>
      <c r="G107" s="9">
        <v>184.63</v>
      </c>
      <c r="H107" s="9">
        <f t="shared" si="21"/>
        <v>735.41</v>
      </c>
      <c r="I107" s="7">
        <f t="shared" si="22"/>
        <v>61.284166666666664</v>
      </c>
      <c r="J107" s="7">
        <v>28.33</v>
      </c>
      <c r="K107" s="7">
        <f t="shared" si="23"/>
        <v>30.642083333333332</v>
      </c>
      <c r="L107" s="6">
        <f t="shared" si="17"/>
        <v>4.7923499999999999</v>
      </c>
      <c r="M107" s="6">
        <f t="shared" si="18"/>
        <v>4.7923499999999999</v>
      </c>
      <c r="N107" s="6">
        <f t="shared" si="19"/>
        <v>79.872500000000002</v>
      </c>
      <c r="O107" s="6">
        <f t="shared" si="20"/>
        <v>106.869405</v>
      </c>
      <c r="P107" s="6">
        <f t="shared" si="24"/>
        <v>1051.992855</v>
      </c>
    </row>
    <row r="108" spans="1:16" x14ac:dyDescent="0.25">
      <c r="A108" s="5">
        <v>83</v>
      </c>
      <c r="B108" s="5" t="s">
        <v>89</v>
      </c>
      <c r="C108" s="5" t="s">
        <v>4</v>
      </c>
      <c r="D108" s="69">
        <v>340</v>
      </c>
      <c r="E108" s="69">
        <v>38.25</v>
      </c>
      <c r="F108" s="69">
        <v>153</v>
      </c>
      <c r="G108" s="9">
        <v>44.25</v>
      </c>
      <c r="H108" s="9">
        <f t="shared" si="21"/>
        <v>575.5</v>
      </c>
      <c r="I108" s="7">
        <f t="shared" si="22"/>
        <v>47.958333333333336</v>
      </c>
      <c r="J108" s="7">
        <v>28.33</v>
      </c>
      <c r="K108" s="7">
        <f t="shared" si="23"/>
        <v>23.979166666666668</v>
      </c>
      <c r="L108" s="6">
        <f t="shared" si="17"/>
        <v>4.0549999999999997</v>
      </c>
      <c r="M108" s="6">
        <f t="shared" si="18"/>
        <v>4.0549999999999997</v>
      </c>
      <c r="N108" s="6">
        <f t="shared" si="19"/>
        <v>67.583333333333329</v>
      </c>
      <c r="O108" s="6">
        <f t="shared" si="20"/>
        <v>90.426500000000004</v>
      </c>
      <c r="P108" s="6">
        <f t="shared" si="24"/>
        <v>841.88733333333334</v>
      </c>
    </row>
    <row r="109" spans="1:16" x14ac:dyDescent="0.25">
      <c r="A109" s="5">
        <v>84</v>
      </c>
      <c r="B109" s="5" t="s">
        <v>90</v>
      </c>
      <c r="C109" s="5" t="s">
        <v>4</v>
      </c>
      <c r="D109" s="69">
        <v>340</v>
      </c>
      <c r="E109" s="69"/>
      <c r="F109" s="69">
        <v>25.5</v>
      </c>
      <c r="G109" s="9">
        <v>85.01</v>
      </c>
      <c r="H109" s="9">
        <f t="shared" si="21"/>
        <v>450.51</v>
      </c>
      <c r="I109" s="7">
        <f t="shared" si="22"/>
        <v>37.542499999999997</v>
      </c>
      <c r="J109" s="7">
        <v>28.33</v>
      </c>
      <c r="K109" s="7">
        <f t="shared" si="23"/>
        <v>18.771249999999998</v>
      </c>
      <c r="L109" s="6">
        <f t="shared" si="17"/>
        <v>2.8050999999999999</v>
      </c>
      <c r="M109" s="6">
        <f t="shared" si="18"/>
        <v>2.8050999999999999</v>
      </c>
      <c r="N109" s="6">
        <f t="shared" si="19"/>
        <v>46.751666666666665</v>
      </c>
      <c r="O109" s="6">
        <f t="shared" si="20"/>
        <v>62.553730000000002</v>
      </c>
      <c r="P109" s="6">
        <f t="shared" si="24"/>
        <v>650.06934666666677</v>
      </c>
    </row>
    <row r="110" spans="1:16" x14ac:dyDescent="0.25">
      <c r="A110" s="5">
        <v>85</v>
      </c>
      <c r="B110" s="5" t="s">
        <v>91</v>
      </c>
      <c r="C110" s="5" t="s">
        <v>4</v>
      </c>
      <c r="D110" s="69">
        <v>340</v>
      </c>
      <c r="E110" s="69">
        <v>4.25</v>
      </c>
      <c r="F110" s="69">
        <v>153</v>
      </c>
      <c r="G110" s="9">
        <v>41.42</v>
      </c>
      <c r="H110" s="9">
        <f t="shared" si="21"/>
        <v>538.66999999999996</v>
      </c>
      <c r="I110" s="7">
        <f t="shared" si="22"/>
        <v>44.889166666666661</v>
      </c>
      <c r="J110" s="7">
        <v>28.33</v>
      </c>
      <c r="K110" s="7">
        <f t="shared" si="23"/>
        <v>22.44458333333333</v>
      </c>
      <c r="L110" s="6">
        <f t="shared" si="17"/>
        <v>3.6866999999999996</v>
      </c>
      <c r="M110" s="6">
        <f t="shared" si="18"/>
        <v>3.6866999999999996</v>
      </c>
      <c r="N110" s="6">
        <f t="shared" si="19"/>
        <v>61.444999999999993</v>
      </c>
      <c r="O110" s="6">
        <f t="shared" si="20"/>
        <v>82.213409999999996</v>
      </c>
      <c r="P110" s="6">
        <f t="shared" si="24"/>
        <v>785.36555999999985</v>
      </c>
    </row>
    <row r="111" spans="1:16" x14ac:dyDescent="0.25">
      <c r="A111" s="5">
        <v>86</v>
      </c>
      <c r="B111" s="5" t="s">
        <v>92</v>
      </c>
      <c r="C111" s="5" t="s">
        <v>4</v>
      </c>
      <c r="D111" s="69">
        <v>340</v>
      </c>
      <c r="E111" s="69"/>
      <c r="F111" s="69">
        <v>51</v>
      </c>
      <c r="G111" s="9">
        <v>85.01</v>
      </c>
      <c r="H111" s="9">
        <f t="shared" si="21"/>
        <v>476.01</v>
      </c>
      <c r="I111" s="7">
        <f t="shared" si="22"/>
        <v>39.667499999999997</v>
      </c>
      <c r="J111" s="7">
        <v>28.33</v>
      </c>
      <c r="K111" s="7">
        <f t="shared" si="23"/>
        <v>19.833749999999998</v>
      </c>
      <c r="L111" s="6">
        <f t="shared" si="17"/>
        <v>3.0600999999999998</v>
      </c>
      <c r="M111" s="6">
        <f t="shared" si="18"/>
        <v>3.0600999999999998</v>
      </c>
      <c r="N111" s="6">
        <f t="shared" si="19"/>
        <v>51.001666666666665</v>
      </c>
      <c r="O111" s="6">
        <f t="shared" si="20"/>
        <v>68.240229999999997</v>
      </c>
      <c r="P111" s="6">
        <f t="shared" si="24"/>
        <v>689.20334666666679</v>
      </c>
    </row>
    <row r="112" spans="1:16" x14ac:dyDescent="0.25">
      <c r="A112" s="5">
        <v>87</v>
      </c>
      <c r="B112" s="5" t="s">
        <v>93</v>
      </c>
      <c r="C112" s="5" t="s">
        <v>4</v>
      </c>
      <c r="D112" s="69">
        <v>340</v>
      </c>
      <c r="E112" s="69"/>
      <c r="F112" s="69">
        <v>93.5</v>
      </c>
      <c r="G112" s="9">
        <v>85.01</v>
      </c>
      <c r="H112" s="9">
        <f t="shared" si="21"/>
        <v>518.51</v>
      </c>
      <c r="I112" s="7">
        <f t="shared" si="22"/>
        <v>43.209166666666668</v>
      </c>
      <c r="J112" s="7">
        <v>28.33</v>
      </c>
      <c r="K112" s="7">
        <f t="shared" si="23"/>
        <v>21.604583333333334</v>
      </c>
      <c r="L112" s="6">
        <f t="shared" si="17"/>
        <v>3.4851000000000001</v>
      </c>
      <c r="M112" s="6">
        <f t="shared" si="18"/>
        <v>3.4851000000000001</v>
      </c>
      <c r="N112" s="6">
        <f t="shared" si="19"/>
        <v>58.085000000000001</v>
      </c>
      <c r="O112" s="6">
        <f t="shared" si="20"/>
        <v>77.717730000000003</v>
      </c>
      <c r="P112" s="6">
        <f t="shared" si="24"/>
        <v>754.42668000000003</v>
      </c>
    </row>
    <row r="113" spans="1:16" x14ac:dyDescent="0.25">
      <c r="A113" s="5">
        <v>88</v>
      </c>
      <c r="B113" s="5" t="s">
        <v>94</v>
      </c>
      <c r="C113" s="5" t="s">
        <v>4</v>
      </c>
      <c r="D113" s="69">
        <v>340</v>
      </c>
      <c r="E113" s="69"/>
      <c r="F113" s="69">
        <v>104.84</v>
      </c>
      <c r="G113" s="9"/>
      <c r="H113" s="9">
        <f t="shared" si="21"/>
        <v>444.84000000000003</v>
      </c>
      <c r="I113" s="7">
        <f t="shared" si="22"/>
        <v>37.07</v>
      </c>
      <c r="J113" s="7">
        <v>28.33</v>
      </c>
      <c r="K113" s="7">
        <f t="shared" si="23"/>
        <v>18.535</v>
      </c>
      <c r="L113" s="6">
        <f t="shared" si="17"/>
        <v>2.7484000000000002</v>
      </c>
      <c r="M113" s="6">
        <f t="shared" si="18"/>
        <v>2.7484000000000002</v>
      </c>
      <c r="N113" s="6">
        <f t="shared" si="19"/>
        <v>45.806666666666672</v>
      </c>
      <c r="O113" s="6">
        <f t="shared" si="20"/>
        <v>61.289320000000011</v>
      </c>
      <c r="P113" s="6">
        <f t="shared" si="24"/>
        <v>641.36778666666658</v>
      </c>
    </row>
    <row r="114" spans="1:16" x14ac:dyDescent="0.25">
      <c r="A114" s="5">
        <v>89</v>
      </c>
      <c r="B114" s="5" t="s">
        <v>95</v>
      </c>
      <c r="C114" s="5" t="s">
        <v>14</v>
      </c>
      <c r="D114" s="69">
        <v>512.35</v>
      </c>
      <c r="E114" s="69">
        <v>48.03</v>
      </c>
      <c r="F114" s="69">
        <v>128.09</v>
      </c>
      <c r="G114" s="9"/>
      <c r="H114" s="9">
        <f t="shared" si="21"/>
        <v>688.47</v>
      </c>
      <c r="I114" s="7">
        <f t="shared" si="22"/>
        <v>57.372500000000002</v>
      </c>
      <c r="J114" s="7">
        <v>28.33</v>
      </c>
      <c r="K114" s="7">
        <f t="shared" si="23"/>
        <v>28.686250000000001</v>
      </c>
      <c r="L114" s="6">
        <f t="shared" si="17"/>
        <v>4.3229500000000005</v>
      </c>
      <c r="M114" s="6">
        <f t="shared" si="18"/>
        <v>4.3229500000000005</v>
      </c>
      <c r="N114" s="6">
        <f t="shared" si="19"/>
        <v>72.049166666666665</v>
      </c>
      <c r="O114" s="6">
        <f t="shared" si="20"/>
        <v>96.401785000000004</v>
      </c>
      <c r="P114" s="6">
        <f t="shared" si="24"/>
        <v>979.95560166666667</v>
      </c>
    </row>
    <row r="115" spans="1:16" x14ac:dyDescent="0.25">
      <c r="A115" s="5">
        <v>90</v>
      </c>
      <c r="B115" s="5" t="s">
        <v>96</v>
      </c>
      <c r="C115" s="5" t="s">
        <v>4</v>
      </c>
      <c r="D115" s="69">
        <v>340</v>
      </c>
      <c r="E115" s="69">
        <v>10.63</v>
      </c>
      <c r="F115" s="69">
        <v>45.33</v>
      </c>
      <c r="G115" s="9">
        <v>37.590000000000003</v>
      </c>
      <c r="H115" s="9">
        <f t="shared" si="21"/>
        <v>433.54999999999995</v>
      </c>
      <c r="I115" s="7">
        <f t="shared" si="22"/>
        <v>36.129166666666663</v>
      </c>
      <c r="J115" s="7">
        <v>28.33</v>
      </c>
      <c r="K115" s="7">
        <f t="shared" si="23"/>
        <v>18.064583333333331</v>
      </c>
      <c r="L115" s="6">
        <f t="shared" si="17"/>
        <v>2.6354999999999995</v>
      </c>
      <c r="M115" s="6">
        <f t="shared" si="18"/>
        <v>2.6354999999999995</v>
      </c>
      <c r="N115" s="6">
        <f t="shared" si="19"/>
        <v>43.92499999999999</v>
      </c>
      <c r="O115" s="6">
        <f t="shared" si="20"/>
        <v>58.771649999999994</v>
      </c>
      <c r="P115" s="6">
        <f t="shared" si="24"/>
        <v>624.04139999999984</v>
      </c>
    </row>
    <row r="116" spans="1:16" x14ac:dyDescent="0.25">
      <c r="A116" s="5">
        <v>91</v>
      </c>
      <c r="B116" s="5" t="s">
        <v>97</v>
      </c>
      <c r="C116" s="5" t="s">
        <v>4</v>
      </c>
      <c r="D116" s="69">
        <v>340</v>
      </c>
      <c r="E116" s="69"/>
      <c r="F116" s="69">
        <v>68</v>
      </c>
      <c r="G116" s="9">
        <v>68.52</v>
      </c>
      <c r="H116" s="9">
        <f t="shared" si="21"/>
        <v>476.52</v>
      </c>
      <c r="I116" s="7">
        <f t="shared" si="22"/>
        <v>39.71</v>
      </c>
      <c r="J116" s="7">
        <v>28.33</v>
      </c>
      <c r="K116" s="7">
        <f t="shared" si="23"/>
        <v>19.855</v>
      </c>
      <c r="L116" s="6">
        <f t="shared" si="17"/>
        <v>3.0651999999999999</v>
      </c>
      <c r="M116" s="6">
        <f t="shared" si="18"/>
        <v>3.0651999999999999</v>
      </c>
      <c r="N116" s="6">
        <f t="shared" si="19"/>
        <v>51.086666666666666</v>
      </c>
      <c r="O116" s="6">
        <f t="shared" si="20"/>
        <v>68.353960000000001</v>
      </c>
      <c r="P116" s="6">
        <f t="shared" si="24"/>
        <v>689.98602666666682</v>
      </c>
    </row>
    <row r="117" spans="1:16" x14ac:dyDescent="0.25">
      <c r="A117" s="5">
        <v>92</v>
      </c>
      <c r="B117" s="5" t="s">
        <v>98</v>
      </c>
      <c r="C117" s="5" t="s">
        <v>4</v>
      </c>
      <c r="D117" s="69">
        <v>340</v>
      </c>
      <c r="E117" s="69"/>
      <c r="F117" s="69">
        <v>76.5</v>
      </c>
      <c r="G117" s="9">
        <v>85.01</v>
      </c>
      <c r="H117" s="9">
        <f t="shared" si="21"/>
        <v>501.51</v>
      </c>
      <c r="I117" s="7">
        <f t="shared" si="22"/>
        <v>41.792499999999997</v>
      </c>
      <c r="J117" s="7">
        <v>28.33</v>
      </c>
      <c r="K117" s="7">
        <f t="shared" si="23"/>
        <v>20.896249999999998</v>
      </c>
      <c r="L117" s="6">
        <f t="shared" si="17"/>
        <v>3.3151000000000002</v>
      </c>
      <c r="M117" s="6">
        <f t="shared" si="18"/>
        <v>3.3151000000000002</v>
      </c>
      <c r="N117" s="6">
        <f t="shared" si="19"/>
        <v>55.251666666666665</v>
      </c>
      <c r="O117" s="6">
        <f t="shared" si="20"/>
        <v>73.926730000000006</v>
      </c>
      <c r="P117" s="6">
        <f t="shared" si="24"/>
        <v>728.3373466666668</v>
      </c>
    </row>
    <row r="118" spans="1:16" x14ac:dyDescent="0.25">
      <c r="A118" s="5">
        <v>93</v>
      </c>
      <c r="B118" s="5" t="s">
        <v>99</v>
      </c>
      <c r="C118" s="5" t="s">
        <v>4</v>
      </c>
      <c r="D118" s="69">
        <v>340</v>
      </c>
      <c r="E118" s="69">
        <v>14.88</v>
      </c>
      <c r="F118" s="69">
        <v>158.66999999999999</v>
      </c>
      <c r="G118" s="9">
        <v>47.38</v>
      </c>
      <c r="H118" s="9">
        <f t="shared" si="21"/>
        <v>560.92999999999995</v>
      </c>
      <c r="I118" s="7">
        <f t="shared" si="22"/>
        <v>46.744166666666665</v>
      </c>
      <c r="J118" s="7">
        <v>28.33</v>
      </c>
      <c r="K118" s="7">
        <f t="shared" si="23"/>
        <v>23.372083333333332</v>
      </c>
      <c r="L118" s="6">
        <f t="shared" si="17"/>
        <v>3.9092999999999996</v>
      </c>
      <c r="M118" s="6">
        <f t="shared" si="18"/>
        <v>3.9092999999999996</v>
      </c>
      <c r="N118" s="6">
        <f t="shared" si="19"/>
        <v>65.154999999999987</v>
      </c>
      <c r="O118" s="6">
        <f t="shared" si="20"/>
        <v>87.177389999999988</v>
      </c>
      <c r="P118" s="6">
        <f t="shared" si="24"/>
        <v>819.52723999999989</v>
      </c>
    </row>
    <row r="119" spans="1:16" x14ac:dyDescent="0.25">
      <c r="A119" s="5">
        <v>94</v>
      </c>
      <c r="B119" s="5" t="s">
        <v>100</v>
      </c>
      <c r="C119" s="5" t="s">
        <v>101</v>
      </c>
      <c r="D119" s="69">
        <v>500</v>
      </c>
      <c r="E119" s="69">
        <v>9.3800000000000008</v>
      </c>
      <c r="F119" s="69">
        <v>66.67</v>
      </c>
      <c r="G119" s="9"/>
      <c r="H119" s="9">
        <f t="shared" si="21"/>
        <v>576.04999999999995</v>
      </c>
      <c r="I119" s="7">
        <f t="shared" si="22"/>
        <v>48.004166666666663</v>
      </c>
      <c r="J119" s="7">
        <v>28.33</v>
      </c>
      <c r="K119" s="7">
        <f t="shared" si="23"/>
        <v>24.002083333333331</v>
      </c>
      <c r="L119" s="6">
        <f t="shared" si="17"/>
        <v>3.2604999999999995</v>
      </c>
      <c r="M119" s="6">
        <f t="shared" si="18"/>
        <v>3.2604999999999995</v>
      </c>
      <c r="N119" s="6">
        <f t="shared" si="19"/>
        <v>54.341666666666661</v>
      </c>
      <c r="O119" s="6">
        <f t="shared" si="20"/>
        <v>72.709149999999994</v>
      </c>
      <c r="P119" s="6">
        <f t="shared" si="24"/>
        <v>809.95806666666658</v>
      </c>
    </row>
    <row r="120" spans="1:16" x14ac:dyDescent="0.25">
      <c r="A120" s="5">
        <v>95</v>
      </c>
      <c r="B120" s="5" t="s">
        <v>102</v>
      </c>
      <c r="C120" s="5" t="s">
        <v>4</v>
      </c>
      <c r="D120" s="69">
        <v>340</v>
      </c>
      <c r="E120" s="69">
        <v>8.5</v>
      </c>
      <c r="F120" s="69">
        <v>22.67</v>
      </c>
      <c r="G120" s="9"/>
      <c r="H120" s="9">
        <f t="shared" si="21"/>
        <v>371.17</v>
      </c>
      <c r="I120" s="7">
        <f t="shared" si="22"/>
        <v>30.930833333333336</v>
      </c>
      <c r="J120" s="7">
        <v>28.33</v>
      </c>
      <c r="K120" s="7">
        <f t="shared" si="23"/>
        <v>15.465416666666668</v>
      </c>
      <c r="L120" s="6">
        <f t="shared" si="17"/>
        <v>2.0117000000000003</v>
      </c>
      <c r="M120" s="6">
        <f t="shared" si="18"/>
        <v>2.0117000000000003</v>
      </c>
      <c r="N120" s="6">
        <f t="shared" si="19"/>
        <v>33.528333333333336</v>
      </c>
      <c r="O120" s="6">
        <f t="shared" si="20"/>
        <v>44.860910000000004</v>
      </c>
      <c r="P120" s="6">
        <f t="shared" si="24"/>
        <v>528.30889333333334</v>
      </c>
    </row>
    <row r="121" spans="1:16" x14ac:dyDescent="0.25">
      <c r="A121" s="5">
        <v>96</v>
      </c>
      <c r="B121" s="5" t="s">
        <v>103</v>
      </c>
      <c r="C121" s="5" t="s">
        <v>4</v>
      </c>
      <c r="D121" s="69">
        <v>340</v>
      </c>
      <c r="E121" s="69"/>
      <c r="F121" s="69"/>
      <c r="G121" s="9"/>
      <c r="H121" s="9">
        <f t="shared" si="21"/>
        <v>340</v>
      </c>
      <c r="I121" s="7">
        <f t="shared" si="22"/>
        <v>28.333333333333332</v>
      </c>
      <c r="J121" s="7">
        <v>28.33</v>
      </c>
      <c r="K121" s="7">
        <f t="shared" si="23"/>
        <v>14.166666666666666</v>
      </c>
      <c r="L121" s="6">
        <f t="shared" si="17"/>
        <v>1.7</v>
      </c>
      <c r="M121" s="6">
        <f t="shared" si="18"/>
        <v>1.7</v>
      </c>
      <c r="N121" s="6">
        <f t="shared" si="19"/>
        <v>28.333333333333332</v>
      </c>
      <c r="O121" s="6">
        <f t="shared" si="20"/>
        <v>37.910000000000004</v>
      </c>
      <c r="P121" s="6">
        <f t="shared" si="24"/>
        <v>480.4733333333333</v>
      </c>
    </row>
    <row r="122" spans="1:16" x14ac:dyDescent="0.25">
      <c r="A122" s="5">
        <v>97</v>
      </c>
      <c r="B122" s="5" t="s">
        <v>104</v>
      </c>
      <c r="C122" s="5" t="s">
        <v>4</v>
      </c>
      <c r="D122" s="69">
        <v>340</v>
      </c>
      <c r="E122" s="69">
        <v>12.75</v>
      </c>
      <c r="F122" s="69">
        <v>172.84</v>
      </c>
      <c r="G122" s="9">
        <v>43.78</v>
      </c>
      <c r="H122" s="9">
        <f t="shared" si="21"/>
        <v>569.37</v>
      </c>
      <c r="I122" s="7">
        <f t="shared" si="22"/>
        <v>47.447499999999998</v>
      </c>
      <c r="J122" s="7">
        <v>28.33</v>
      </c>
      <c r="K122" s="7">
        <f t="shared" si="23"/>
        <v>23.723749999999999</v>
      </c>
      <c r="L122" s="6">
        <f t="shared" si="17"/>
        <v>3.9937</v>
      </c>
      <c r="M122" s="6">
        <f t="shared" si="18"/>
        <v>3.9937</v>
      </c>
      <c r="N122" s="6">
        <f t="shared" si="19"/>
        <v>66.561666666666667</v>
      </c>
      <c r="O122" s="6">
        <f t="shared" si="20"/>
        <v>89.059510000000003</v>
      </c>
      <c r="P122" s="6">
        <f t="shared" si="24"/>
        <v>832.47982666666667</v>
      </c>
    </row>
    <row r="123" spans="1:16" x14ac:dyDescent="0.25">
      <c r="A123" s="5">
        <v>98</v>
      </c>
      <c r="B123" s="5" t="s">
        <v>105</v>
      </c>
      <c r="C123" s="5" t="s">
        <v>4</v>
      </c>
      <c r="D123" s="69">
        <v>340</v>
      </c>
      <c r="E123" s="69"/>
      <c r="F123" s="69">
        <v>36.83</v>
      </c>
      <c r="G123" s="9">
        <v>85.01</v>
      </c>
      <c r="H123" s="9">
        <f t="shared" si="21"/>
        <v>461.84</v>
      </c>
      <c r="I123" s="7">
        <f t="shared" si="22"/>
        <v>38.486666666666665</v>
      </c>
      <c r="J123" s="7">
        <v>28.33</v>
      </c>
      <c r="K123" s="7">
        <f t="shared" si="23"/>
        <v>19.243333333333332</v>
      </c>
      <c r="L123" s="6">
        <f t="shared" si="17"/>
        <v>2.9183999999999997</v>
      </c>
      <c r="M123" s="6">
        <f t="shared" si="18"/>
        <v>2.9183999999999997</v>
      </c>
      <c r="N123" s="6">
        <f t="shared" si="19"/>
        <v>48.639999999999993</v>
      </c>
      <c r="O123" s="6">
        <f t="shared" si="20"/>
        <v>65.08032</v>
      </c>
      <c r="P123" s="6">
        <f t="shared" si="24"/>
        <v>667.45712000000003</v>
      </c>
    </row>
    <row r="124" spans="1:16" x14ac:dyDescent="0.25">
      <c r="A124" s="5">
        <v>99</v>
      </c>
      <c r="B124" s="5" t="s">
        <v>106</v>
      </c>
      <c r="C124" s="5" t="s">
        <v>4</v>
      </c>
      <c r="D124" s="69">
        <v>340</v>
      </c>
      <c r="E124" s="69">
        <v>12.75</v>
      </c>
      <c r="F124" s="69">
        <v>90.67</v>
      </c>
      <c r="G124" s="9"/>
      <c r="H124" s="9">
        <f t="shared" si="21"/>
        <v>443.42</v>
      </c>
      <c r="I124" s="7">
        <f t="shared" si="22"/>
        <v>36.951666666666668</v>
      </c>
      <c r="J124" s="7">
        <v>28.33</v>
      </c>
      <c r="K124" s="7">
        <f t="shared" si="23"/>
        <v>18.475833333333334</v>
      </c>
      <c r="L124" s="6">
        <f t="shared" si="17"/>
        <v>2.7342000000000004</v>
      </c>
      <c r="M124" s="6">
        <f t="shared" si="18"/>
        <v>2.7342000000000004</v>
      </c>
      <c r="N124" s="6">
        <f t="shared" si="19"/>
        <v>45.57</v>
      </c>
      <c r="O124" s="6">
        <f t="shared" si="20"/>
        <v>60.972660000000005</v>
      </c>
      <c r="P124" s="6">
        <f t="shared" si="24"/>
        <v>639.18856000000005</v>
      </c>
    </row>
    <row r="125" spans="1:16" x14ac:dyDescent="0.25">
      <c r="A125" s="5">
        <v>100</v>
      </c>
      <c r="B125" s="5" t="s">
        <v>107</v>
      </c>
      <c r="C125" s="5" t="s">
        <v>14</v>
      </c>
      <c r="D125" s="69">
        <v>512.35</v>
      </c>
      <c r="E125" s="69"/>
      <c r="F125" s="69">
        <v>264.72000000000003</v>
      </c>
      <c r="G125" s="9">
        <v>128.08000000000001</v>
      </c>
      <c r="H125" s="9">
        <f t="shared" si="21"/>
        <v>905.15000000000009</v>
      </c>
      <c r="I125" s="7">
        <f t="shared" si="22"/>
        <v>75.429166666666674</v>
      </c>
      <c r="J125" s="7">
        <v>28.33</v>
      </c>
      <c r="K125" s="7">
        <f t="shared" si="23"/>
        <v>37.714583333333337</v>
      </c>
      <c r="L125" s="6">
        <f t="shared" si="17"/>
        <v>6.4897500000000017</v>
      </c>
      <c r="M125" s="6">
        <f t="shared" si="18"/>
        <v>6.4897500000000017</v>
      </c>
      <c r="N125" s="6">
        <f t="shared" si="19"/>
        <v>108.16250000000002</v>
      </c>
      <c r="O125" s="6">
        <f t="shared" si="20"/>
        <v>144.72142500000004</v>
      </c>
      <c r="P125" s="6">
        <f t="shared" si="24"/>
        <v>1312.487175</v>
      </c>
    </row>
    <row r="126" spans="1:16" x14ac:dyDescent="0.25">
      <c r="A126" s="5">
        <v>101</v>
      </c>
      <c r="B126" s="5" t="s">
        <v>108</v>
      </c>
      <c r="C126" s="5" t="s">
        <v>4</v>
      </c>
      <c r="D126" s="69">
        <v>340</v>
      </c>
      <c r="E126" s="69"/>
      <c r="F126" s="69">
        <v>79.34</v>
      </c>
      <c r="G126" s="9">
        <v>85.01</v>
      </c>
      <c r="H126" s="9">
        <f t="shared" si="21"/>
        <v>504.35</v>
      </c>
      <c r="I126" s="7">
        <f t="shared" si="22"/>
        <v>42.029166666666669</v>
      </c>
      <c r="J126" s="7">
        <v>28.33</v>
      </c>
      <c r="K126" s="7">
        <f t="shared" si="23"/>
        <v>21.014583333333334</v>
      </c>
      <c r="L126" s="6">
        <f t="shared" si="17"/>
        <v>3.3435000000000001</v>
      </c>
      <c r="M126" s="6">
        <f t="shared" si="18"/>
        <v>3.3435000000000001</v>
      </c>
      <c r="N126" s="6">
        <f t="shared" si="19"/>
        <v>55.725000000000001</v>
      </c>
      <c r="O126" s="6">
        <f t="shared" si="20"/>
        <v>74.560050000000004</v>
      </c>
      <c r="P126" s="6">
        <f t="shared" si="24"/>
        <v>732.69580000000008</v>
      </c>
    </row>
    <row r="127" spans="1:16" x14ac:dyDescent="0.25">
      <c r="A127" s="5">
        <v>102</v>
      </c>
      <c r="B127" s="5" t="s">
        <v>109</v>
      </c>
      <c r="C127" s="5" t="s">
        <v>4</v>
      </c>
      <c r="D127" s="69">
        <v>340</v>
      </c>
      <c r="E127" s="69"/>
      <c r="F127" s="69">
        <v>22.67</v>
      </c>
      <c r="G127" s="9">
        <v>31.88</v>
      </c>
      <c r="H127" s="9">
        <f t="shared" si="21"/>
        <v>394.55</v>
      </c>
      <c r="I127" s="7">
        <f t="shared" si="22"/>
        <v>32.87916666666667</v>
      </c>
      <c r="J127" s="7">
        <v>28.33</v>
      </c>
      <c r="K127" s="7">
        <f t="shared" si="23"/>
        <v>16.439583333333335</v>
      </c>
      <c r="L127" s="6">
        <f t="shared" si="17"/>
        <v>2.2455000000000003</v>
      </c>
      <c r="M127" s="6">
        <f t="shared" si="18"/>
        <v>2.2455000000000003</v>
      </c>
      <c r="N127" s="6">
        <f t="shared" si="19"/>
        <v>37.425000000000004</v>
      </c>
      <c r="O127" s="6">
        <f t="shared" si="20"/>
        <v>50.074650000000005</v>
      </c>
      <c r="P127" s="6">
        <f t="shared" si="24"/>
        <v>564.18939999999998</v>
      </c>
    </row>
    <row r="128" spans="1:16" x14ac:dyDescent="0.25">
      <c r="A128" s="5">
        <v>103</v>
      </c>
      <c r="B128" s="5" t="s">
        <v>110</v>
      </c>
      <c r="C128" s="5" t="s">
        <v>4</v>
      </c>
      <c r="D128" s="69">
        <v>340</v>
      </c>
      <c r="E128" s="69">
        <v>12.75</v>
      </c>
      <c r="F128" s="69">
        <v>22.67</v>
      </c>
      <c r="G128" s="9">
        <v>31.27</v>
      </c>
      <c r="H128" s="9">
        <f t="shared" si="21"/>
        <v>406.69</v>
      </c>
      <c r="I128" s="7">
        <f t="shared" si="22"/>
        <v>33.890833333333333</v>
      </c>
      <c r="J128" s="7">
        <v>28.33</v>
      </c>
      <c r="K128" s="7">
        <f t="shared" si="23"/>
        <v>16.945416666666667</v>
      </c>
      <c r="L128" s="6">
        <f t="shared" ref="L128:L159" si="25">(E128+F128+G128+H128)*0.005</f>
        <v>2.3669000000000002</v>
      </c>
      <c r="M128" s="6">
        <f t="shared" ref="M128:M159" si="26">(E128+F128+G128+H128)*0.005</f>
        <v>2.3669000000000002</v>
      </c>
      <c r="N128" s="6">
        <f t="shared" ref="N128:N159" si="27">(E128+F128+G128+H128)/12</f>
        <v>39.448333333333331</v>
      </c>
      <c r="O128" s="6">
        <f t="shared" ref="O128:O159" si="28">(E128+F128+G128+H128)*0.1115</f>
        <v>52.781869999999998</v>
      </c>
      <c r="P128" s="6">
        <f t="shared" si="24"/>
        <v>582.82025333333331</v>
      </c>
    </row>
    <row r="129" spans="1:16" x14ac:dyDescent="0.25">
      <c r="A129" s="5">
        <v>104</v>
      </c>
      <c r="B129" s="5" t="s">
        <v>111</v>
      </c>
      <c r="C129" s="5" t="s">
        <v>4</v>
      </c>
      <c r="D129" s="69">
        <v>340</v>
      </c>
      <c r="E129" s="69"/>
      <c r="F129" s="69">
        <v>113.34</v>
      </c>
      <c r="G129" s="9">
        <v>37.76</v>
      </c>
      <c r="H129" s="9">
        <f t="shared" si="21"/>
        <v>491.1</v>
      </c>
      <c r="I129" s="7">
        <f t="shared" si="22"/>
        <v>40.925000000000004</v>
      </c>
      <c r="J129" s="7">
        <v>28.33</v>
      </c>
      <c r="K129" s="7">
        <f t="shared" si="23"/>
        <v>20.462500000000002</v>
      </c>
      <c r="L129" s="6">
        <f t="shared" si="25"/>
        <v>3.2110000000000003</v>
      </c>
      <c r="M129" s="6">
        <f t="shared" si="26"/>
        <v>3.2110000000000003</v>
      </c>
      <c r="N129" s="6">
        <f t="shared" si="27"/>
        <v>53.516666666666673</v>
      </c>
      <c r="O129" s="6">
        <f t="shared" si="28"/>
        <v>71.6053</v>
      </c>
      <c r="P129" s="6">
        <f t="shared" si="24"/>
        <v>712.36146666666673</v>
      </c>
    </row>
    <row r="130" spans="1:16" x14ac:dyDescent="0.25">
      <c r="A130" s="5">
        <v>105</v>
      </c>
      <c r="B130" s="5" t="s">
        <v>112</v>
      </c>
      <c r="C130" s="5" t="s">
        <v>4</v>
      </c>
      <c r="D130" s="69">
        <v>340</v>
      </c>
      <c r="E130" s="69"/>
      <c r="F130" s="69">
        <v>158.66999999999999</v>
      </c>
      <c r="G130" s="9"/>
      <c r="H130" s="9">
        <f t="shared" si="21"/>
        <v>498.66999999999996</v>
      </c>
      <c r="I130" s="7">
        <f t="shared" si="22"/>
        <v>41.555833333333332</v>
      </c>
      <c r="J130" s="7">
        <v>28.33</v>
      </c>
      <c r="K130" s="7">
        <f t="shared" si="23"/>
        <v>20.777916666666666</v>
      </c>
      <c r="L130" s="6">
        <f t="shared" si="25"/>
        <v>3.2866999999999997</v>
      </c>
      <c r="M130" s="6">
        <f t="shared" si="26"/>
        <v>3.2866999999999997</v>
      </c>
      <c r="N130" s="6">
        <f t="shared" si="27"/>
        <v>54.778333333333329</v>
      </c>
      <c r="O130" s="6">
        <f t="shared" si="28"/>
        <v>73.293409999999994</v>
      </c>
      <c r="P130" s="6">
        <f t="shared" si="24"/>
        <v>723.9788933333333</v>
      </c>
    </row>
    <row r="131" spans="1:16" x14ac:dyDescent="0.25">
      <c r="A131" s="5">
        <v>106</v>
      </c>
      <c r="B131" s="5" t="s">
        <v>113</v>
      </c>
      <c r="C131" s="5" t="s">
        <v>4</v>
      </c>
      <c r="D131" s="69">
        <v>340</v>
      </c>
      <c r="E131" s="69"/>
      <c r="F131" s="69">
        <v>90.67</v>
      </c>
      <c r="G131" s="9"/>
      <c r="H131" s="9">
        <f t="shared" si="21"/>
        <v>430.67</v>
      </c>
      <c r="I131" s="7">
        <f t="shared" si="22"/>
        <v>35.889166666666668</v>
      </c>
      <c r="J131" s="7">
        <v>28.33</v>
      </c>
      <c r="K131" s="7">
        <f t="shared" si="23"/>
        <v>17.944583333333334</v>
      </c>
      <c r="L131" s="6">
        <f t="shared" si="25"/>
        <v>2.6067</v>
      </c>
      <c r="M131" s="6">
        <f t="shared" si="26"/>
        <v>2.6067</v>
      </c>
      <c r="N131" s="6">
        <f t="shared" si="27"/>
        <v>43.445</v>
      </c>
      <c r="O131" s="6">
        <f t="shared" si="28"/>
        <v>58.129410000000007</v>
      </c>
      <c r="P131" s="6">
        <f t="shared" si="24"/>
        <v>619.62156000000016</v>
      </c>
    </row>
    <row r="132" spans="1:16" x14ac:dyDescent="0.25">
      <c r="A132" s="5">
        <v>107</v>
      </c>
      <c r="B132" s="5" t="s">
        <v>114</v>
      </c>
      <c r="C132" s="5" t="s">
        <v>4</v>
      </c>
      <c r="D132" s="69">
        <v>340</v>
      </c>
      <c r="E132" s="69"/>
      <c r="F132" s="69">
        <v>45.33</v>
      </c>
      <c r="G132" s="9">
        <v>32.1</v>
      </c>
      <c r="H132" s="9">
        <f t="shared" si="21"/>
        <v>417.43</v>
      </c>
      <c r="I132" s="7">
        <f t="shared" si="22"/>
        <v>34.785833333333336</v>
      </c>
      <c r="J132" s="7">
        <v>28.33</v>
      </c>
      <c r="K132" s="7">
        <f t="shared" si="23"/>
        <v>17.392916666666668</v>
      </c>
      <c r="L132" s="6">
        <f t="shared" si="25"/>
        <v>2.4742999999999999</v>
      </c>
      <c r="M132" s="6">
        <f t="shared" si="26"/>
        <v>2.4742999999999999</v>
      </c>
      <c r="N132" s="6">
        <f t="shared" si="27"/>
        <v>41.238333333333337</v>
      </c>
      <c r="O132" s="6">
        <f t="shared" si="28"/>
        <v>55.17689</v>
      </c>
      <c r="P132" s="6">
        <f t="shared" si="24"/>
        <v>599.30257333333338</v>
      </c>
    </row>
    <row r="133" spans="1:16" x14ac:dyDescent="0.25">
      <c r="A133" s="5">
        <v>108</v>
      </c>
      <c r="B133" s="5" t="s">
        <v>115</v>
      </c>
      <c r="C133" s="5" t="s">
        <v>4</v>
      </c>
      <c r="D133" s="69">
        <v>340</v>
      </c>
      <c r="E133" s="69"/>
      <c r="F133" s="69">
        <v>14.17</v>
      </c>
      <c r="G133" s="9"/>
      <c r="H133" s="9">
        <f t="shared" si="21"/>
        <v>354.17</v>
      </c>
      <c r="I133" s="7">
        <f t="shared" si="22"/>
        <v>29.514166666666668</v>
      </c>
      <c r="J133" s="7">
        <v>28.33</v>
      </c>
      <c r="K133" s="7">
        <f t="shared" si="23"/>
        <v>14.757083333333334</v>
      </c>
      <c r="L133" s="6">
        <f t="shared" si="25"/>
        <v>1.8417000000000001</v>
      </c>
      <c r="M133" s="6">
        <f t="shared" si="26"/>
        <v>1.8417000000000001</v>
      </c>
      <c r="N133" s="6">
        <f t="shared" si="27"/>
        <v>30.695000000000004</v>
      </c>
      <c r="O133" s="6">
        <f t="shared" si="28"/>
        <v>41.069910000000007</v>
      </c>
      <c r="P133" s="6">
        <f t="shared" si="24"/>
        <v>502.21956</v>
      </c>
    </row>
    <row r="134" spans="1:16" x14ac:dyDescent="0.25">
      <c r="A134" s="5">
        <v>109</v>
      </c>
      <c r="B134" s="5" t="s">
        <v>116</v>
      </c>
      <c r="C134" s="5" t="s">
        <v>4</v>
      </c>
      <c r="D134" s="69">
        <v>340</v>
      </c>
      <c r="E134" s="69">
        <v>10.63</v>
      </c>
      <c r="F134" s="69">
        <v>45.33</v>
      </c>
      <c r="G134" s="9"/>
      <c r="H134" s="9">
        <f t="shared" si="21"/>
        <v>395.96</v>
      </c>
      <c r="I134" s="7">
        <f t="shared" si="22"/>
        <v>32.996666666666663</v>
      </c>
      <c r="J134" s="7">
        <v>28.33</v>
      </c>
      <c r="K134" s="7">
        <f t="shared" si="23"/>
        <v>16.498333333333331</v>
      </c>
      <c r="L134" s="6">
        <f t="shared" si="25"/>
        <v>2.2595999999999998</v>
      </c>
      <c r="M134" s="6">
        <f t="shared" si="26"/>
        <v>2.2595999999999998</v>
      </c>
      <c r="N134" s="6">
        <f t="shared" si="27"/>
        <v>37.659999999999997</v>
      </c>
      <c r="O134" s="6">
        <f t="shared" si="28"/>
        <v>50.389079999999993</v>
      </c>
      <c r="P134" s="6">
        <f t="shared" si="24"/>
        <v>566.35327999999993</v>
      </c>
    </row>
    <row r="135" spans="1:16" x14ac:dyDescent="0.25">
      <c r="A135" s="5">
        <v>110</v>
      </c>
      <c r="B135" s="5" t="s">
        <v>117</v>
      </c>
      <c r="C135" s="5" t="s">
        <v>4</v>
      </c>
      <c r="D135" s="69">
        <v>340</v>
      </c>
      <c r="E135" s="69"/>
      <c r="F135" s="69">
        <v>45.33</v>
      </c>
      <c r="G135" s="9">
        <v>32.1</v>
      </c>
      <c r="H135" s="9">
        <f t="shared" si="21"/>
        <v>417.43</v>
      </c>
      <c r="I135" s="7">
        <f t="shared" si="22"/>
        <v>34.785833333333336</v>
      </c>
      <c r="J135" s="7">
        <v>28.33</v>
      </c>
      <c r="K135" s="7">
        <f t="shared" si="23"/>
        <v>17.392916666666668</v>
      </c>
      <c r="L135" s="6">
        <f t="shared" si="25"/>
        <v>2.4742999999999999</v>
      </c>
      <c r="M135" s="6">
        <f t="shared" si="26"/>
        <v>2.4742999999999999</v>
      </c>
      <c r="N135" s="6">
        <f t="shared" si="27"/>
        <v>41.238333333333337</v>
      </c>
      <c r="O135" s="6">
        <f t="shared" si="28"/>
        <v>55.17689</v>
      </c>
      <c r="P135" s="6">
        <f t="shared" si="24"/>
        <v>599.30257333333338</v>
      </c>
    </row>
    <row r="136" spans="1:16" x14ac:dyDescent="0.25">
      <c r="A136" s="5">
        <v>111</v>
      </c>
      <c r="B136" s="5" t="s">
        <v>118</v>
      </c>
      <c r="C136" s="5" t="s">
        <v>4</v>
      </c>
      <c r="D136" s="69">
        <v>340</v>
      </c>
      <c r="E136" s="69">
        <v>17</v>
      </c>
      <c r="F136" s="69">
        <v>85</v>
      </c>
      <c r="G136" s="9"/>
      <c r="H136" s="9">
        <f t="shared" si="21"/>
        <v>442</v>
      </c>
      <c r="I136" s="7">
        <f t="shared" si="22"/>
        <v>36.833333333333336</v>
      </c>
      <c r="J136" s="7">
        <v>28.33</v>
      </c>
      <c r="K136" s="7">
        <f t="shared" si="23"/>
        <v>18.416666666666668</v>
      </c>
      <c r="L136" s="6">
        <f t="shared" si="25"/>
        <v>2.72</v>
      </c>
      <c r="M136" s="6">
        <f t="shared" si="26"/>
        <v>2.72</v>
      </c>
      <c r="N136" s="6">
        <f t="shared" si="27"/>
        <v>45.333333333333336</v>
      </c>
      <c r="O136" s="6">
        <f t="shared" si="28"/>
        <v>60.655999999999999</v>
      </c>
      <c r="P136" s="6">
        <f t="shared" si="24"/>
        <v>637.0093333333333</v>
      </c>
    </row>
    <row r="137" spans="1:16" x14ac:dyDescent="0.25">
      <c r="A137" s="5">
        <v>112</v>
      </c>
      <c r="B137" s="5" t="s">
        <v>119</v>
      </c>
      <c r="C137" s="5" t="s">
        <v>4</v>
      </c>
      <c r="D137" s="69">
        <v>340</v>
      </c>
      <c r="E137" s="69">
        <v>14.88</v>
      </c>
      <c r="F137" s="69">
        <v>107.67</v>
      </c>
      <c r="G137" s="9"/>
      <c r="H137" s="9">
        <f t="shared" si="21"/>
        <v>462.55</v>
      </c>
      <c r="I137" s="7">
        <f t="shared" si="22"/>
        <v>38.545833333333334</v>
      </c>
      <c r="J137" s="7">
        <v>28.33</v>
      </c>
      <c r="K137" s="7">
        <f t="shared" si="23"/>
        <v>19.272916666666667</v>
      </c>
      <c r="L137" s="6">
        <f t="shared" si="25"/>
        <v>2.9255</v>
      </c>
      <c r="M137" s="6">
        <f t="shared" si="26"/>
        <v>2.9255</v>
      </c>
      <c r="N137" s="6">
        <f t="shared" si="27"/>
        <v>48.758333333333333</v>
      </c>
      <c r="O137" s="6">
        <f t="shared" si="28"/>
        <v>65.238650000000007</v>
      </c>
      <c r="P137" s="6">
        <f t="shared" si="24"/>
        <v>668.54673333333346</v>
      </c>
    </row>
    <row r="138" spans="1:16" x14ac:dyDescent="0.25">
      <c r="A138" s="5">
        <v>113</v>
      </c>
      <c r="B138" s="5" t="s">
        <v>120</v>
      </c>
      <c r="C138" s="5" t="s">
        <v>4</v>
      </c>
      <c r="D138" s="69">
        <v>340</v>
      </c>
      <c r="E138" s="69"/>
      <c r="F138" s="69">
        <v>90.67</v>
      </c>
      <c r="G138" s="9"/>
      <c r="H138" s="9">
        <f t="shared" si="21"/>
        <v>430.67</v>
      </c>
      <c r="I138" s="7">
        <f t="shared" si="22"/>
        <v>35.889166666666668</v>
      </c>
      <c r="J138" s="7">
        <v>28.33</v>
      </c>
      <c r="K138" s="7">
        <f t="shared" si="23"/>
        <v>17.944583333333334</v>
      </c>
      <c r="L138" s="6">
        <f t="shared" si="25"/>
        <v>2.6067</v>
      </c>
      <c r="M138" s="6">
        <f t="shared" si="26"/>
        <v>2.6067</v>
      </c>
      <c r="N138" s="6">
        <f t="shared" si="27"/>
        <v>43.445</v>
      </c>
      <c r="O138" s="6">
        <f t="shared" si="28"/>
        <v>58.129410000000007</v>
      </c>
      <c r="P138" s="6">
        <f t="shared" si="24"/>
        <v>619.62156000000016</v>
      </c>
    </row>
    <row r="139" spans="1:16" x14ac:dyDescent="0.25">
      <c r="A139" s="5">
        <v>114</v>
      </c>
      <c r="B139" s="5" t="s">
        <v>121</v>
      </c>
      <c r="C139" s="5" t="s">
        <v>14</v>
      </c>
      <c r="D139" s="69">
        <v>512.35</v>
      </c>
      <c r="E139" s="69">
        <v>3.2</v>
      </c>
      <c r="F139" s="69">
        <v>25.62</v>
      </c>
      <c r="G139" s="9">
        <v>45.08</v>
      </c>
      <c r="H139" s="9">
        <f t="shared" si="21"/>
        <v>586.25000000000011</v>
      </c>
      <c r="I139" s="7">
        <f t="shared" si="22"/>
        <v>48.854166666666679</v>
      </c>
      <c r="J139" s="7">
        <v>28.33</v>
      </c>
      <c r="K139" s="7">
        <f t="shared" si="23"/>
        <v>24.427083333333339</v>
      </c>
      <c r="L139" s="6">
        <f t="shared" si="25"/>
        <v>3.3007500000000007</v>
      </c>
      <c r="M139" s="6">
        <f t="shared" si="26"/>
        <v>3.3007500000000007</v>
      </c>
      <c r="N139" s="6">
        <f t="shared" si="27"/>
        <v>55.01250000000001</v>
      </c>
      <c r="O139" s="6">
        <f t="shared" si="28"/>
        <v>73.606725000000012</v>
      </c>
      <c r="P139" s="6">
        <f t="shared" si="24"/>
        <v>823.08197500000017</v>
      </c>
    </row>
    <row r="140" spans="1:16" x14ac:dyDescent="0.25">
      <c r="A140" s="5">
        <v>115</v>
      </c>
      <c r="B140" s="5" t="s">
        <v>122</v>
      </c>
      <c r="C140" s="5" t="s">
        <v>4</v>
      </c>
      <c r="D140" s="69">
        <v>340</v>
      </c>
      <c r="E140" s="69">
        <v>14.88</v>
      </c>
      <c r="F140" s="69">
        <v>68</v>
      </c>
      <c r="G140" s="9">
        <v>31.45</v>
      </c>
      <c r="H140" s="9">
        <f t="shared" si="21"/>
        <v>454.33</v>
      </c>
      <c r="I140" s="7">
        <f t="shared" si="22"/>
        <v>37.860833333333332</v>
      </c>
      <c r="J140" s="7">
        <v>28.33</v>
      </c>
      <c r="K140" s="7">
        <f t="shared" si="23"/>
        <v>18.930416666666666</v>
      </c>
      <c r="L140" s="6">
        <f t="shared" si="25"/>
        <v>2.8432999999999997</v>
      </c>
      <c r="M140" s="6">
        <f t="shared" si="26"/>
        <v>2.8432999999999997</v>
      </c>
      <c r="N140" s="6">
        <f t="shared" si="27"/>
        <v>47.388333333333328</v>
      </c>
      <c r="O140" s="6">
        <f t="shared" si="28"/>
        <v>63.405589999999997</v>
      </c>
      <c r="P140" s="6">
        <f t="shared" si="24"/>
        <v>655.93177333333335</v>
      </c>
    </row>
    <row r="141" spans="1:16" x14ac:dyDescent="0.25">
      <c r="A141" s="5">
        <v>116</v>
      </c>
      <c r="B141" s="5" t="s">
        <v>123</v>
      </c>
      <c r="C141" s="5" t="s">
        <v>4</v>
      </c>
      <c r="D141" s="69">
        <v>340</v>
      </c>
      <c r="E141" s="69"/>
      <c r="F141" s="69">
        <v>158.66999999999999</v>
      </c>
      <c r="G141" s="9"/>
      <c r="H141" s="9">
        <f t="shared" si="21"/>
        <v>498.66999999999996</v>
      </c>
      <c r="I141" s="7">
        <f t="shared" si="22"/>
        <v>41.555833333333332</v>
      </c>
      <c r="J141" s="7">
        <v>28.33</v>
      </c>
      <c r="K141" s="7">
        <f t="shared" si="23"/>
        <v>20.777916666666666</v>
      </c>
      <c r="L141" s="6">
        <f t="shared" si="25"/>
        <v>3.2866999999999997</v>
      </c>
      <c r="M141" s="6">
        <f t="shared" si="26"/>
        <v>3.2866999999999997</v>
      </c>
      <c r="N141" s="6">
        <f t="shared" si="27"/>
        <v>54.778333333333329</v>
      </c>
      <c r="O141" s="6">
        <f t="shared" si="28"/>
        <v>73.293409999999994</v>
      </c>
      <c r="P141" s="6">
        <f t="shared" si="24"/>
        <v>723.9788933333333</v>
      </c>
    </row>
    <row r="142" spans="1:16" x14ac:dyDescent="0.25">
      <c r="A142" s="5">
        <v>117</v>
      </c>
      <c r="B142" s="5" t="s">
        <v>124</v>
      </c>
      <c r="C142" s="5" t="s">
        <v>4</v>
      </c>
      <c r="D142" s="69">
        <v>340</v>
      </c>
      <c r="E142" s="69">
        <v>12.75</v>
      </c>
      <c r="F142" s="69">
        <v>113.34</v>
      </c>
      <c r="G142" s="9">
        <v>38.83</v>
      </c>
      <c r="H142" s="9">
        <f t="shared" si="21"/>
        <v>504.92</v>
      </c>
      <c r="I142" s="7">
        <f t="shared" si="22"/>
        <v>42.076666666666668</v>
      </c>
      <c r="J142" s="7">
        <v>28.33</v>
      </c>
      <c r="K142" s="7">
        <f t="shared" si="23"/>
        <v>21.038333333333334</v>
      </c>
      <c r="L142" s="6">
        <f t="shared" si="25"/>
        <v>3.3492000000000002</v>
      </c>
      <c r="M142" s="6">
        <f t="shared" si="26"/>
        <v>3.3492000000000002</v>
      </c>
      <c r="N142" s="6">
        <f t="shared" si="27"/>
        <v>55.82</v>
      </c>
      <c r="O142" s="6">
        <f t="shared" si="28"/>
        <v>74.687160000000006</v>
      </c>
      <c r="P142" s="6">
        <f t="shared" si="24"/>
        <v>733.57056000000011</v>
      </c>
    </row>
    <row r="143" spans="1:16" x14ac:dyDescent="0.25">
      <c r="A143" s="5">
        <v>118</v>
      </c>
      <c r="B143" s="5" t="s">
        <v>125</v>
      </c>
      <c r="C143" s="5" t="s">
        <v>4</v>
      </c>
      <c r="D143" s="69">
        <v>340</v>
      </c>
      <c r="E143" s="69"/>
      <c r="F143" s="69">
        <v>45.33</v>
      </c>
      <c r="G143" s="9">
        <v>124.19</v>
      </c>
      <c r="H143" s="9">
        <f t="shared" si="21"/>
        <v>509.52</v>
      </c>
      <c r="I143" s="7">
        <f t="shared" si="22"/>
        <v>42.46</v>
      </c>
      <c r="J143" s="7">
        <v>28.33</v>
      </c>
      <c r="K143" s="7">
        <f t="shared" si="23"/>
        <v>21.23</v>
      </c>
      <c r="L143" s="6">
        <f t="shared" si="25"/>
        <v>3.3952</v>
      </c>
      <c r="M143" s="6">
        <f t="shared" si="26"/>
        <v>3.3952</v>
      </c>
      <c r="N143" s="6">
        <f t="shared" si="27"/>
        <v>56.586666666666666</v>
      </c>
      <c r="O143" s="6">
        <f t="shared" si="28"/>
        <v>75.712959999999995</v>
      </c>
      <c r="P143" s="6">
        <f t="shared" si="24"/>
        <v>740.63002666666682</v>
      </c>
    </row>
    <row r="144" spans="1:16" x14ac:dyDescent="0.25">
      <c r="A144" s="5">
        <v>119</v>
      </c>
      <c r="B144" s="5" t="s">
        <v>126</v>
      </c>
      <c r="C144" s="5" t="s">
        <v>4</v>
      </c>
      <c r="D144" s="69">
        <v>340</v>
      </c>
      <c r="E144" s="69"/>
      <c r="F144" s="69">
        <v>113.34</v>
      </c>
      <c r="G144" s="9">
        <v>129.85</v>
      </c>
      <c r="H144" s="9">
        <f t="shared" si="21"/>
        <v>583.19000000000005</v>
      </c>
      <c r="I144" s="7">
        <f t="shared" si="22"/>
        <v>48.599166666666669</v>
      </c>
      <c r="J144" s="7">
        <v>28.33</v>
      </c>
      <c r="K144" s="7">
        <f t="shared" si="23"/>
        <v>24.299583333333334</v>
      </c>
      <c r="L144" s="6">
        <f t="shared" si="25"/>
        <v>4.1319000000000008</v>
      </c>
      <c r="M144" s="6">
        <f t="shared" si="26"/>
        <v>4.1319000000000008</v>
      </c>
      <c r="N144" s="6">
        <f t="shared" si="27"/>
        <v>68.865000000000009</v>
      </c>
      <c r="O144" s="6">
        <f t="shared" si="28"/>
        <v>92.141370000000009</v>
      </c>
      <c r="P144" s="6">
        <f t="shared" si="24"/>
        <v>853.68892000000005</v>
      </c>
    </row>
    <row r="145" spans="1:16" x14ac:dyDescent="0.25">
      <c r="A145" s="5">
        <v>120</v>
      </c>
      <c r="B145" s="5" t="s">
        <v>127</v>
      </c>
      <c r="C145" s="5" t="s">
        <v>14</v>
      </c>
      <c r="D145" s="69">
        <v>512.35</v>
      </c>
      <c r="E145" s="69">
        <v>32.020000000000003</v>
      </c>
      <c r="F145" s="69">
        <v>59.77</v>
      </c>
      <c r="G145" s="9">
        <v>50.32</v>
      </c>
      <c r="H145" s="9">
        <f t="shared" si="21"/>
        <v>654.46</v>
      </c>
      <c r="I145" s="7">
        <f t="shared" si="22"/>
        <v>54.538333333333334</v>
      </c>
      <c r="J145" s="7">
        <v>28.33</v>
      </c>
      <c r="K145" s="7">
        <f t="shared" si="23"/>
        <v>27.269166666666667</v>
      </c>
      <c r="L145" s="6">
        <f t="shared" si="25"/>
        <v>3.9828500000000004</v>
      </c>
      <c r="M145" s="6">
        <f t="shared" si="26"/>
        <v>3.9828500000000004</v>
      </c>
      <c r="N145" s="6">
        <f t="shared" si="27"/>
        <v>66.380833333333342</v>
      </c>
      <c r="O145" s="6">
        <f t="shared" si="28"/>
        <v>88.817555000000013</v>
      </c>
      <c r="P145" s="6">
        <f t="shared" si="24"/>
        <v>927.76158833333341</v>
      </c>
    </row>
    <row r="146" spans="1:16" x14ac:dyDescent="0.25">
      <c r="A146" s="5">
        <v>121</v>
      </c>
      <c r="B146" s="5" t="s">
        <v>128</v>
      </c>
      <c r="C146" s="5" t="s">
        <v>4</v>
      </c>
      <c r="D146" s="69">
        <v>340</v>
      </c>
      <c r="E146" s="69"/>
      <c r="F146" s="69">
        <v>90.67</v>
      </c>
      <c r="G146" s="9"/>
      <c r="H146" s="9">
        <f t="shared" si="21"/>
        <v>430.67</v>
      </c>
      <c r="I146" s="7">
        <f t="shared" si="22"/>
        <v>35.889166666666668</v>
      </c>
      <c r="J146" s="7">
        <v>28.33</v>
      </c>
      <c r="K146" s="7">
        <f t="shared" si="23"/>
        <v>17.944583333333334</v>
      </c>
      <c r="L146" s="6">
        <f t="shared" si="25"/>
        <v>2.6067</v>
      </c>
      <c r="M146" s="6">
        <f t="shared" si="26"/>
        <v>2.6067</v>
      </c>
      <c r="N146" s="6">
        <f t="shared" si="27"/>
        <v>43.445</v>
      </c>
      <c r="O146" s="6">
        <f t="shared" si="28"/>
        <v>58.129410000000007</v>
      </c>
      <c r="P146" s="6">
        <f t="shared" si="24"/>
        <v>619.62156000000016</v>
      </c>
    </row>
    <row r="147" spans="1:16" x14ac:dyDescent="0.25">
      <c r="A147" s="5">
        <v>122</v>
      </c>
      <c r="B147" s="5" t="s">
        <v>129</v>
      </c>
      <c r="C147" s="5" t="s">
        <v>14</v>
      </c>
      <c r="D147" s="69">
        <v>512.35</v>
      </c>
      <c r="E147" s="69">
        <v>76.849999999999994</v>
      </c>
      <c r="F147" s="69">
        <v>170.78</v>
      </c>
      <c r="G147" s="9"/>
      <c r="H147" s="9">
        <f t="shared" si="21"/>
        <v>759.98</v>
      </c>
      <c r="I147" s="7">
        <f t="shared" si="22"/>
        <v>63.331666666666671</v>
      </c>
      <c r="J147" s="7">
        <v>28.33</v>
      </c>
      <c r="K147" s="7">
        <f t="shared" si="23"/>
        <v>31.665833333333335</v>
      </c>
      <c r="L147" s="6">
        <f t="shared" si="25"/>
        <v>5.0380500000000001</v>
      </c>
      <c r="M147" s="6">
        <f t="shared" si="26"/>
        <v>5.0380500000000001</v>
      </c>
      <c r="N147" s="6">
        <f t="shared" si="27"/>
        <v>83.967500000000001</v>
      </c>
      <c r="O147" s="6">
        <f t="shared" si="28"/>
        <v>112.34851500000001</v>
      </c>
      <c r="P147" s="6">
        <f t="shared" si="24"/>
        <v>1089.699615</v>
      </c>
    </row>
    <row r="148" spans="1:16" x14ac:dyDescent="0.25">
      <c r="A148" s="5">
        <v>123</v>
      </c>
      <c r="B148" s="5" t="s">
        <v>130</v>
      </c>
      <c r="C148" s="5" t="s">
        <v>4</v>
      </c>
      <c r="D148" s="69">
        <v>340</v>
      </c>
      <c r="E148" s="69"/>
      <c r="F148" s="69"/>
      <c r="G148" s="9"/>
      <c r="H148" s="9">
        <f t="shared" si="21"/>
        <v>340</v>
      </c>
      <c r="I148" s="7">
        <f t="shared" si="22"/>
        <v>28.333333333333332</v>
      </c>
      <c r="J148" s="7">
        <v>28.33</v>
      </c>
      <c r="K148" s="7">
        <f t="shared" si="23"/>
        <v>14.166666666666666</v>
      </c>
      <c r="L148" s="6">
        <f t="shared" si="25"/>
        <v>1.7</v>
      </c>
      <c r="M148" s="6">
        <f t="shared" si="26"/>
        <v>1.7</v>
      </c>
      <c r="N148" s="6">
        <f t="shared" si="27"/>
        <v>28.333333333333332</v>
      </c>
      <c r="O148" s="6">
        <f t="shared" si="28"/>
        <v>37.910000000000004</v>
      </c>
      <c r="P148" s="6">
        <f t="shared" si="24"/>
        <v>480.4733333333333</v>
      </c>
    </row>
    <row r="149" spans="1:16" x14ac:dyDescent="0.25">
      <c r="A149" s="5">
        <v>124</v>
      </c>
      <c r="B149" s="5" t="s">
        <v>131</v>
      </c>
      <c r="C149" s="5" t="s">
        <v>4</v>
      </c>
      <c r="D149" s="69">
        <v>340</v>
      </c>
      <c r="E149" s="69">
        <v>4.25</v>
      </c>
      <c r="F149" s="69">
        <v>68</v>
      </c>
      <c r="G149" s="9"/>
      <c r="H149" s="9">
        <f t="shared" si="21"/>
        <v>412.25</v>
      </c>
      <c r="I149" s="7">
        <f t="shared" si="22"/>
        <v>34.354166666666664</v>
      </c>
      <c r="J149" s="7">
        <v>28.33</v>
      </c>
      <c r="K149" s="7">
        <f t="shared" si="23"/>
        <v>17.177083333333332</v>
      </c>
      <c r="L149" s="6">
        <f t="shared" si="25"/>
        <v>2.4224999999999999</v>
      </c>
      <c r="M149" s="6">
        <f t="shared" si="26"/>
        <v>2.4224999999999999</v>
      </c>
      <c r="N149" s="6">
        <f t="shared" si="27"/>
        <v>40.375</v>
      </c>
      <c r="O149" s="6">
        <f t="shared" si="28"/>
        <v>54.021750000000004</v>
      </c>
      <c r="P149" s="6">
        <f t="shared" si="24"/>
        <v>591.35299999999995</v>
      </c>
    </row>
    <row r="150" spans="1:16" x14ac:dyDescent="0.25">
      <c r="A150" s="5">
        <v>125</v>
      </c>
      <c r="B150" s="5" t="s">
        <v>132</v>
      </c>
      <c r="C150" s="5" t="s">
        <v>4</v>
      </c>
      <c r="D150" s="69">
        <v>340</v>
      </c>
      <c r="E150" s="69"/>
      <c r="F150" s="69">
        <v>192.67</v>
      </c>
      <c r="G150" s="9">
        <v>85.01</v>
      </c>
      <c r="H150" s="9">
        <f t="shared" si="21"/>
        <v>617.67999999999995</v>
      </c>
      <c r="I150" s="7">
        <f t="shared" si="22"/>
        <v>51.473333333333329</v>
      </c>
      <c r="J150" s="7">
        <v>28.33</v>
      </c>
      <c r="K150" s="7">
        <f t="shared" si="23"/>
        <v>25.736666666666665</v>
      </c>
      <c r="L150" s="6">
        <f t="shared" si="25"/>
        <v>4.4767999999999999</v>
      </c>
      <c r="M150" s="6">
        <f t="shared" si="26"/>
        <v>4.4767999999999999</v>
      </c>
      <c r="N150" s="6">
        <f t="shared" si="27"/>
        <v>74.61333333333333</v>
      </c>
      <c r="O150" s="6">
        <f t="shared" si="28"/>
        <v>99.832639999999984</v>
      </c>
      <c r="P150" s="6">
        <f t="shared" si="24"/>
        <v>906.61957333333339</v>
      </c>
    </row>
    <row r="151" spans="1:16" x14ac:dyDescent="0.25">
      <c r="A151" s="5">
        <v>126</v>
      </c>
      <c r="B151" s="5" t="s">
        <v>133</v>
      </c>
      <c r="C151" s="5" t="s">
        <v>101</v>
      </c>
      <c r="D151" s="69">
        <v>500</v>
      </c>
      <c r="E151" s="69">
        <v>15.63</v>
      </c>
      <c r="F151" s="69">
        <v>225</v>
      </c>
      <c r="G151" s="9">
        <v>61.69</v>
      </c>
      <c r="H151" s="9">
        <f t="shared" si="21"/>
        <v>802.31999999999994</v>
      </c>
      <c r="I151" s="7">
        <f t="shared" si="22"/>
        <v>66.86</v>
      </c>
      <c r="J151" s="7">
        <v>28.33</v>
      </c>
      <c r="K151" s="7">
        <f t="shared" si="23"/>
        <v>33.43</v>
      </c>
      <c r="L151" s="6">
        <f t="shared" si="25"/>
        <v>5.5231999999999992</v>
      </c>
      <c r="M151" s="6">
        <f t="shared" si="26"/>
        <v>5.5231999999999992</v>
      </c>
      <c r="N151" s="6">
        <f t="shared" si="27"/>
        <v>92.053333333333327</v>
      </c>
      <c r="O151" s="6">
        <f t="shared" si="28"/>
        <v>123.16735999999999</v>
      </c>
      <c r="P151" s="6">
        <f t="shared" si="24"/>
        <v>1157.2070933333332</v>
      </c>
    </row>
    <row r="152" spans="1:16" x14ac:dyDescent="0.25">
      <c r="A152" s="5">
        <v>127</v>
      </c>
      <c r="B152" s="5" t="s">
        <v>134</v>
      </c>
      <c r="C152" s="5" t="s">
        <v>4</v>
      </c>
      <c r="D152" s="69">
        <v>340</v>
      </c>
      <c r="E152" s="69"/>
      <c r="F152" s="69">
        <v>22.67</v>
      </c>
      <c r="G152" s="9"/>
      <c r="H152" s="9">
        <f t="shared" si="21"/>
        <v>362.67</v>
      </c>
      <c r="I152" s="7">
        <f t="shared" si="22"/>
        <v>30.2225</v>
      </c>
      <c r="J152" s="7">
        <v>28.33</v>
      </c>
      <c r="K152" s="7">
        <f t="shared" si="23"/>
        <v>15.11125</v>
      </c>
      <c r="L152" s="6">
        <f t="shared" si="25"/>
        <v>1.9267000000000003</v>
      </c>
      <c r="M152" s="6">
        <f t="shared" si="26"/>
        <v>1.9267000000000003</v>
      </c>
      <c r="N152" s="6">
        <f t="shared" si="27"/>
        <v>32.111666666666672</v>
      </c>
      <c r="O152" s="6">
        <f t="shared" si="28"/>
        <v>42.965410000000006</v>
      </c>
      <c r="P152" s="6">
        <f t="shared" si="24"/>
        <v>515.26422666666667</v>
      </c>
    </row>
    <row r="153" spans="1:16" x14ac:dyDescent="0.25">
      <c r="A153" s="5">
        <v>128</v>
      </c>
      <c r="B153" s="5" t="s">
        <v>135</v>
      </c>
      <c r="C153" s="5" t="s">
        <v>4</v>
      </c>
      <c r="D153" s="69">
        <v>340</v>
      </c>
      <c r="E153" s="69">
        <v>19.13</v>
      </c>
      <c r="F153" s="69">
        <v>147.34</v>
      </c>
      <c r="G153" s="9">
        <v>72.12</v>
      </c>
      <c r="H153" s="9">
        <f t="shared" si="21"/>
        <v>578.59</v>
      </c>
      <c r="I153" s="7">
        <f t="shared" si="22"/>
        <v>48.215833333333336</v>
      </c>
      <c r="J153" s="7">
        <v>28.33</v>
      </c>
      <c r="K153" s="7">
        <f t="shared" si="23"/>
        <v>24.107916666666668</v>
      </c>
      <c r="L153" s="6">
        <f t="shared" si="25"/>
        <v>4.0859000000000005</v>
      </c>
      <c r="M153" s="6">
        <f t="shared" si="26"/>
        <v>4.0859000000000005</v>
      </c>
      <c r="N153" s="6">
        <f t="shared" si="27"/>
        <v>68.098333333333343</v>
      </c>
      <c r="O153" s="6">
        <f t="shared" si="28"/>
        <v>91.115570000000005</v>
      </c>
      <c r="P153" s="6">
        <f t="shared" si="24"/>
        <v>846.62945333333357</v>
      </c>
    </row>
    <row r="154" spans="1:16" x14ac:dyDescent="0.25">
      <c r="A154" s="5">
        <v>129</v>
      </c>
      <c r="B154" s="5" t="s">
        <v>136</v>
      </c>
      <c r="C154" s="5" t="s">
        <v>4</v>
      </c>
      <c r="D154" s="69">
        <v>340</v>
      </c>
      <c r="E154" s="69"/>
      <c r="F154" s="69">
        <v>82.17</v>
      </c>
      <c r="G154" s="9">
        <v>127.26</v>
      </c>
      <c r="H154" s="9">
        <f t="shared" si="21"/>
        <v>549.43000000000006</v>
      </c>
      <c r="I154" s="7">
        <f t="shared" si="22"/>
        <v>45.785833333333336</v>
      </c>
      <c r="J154" s="7">
        <v>28.33</v>
      </c>
      <c r="K154" s="7">
        <f t="shared" si="23"/>
        <v>22.892916666666668</v>
      </c>
      <c r="L154" s="6">
        <f t="shared" si="25"/>
        <v>3.7943000000000007</v>
      </c>
      <c r="M154" s="6">
        <f t="shared" si="26"/>
        <v>3.7943000000000007</v>
      </c>
      <c r="N154" s="6">
        <f t="shared" si="27"/>
        <v>63.238333333333344</v>
      </c>
      <c r="O154" s="6">
        <f t="shared" si="28"/>
        <v>84.612890000000021</v>
      </c>
      <c r="P154" s="6">
        <f t="shared" si="24"/>
        <v>801.87857333333352</v>
      </c>
    </row>
    <row r="155" spans="1:16" x14ac:dyDescent="0.25">
      <c r="A155" s="5">
        <v>130</v>
      </c>
      <c r="B155" s="5" t="s">
        <v>137</v>
      </c>
      <c r="C155" s="5" t="s">
        <v>4</v>
      </c>
      <c r="D155" s="69">
        <v>340</v>
      </c>
      <c r="E155" s="69">
        <v>12.75</v>
      </c>
      <c r="F155" s="69">
        <v>62.33</v>
      </c>
      <c r="G155" s="9">
        <v>32.69</v>
      </c>
      <c r="H155" s="9">
        <f t="shared" si="21"/>
        <v>447.77</v>
      </c>
      <c r="I155" s="7">
        <f t="shared" si="22"/>
        <v>37.314166666666665</v>
      </c>
      <c r="J155" s="7">
        <v>28.33</v>
      </c>
      <c r="K155" s="7">
        <f t="shared" si="23"/>
        <v>18.657083333333333</v>
      </c>
      <c r="L155" s="6">
        <f t="shared" si="25"/>
        <v>2.7776999999999998</v>
      </c>
      <c r="M155" s="6">
        <f t="shared" si="26"/>
        <v>2.7776999999999998</v>
      </c>
      <c r="N155" s="6">
        <f t="shared" si="27"/>
        <v>46.294999999999995</v>
      </c>
      <c r="O155" s="6">
        <f t="shared" si="28"/>
        <v>61.942709999999998</v>
      </c>
      <c r="P155" s="6">
        <f t="shared" si="24"/>
        <v>645.86435999999992</v>
      </c>
    </row>
    <row r="156" spans="1:16" x14ac:dyDescent="0.25">
      <c r="A156" s="5">
        <v>131</v>
      </c>
      <c r="B156" s="5" t="s">
        <v>138</v>
      </c>
      <c r="C156" s="5" t="s">
        <v>4</v>
      </c>
      <c r="D156" s="69">
        <v>340</v>
      </c>
      <c r="E156" s="69"/>
      <c r="F156" s="69">
        <v>113.34</v>
      </c>
      <c r="G156" s="9">
        <v>37.76</v>
      </c>
      <c r="H156" s="9">
        <f t="shared" si="21"/>
        <v>491.1</v>
      </c>
      <c r="I156" s="7">
        <f t="shared" si="22"/>
        <v>40.925000000000004</v>
      </c>
      <c r="J156" s="7">
        <v>28.33</v>
      </c>
      <c r="K156" s="7">
        <f t="shared" si="23"/>
        <v>20.462500000000002</v>
      </c>
      <c r="L156" s="6">
        <f t="shared" si="25"/>
        <v>3.2110000000000003</v>
      </c>
      <c r="M156" s="6">
        <f t="shared" si="26"/>
        <v>3.2110000000000003</v>
      </c>
      <c r="N156" s="6">
        <f t="shared" si="27"/>
        <v>53.516666666666673</v>
      </c>
      <c r="O156" s="6">
        <f t="shared" si="28"/>
        <v>71.6053</v>
      </c>
      <c r="P156" s="6">
        <f t="shared" si="24"/>
        <v>712.36146666666673</v>
      </c>
    </row>
    <row r="157" spans="1:16" x14ac:dyDescent="0.25">
      <c r="A157" s="5">
        <v>132</v>
      </c>
      <c r="B157" s="5" t="s">
        <v>139</v>
      </c>
      <c r="C157" s="5" t="s">
        <v>4</v>
      </c>
      <c r="D157" s="69">
        <v>340</v>
      </c>
      <c r="E157" s="69">
        <v>102</v>
      </c>
      <c r="F157" s="69">
        <v>130.34</v>
      </c>
      <c r="G157" s="9"/>
      <c r="H157" s="9">
        <f t="shared" si="21"/>
        <v>572.34</v>
      </c>
      <c r="I157" s="7">
        <f t="shared" si="22"/>
        <v>47.695</v>
      </c>
      <c r="J157" s="7">
        <v>28.33</v>
      </c>
      <c r="K157" s="7">
        <f t="shared" si="23"/>
        <v>23.8475</v>
      </c>
      <c r="L157" s="6">
        <f t="shared" si="25"/>
        <v>4.0234000000000005</v>
      </c>
      <c r="M157" s="6">
        <f t="shared" si="26"/>
        <v>4.0234000000000005</v>
      </c>
      <c r="N157" s="6">
        <f t="shared" si="27"/>
        <v>67.056666666666672</v>
      </c>
      <c r="O157" s="6">
        <f t="shared" si="28"/>
        <v>89.721820000000008</v>
      </c>
      <c r="P157" s="6">
        <f t="shared" si="24"/>
        <v>837.03778666666676</v>
      </c>
    </row>
    <row r="158" spans="1:16" x14ac:dyDescent="0.25">
      <c r="A158" s="5">
        <v>133</v>
      </c>
      <c r="B158" s="5" t="s">
        <v>140</v>
      </c>
      <c r="C158" s="5" t="s">
        <v>4</v>
      </c>
      <c r="D158" s="69">
        <v>340</v>
      </c>
      <c r="E158" s="69"/>
      <c r="F158" s="69">
        <v>161.5</v>
      </c>
      <c r="G158" s="9">
        <v>85.01</v>
      </c>
      <c r="H158" s="9">
        <f t="shared" si="21"/>
        <v>586.51</v>
      </c>
      <c r="I158" s="7">
        <f t="shared" si="22"/>
        <v>48.875833333333333</v>
      </c>
      <c r="J158" s="7">
        <v>28.33</v>
      </c>
      <c r="K158" s="7">
        <f t="shared" si="23"/>
        <v>24.437916666666666</v>
      </c>
      <c r="L158" s="6">
        <f t="shared" si="25"/>
        <v>4.1650999999999998</v>
      </c>
      <c r="M158" s="6">
        <f t="shared" si="26"/>
        <v>4.1650999999999998</v>
      </c>
      <c r="N158" s="6">
        <f t="shared" si="27"/>
        <v>69.418333333333337</v>
      </c>
      <c r="O158" s="6">
        <f t="shared" si="28"/>
        <v>92.881730000000005</v>
      </c>
      <c r="P158" s="6">
        <f t="shared" si="24"/>
        <v>858.78401333333341</v>
      </c>
    </row>
    <row r="159" spans="1:16" x14ac:dyDescent="0.25">
      <c r="A159" s="5">
        <v>134</v>
      </c>
      <c r="B159" s="5" t="s">
        <v>141</v>
      </c>
      <c r="C159" s="5" t="s">
        <v>4</v>
      </c>
      <c r="D159" s="69">
        <v>340</v>
      </c>
      <c r="E159" s="69"/>
      <c r="F159" s="69">
        <v>158.66999999999999</v>
      </c>
      <c r="G159" s="9">
        <v>41.54</v>
      </c>
      <c r="H159" s="9">
        <f t="shared" si="21"/>
        <v>540.20999999999992</v>
      </c>
      <c r="I159" s="7">
        <f t="shared" si="22"/>
        <v>45.017499999999991</v>
      </c>
      <c r="J159" s="7">
        <v>28.33</v>
      </c>
      <c r="K159" s="7">
        <f t="shared" si="23"/>
        <v>22.508749999999996</v>
      </c>
      <c r="L159" s="6">
        <f t="shared" si="25"/>
        <v>3.7020999999999993</v>
      </c>
      <c r="M159" s="6">
        <f t="shared" si="26"/>
        <v>3.7020999999999993</v>
      </c>
      <c r="N159" s="6">
        <f t="shared" si="27"/>
        <v>61.701666666666654</v>
      </c>
      <c r="O159" s="6">
        <f t="shared" si="28"/>
        <v>82.556829999999991</v>
      </c>
      <c r="P159" s="6">
        <f t="shared" si="24"/>
        <v>787.72894666666662</v>
      </c>
    </row>
    <row r="160" spans="1:16" x14ac:dyDescent="0.25">
      <c r="A160" s="5">
        <v>135</v>
      </c>
      <c r="B160" s="5" t="s">
        <v>142</v>
      </c>
      <c r="C160" s="5" t="s">
        <v>4</v>
      </c>
      <c r="D160" s="69">
        <v>340</v>
      </c>
      <c r="E160" s="69"/>
      <c r="F160" s="69">
        <v>45.33</v>
      </c>
      <c r="G160" s="9">
        <v>66.63</v>
      </c>
      <c r="H160" s="9">
        <f t="shared" si="21"/>
        <v>451.96</v>
      </c>
      <c r="I160" s="7">
        <f t="shared" si="22"/>
        <v>37.663333333333334</v>
      </c>
      <c r="J160" s="7">
        <v>28.33</v>
      </c>
      <c r="K160" s="7">
        <f t="shared" si="23"/>
        <v>18.831666666666667</v>
      </c>
      <c r="L160" s="6">
        <f t="shared" ref="L160:L191" si="29">(E160+F160+G160+H160)*0.005</f>
        <v>2.8195999999999999</v>
      </c>
      <c r="M160" s="6">
        <f t="shared" ref="M160:M191" si="30">(E160+F160+G160+H160)*0.005</f>
        <v>2.8195999999999999</v>
      </c>
      <c r="N160" s="6">
        <f t="shared" ref="N160:N191" si="31">(E160+F160+G160+H160)/12</f>
        <v>46.993333333333332</v>
      </c>
      <c r="O160" s="6">
        <f t="shared" ref="O160:O191" si="32">(E160+F160+G160+H160)*0.1115</f>
        <v>62.877079999999999</v>
      </c>
      <c r="P160" s="6">
        <f t="shared" si="24"/>
        <v>652.29461333333347</v>
      </c>
    </row>
    <row r="161" spans="1:16" x14ac:dyDescent="0.25">
      <c r="A161" s="5">
        <v>136</v>
      </c>
      <c r="B161" s="5" t="s">
        <v>143</v>
      </c>
      <c r="C161" s="5" t="s">
        <v>4</v>
      </c>
      <c r="D161" s="69">
        <v>340</v>
      </c>
      <c r="E161" s="69"/>
      <c r="F161" s="69">
        <v>56.67</v>
      </c>
      <c r="G161" s="9">
        <v>85.01</v>
      </c>
      <c r="H161" s="9">
        <f t="shared" ref="H161:H201" si="33">D161+E161+F161+G161</f>
        <v>481.68</v>
      </c>
      <c r="I161" s="7">
        <f t="shared" ref="I161:I201" si="34">(H161)/12</f>
        <v>40.14</v>
      </c>
      <c r="J161" s="7">
        <v>28.33</v>
      </c>
      <c r="K161" s="7">
        <f t="shared" ref="K161:K201" si="35">(H161)/24</f>
        <v>20.07</v>
      </c>
      <c r="L161" s="6">
        <f t="shared" si="29"/>
        <v>3.1168</v>
      </c>
      <c r="M161" s="6">
        <f t="shared" si="30"/>
        <v>3.1168</v>
      </c>
      <c r="N161" s="6">
        <f t="shared" si="31"/>
        <v>51.946666666666665</v>
      </c>
      <c r="O161" s="6">
        <f t="shared" si="32"/>
        <v>69.504640000000009</v>
      </c>
      <c r="P161" s="6">
        <f t="shared" ref="P161:P201" si="36">H161+I161+J161+K161+L161+M161+N161+O161</f>
        <v>697.90490666666688</v>
      </c>
    </row>
    <row r="162" spans="1:16" x14ac:dyDescent="0.25">
      <c r="A162" s="5">
        <v>137</v>
      </c>
      <c r="B162" s="5" t="s">
        <v>144</v>
      </c>
      <c r="C162" s="5" t="s">
        <v>4</v>
      </c>
      <c r="D162" s="69">
        <v>340</v>
      </c>
      <c r="E162" s="69">
        <v>12.75</v>
      </c>
      <c r="F162" s="69">
        <v>22.67</v>
      </c>
      <c r="G162" s="9">
        <v>29.38</v>
      </c>
      <c r="H162" s="9">
        <f t="shared" si="33"/>
        <v>404.8</v>
      </c>
      <c r="I162" s="7">
        <f t="shared" si="34"/>
        <v>33.733333333333334</v>
      </c>
      <c r="J162" s="7">
        <v>28.33</v>
      </c>
      <c r="K162" s="7">
        <f t="shared" si="35"/>
        <v>16.866666666666667</v>
      </c>
      <c r="L162" s="6">
        <f t="shared" si="29"/>
        <v>2.3480000000000003</v>
      </c>
      <c r="M162" s="6">
        <f t="shared" si="30"/>
        <v>2.3480000000000003</v>
      </c>
      <c r="N162" s="6">
        <f t="shared" si="31"/>
        <v>39.133333333333333</v>
      </c>
      <c r="O162" s="6">
        <f t="shared" si="32"/>
        <v>52.360400000000006</v>
      </c>
      <c r="P162" s="6">
        <f t="shared" si="36"/>
        <v>579.9197333333334</v>
      </c>
    </row>
    <row r="163" spans="1:16" x14ac:dyDescent="0.25">
      <c r="A163" s="5">
        <v>138</v>
      </c>
      <c r="B163" s="5" t="s">
        <v>145</v>
      </c>
      <c r="C163" s="5" t="s">
        <v>4</v>
      </c>
      <c r="D163" s="69">
        <v>340</v>
      </c>
      <c r="E163" s="69"/>
      <c r="F163" s="69">
        <v>25.5</v>
      </c>
      <c r="G163" s="9">
        <v>122.54</v>
      </c>
      <c r="H163" s="9">
        <f t="shared" si="33"/>
        <v>488.04</v>
      </c>
      <c r="I163" s="7">
        <f t="shared" si="34"/>
        <v>40.67</v>
      </c>
      <c r="J163" s="7">
        <v>28.33</v>
      </c>
      <c r="K163" s="7">
        <f t="shared" si="35"/>
        <v>20.335000000000001</v>
      </c>
      <c r="L163" s="6">
        <f t="shared" si="29"/>
        <v>3.1804000000000001</v>
      </c>
      <c r="M163" s="6">
        <f t="shared" si="30"/>
        <v>3.1804000000000001</v>
      </c>
      <c r="N163" s="6">
        <f t="shared" si="31"/>
        <v>53.006666666666668</v>
      </c>
      <c r="O163" s="6">
        <f t="shared" si="32"/>
        <v>70.922920000000005</v>
      </c>
      <c r="P163" s="6">
        <f t="shared" si="36"/>
        <v>707.66538666666668</v>
      </c>
    </row>
    <row r="164" spans="1:16" x14ac:dyDescent="0.25">
      <c r="A164" s="5">
        <v>139</v>
      </c>
      <c r="B164" s="5" t="s">
        <v>146</v>
      </c>
      <c r="C164" s="5" t="s">
        <v>4</v>
      </c>
      <c r="D164" s="69">
        <v>340</v>
      </c>
      <c r="E164" s="69">
        <v>12.75</v>
      </c>
      <c r="F164" s="69">
        <v>85</v>
      </c>
      <c r="G164" s="9">
        <v>36.46</v>
      </c>
      <c r="H164" s="9">
        <f t="shared" si="33"/>
        <v>474.21</v>
      </c>
      <c r="I164" s="7">
        <f t="shared" si="34"/>
        <v>39.517499999999998</v>
      </c>
      <c r="J164" s="7">
        <v>28.33</v>
      </c>
      <c r="K164" s="7">
        <f t="shared" si="35"/>
        <v>19.758749999999999</v>
      </c>
      <c r="L164" s="6">
        <f t="shared" si="29"/>
        <v>3.0421</v>
      </c>
      <c r="M164" s="6">
        <f t="shared" si="30"/>
        <v>3.0421</v>
      </c>
      <c r="N164" s="6">
        <f t="shared" si="31"/>
        <v>50.701666666666661</v>
      </c>
      <c r="O164" s="6">
        <f t="shared" si="32"/>
        <v>67.838830000000002</v>
      </c>
      <c r="P164" s="6">
        <f t="shared" si="36"/>
        <v>686.44094666666672</v>
      </c>
    </row>
    <row r="165" spans="1:16" x14ac:dyDescent="0.25">
      <c r="A165" s="5">
        <v>140</v>
      </c>
      <c r="B165" s="5" t="s">
        <v>147</v>
      </c>
      <c r="C165" s="5" t="s">
        <v>4</v>
      </c>
      <c r="D165" s="69">
        <v>340</v>
      </c>
      <c r="E165" s="69"/>
      <c r="F165" s="69">
        <v>158.66999999999999</v>
      </c>
      <c r="G165" s="9"/>
      <c r="H165" s="9">
        <f t="shared" si="33"/>
        <v>498.66999999999996</v>
      </c>
      <c r="I165" s="7">
        <f t="shared" si="34"/>
        <v>41.555833333333332</v>
      </c>
      <c r="J165" s="7">
        <v>28.33</v>
      </c>
      <c r="K165" s="7">
        <f t="shared" si="35"/>
        <v>20.777916666666666</v>
      </c>
      <c r="L165" s="6">
        <f t="shared" si="29"/>
        <v>3.2866999999999997</v>
      </c>
      <c r="M165" s="6">
        <f t="shared" si="30"/>
        <v>3.2866999999999997</v>
      </c>
      <c r="N165" s="6">
        <f t="shared" si="31"/>
        <v>54.778333333333329</v>
      </c>
      <c r="O165" s="6">
        <f t="shared" si="32"/>
        <v>73.293409999999994</v>
      </c>
      <c r="P165" s="6">
        <f t="shared" si="36"/>
        <v>723.9788933333333</v>
      </c>
    </row>
    <row r="166" spans="1:16" x14ac:dyDescent="0.25">
      <c r="A166" s="5">
        <v>141</v>
      </c>
      <c r="B166" s="5" t="s">
        <v>148</v>
      </c>
      <c r="C166" s="5" t="s">
        <v>4</v>
      </c>
      <c r="D166" s="69">
        <v>340</v>
      </c>
      <c r="E166" s="69"/>
      <c r="F166" s="69">
        <v>113.34</v>
      </c>
      <c r="G166" s="9"/>
      <c r="H166" s="9">
        <f t="shared" si="33"/>
        <v>453.34000000000003</v>
      </c>
      <c r="I166" s="7">
        <f t="shared" si="34"/>
        <v>37.778333333333336</v>
      </c>
      <c r="J166" s="7">
        <v>28.33</v>
      </c>
      <c r="K166" s="7">
        <f t="shared" si="35"/>
        <v>18.889166666666668</v>
      </c>
      <c r="L166" s="6">
        <f t="shared" si="29"/>
        <v>2.8334000000000006</v>
      </c>
      <c r="M166" s="6">
        <f t="shared" si="30"/>
        <v>2.8334000000000006</v>
      </c>
      <c r="N166" s="6">
        <f t="shared" si="31"/>
        <v>47.223333333333336</v>
      </c>
      <c r="O166" s="6">
        <f t="shared" si="32"/>
        <v>63.184820000000009</v>
      </c>
      <c r="P166" s="6">
        <f t="shared" si="36"/>
        <v>654.41245333333347</v>
      </c>
    </row>
    <row r="167" spans="1:16" x14ac:dyDescent="0.25">
      <c r="A167" s="5">
        <v>142</v>
      </c>
      <c r="B167" s="5" t="s">
        <v>149</v>
      </c>
      <c r="C167" s="5" t="s">
        <v>4</v>
      </c>
      <c r="D167" s="69">
        <v>340</v>
      </c>
      <c r="E167" s="69"/>
      <c r="F167" s="69">
        <v>155.84</v>
      </c>
      <c r="G167" s="9">
        <v>133.38999999999999</v>
      </c>
      <c r="H167" s="9">
        <f t="shared" si="33"/>
        <v>629.23</v>
      </c>
      <c r="I167" s="7">
        <f t="shared" si="34"/>
        <v>52.435833333333335</v>
      </c>
      <c r="J167" s="7">
        <v>28.33</v>
      </c>
      <c r="K167" s="7">
        <f t="shared" si="35"/>
        <v>26.217916666666667</v>
      </c>
      <c r="L167" s="6">
        <f t="shared" si="29"/>
        <v>4.5923000000000007</v>
      </c>
      <c r="M167" s="6">
        <f t="shared" si="30"/>
        <v>4.5923000000000007</v>
      </c>
      <c r="N167" s="6">
        <f t="shared" si="31"/>
        <v>76.538333333333341</v>
      </c>
      <c r="O167" s="6">
        <f t="shared" si="32"/>
        <v>102.40829000000001</v>
      </c>
      <c r="P167" s="6">
        <f t="shared" si="36"/>
        <v>924.34497333333343</v>
      </c>
    </row>
    <row r="168" spans="1:16" x14ac:dyDescent="0.25">
      <c r="A168" s="5">
        <v>143</v>
      </c>
      <c r="B168" s="5" t="s">
        <v>150</v>
      </c>
      <c r="C168" s="5" t="s">
        <v>4</v>
      </c>
      <c r="D168" s="69">
        <v>340</v>
      </c>
      <c r="E168" s="69"/>
      <c r="F168" s="69">
        <v>113.34</v>
      </c>
      <c r="G168" s="9">
        <v>129.85</v>
      </c>
      <c r="H168" s="9">
        <f t="shared" si="33"/>
        <v>583.19000000000005</v>
      </c>
      <c r="I168" s="7">
        <f t="shared" si="34"/>
        <v>48.599166666666669</v>
      </c>
      <c r="J168" s="7">
        <v>28.33</v>
      </c>
      <c r="K168" s="7">
        <f t="shared" si="35"/>
        <v>24.299583333333334</v>
      </c>
      <c r="L168" s="6">
        <f t="shared" si="29"/>
        <v>4.1319000000000008</v>
      </c>
      <c r="M168" s="6">
        <f t="shared" si="30"/>
        <v>4.1319000000000008</v>
      </c>
      <c r="N168" s="6">
        <f t="shared" si="31"/>
        <v>68.865000000000009</v>
      </c>
      <c r="O168" s="6">
        <f t="shared" si="32"/>
        <v>92.141370000000009</v>
      </c>
      <c r="P168" s="6">
        <f t="shared" si="36"/>
        <v>853.68892000000005</v>
      </c>
    </row>
    <row r="169" spans="1:16" x14ac:dyDescent="0.25">
      <c r="A169" s="5">
        <v>144</v>
      </c>
      <c r="B169" s="5" t="s">
        <v>151</v>
      </c>
      <c r="C169" s="5" t="s">
        <v>4</v>
      </c>
      <c r="D169" s="69">
        <v>340</v>
      </c>
      <c r="E169" s="69">
        <v>19.13</v>
      </c>
      <c r="F169" s="69">
        <v>136</v>
      </c>
      <c r="G169" s="9"/>
      <c r="H169" s="9">
        <f t="shared" si="33"/>
        <v>495.13</v>
      </c>
      <c r="I169" s="7">
        <f t="shared" si="34"/>
        <v>41.260833333333331</v>
      </c>
      <c r="J169" s="7">
        <v>28.33</v>
      </c>
      <c r="K169" s="7">
        <f t="shared" si="35"/>
        <v>20.630416666666665</v>
      </c>
      <c r="L169" s="6">
        <f t="shared" si="29"/>
        <v>3.2513000000000001</v>
      </c>
      <c r="M169" s="6">
        <f t="shared" si="30"/>
        <v>3.2513000000000001</v>
      </c>
      <c r="N169" s="6">
        <f t="shared" si="31"/>
        <v>54.188333333333333</v>
      </c>
      <c r="O169" s="6">
        <f t="shared" si="32"/>
        <v>72.503990000000002</v>
      </c>
      <c r="P169" s="6">
        <f t="shared" si="36"/>
        <v>718.54617333333351</v>
      </c>
    </row>
    <row r="170" spans="1:16" x14ac:dyDescent="0.25">
      <c r="A170" s="5">
        <v>145</v>
      </c>
      <c r="B170" s="5" t="s">
        <v>152</v>
      </c>
      <c r="C170" s="5" t="s">
        <v>4</v>
      </c>
      <c r="D170" s="69">
        <v>340</v>
      </c>
      <c r="E170" s="69"/>
      <c r="F170" s="69">
        <v>175.67</v>
      </c>
      <c r="G170" s="9">
        <v>85.01</v>
      </c>
      <c r="H170" s="9">
        <f t="shared" si="33"/>
        <v>600.67999999999995</v>
      </c>
      <c r="I170" s="7">
        <f t="shared" si="34"/>
        <v>50.056666666666665</v>
      </c>
      <c r="J170" s="7">
        <v>28.33</v>
      </c>
      <c r="K170" s="7">
        <f t="shared" si="35"/>
        <v>25.028333333333332</v>
      </c>
      <c r="L170" s="6">
        <f t="shared" si="29"/>
        <v>4.3068</v>
      </c>
      <c r="M170" s="6">
        <f t="shared" si="30"/>
        <v>4.3068</v>
      </c>
      <c r="N170" s="6">
        <f t="shared" si="31"/>
        <v>71.779999999999987</v>
      </c>
      <c r="O170" s="6">
        <f t="shared" si="32"/>
        <v>96.041639999999987</v>
      </c>
      <c r="P170" s="6">
        <f t="shared" si="36"/>
        <v>880.53023999999982</v>
      </c>
    </row>
    <row r="171" spans="1:16" x14ac:dyDescent="0.25">
      <c r="A171" s="5">
        <v>146</v>
      </c>
      <c r="B171" s="5" t="s">
        <v>153</v>
      </c>
      <c r="C171" s="5" t="s">
        <v>4</v>
      </c>
      <c r="D171" s="69">
        <v>340</v>
      </c>
      <c r="E171" s="69">
        <v>10.63</v>
      </c>
      <c r="F171" s="69">
        <v>113.34</v>
      </c>
      <c r="G171" s="9"/>
      <c r="H171" s="9">
        <f t="shared" si="33"/>
        <v>463.97</v>
      </c>
      <c r="I171" s="7">
        <f t="shared" si="34"/>
        <v>38.664166666666667</v>
      </c>
      <c r="J171" s="7">
        <v>28.33</v>
      </c>
      <c r="K171" s="7">
        <f t="shared" si="35"/>
        <v>19.332083333333333</v>
      </c>
      <c r="L171" s="6">
        <f t="shared" si="29"/>
        <v>2.9397000000000002</v>
      </c>
      <c r="M171" s="6">
        <f t="shared" si="30"/>
        <v>2.9397000000000002</v>
      </c>
      <c r="N171" s="6">
        <f t="shared" si="31"/>
        <v>48.995000000000005</v>
      </c>
      <c r="O171" s="6">
        <f t="shared" si="32"/>
        <v>65.555310000000006</v>
      </c>
      <c r="P171" s="6">
        <f t="shared" si="36"/>
        <v>670.7259600000001</v>
      </c>
    </row>
    <row r="172" spans="1:16" x14ac:dyDescent="0.25">
      <c r="A172" s="5">
        <v>147</v>
      </c>
      <c r="B172" s="5" t="s">
        <v>154</v>
      </c>
      <c r="C172" s="5" t="s">
        <v>4</v>
      </c>
      <c r="D172" s="69">
        <v>340</v>
      </c>
      <c r="E172" s="69">
        <v>36.130000000000003</v>
      </c>
      <c r="F172" s="69">
        <v>90.67</v>
      </c>
      <c r="G172" s="9"/>
      <c r="H172" s="9">
        <f t="shared" si="33"/>
        <v>466.8</v>
      </c>
      <c r="I172" s="7">
        <f t="shared" si="34"/>
        <v>38.9</v>
      </c>
      <c r="J172" s="7">
        <v>28.33</v>
      </c>
      <c r="K172" s="7">
        <f t="shared" si="35"/>
        <v>19.45</v>
      </c>
      <c r="L172" s="6">
        <f t="shared" si="29"/>
        <v>2.968</v>
      </c>
      <c r="M172" s="6">
        <f t="shared" si="30"/>
        <v>2.968</v>
      </c>
      <c r="N172" s="6">
        <f t="shared" si="31"/>
        <v>49.466666666666669</v>
      </c>
      <c r="O172" s="6">
        <f t="shared" si="32"/>
        <v>66.186400000000006</v>
      </c>
      <c r="P172" s="6">
        <f t="shared" si="36"/>
        <v>675.06906666666669</v>
      </c>
    </row>
    <row r="173" spans="1:16" x14ac:dyDescent="0.25">
      <c r="A173" s="5">
        <v>148</v>
      </c>
      <c r="B173" s="5" t="s">
        <v>155</v>
      </c>
      <c r="C173" s="5" t="s">
        <v>4</v>
      </c>
      <c r="D173" s="69">
        <v>340</v>
      </c>
      <c r="E173" s="69"/>
      <c r="F173" s="69">
        <v>110.5</v>
      </c>
      <c r="G173" s="9">
        <v>129.62</v>
      </c>
      <c r="H173" s="9">
        <f t="shared" si="33"/>
        <v>580.12</v>
      </c>
      <c r="I173" s="7">
        <f t="shared" si="34"/>
        <v>48.343333333333334</v>
      </c>
      <c r="J173" s="7">
        <v>28.33</v>
      </c>
      <c r="K173" s="7">
        <f t="shared" si="35"/>
        <v>24.171666666666667</v>
      </c>
      <c r="L173" s="6">
        <f t="shared" si="29"/>
        <v>4.1012000000000004</v>
      </c>
      <c r="M173" s="6">
        <f t="shared" si="30"/>
        <v>4.1012000000000004</v>
      </c>
      <c r="N173" s="6">
        <f t="shared" si="31"/>
        <v>68.353333333333339</v>
      </c>
      <c r="O173" s="6">
        <f t="shared" si="32"/>
        <v>91.456760000000003</v>
      </c>
      <c r="P173" s="6">
        <f t="shared" si="36"/>
        <v>848.97749333333331</v>
      </c>
    </row>
    <row r="174" spans="1:16" x14ac:dyDescent="0.25">
      <c r="A174" s="5">
        <v>149</v>
      </c>
      <c r="B174" s="5" t="s">
        <v>156</v>
      </c>
      <c r="C174" s="5" t="s">
        <v>14</v>
      </c>
      <c r="D174" s="69">
        <v>512.35</v>
      </c>
      <c r="E174" s="69"/>
      <c r="F174" s="69"/>
      <c r="G174" s="9">
        <v>42.68</v>
      </c>
      <c r="H174" s="9">
        <f t="shared" si="33"/>
        <v>555.03</v>
      </c>
      <c r="I174" s="7">
        <f t="shared" si="34"/>
        <v>46.252499999999998</v>
      </c>
      <c r="J174" s="7">
        <v>28.33</v>
      </c>
      <c r="K174" s="7">
        <f t="shared" si="35"/>
        <v>23.126249999999999</v>
      </c>
      <c r="L174" s="6">
        <f t="shared" si="29"/>
        <v>2.9885499999999996</v>
      </c>
      <c r="M174" s="6">
        <f t="shared" si="30"/>
        <v>2.9885499999999996</v>
      </c>
      <c r="N174" s="6">
        <f t="shared" si="31"/>
        <v>49.809166666666663</v>
      </c>
      <c r="O174" s="6">
        <f t="shared" si="32"/>
        <v>66.644664999999989</v>
      </c>
      <c r="P174" s="6">
        <f t="shared" si="36"/>
        <v>775.16968166666686</v>
      </c>
    </row>
    <row r="175" spans="1:16" x14ac:dyDescent="0.25">
      <c r="A175" s="5">
        <v>150</v>
      </c>
      <c r="B175" s="5" t="s">
        <v>157</v>
      </c>
      <c r="C175" s="5" t="s">
        <v>4</v>
      </c>
      <c r="D175" s="69">
        <v>340</v>
      </c>
      <c r="E175" s="69">
        <v>31.88</v>
      </c>
      <c r="F175" s="69">
        <v>45.33</v>
      </c>
      <c r="G175" s="9">
        <v>32.869999999999997</v>
      </c>
      <c r="H175" s="9">
        <f t="shared" si="33"/>
        <v>450.08</v>
      </c>
      <c r="I175" s="7">
        <f t="shared" si="34"/>
        <v>37.506666666666668</v>
      </c>
      <c r="J175" s="7">
        <v>28.33</v>
      </c>
      <c r="K175" s="7">
        <f t="shared" si="35"/>
        <v>18.753333333333334</v>
      </c>
      <c r="L175" s="6">
        <f t="shared" si="29"/>
        <v>2.8007999999999997</v>
      </c>
      <c r="M175" s="6">
        <f t="shared" si="30"/>
        <v>2.8007999999999997</v>
      </c>
      <c r="N175" s="6">
        <f t="shared" si="31"/>
        <v>46.68</v>
      </c>
      <c r="O175" s="6">
        <f t="shared" si="32"/>
        <v>62.457839999999997</v>
      </c>
      <c r="P175" s="6">
        <f t="shared" si="36"/>
        <v>649.4094399999999</v>
      </c>
    </row>
    <row r="176" spans="1:16" x14ac:dyDescent="0.25">
      <c r="A176" s="5">
        <v>151</v>
      </c>
      <c r="B176" s="5" t="s">
        <v>158</v>
      </c>
      <c r="C176" s="5" t="s">
        <v>4</v>
      </c>
      <c r="D176" s="69">
        <v>340</v>
      </c>
      <c r="E176" s="69"/>
      <c r="F176" s="69">
        <v>45.33</v>
      </c>
      <c r="G176" s="9">
        <v>85.01</v>
      </c>
      <c r="H176" s="9">
        <f t="shared" si="33"/>
        <v>470.34</v>
      </c>
      <c r="I176" s="7">
        <f t="shared" si="34"/>
        <v>39.195</v>
      </c>
      <c r="J176" s="7">
        <v>28.33</v>
      </c>
      <c r="K176" s="7">
        <f t="shared" si="35"/>
        <v>19.5975</v>
      </c>
      <c r="L176" s="6">
        <f t="shared" si="29"/>
        <v>3.0033999999999996</v>
      </c>
      <c r="M176" s="6">
        <f t="shared" si="30"/>
        <v>3.0033999999999996</v>
      </c>
      <c r="N176" s="6">
        <f t="shared" si="31"/>
        <v>50.056666666666665</v>
      </c>
      <c r="O176" s="6">
        <f t="shared" si="32"/>
        <v>66.975819999999999</v>
      </c>
      <c r="P176" s="6">
        <f t="shared" si="36"/>
        <v>680.5017866666667</v>
      </c>
    </row>
    <row r="177" spans="1:16" x14ac:dyDescent="0.25">
      <c r="A177" s="5">
        <v>152</v>
      </c>
      <c r="B177" s="5" t="s">
        <v>159</v>
      </c>
      <c r="C177" s="5" t="s">
        <v>4</v>
      </c>
      <c r="D177" s="69">
        <v>340</v>
      </c>
      <c r="E177" s="69"/>
      <c r="F177" s="69">
        <v>73.67</v>
      </c>
      <c r="G177" s="9">
        <v>126.55</v>
      </c>
      <c r="H177" s="9">
        <f t="shared" si="33"/>
        <v>540.22</v>
      </c>
      <c r="I177" s="7">
        <f t="shared" si="34"/>
        <v>45.018333333333338</v>
      </c>
      <c r="J177" s="7">
        <v>28.33</v>
      </c>
      <c r="K177" s="7">
        <f t="shared" si="35"/>
        <v>22.509166666666669</v>
      </c>
      <c r="L177" s="6">
        <f t="shared" si="29"/>
        <v>3.7022000000000004</v>
      </c>
      <c r="M177" s="6">
        <f t="shared" si="30"/>
        <v>3.7022000000000004</v>
      </c>
      <c r="N177" s="6">
        <f t="shared" si="31"/>
        <v>61.70333333333334</v>
      </c>
      <c r="O177" s="6">
        <f t="shared" si="32"/>
        <v>82.559060000000002</v>
      </c>
      <c r="P177" s="6">
        <f t="shared" si="36"/>
        <v>787.74429333333342</v>
      </c>
    </row>
    <row r="178" spans="1:16" x14ac:dyDescent="0.25">
      <c r="A178" s="5">
        <v>153</v>
      </c>
      <c r="B178" s="5" t="s">
        <v>160</v>
      </c>
      <c r="C178" s="5" t="s">
        <v>4</v>
      </c>
      <c r="D178" s="69">
        <v>340</v>
      </c>
      <c r="E178" s="69"/>
      <c r="F178" s="69">
        <v>22.67</v>
      </c>
      <c r="G178" s="9">
        <v>30.21</v>
      </c>
      <c r="H178" s="9">
        <f t="shared" si="33"/>
        <v>392.88</v>
      </c>
      <c r="I178" s="7">
        <f t="shared" si="34"/>
        <v>32.74</v>
      </c>
      <c r="J178" s="7">
        <v>28.33</v>
      </c>
      <c r="K178" s="7">
        <f t="shared" si="35"/>
        <v>16.37</v>
      </c>
      <c r="L178" s="6">
        <f t="shared" si="29"/>
        <v>2.2288000000000001</v>
      </c>
      <c r="M178" s="6">
        <f t="shared" si="30"/>
        <v>2.2288000000000001</v>
      </c>
      <c r="N178" s="6">
        <f t="shared" si="31"/>
        <v>37.146666666666668</v>
      </c>
      <c r="O178" s="6">
        <f t="shared" si="32"/>
        <v>49.702240000000003</v>
      </c>
      <c r="P178" s="6">
        <f t="shared" si="36"/>
        <v>561.62650666666661</v>
      </c>
    </row>
    <row r="179" spans="1:16" x14ac:dyDescent="0.25">
      <c r="A179" s="5">
        <v>154</v>
      </c>
      <c r="B179" s="5" t="s">
        <v>161</v>
      </c>
      <c r="C179" s="5" t="s">
        <v>4</v>
      </c>
      <c r="D179" s="69">
        <v>340</v>
      </c>
      <c r="E179" s="69">
        <v>17</v>
      </c>
      <c r="F179" s="69">
        <v>85</v>
      </c>
      <c r="G179" s="9">
        <v>36.82</v>
      </c>
      <c r="H179" s="9">
        <f t="shared" si="33"/>
        <v>478.82</v>
      </c>
      <c r="I179" s="7">
        <f t="shared" si="34"/>
        <v>39.901666666666664</v>
      </c>
      <c r="J179" s="7">
        <v>28.33</v>
      </c>
      <c r="K179" s="7">
        <f t="shared" si="35"/>
        <v>19.950833333333332</v>
      </c>
      <c r="L179" s="6">
        <f t="shared" si="29"/>
        <v>3.0882000000000001</v>
      </c>
      <c r="M179" s="6">
        <f t="shared" si="30"/>
        <v>3.0882000000000001</v>
      </c>
      <c r="N179" s="6">
        <f t="shared" si="31"/>
        <v>51.47</v>
      </c>
      <c r="O179" s="6">
        <f t="shared" si="32"/>
        <v>68.866860000000003</v>
      </c>
      <c r="P179" s="6">
        <f t="shared" si="36"/>
        <v>693.51576000000011</v>
      </c>
    </row>
    <row r="180" spans="1:16" x14ac:dyDescent="0.25">
      <c r="A180" s="5">
        <v>155</v>
      </c>
      <c r="B180" s="5" t="s">
        <v>162</v>
      </c>
      <c r="C180" s="5" t="s">
        <v>14</v>
      </c>
      <c r="D180" s="69">
        <v>512.35</v>
      </c>
      <c r="E180" s="69">
        <v>76.849999999999994</v>
      </c>
      <c r="F180" s="69">
        <v>162.24</v>
      </c>
      <c r="G180" s="9">
        <v>62.59</v>
      </c>
      <c r="H180" s="9">
        <f t="shared" si="33"/>
        <v>814.03000000000009</v>
      </c>
      <c r="I180" s="7">
        <f t="shared" si="34"/>
        <v>67.835833333333341</v>
      </c>
      <c r="J180" s="7">
        <v>28.33</v>
      </c>
      <c r="K180" s="7">
        <f t="shared" si="35"/>
        <v>33.91791666666667</v>
      </c>
      <c r="L180" s="6">
        <f t="shared" si="29"/>
        <v>5.5785499999999999</v>
      </c>
      <c r="M180" s="6">
        <f t="shared" si="30"/>
        <v>5.5785499999999999</v>
      </c>
      <c r="N180" s="6">
        <f t="shared" si="31"/>
        <v>92.975833333333341</v>
      </c>
      <c r="O180" s="6">
        <f t="shared" si="32"/>
        <v>124.40166500000001</v>
      </c>
      <c r="P180" s="6">
        <f t="shared" si="36"/>
        <v>1172.6483483333334</v>
      </c>
    </row>
    <row r="181" spans="1:16" x14ac:dyDescent="0.25">
      <c r="A181" s="5">
        <v>156</v>
      </c>
      <c r="B181" s="5" t="s">
        <v>163</v>
      </c>
      <c r="C181" s="5" t="s">
        <v>4</v>
      </c>
      <c r="D181" s="69">
        <v>340</v>
      </c>
      <c r="E181" s="69"/>
      <c r="F181" s="69">
        <v>113.34</v>
      </c>
      <c r="G181" s="9"/>
      <c r="H181" s="9">
        <f t="shared" si="33"/>
        <v>453.34000000000003</v>
      </c>
      <c r="I181" s="7">
        <f t="shared" si="34"/>
        <v>37.778333333333336</v>
      </c>
      <c r="J181" s="7">
        <v>28.33</v>
      </c>
      <c r="K181" s="7">
        <f t="shared" si="35"/>
        <v>18.889166666666668</v>
      </c>
      <c r="L181" s="6">
        <f t="shared" si="29"/>
        <v>2.8334000000000006</v>
      </c>
      <c r="M181" s="6">
        <f t="shared" si="30"/>
        <v>2.8334000000000006</v>
      </c>
      <c r="N181" s="6">
        <f t="shared" si="31"/>
        <v>47.223333333333336</v>
      </c>
      <c r="O181" s="6">
        <f t="shared" si="32"/>
        <v>63.184820000000009</v>
      </c>
      <c r="P181" s="6">
        <f t="shared" si="36"/>
        <v>654.41245333333347</v>
      </c>
    </row>
    <row r="182" spans="1:16" x14ac:dyDescent="0.25">
      <c r="A182" s="5">
        <v>157</v>
      </c>
      <c r="B182" s="5" t="s">
        <v>164</v>
      </c>
      <c r="C182" s="5" t="s">
        <v>4</v>
      </c>
      <c r="D182" s="69">
        <v>340</v>
      </c>
      <c r="E182" s="69">
        <v>6.38</v>
      </c>
      <c r="F182" s="69">
        <v>130.34</v>
      </c>
      <c r="G182" s="9"/>
      <c r="H182" s="9">
        <f t="shared" si="33"/>
        <v>476.72</v>
      </c>
      <c r="I182" s="7">
        <f t="shared" si="34"/>
        <v>39.726666666666667</v>
      </c>
      <c r="J182" s="7">
        <v>28.33</v>
      </c>
      <c r="K182" s="7">
        <f t="shared" si="35"/>
        <v>19.863333333333333</v>
      </c>
      <c r="L182" s="6">
        <f t="shared" si="29"/>
        <v>3.0672000000000001</v>
      </c>
      <c r="M182" s="6">
        <f t="shared" si="30"/>
        <v>3.0672000000000001</v>
      </c>
      <c r="N182" s="6">
        <f t="shared" si="31"/>
        <v>51.120000000000005</v>
      </c>
      <c r="O182" s="6">
        <f t="shared" si="32"/>
        <v>68.398560000000003</v>
      </c>
      <c r="P182" s="6">
        <f t="shared" si="36"/>
        <v>690.29295999999999</v>
      </c>
    </row>
    <row r="183" spans="1:16" x14ac:dyDescent="0.25">
      <c r="A183" s="5">
        <v>158</v>
      </c>
      <c r="B183" s="5" t="s">
        <v>165</v>
      </c>
      <c r="C183" s="5" t="s">
        <v>4</v>
      </c>
      <c r="D183" s="69">
        <v>340</v>
      </c>
      <c r="E183" s="69">
        <v>19.13</v>
      </c>
      <c r="F183" s="69">
        <v>45.33</v>
      </c>
      <c r="G183" s="9"/>
      <c r="H183" s="9">
        <f t="shared" si="33"/>
        <v>404.46</v>
      </c>
      <c r="I183" s="7">
        <f t="shared" si="34"/>
        <v>33.704999999999998</v>
      </c>
      <c r="J183" s="7">
        <v>28.33</v>
      </c>
      <c r="K183" s="7">
        <f t="shared" si="35"/>
        <v>16.852499999999999</v>
      </c>
      <c r="L183" s="6">
        <f t="shared" si="29"/>
        <v>2.3445999999999998</v>
      </c>
      <c r="M183" s="6">
        <f t="shared" si="30"/>
        <v>2.3445999999999998</v>
      </c>
      <c r="N183" s="6">
        <f t="shared" si="31"/>
        <v>39.076666666666661</v>
      </c>
      <c r="O183" s="6">
        <f t="shared" si="32"/>
        <v>52.284579999999998</v>
      </c>
      <c r="P183" s="6">
        <f t="shared" si="36"/>
        <v>579.39794666666671</v>
      </c>
    </row>
    <row r="184" spans="1:16" x14ac:dyDescent="0.25">
      <c r="A184" s="5">
        <v>159</v>
      </c>
      <c r="B184" s="5" t="s">
        <v>166</v>
      </c>
      <c r="C184" s="5" t="s">
        <v>4</v>
      </c>
      <c r="D184" s="69">
        <v>340</v>
      </c>
      <c r="E184" s="69"/>
      <c r="F184" s="69"/>
      <c r="G184" s="9"/>
      <c r="H184" s="9">
        <f t="shared" si="33"/>
        <v>340</v>
      </c>
      <c r="I184" s="7">
        <f t="shared" si="34"/>
        <v>28.333333333333332</v>
      </c>
      <c r="J184" s="7">
        <v>28.33</v>
      </c>
      <c r="K184" s="7">
        <f t="shared" si="35"/>
        <v>14.166666666666666</v>
      </c>
      <c r="L184" s="6">
        <f t="shared" si="29"/>
        <v>1.7</v>
      </c>
      <c r="M184" s="6">
        <f t="shared" si="30"/>
        <v>1.7</v>
      </c>
      <c r="N184" s="6">
        <f t="shared" si="31"/>
        <v>28.333333333333332</v>
      </c>
      <c r="O184" s="6">
        <f t="shared" si="32"/>
        <v>37.910000000000004</v>
      </c>
      <c r="P184" s="6">
        <f t="shared" si="36"/>
        <v>480.4733333333333</v>
      </c>
    </row>
    <row r="185" spans="1:16" x14ac:dyDescent="0.25">
      <c r="A185" s="5">
        <v>160</v>
      </c>
      <c r="B185" s="5" t="s">
        <v>167</v>
      </c>
      <c r="C185" s="5" t="s">
        <v>4</v>
      </c>
      <c r="D185" s="69">
        <v>340</v>
      </c>
      <c r="E185" s="69">
        <v>2.13</v>
      </c>
      <c r="F185" s="69">
        <v>45.33</v>
      </c>
      <c r="G185" s="9"/>
      <c r="H185" s="9">
        <f t="shared" si="33"/>
        <v>387.46</v>
      </c>
      <c r="I185" s="7">
        <f t="shared" si="34"/>
        <v>32.288333333333334</v>
      </c>
      <c r="J185" s="7">
        <v>28.33</v>
      </c>
      <c r="K185" s="7">
        <f t="shared" si="35"/>
        <v>16.144166666666667</v>
      </c>
      <c r="L185" s="6">
        <f t="shared" si="29"/>
        <v>2.1745999999999999</v>
      </c>
      <c r="M185" s="6">
        <f t="shared" si="30"/>
        <v>2.1745999999999999</v>
      </c>
      <c r="N185" s="6">
        <f t="shared" si="31"/>
        <v>36.243333333333332</v>
      </c>
      <c r="O185" s="6">
        <f t="shared" si="32"/>
        <v>48.493579999999994</v>
      </c>
      <c r="P185" s="6">
        <f t="shared" si="36"/>
        <v>553.30861333333326</v>
      </c>
    </row>
    <row r="186" spans="1:16" x14ac:dyDescent="0.25">
      <c r="A186" s="5">
        <v>161</v>
      </c>
      <c r="B186" s="5" t="s">
        <v>168</v>
      </c>
      <c r="C186" s="5" t="s">
        <v>4</v>
      </c>
      <c r="D186" s="69">
        <v>340</v>
      </c>
      <c r="E186" s="69">
        <v>6.38</v>
      </c>
      <c r="F186" s="69">
        <v>130.34</v>
      </c>
      <c r="G186" s="9">
        <v>39.71</v>
      </c>
      <c r="H186" s="9">
        <f t="shared" si="33"/>
        <v>516.43000000000006</v>
      </c>
      <c r="I186" s="7">
        <f t="shared" si="34"/>
        <v>43.035833333333336</v>
      </c>
      <c r="J186" s="7">
        <v>28.33</v>
      </c>
      <c r="K186" s="7">
        <f t="shared" si="35"/>
        <v>21.517916666666668</v>
      </c>
      <c r="L186" s="6">
        <f t="shared" si="29"/>
        <v>3.4643000000000006</v>
      </c>
      <c r="M186" s="6">
        <f t="shared" si="30"/>
        <v>3.4643000000000006</v>
      </c>
      <c r="N186" s="6">
        <f t="shared" si="31"/>
        <v>57.738333333333344</v>
      </c>
      <c r="O186" s="6">
        <f t="shared" si="32"/>
        <v>77.253890000000013</v>
      </c>
      <c r="P186" s="6">
        <f t="shared" si="36"/>
        <v>751.2345733333334</v>
      </c>
    </row>
    <row r="187" spans="1:16" x14ac:dyDescent="0.25">
      <c r="A187" s="5">
        <v>162</v>
      </c>
      <c r="B187" s="5" t="s">
        <v>169</v>
      </c>
      <c r="C187" s="5" t="s">
        <v>4</v>
      </c>
      <c r="D187" s="69">
        <v>340</v>
      </c>
      <c r="E187" s="69">
        <v>27.63</v>
      </c>
      <c r="F187" s="69">
        <v>113.34</v>
      </c>
      <c r="G187" s="9">
        <v>40.06</v>
      </c>
      <c r="H187" s="9">
        <f t="shared" si="33"/>
        <v>521.03</v>
      </c>
      <c r="I187" s="7">
        <f t="shared" si="34"/>
        <v>43.419166666666662</v>
      </c>
      <c r="J187" s="7">
        <v>28.33</v>
      </c>
      <c r="K187" s="7">
        <f t="shared" si="35"/>
        <v>21.709583333333331</v>
      </c>
      <c r="L187" s="6">
        <f t="shared" si="29"/>
        <v>3.5103</v>
      </c>
      <c r="M187" s="6">
        <f t="shared" si="30"/>
        <v>3.5103</v>
      </c>
      <c r="N187" s="6">
        <f t="shared" si="31"/>
        <v>58.504999999999995</v>
      </c>
      <c r="O187" s="6">
        <f t="shared" si="32"/>
        <v>78.279690000000002</v>
      </c>
      <c r="P187" s="6">
        <f t="shared" si="36"/>
        <v>758.29404</v>
      </c>
    </row>
    <row r="188" spans="1:16" x14ac:dyDescent="0.25">
      <c r="A188" s="5">
        <v>163</v>
      </c>
      <c r="B188" s="5" t="s">
        <v>170</v>
      </c>
      <c r="C188" s="5" t="s">
        <v>4</v>
      </c>
      <c r="D188" s="69">
        <v>340</v>
      </c>
      <c r="E188" s="69"/>
      <c r="F188" s="69">
        <v>45.33</v>
      </c>
      <c r="G188" s="9">
        <v>32.1</v>
      </c>
      <c r="H188" s="9">
        <f t="shared" si="33"/>
        <v>417.43</v>
      </c>
      <c r="I188" s="7">
        <f t="shared" si="34"/>
        <v>34.785833333333336</v>
      </c>
      <c r="J188" s="7">
        <v>28.33</v>
      </c>
      <c r="K188" s="7">
        <f t="shared" si="35"/>
        <v>17.392916666666668</v>
      </c>
      <c r="L188" s="6">
        <f t="shared" si="29"/>
        <v>2.4742999999999999</v>
      </c>
      <c r="M188" s="6">
        <f t="shared" si="30"/>
        <v>2.4742999999999999</v>
      </c>
      <c r="N188" s="6">
        <f t="shared" si="31"/>
        <v>41.238333333333337</v>
      </c>
      <c r="O188" s="6">
        <f t="shared" si="32"/>
        <v>55.17689</v>
      </c>
      <c r="P188" s="6">
        <f t="shared" si="36"/>
        <v>599.30257333333338</v>
      </c>
    </row>
    <row r="189" spans="1:16" x14ac:dyDescent="0.25">
      <c r="A189" s="5">
        <v>164</v>
      </c>
      <c r="B189" s="5" t="s">
        <v>171</v>
      </c>
      <c r="C189" s="5" t="s">
        <v>4</v>
      </c>
      <c r="D189" s="69">
        <v>340</v>
      </c>
      <c r="E189" s="69">
        <v>25.5</v>
      </c>
      <c r="F189" s="69">
        <v>158.66999999999999</v>
      </c>
      <c r="G189" s="9"/>
      <c r="H189" s="9">
        <f t="shared" si="33"/>
        <v>524.16999999999996</v>
      </c>
      <c r="I189" s="7">
        <f t="shared" si="34"/>
        <v>43.680833333333332</v>
      </c>
      <c r="J189" s="7">
        <v>28.33</v>
      </c>
      <c r="K189" s="7">
        <f t="shared" si="35"/>
        <v>21.840416666666666</v>
      </c>
      <c r="L189" s="6">
        <f t="shared" si="29"/>
        <v>3.5416999999999996</v>
      </c>
      <c r="M189" s="6">
        <f t="shared" si="30"/>
        <v>3.5416999999999996</v>
      </c>
      <c r="N189" s="6">
        <f t="shared" si="31"/>
        <v>59.028333333333329</v>
      </c>
      <c r="O189" s="6">
        <f t="shared" si="32"/>
        <v>78.97990999999999</v>
      </c>
      <c r="P189" s="6">
        <f t="shared" si="36"/>
        <v>763.11289333333332</v>
      </c>
    </row>
    <row r="190" spans="1:16" x14ac:dyDescent="0.25">
      <c r="A190" s="5">
        <v>165</v>
      </c>
      <c r="B190" s="5" t="s">
        <v>172</v>
      </c>
      <c r="C190" s="5" t="s">
        <v>4</v>
      </c>
      <c r="D190" s="69">
        <v>340</v>
      </c>
      <c r="E190" s="69">
        <v>2.13</v>
      </c>
      <c r="F190" s="69"/>
      <c r="G190" s="9"/>
      <c r="H190" s="9">
        <f t="shared" si="33"/>
        <v>342.13</v>
      </c>
      <c r="I190" s="7">
        <f t="shared" si="34"/>
        <v>28.510833333333334</v>
      </c>
      <c r="J190" s="7">
        <v>28.33</v>
      </c>
      <c r="K190" s="7">
        <f t="shared" si="35"/>
        <v>14.255416666666667</v>
      </c>
      <c r="L190" s="6">
        <f t="shared" si="29"/>
        <v>1.7213000000000001</v>
      </c>
      <c r="M190" s="6">
        <f t="shared" si="30"/>
        <v>1.7213000000000001</v>
      </c>
      <c r="N190" s="6">
        <f t="shared" si="31"/>
        <v>28.688333333333333</v>
      </c>
      <c r="O190" s="6">
        <f t="shared" si="32"/>
        <v>38.384990000000002</v>
      </c>
      <c r="P190" s="6">
        <f t="shared" si="36"/>
        <v>483.74217333333331</v>
      </c>
    </row>
    <row r="191" spans="1:16" x14ac:dyDescent="0.25">
      <c r="A191" s="5">
        <v>166</v>
      </c>
      <c r="B191" s="5" t="s">
        <v>173</v>
      </c>
      <c r="C191" s="5" t="s">
        <v>4</v>
      </c>
      <c r="D191" s="69">
        <v>340</v>
      </c>
      <c r="E191" s="69"/>
      <c r="F191" s="69">
        <v>150.16999999999999</v>
      </c>
      <c r="G191" s="9">
        <v>85.01</v>
      </c>
      <c r="H191" s="9">
        <f t="shared" si="33"/>
        <v>575.17999999999995</v>
      </c>
      <c r="I191" s="7">
        <f t="shared" si="34"/>
        <v>47.931666666666665</v>
      </c>
      <c r="J191" s="7">
        <v>28.33</v>
      </c>
      <c r="K191" s="7">
        <f t="shared" si="35"/>
        <v>23.965833333333332</v>
      </c>
      <c r="L191" s="6">
        <f t="shared" si="29"/>
        <v>4.0517999999999992</v>
      </c>
      <c r="M191" s="6">
        <f t="shared" si="30"/>
        <v>4.0517999999999992</v>
      </c>
      <c r="N191" s="6">
        <f t="shared" si="31"/>
        <v>67.529999999999987</v>
      </c>
      <c r="O191" s="6">
        <f t="shared" si="32"/>
        <v>90.355139999999992</v>
      </c>
      <c r="P191" s="6">
        <f t="shared" si="36"/>
        <v>841.39623999999981</v>
      </c>
    </row>
    <row r="192" spans="1:16" x14ac:dyDescent="0.25">
      <c r="A192" s="5">
        <v>167</v>
      </c>
      <c r="B192" s="5" t="s">
        <v>174</v>
      </c>
      <c r="C192" s="5" t="s">
        <v>4</v>
      </c>
      <c r="D192" s="69">
        <v>340</v>
      </c>
      <c r="E192" s="69"/>
      <c r="F192" s="69">
        <v>22.67</v>
      </c>
      <c r="G192" s="9">
        <v>85.01</v>
      </c>
      <c r="H192" s="9">
        <f t="shared" si="33"/>
        <v>447.68</v>
      </c>
      <c r="I192" s="7">
        <f t="shared" si="34"/>
        <v>37.306666666666665</v>
      </c>
      <c r="J192" s="7">
        <v>28.33</v>
      </c>
      <c r="K192" s="7">
        <f t="shared" si="35"/>
        <v>18.653333333333332</v>
      </c>
      <c r="L192" s="6">
        <f t="shared" ref="L192:L201" si="37">(E192+F192+G192+H192)*0.005</f>
        <v>2.7768000000000002</v>
      </c>
      <c r="M192" s="6">
        <f t="shared" ref="M192:M201" si="38">(E192+F192+G192+H192)*0.005</f>
        <v>2.7768000000000002</v>
      </c>
      <c r="N192" s="6">
        <f t="shared" ref="N192:N201" si="39">(E192+F192+G192+H192)/12</f>
        <v>46.28</v>
      </c>
      <c r="O192" s="6">
        <f t="shared" ref="O192:O201" si="40">(E192+F192+G192+H192)*0.1115</f>
        <v>61.922640000000001</v>
      </c>
      <c r="P192" s="6">
        <f t="shared" si="36"/>
        <v>645.72623999999996</v>
      </c>
    </row>
    <row r="193" spans="1:16" x14ac:dyDescent="0.25">
      <c r="A193" s="5">
        <v>168</v>
      </c>
      <c r="B193" s="5" t="s">
        <v>175</v>
      </c>
      <c r="C193" s="5" t="s">
        <v>4</v>
      </c>
      <c r="D193" s="69">
        <v>340</v>
      </c>
      <c r="E193" s="69">
        <v>8.5</v>
      </c>
      <c r="F193" s="69">
        <v>68</v>
      </c>
      <c r="G193" s="9">
        <v>34.69</v>
      </c>
      <c r="H193" s="9">
        <f t="shared" si="33"/>
        <v>451.19</v>
      </c>
      <c r="I193" s="7">
        <f t="shared" si="34"/>
        <v>37.599166666666669</v>
      </c>
      <c r="J193" s="7">
        <v>28.33</v>
      </c>
      <c r="K193" s="7">
        <f t="shared" si="35"/>
        <v>18.799583333333334</v>
      </c>
      <c r="L193" s="6">
        <f t="shared" si="37"/>
        <v>2.8119000000000001</v>
      </c>
      <c r="M193" s="6">
        <f t="shared" si="38"/>
        <v>2.8119000000000001</v>
      </c>
      <c r="N193" s="6">
        <f t="shared" si="39"/>
        <v>46.865000000000002</v>
      </c>
      <c r="O193" s="6">
        <f t="shared" si="40"/>
        <v>62.705370000000002</v>
      </c>
      <c r="P193" s="6">
        <f t="shared" si="36"/>
        <v>651.11292000000014</v>
      </c>
    </row>
    <row r="194" spans="1:16" x14ac:dyDescent="0.25">
      <c r="A194" s="5">
        <v>169</v>
      </c>
      <c r="B194" s="5" t="s">
        <v>176</v>
      </c>
      <c r="C194" s="5" t="s">
        <v>4</v>
      </c>
      <c r="D194" s="69">
        <v>340</v>
      </c>
      <c r="E194" s="69"/>
      <c r="F194" s="69">
        <v>5.67</v>
      </c>
      <c r="G194" s="9">
        <v>85.01</v>
      </c>
      <c r="H194" s="9">
        <f t="shared" si="33"/>
        <v>430.68</v>
      </c>
      <c r="I194" s="7">
        <f t="shared" si="34"/>
        <v>35.89</v>
      </c>
      <c r="J194" s="7">
        <v>28.33</v>
      </c>
      <c r="K194" s="7">
        <f t="shared" si="35"/>
        <v>17.945</v>
      </c>
      <c r="L194" s="6">
        <f t="shared" si="37"/>
        <v>2.6068000000000002</v>
      </c>
      <c r="M194" s="6">
        <f t="shared" si="38"/>
        <v>2.6068000000000002</v>
      </c>
      <c r="N194" s="6">
        <f t="shared" si="39"/>
        <v>43.446666666666665</v>
      </c>
      <c r="O194" s="6">
        <f t="shared" si="40"/>
        <v>58.131640000000004</v>
      </c>
      <c r="P194" s="6">
        <f t="shared" si="36"/>
        <v>619.63690666666685</v>
      </c>
    </row>
    <row r="195" spans="1:16" x14ac:dyDescent="0.25">
      <c r="A195" s="5">
        <v>170</v>
      </c>
      <c r="B195" s="5" t="s">
        <v>177</v>
      </c>
      <c r="C195" s="5" t="s">
        <v>14</v>
      </c>
      <c r="D195" s="69">
        <v>512.35</v>
      </c>
      <c r="E195" s="69">
        <v>80.06</v>
      </c>
      <c r="F195" s="69">
        <v>119.55</v>
      </c>
      <c r="G195" s="9">
        <v>59.31</v>
      </c>
      <c r="H195" s="9">
        <f t="shared" si="33"/>
        <v>771.27</v>
      </c>
      <c r="I195" s="7">
        <f t="shared" si="34"/>
        <v>64.272499999999994</v>
      </c>
      <c r="J195" s="7">
        <v>28.33</v>
      </c>
      <c r="K195" s="7">
        <f t="shared" si="35"/>
        <v>32.136249999999997</v>
      </c>
      <c r="L195" s="6">
        <f t="shared" si="37"/>
        <v>5.1509500000000008</v>
      </c>
      <c r="M195" s="6">
        <f t="shared" si="38"/>
        <v>5.1509500000000008</v>
      </c>
      <c r="N195" s="6">
        <f t="shared" si="39"/>
        <v>85.849166666666676</v>
      </c>
      <c r="O195" s="6">
        <f t="shared" si="40"/>
        <v>114.866185</v>
      </c>
      <c r="P195" s="6">
        <f t="shared" si="36"/>
        <v>1107.0260016666666</v>
      </c>
    </row>
    <row r="196" spans="1:16" x14ac:dyDescent="0.25">
      <c r="A196" s="5">
        <v>171</v>
      </c>
      <c r="B196" s="5" t="s">
        <v>178</v>
      </c>
      <c r="C196" s="5" t="s">
        <v>4</v>
      </c>
      <c r="D196" s="69">
        <v>340</v>
      </c>
      <c r="E196" s="69"/>
      <c r="F196" s="69">
        <v>204</v>
      </c>
      <c r="G196" s="9"/>
      <c r="H196" s="9">
        <f t="shared" si="33"/>
        <v>544</v>
      </c>
      <c r="I196" s="7">
        <f t="shared" si="34"/>
        <v>45.333333333333336</v>
      </c>
      <c r="J196" s="7">
        <v>28.33</v>
      </c>
      <c r="K196" s="7">
        <f t="shared" si="35"/>
        <v>22.666666666666668</v>
      </c>
      <c r="L196" s="6">
        <f t="shared" si="37"/>
        <v>3.74</v>
      </c>
      <c r="M196" s="6">
        <f t="shared" si="38"/>
        <v>3.74</v>
      </c>
      <c r="N196" s="6">
        <f t="shared" si="39"/>
        <v>62.333333333333336</v>
      </c>
      <c r="O196" s="6">
        <f t="shared" si="40"/>
        <v>83.402000000000001</v>
      </c>
      <c r="P196" s="6">
        <f t="shared" si="36"/>
        <v>793.54533333333347</v>
      </c>
    </row>
    <row r="197" spans="1:16" x14ac:dyDescent="0.25">
      <c r="A197" s="5">
        <v>172</v>
      </c>
      <c r="B197" s="5" t="s">
        <v>179</v>
      </c>
      <c r="C197" s="5" t="s">
        <v>4</v>
      </c>
      <c r="D197" s="69">
        <v>340</v>
      </c>
      <c r="E197" s="69"/>
      <c r="F197" s="69">
        <v>90.67</v>
      </c>
      <c r="G197" s="9"/>
      <c r="H197" s="9">
        <f t="shared" si="33"/>
        <v>430.67</v>
      </c>
      <c r="I197" s="7">
        <f t="shared" si="34"/>
        <v>35.889166666666668</v>
      </c>
      <c r="J197" s="7">
        <v>28.33</v>
      </c>
      <c r="K197" s="7">
        <f t="shared" si="35"/>
        <v>17.944583333333334</v>
      </c>
      <c r="L197" s="6">
        <f t="shared" si="37"/>
        <v>2.6067</v>
      </c>
      <c r="M197" s="6">
        <f t="shared" si="38"/>
        <v>2.6067</v>
      </c>
      <c r="N197" s="6">
        <f t="shared" si="39"/>
        <v>43.445</v>
      </c>
      <c r="O197" s="6">
        <f t="shared" si="40"/>
        <v>58.129410000000007</v>
      </c>
      <c r="P197" s="6">
        <f t="shared" si="36"/>
        <v>619.62156000000016</v>
      </c>
    </row>
    <row r="198" spans="1:16" ht="60" x14ac:dyDescent="0.25">
      <c r="A198" s="5">
        <v>173</v>
      </c>
      <c r="B198" s="5" t="s">
        <v>180</v>
      </c>
      <c r="C198" s="76" t="s">
        <v>181</v>
      </c>
      <c r="D198" s="69">
        <v>500</v>
      </c>
      <c r="E198" s="69">
        <v>15.63</v>
      </c>
      <c r="F198" s="69">
        <v>33.33</v>
      </c>
      <c r="G198" s="9"/>
      <c r="H198" s="9">
        <f t="shared" si="33"/>
        <v>548.96</v>
      </c>
      <c r="I198" s="7">
        <f t="shared" si="34"/>
        <v>45.74666666666667</v>
      </c>
      <c r="J198" s="7">
        <v>28.33</v>
      </c>
      <c r="K198" s="7">
        <f t="shared" si="35"/>
        <v>22.873333333333335</v>
      </c>
      <c r="L198" s="6">
        <f t="shared" si="37"/>
        <v>2.9896000000000003</v>
      </c>
      <c r="M198" s="6">
        <f t="shared" si="38"/>
        <v>2.9896000000000003</v>
      </c>
      <c r="N198" s="6">
        <f t="shared" si="39"/>
        <v>49.826666666666675</v>
      </c>
      <c r="O198" s="6">
        <f t="shared" si="40"/>
        <v>66.668080000000003</v>
      </c>
      <c r="P198" s="6">
        <f t="shared" si="36"/>
        <v>768.38394666666682</v>
      </c>
    </row>
    <row r="199" spans="1:16" x14ac:dyDescent="0.25">
      <c r="A199" s="5">
        <v>174</v>
      </c>
      <c r="B199" s="5" t="s">
        <v>182</v>
      </c>
      <c r="C199" s="5" t="s">
        <v>4</v>
      </c>
      <c r="D199" s="69">
        <v>340</v>
      </c>
      <c r="E199" s="69">
        <v>10.63</v>
      </c>
      <c r="F199" s="69">
        <v>102</v>
      </c>
      <c r="G199" s="9"/>
      <c r="H199" s="9">
        <f t="shared" si="33"/>
        <v>452.63</v>
      </c>
      <c r="I199" s="7">
        <f t="shared" si="34"/>
        <v>37.719166666666666</v>
      </c>
      <c r="J199" s="7">
        <v>28.33</v>
      </c>
      <c r="K199" s="7">
        <f t="shared" si="35"/>
        <v>18.859583333333333</v>
      </c>
      <c r="L199" s="6">
        <f t="shared" si="37"/>
        <v>2.8262999999999998</v>
      </c>
      <c r="M199" s="6">
        <f t="shared" si="38"/>
        <v>2.8262999999999998</v>
      </c>
      <c r="N199" s="6">
        <f t="shared" si="39"/>
        <v>47.104999999999997</v>
      </c>
      <c r="O199" s="6">
        <f t="shared" si="40"/>
        <v>63.026490000000003</v>
      </c>
      <c r="P199" s="6">
        <f t="shared" si="36"/>
        <v>653.32283999999993</v>
      </c>
    </row>
    <row r="200" spans="1:16" x14ac:dyDescent="0.25">
      <c r="A200" s="5">
        <v>175</v>
      </c>
      <c r="B200" s="5" t="s">
        <v>183</v>
      </c>
      <c r="C200" s="5" t="s">
        <v>14</v>
      </c>
      <c r="D200" s="69">
        <v>512.35</v>
      </c>
      <c r="E200" s="69">
        <v>41.63</v>
      </c>
      <c r="F200" s="69">
        <v>59.77</v>
      </c>
      <c r="G200" s="9">
        <v>51.13</v>
      </c>
      <c r="H200" s="9">
        <f t="shared" si="33"/>
        <v>664.88</v>
      </c>
      <c r="I200" s="7">
        <f t="shared" si="34"/>
        <v>55.406666666666666</v>
      </c>
      <c r="J200" s="7">
        <v>28.33</v>
      </c>
      <c r="K200" s="7">
        <f t="shared" si="35"/>
        <v>27.703333333333333</v>
      </c>
      <c r="L200" s="6">
        <f t="shared" si="37"/>
        <v>4.0870499999999996</v>
      </c>
      <c r="M200" s="6">
        <f t="shared" si="38"/>
        <v>4.0870499999999996</v>
      </c>
      <c r="N200" s="6">
        <f t="shared" si="39"/>
        <v>68.117499999999993</v>
      </c>
      <c r="O200" s="6">
        <f t="shared" si="40"/>
        <v>91.141215000000003</v>
      </c>
      <c r="P200" s="6">
        <f t="shared" si="36"/>
        <v>943.75281499999994</v>
      </c>
    </row>
    <row r="201" spans="1:16" x14ac:dyDescent="0.25">
      <c r="A201" s="5">
        <v>176</v>
      </c>
      <c r="B201" s="5" t="s">
        <v>184</v>
      </c>
      <c r="C201" s="5" t="s">
        <v>4</v>
      </c>
      <c r="D201" s="69">
        <v>340</v>
      </c>
      <c r="E201" s="69"/>
      <c r="F201" s="69">
        <v>90.67</v>
      </c>
      <c r="G201" s="9">
        <v>85.01</v>
      </c>
      <c r="H201" s="9">
        <f t="shared" si="33"/>
        <v>515.68000000000006</v>
      </c>
      <c r="I201" s="7">
        <f t="shared" si="34"/>
        <v>42.973333333333336</v>
      </c>
      <c r="J201" s="7">
        <v>28.33</v>
      </c>
      <c r="K201" s="7">
        <f t="shared" si="35"/>
        <v>21.486666666666668</v>
      </c>
      <c r="L201" s="6">
        <f t="shared" si="37"/>
        <v>3.4568000000000008</v>
      </c>
      <c r="M201" s="6">
        <f t="shared" si="38"/>
        <v>3.4568000000000008</v>
      </c>
      <c r="N201" s="6">
        <f t="shared" si="39"/>
        <v>57.613333333333344</v>
      </c>
      <c r="O201" s="6">
        <f t="shared" si="40"/>
        <v>77.086640000000017</v>
      </c>
      <c r="P201" s="6">
        <f t="shared" si="36"/>
        <v>750.08357333333356</v>
      </c>
    </row>
    <row r="202" spans="1:16" s="73" customFormat="1" x14ac:dyDescent="0.25">
      <c r="A202" s="70"/>
      <c r="B202" s="70" t="s">
        <v>2</v>
      </c>
      <c r="C202" s="70"/>
      <c r="D202" s="71">
        <f t="shared" ref="D202:P202" si="41">SUM(D96:D201)</f>
        <v>38243.499999999993</v>
      </c>
      <c r="E202" s="71">
        <f>SUM(E96:E201)</f>
        <v>1032.6199999999999</v>
      </c>
      <c r="F202" s="71">
        <f>SUM(F96:F201)</f>
        <v>9576.5000000000018</v>
      </c>
      <c r="G202" s="72">
        <f>SUM(G96:G201)</f>
        <v>4487.9900000000025</v>
      </c>
      <c r="H202" s="72">
        <f t="shared" si="41"/>
        <v>53340.609999999964</v>
      </c>
      <c r="I202" s="72">
        <f t="shared" si="41"/>
        <v>4445.0508333333337</v>
      </c>
      <c r="J202" s="72">
        <f t="shared" si="41"/>
        <v>3002.9799999999955</v>
      </c>
      <c r="K202" s="72">
        <f t="shared" si="41"/>
        <v>2222.5254166666668</v>
      </c>
      <c r="L202" s="72">
        <f t="shared" si="41"/>
        <v>342.18859999999995</v>
      </c>
      <c r="M202" s="72">
        <f t="shared" si="41"/>
        <v>342.18859999999995</v>
      </c>
      <c r="N202" s="72">
        <f t="shared" si="41"/>
        <v>5703.1433333333343</v>
      </c>
      <c r="O202" s="72">
        <f t="shared" si="41"/>
        <v>7630.8057799999988</v>
      </c>
      <c r="P202" s="72">
        <f t="shared" si="41"/>
        <v>77029.492563333362</v>
      </c>
    </row>
    <row r="203" spans="1:16" s="73" customFormat="1" x14ac:dyDescent="0.25">
      <c r="A203" s="78"/>
      <c r="B203" s="78"/>
      <c r="C203" s="78"/>
      <c r="D203" s="79"/>
      <c r="E203" s="79"/>
      <c r="F203" s="79"/>
      <c r="G203" s="80"/>
      <c r="H203" s="80"/>
      <c r="I203" s="80"/>
      <c r="J203" s="80"/>
      <c r="K203" s="80"/>
      <c r="L203" s="80"/>
      <c r="M203" s="80"/>
      <c r="N203" s="80"/>
      <c r="O203" s="80"/>
      <c r="P203" s="80"/>
    </row>
    <row r="204" spans="1:16" ht="36" customHeight="1" x14ac:dyDescent="0.3">
      <c r="B204" s="105" t="s">
        <v>262</v>
      </c>
      <c r="C204" s="106"/>
      <c r="D204" s="106"/>
      <c r="E204" s="106"/>
      <c r="F204" s="106"/>
      <c r="G204" s="106"/>
      <c r="H204" s="106"/>
      <c r="I204" s="106"/>
      <c r="J204" s="106"/>
    </row>
    <row r="206" spans="1:16" ht="36.75" customHeight="1" thickBot="1" x14ac:dyDescent="0.3">
      <c r="B206" s="64"/>
    </row>
    <row r="207" spans="1:16" x14ac:dyDescent="0.25">
      <c r="B207" s="63" t="s">
        <v>245</v>
      </c>
    </row>
    <row r="208" spans="1:16" x14ac:dyDescent="0.25">
      <c r="B208" s="63" t="s">
        <v>246</v>
      </c>
    </row>
    <row r="211" spans="1:16" ht="16.5" thickBot="1" x14ac:dyDescent="0.3">
      <c r="A211" s="81" t="s">
        <v>260</v>
      </c>
    </row>
    <row r="212" spans="1:16" s="68" customFormat="1" ht="45" customHeight="1" x14ac:dyDescent="0.2">
      <c r="A212" s="101" t="s">
        <v>226</v>
      </c>
      <c r="B212" s="89" t="s">
        <v>250</v>
      </c>
      <c r="C212" s="107" t="s">
        <v>1</v>
      </c>
      <c r="D212" s="109" t="s">
        <v>208</v>
      </c>
      <c r="E212" s="109" t="s">
        <v>247</v>
      </c>
      <c r="F212" s="109" t="s">
        <v>207</v>
      </c>
      <c r="G212" s="99" t="s">
        <v>261</v>
      </c>
      <c r="H212" s="107" t="s">
        <v>198</v>
      </c>
      <c r="I212" s="83" t="s">
        <v>252</v>
      </c>
      <c r="J212" s="29" t="s">
        <v>253</v>
      </c>
      <c r="K212" s="97" t="s">
        <v>200</v>
      </c>
      <c r="L212" s="83" t="s">
        <v>201</v>
      </c>
      <c r="M212" s="95" t="s">
        <v>202</v>
      </c>
      <c r="N212" s="66" t="s">
        <v>203</v>
      </c>
      <c r="O212" s="67" t="s">
        <v>204</v>
      </c>
      <c r="P212" s="95" t="s">
        <v>248</v>
      </c>
    </row>
    <row r="213" spans="1:16" s="68" customFormat="1" ht="45" customHeight="1" thickBot="1" x14ac:dyDescent="0.25">
      <c r="A213" s="102"/>
      <c r="B213" s="90"/>
      <c r="C213" s="108"/>
      <c r="D213" s="110"/>
      <c r="E213" s="110"/>
      <c r="F213" s="110"/>
      <c r="G213" s="100"/>
      <c r="H213" s="108"/>
      <c r="I213" s="84"/>
      <c r="J213" s="33">
        <f>340/12</f>
        <v>28.333333333333332</v>
      </c>
      <c r="K213" s="98"/>
      <c r="L213" s="84"/>
      <c r="M213" s="96"/>
      <c r="N213" s="34">
        <v>8.3299999999999999E-2</v>
      </c>
      <c r="O213" s="35">
        <v>0.1115</v>
      </c>
      <c r="P213" s="96"/>
    </row>
    <row r="214" spans="1:16" ht="45" x14ac:dyDescent="0.25">
      <c r="A214" s="5">
        <v>177</v>
      </c>
      <c r="B214" s="5" t="s">
        <v>185</v>
      </c>
      <c r="C214" s="76" t="s">
        <v>186</v>
      </c>
      <c r="D214" s="9">
        <v>463.34</v>
      </c>
      <c r="E214" s="69"/>
      <c r="F214" s="9"/>
      <c r="G214" s="9"/>
      <c r="H214" s="9">
        <f>D214+E214+F214+G214</f>
        <v>463.34</v>
      </c>
      <c r="I214" s="7">
        <f>(H214)/12</f>
        <v>38.611666666666665</v>
      </c>
      <c r="J214" s="7">
        <v>28.33</v>
      </c>
      <c r="K214" s="7">
        <f>(H214)/12</f>
        <v>38.611666666666665</v>
      </c>
      <c r="L214" s="6">
        <f t="shared" ref="L214:L222" si="42">(E214+F214+G214+H214)*0.005</f>
        <v>2.3167</v>
      </c>
      <c r="M214" s="6">
        <f t="shared" ref="M214:M222" si="43">(E214+F214+G214+H214)*0.005</f>
        <v>2.3167</v>
      </c>
      <c r="N214" s="6">
        <f t="shared" ref="N214:N222" si="44">(E214+F214+G214+H214)/12</f>
        <v>38.611666666666665</v>
      </c>
      <c r="O214" s="6">
        <f t="shared" ref="O214:O222" si="45">(E214+F214+G214+H214)*0.1115</f>
        <v>51.662410000000001</v>
      </c>
      <c r="P214" s="6">
        <f>H214+I214+J214+K214+L214+M214+N214+O214</f>
        <v>663.80080999999996</v>
      </c>
    </row>
    <row r="215" spans="1:16" ht="45" x14ac:dyDescent="0.25">
      <c r="A215" s="5">
        <v>178</v>
      </c>
      <c r="B215" s="5" t="s">
        <v>187</v>
      </c>
      <c r="C215" s="76" t="s">
        <v>188</v>
      </c>
      <c r="D215" s="9">
        <v>560.61</v>
      </c>
      <c r="E215" s="69">
        <v>150.66999999999999</v>
      </c>
      <c r="F215" s="9">
        <v>37.369999999999997</v>
      </c>
      <c r="G215" s="9"/>
      <c r="H215" s="9">
        <f t="shared" ref="H215:H222" si="46">D215+E215+F215+G215</f>
        <v>748.65</v>
      </c>
      <c r="I215" s="7">
        <f t="shared" ref="I215:I222" si="47">(H215)/12</f>
        <v>62.387499999999996</v>
      </c>
      <c r="J215" s="7">
        <v>28.33</v>
      </c>
      <c r="K215" s="7">
        <f t="shared" ref="K215:K222" si="48">(H215)/12</f>
        <v>62.387499999999996</v>
      </c>
      <c r="L215" s="6">
        <f t="shared" si="42"/>
        <v>4.6834499999999997</v>
      </c>
      <c r="M215" s="6">
        <f t="shared" si="43"/>
        <v>4.6834499999999997</v>
      </c>
      <c r="N215" s="6">
        <f t="shared" si="44"/>
        <v>78.05749999999999</v>
      </c>
      <c r="O215" s="6">
        <f t="shared" si="45"/>
        <v>104.440935</v>
      </c>
      <c r="P215" s="6">
        <f t="shared" ref="P215:P222" si="49">H215+I215+J215+K215+L215+M215+N215+O215</f>
        <v>1093.6203350000001</v>
      </c>
    </row>
    <row r="216" spans="1:16" ht="30" x14ac:dyDescent="0.25">
      <c r="A216" s="5">
        <v>179</v>
      </c>
      <c r="B216" s="5" t="s">
        <v>189</v>
      </c>
      <c r="C216" s="76" t="s">
        <v>190</v>
      </c>
      <c r="D216" s="9">
        <v>569.16</v>
      </c>
      <c r="E216" s="69"/>
      <c r="F216" s="9">
        <v>47.43</v>
      </c>
      <c r="G216" s="9">
        <v>142.29</v>
      </c>
      <c r="H216" s="9">
        <f t="shared" si="46"/>
        <v>758.87999999999988</v>
      </c>
      <c r="I216" s="7">
        <f>(H216)/12</f>
        <v>63.239999999999988</v>
      </c>
      <c r="J216" s="7">
        <v>28.33</v>
      </c>
      <c r="K216" s="7">
        <f t="shared" si="48"/>
        <v>63.239999999999988</v>
      </c>
      <c r="L216" s="6">
        <f t="shared" si="42"/>
        <v>4.7429999999999994</v>
      </c>
      <c r="M216" s="6">
        <f t="shared" si="43"/>
        <v>4.7429999999999994</v>
      </c>
      <c r="N216" s="6">
        <f t="shared" si="44"/>
        <v>79.05</v>
      </c>
      <c r="O216" s="6">
        <f t="shared" si="45"/>
        <v>105.76889999999999</v>
      </c>
      <c r="P216" s="6">
        <f t="shared" si="49"/>
        <v>1107.9948999999999</v>
      </c>
    </row>
    <row r="217" spans="1:16" x14ac:dyDescent="0.25">
      <c r="A217" s="5">
        <v>180</v>
      </c>
      <c r="B217" s="5" t="s">
        <v>191</v>
      </c>
      <c r="C217" s="76" t="s">
        <v>192</v>
      </c>
      <c r="D217" s="9">
        <v>655.08000000000004</v>
      </c>
      <c r="E217" s="69"/>
      <c r="F217" s="9">
        <v>54.59</v>
      </c>
      <c r="G217" s="9">
        <v>163.78</v>
      </c>
      <c r="H217" s="9">
        <f t="shared" si="46"/>
        <v>873.45</v>
      </c>
      <c r="I217" s="7">
        <f t="shared" si="47"/>
        <v>72.787500000000009</v>
      </c>
      <c r="J217" s="7">
        <v>28.33</v>
      </c>
      <c r="K217" s="7">
        <f t="shared" si="48"/>
        <v>72.787500000000009</v>
      </c>
      <c r="L217" s="6">
        <f t="shared" si="42"/>
        <v>5.4591000000000012</v>
      </c>
      <c r="M217" s="6">
        <f t="shared" si="43"/>
        <v>5.4591000000000012</v>
      </c>
      <c r="N217" s="6">
        <f t="shared" si="44"/>
        <v>90.985000000000014</v>
      </c>
      <c r="O217" s="6">
        <f t="shared" si="45"/>
        <v>121.73793000000002</v>
      </c>
      <c r="P217" s="6">
        <f t="shared" si="49"/>
        <v>1270.9961300000002</v>
      </c>
    </row>
    <row r="218" spans="1:16" x14ac:dyDescent="0.25">
      <c r="A218" s="5">
        <v>181</v>
      </c>
      <c r="B218" s="5" t="s">
        <v>193</v>
      </c>
      <c r="C218" s="76" t="s">
        <v>192</v>
      </c>
      <c r="D218" s="9">
        <v>891.4</v>
      </c>
      <c r="E218" s="69"/>
      <c r="F218" s="9">
        <v>178.28</v>
      </c>
      <c r="G218" s="9">
        <v>222.85</v>
      </c>
      <c r="H218" s="9">
        <f t="shared" si="46"/>
        <v>1292.53</v>
      </c>
      <c r="I218" s="7">
        <f t="shared" si="47"/>
        <v>107.71083333333333</v>
      </c>
      <c r="J218" s="7">
        <v>28.33</v>
      </c>
      <c r="K218" s="7">
        <f t="shared" si="48"/>
        <v>107.71083333333333</v>
      </c>
      <c r="L218" s="6">
        <f t="shared" si="42"/>
        <v>8.4682999999999993</v>
      </c>
      <c r="M218" s="6">
        <f t="shared" si="43"/>
        <v>8.4682999999999993</v>
      </c>
      <c r="N218" s="6">
        <f t="shared" si="44"/>
        <v>141.13833333333332</v>
      </c>
      <c r="O218" s="6">
        <f t="shared" si="45"/>
        <v>188.84308999999999</v>
      </c>
      <c r="P218" s="6">
        <f t="shared" si="49"/>
        <v>1883.1996899999999</v>
      </c>
    </row>
    <row r="219" spans="1:16" ht="30" x14ac:dyDescent="0.25">
      <c r="A219" s="5">
        <v>182</v>
      </c>
      <c r="B219" s="5" t="s">
        <v>194</v>
      </c>
      <c r="C219" s="76" t="s">
        <v>190</v>
      </c>
      <c r="D219" s="9">
        <v>560.65</v>
      </c>
      <c r="E219" s="69"/>
      <c r="F219" s="9">
        <v>23.36</v>
      </c>
      <c r="G219" s="9">
        <v>140.16</v>
      </c>
      <c r="H219" s="9">
        <f t="shared" si="46"/>
        <v>724.17</v>
      </c>
      <c r="I219" s="7">
        <f t="shared" si="47"/>
        <v>60.347499999999997</v>
      </c>
      <c r="J219" s="7">
        <v>28.33</v>
      </c>
      <c r="K219" s="7">
        <f t="shared" si="48"/>
        <v>60.347499999999997</v>
      </c>
      <c r="L219" s="6">
        <f t="shared" si="42"/>
        <v>4.4384499999999996</v>
      </c>
      <c r="M219" s="6">
        <f t="shared" si="43"/>
        <v>4.4384499999999996</v>
      </c>
      <c r="N219" s="6">
        <f t="shared" si="44"/>
        <v>73.974166666666662</v>
      </c>
      <c r="O219" s="6">
        <f t="shared" si="45"/>
        <v>98.977435</v>
      </c>
      <c r="P219" s="6">
        <f t="shared" si="49"/>
        <v>1055.0235016666666</v>
      </c>
    </row>
    <row r="220" spans="1:16" ht="45" x14ac:dyDescent="0.25">
      <c r="A220" s="5">
        <v>183</v>
      </c>
      <c r="B220" s="5" t="s">
        <v>195</v>
      </c>
      <c r="C220" s="76" t="s">
        <v>188</v>
      </c>
      <c r="D220" s="9">
        <v>643.41999999999996</v>
      </c>
      <c r="E220" s="69">
        <v>60.32</v>
      </c>
      <c r="F220" s="9">
        <v>37.53</v>
      </c>
      <c r="G220" s="9"/>
      <c r="H220" s="9">
        <f t="shared" si="46"/>
        <v>741.27</v>
      </c>
      <c r="I220" s="7">
        <f t="shared" si="47"/>
        <v>61.772500000000001</v>
      </c>
      <c r="J220" s="7">
        <v>28.33</v>
      </c>
      <c r="K220" s="7">
        <f t="shared" si="48"/>
        <v>61.772500000000001</v>
      </c>
      <c r="L220" s="6">
        <f t="shared" si="42"/>
        <v>4.1955999999999998</v>
      </c>
      <c r="M220" s="6">
        <f t="shared" si="43"/>
        <v>4.1955999999999998</v>
      </c>
      <c r="N220" s="6">
        <f t="shared" si="44"/>
        <v>69.926666666666662</v>
      </c>
      <c r="O220" s="6">
        <f t="shared" si="45"/>
        <v>93.561880000000002</v>
      </c>
      <c r="P220" s="6">
        <f t="shared" si="49"/>
        <v>1065.0247466666667</v>
      </c>
    </row>
    <row r="221" spans="1:16" x14ac:dyDescent="0.25">
      <c r="A221" s="5">
        <v>184</v>
      </c>
      <c r="B221" s="5" t="s">
        <v>196</v>
      </c>
      <c r="C221" s="76" t="s">
        <v>192</v>
      </c>
      <c r="D221" s="9">
        <v>708.89</v>
      </c>
      <c r="E221" s="69"/>
      <c r="F221" s="9">
        <v>147.69</v>
      </c>
      <c r="G221" s="9">
        <v>177.22</v>
      </c>
      <c r="H221" s="9">
        <f t="shared" si="46"/>
        <v>1033.8</v>
      </c>
      <c r="I221" s="7">
        <f t="shared" si="47"/>
        <v>86.149999999999991</v>
      </c>
      <c r="J221" s="7">
        <v>28.33</v>
      </c>
      <c r="K221" s="7">
        <f t="shared" si="48"/>
        <v>86.149999999999991</v>
      </c>
      <c r="L221" s="6">
        <f t="shared" si="42"/>
        <v>6.7935500000000006</v>
      </c>
      <c r="M221" s="6">
        <f t="shared" si="43"/>
        <v>6.7935500000000006</v>
      </c>
      <c r="N221" s="6">
        <f t="shared" si="44"/>
        <v>113.22583333333334</v>
      </c>
      <c r="O221" s="6">
        <f t="shared" si="45"/>
        <v>151.49616500000002</v>
      </c>
      <c r="P221" s="6">
        <f t="shared" si="49"/>
        <v>1512.7390983333337</v>
      </c>
    </row>
    <row r="222" spans="1:16" ht="45" x14ac:dyDescent="0.25">
      <c r="A222" s="5">
        <v>185</v>
      </c>
      <c r="B222" s="5" t="s">
        <v>197</v>
      </c>
      <c r="C222" s="76" t="s">
        <v>188</v>
      </c>
      <c r="D222" s="9">
        <v>643.14</v>
      </c>
      <c r="E222" s="69">
        <v>56.28</v>
      </c>
      <c r="F222" s="9">
        <v>37.520000000000003</v>
      </c>
      <c r="G222" s="9"/>
      <c r="H222" s="9">
        <f t="shared" si="46"/>
        <v>736.93999999999994</v>
      </c>
      <c r="I222" s="7">
        <f t="shared" si="47"/>
        <v>61.411666666666662</v>
      </c>
      <c r="J222" s="7">
        <v>28.33</v>
      </c>
      <c r="K222" s="7">
        <f t="shared" si="48"/>
        <v>61.411666666666662</v>
      </c>
      <c r="L222" s="6">
        <f t="shared" si="42"/>
        <v>4.1536999999999997</v>
      </c>
      <c r="M222" s="6">
        <f t="shared" si="43"/>
        <v>4.1536999999999997</v>
      </c>
      <c r="N222" s="6">
        <f t="shared" si="44"/>
        <v>69.228333333333339</v>
      </c>
      <c r="O222" s="6">
        <f t="shared" si="45"/>
        <v>92.627510000000001</v>
      </c>
      <c r="P222" s="6">
        <f t="shared" si="49"/>
        <v>1058.2565766666664</v>
      </c>
    </row>
    <row r="223" spans="1:16" s="73" customFormat="1" x14ac:dyDescent="0.25">
      <c r="A223" s="70"/>
      <c r="B223" s="70" t="s">
        <v>2</v>
      </c>
      <c r="C223" s="70"/>
      <c r="D223" s="72">
        <f t="shared" ref="D223:P223" si="50">SUM(D214:D222)</f>
        <v>5695.6900000000005</v>
      </c>
      <c r="E223" s="71">
        <f t="shared" si="50"/>
        <v>267.27</v>
      </c>
      <c r="F223" s="72">
        <f t="shared" si="50"/>
        <v>563.77</v>
      </c>
      <c r="G223" s="72">
        <f t="shared" si="50"/>
        <v>846.3</v>
      </c>
      <c r="H223" s="72">
        <f t="shared" si="50"/>
        <v>7373.0299999999988</v>
      </c>
      <c r="I223" s="72">
        <f t="shared" si="50"/>
        <v>614.41916666666657</v>
      </c>
      <c r="J223" s="72">
        <f t="shared" si="50"/>
        <v>254.96999999999991</v>
      </c>
      <c r="K223" s="72">
        <f t="shared" si="50"/>
        <v>614.41916666666657</v>
      </c>
      <c r="L223" s="72">
        <f t="shared" si="50"/>
        <v>45.251850000000005</v>
      </c>
      <c r="M223" s="72">
        <f t="shared" si="50"/>
        <v>45.251850000000005</v>
      </c>
      <c r="N223" s="72">
        <f t="shared" si="50"/>
        <v>754.19749999999988</v>
      </c>
      <c r="O223" s="72">
        <f t="shared" si="50"/>
        <v>1009.116255</v>
      </c>
      <c r="P223" s="72">
        <f t="shared" si="50"/>
        <v>10710.655788333335</v>
      </c>
    </row>
    <row r="224" spans="1:16" x14ac:dyDescent="0.25">
      <c r="E224" s="8"/>
      <c r="H224" s="3"/>
      <c r="I224" s="1"/>
      <c r="J224" s="4"/>
      <c r="K224" s="1"/>
      <c r="L224" s="1"/>
      <c r="M224" s="1"/>
      <c r="N224" s="1"/>
      <c r="O224" s="1"/>
      <c r="P224" s="1"/>
    </row>
    <row r="225" spans="2:17" ht="36.75" customHeight="1" x14ac:dyDescent="0.3">
      <c r="B225" s="105" t="s">
        <v>262</v>
      </c>
      <c r="C225" s="106"/>
      <c r="D225" s="106"/>
      <c r="E225" s="106"/>
      <c r="F225" s="106"/>
      <c r="G225" s="106"/>
      <c r="H225" s="106"/>
      <c r="I225" s="106"/>
      <c r="J225" s="106"/>
    </row>
    <row r="226" spans="2:17" x14ac:dyDescent="0.25">
      <c r="K226" s="2"/>
      <c r="L226" s="2"/>
      <c r="M226" s="2"/>
      <c r="N226" s="2"/>
      <c r="O226" s="2"/>
      <c r="P226" s="2"/>
      <c r="Q226" s="3"/>
    </row>
    <row r="227" spans="2:17" ht="33" customHeight="1" thickBot="1" x14ac:dyDescent="0.3">
      <c r="B227" s="64"/>
    </row>
    <row r="228" spans="2:17" x14ac:dyDescent="0.25">
      <c r="B228" s="63" t="s">
        <v>245</v>
      </c>
    </row>
    <row r="229" spans="2:17" x14ac:dyDescent="0.25">
      <c r="B229" s="63" t="s">
        <v>246</v>
      </c>
      <c r="Q229" s="2"/>
    </row>
    <row r="230" spans="2:17" x14ac:dyDescent="0.25">
      <c r="P230" s="2"/>
    </row>
  </sheetData>
  <mergeCells count="56">
    <mergeCell ref="P212:P213"/>
    <mergeCell ref="M61:M62"/>
    <mergeCell ref="P61:P62"/>
    <mergeCell ref="P94:P95"/>
    <mergeCell ref="B212:B213"/>
    <mergeCell ref="C212:C213"/>
    <mergeCell ref="D212:D213"/>
    <mergeCell ref="E212:E213"/>
    <mergeCell ref="F212:F213"/>
    <mergeCell ref="G212:G213"/>
    <mergeCell ref="H212:H213"/>
    <mergeCell ref="I212:I213"/>
    <mergeCell ref="M94:M95"/>
    <mergeCell ref="I94:I95"/>
    <mergeCell ref="K94:K95"/>
    <mergeCell ref="L94:L95"/>
    <mergeCell ref="K212:K213"/>
    <mergeCell ref="L212:L213"/>
    <mergeCell ref="M212:M213"/>
    <mergeCell ref="G94:G95"/>
    <mergeCell ref="H94:H95"/>
    <mergeCell ref="B94:B95"/>
    <mergeCell ref="C94:C95"/>
    <mergeCell ref="D94:D95"/>
    <mergeCell ref="E94:E95"/>
    <mergeCell ref="K2:K3"/>
    <mergeCell ref="P2:P3"/>
    <mergeCell ref="B61:B62"/>
    <mergeCell ref="C61:C62"/>
    <mergeCell ref="D61:D62"/>
    <mergeCell ref="E61:E62"/>
    <mergeCell ref="F61:F62"/>
    <mergeCell ref="G61:G62"/>
    <mergeCell ref="H61:H62"/>
    <mergeCell ref="I61:I62"/>
    <mergeCell ref="I2:I3"/>
    <mergeCell ref="L2:L3"/>
    <mergeCell ref="M2:M3"/>
    <mergeCell ref="K61:K62"/>
    <mergeCell ref="L61:L62"/>
    <mergeCell ref="B225:J225"/>
    <mergeCell ref="A2:A3"/>
    <mergeCell ref="A61:A62"/>
    <mergeCell ref="A94:A95"/>
    <mergeCell ref="A212:A213"/>
    <mergeCell ref="B2:B3"/>
    <mergeCell ref="B54:J54"/>
    <mergeCell ref="B87:J87"/>
    <mergeCell ref="B204:J204"/>
    <mergeCell ref="C2:C3"/>
    <mergeCell ref="D2:D3"/>
    <mergeCell ref="E2:E3"/>
    <mergeCell ref="F2:F3"/>
    <mergeCell ref="G2:G3"/>
    <mergeCell ref="H2:H3"/>
    <mergeCell ref="F94:F95"/>
  </mergeCells>
  <printOptions horizontalCentered="1"/>
  <pageMargins left="0.31496062992125984" right="0.31496062992125984" top="0.35433070866141736" bottom="0.35433070866141736" header="0" footer="0"/>
  <pageSetup paperSize="9" scale="83" orientation="landscape" r:id="rId1"/>
  <rowBreaks count="4" manualBreakCount="4">
    <brk id="59" max="16383" man="1"/>
    <brk id="92" max="16" man="1"/>
    <brk id="167" max="16" man="1"/>
    <brk id="208" max="1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topLeftCell="A13" workbookViewId="0">
      <selection activeCell="C29" sqref="C29"/>
    </sheetView>
  </sheetViews>
  <sheetFormatPr baseColWidth="10" defaultRowHeight="15" x14ac:dyDescent="0.25"/>
  <cols>
    <col min="1" max="1" width="25.5703125" customWidth="1"/>
    <col min="2" max="3" width="17.140625" customWidth="1"/>
    <col min="4" max="4" width="16.42578125" customWidth="1"/>
    <col min="5" max="5" width="13" bestFit="1" customWidth="1"/>
    <col min="7" max="8" width="12" bestFit="1" customWidth="1"/>
  </cols>
  <sheetData>
    <row r="1" spans="1:17" ht="66" customHeight="1" x14ac:dyDescent="0.25">
      <c r="A1" s="111" t="s">
        <v>255</v>
      </c>
      <c r="B1" s="111"/>
      <c r="C1" s="111"/>
      <c r="D1" s="111"/>
    </row>
    <row r="2" spans="1:17" ht="31.5" x14ac:dyDescent="0.25">
      <c r="A2" s="15" t="s">
        <v>225</v>
      </c>
      <c r="B2" s="12" t="s">
        <v>216</v>
      </c>
      <c r="C2" s="10" t="s">
        <v>217</v>
      </c>
      <c r="D2" s="10" t="s">
        <v>218</v>
      </c>
    </row>
    <row r="3" spans="1:17" ht="31.5" customHeight="1" x14ac:dyDescent="0.25">
      <c r="A3" s="11" t="s">
        <v>0</v>
      </c>
      <c r="B3" s="20">
        <v>69433.289999999994</v>
      </c>
      <c r="C3" s="18">
        <v>82133.399999999994</v>
      </c>
      <c r="D3" s="17">
        <f t="shared" ref="D3:D16" si="0">C3-B3</f>
        <v>12700.11</v>
      </c>
      <c r="G3" s="3"/>
      <c r="H3" s="3"/>
    </row>
    <row r="4" spans="1:17" ht="31.5" customHeight="1" x14ac:dyDescent="0.25">
      <c r="A4" s="11" t="s">
        <v>209</v>
      </c>
      <c r="B4" s="20">
        <v>18051.439999999999</v>
      </c>
      <c r="C4" s="18">
        <v>24602.57</v>
      </c>
      <c r="D4" s="17">
        <f t="shared" si="0"/>
        <v>6551.130000000001</v>
      </c>
    </row>
    <row r="5" spans="1:17" ht="31.5" customHeight="1" x14ac:dyDescent="0.25">
      <c r="A5" s="11" t="s">
        <v>264</v>
      </c>
      <c r="B5" s="20">
        <v>8862.14</v>
      </c>
      <c r="C5" s="18">
        <v>15398.16</v>
      </c>
      <c r="D5" s="17">
        <f t="shared" si="0"/>
        <v>6536.02</v>
      </c>
      <c r="Q5" s="3" t="e">
        <f>#REF!+#REF!+#REF!</f>
        <v>#REF!</v>
      </c>
    </row>
    <row r="6" spans="1:17" ht="31.5" customHeight="1" x14ac:dyDescent="0.25">
      <c r="A6" s="11" t="s">
        <v>258</v>
      </c>
      <c r="B6" s="20">
        <v>0</v>
      </c>
      <c r="C6" s="18">
        <v>931.6</v>
      </c>
      <c r="D6" s="17">
        <f t="shared" si="0"/>
        <v>931.6</v>
      </c>
    </row>
    <row r="7" spans="1:17" ht="31.5" customHeight="1" x14ac:dyDescent="0.25">
      <c r="A7" s="11" t="s">
        <v>259</v>
      </c>
      <c r="B7" s="20">
        <v>0</v>
      </c>
      <c r="C7" s="18">
        <v>719.5</v>
      </c>
      <c r="D7" s="17">
        <f t="shared" si="0"/>
        <v>719.5</v>
      </c>
    </row>
    <row r="8" spans="1:17" ht="31.5" customHeight="1" x14ac:dyDescent="0.25">
      <c r="A8" s="11" t="s">
        <v>210</v>
      </c>
      <c r="B8" s="20">
        <v>0</v>
      </c>
      <c r="C8" s="18">
        <v>1712.5</v>
      </c>
      <c r="D8" s="17">
        <f t="shared" si="0"/>
        <v>1712.5</v>
      </c>
    </row>
    <row r="9" spans="1:17" ht="31.5" customHeight="1" x14ac:dyDescent="0.25">
      <c r="A9" s="11" t="s">
        <v>263</v>
      </c>
      <c r="B9" s="20">
        <v>0</v>
      </c>
      <c r="C9" s="18">
        <v>13700</v>
      </c>
      <c r="D9" s="17">
        <f t="shared" si="0"/>
        <v>13700</v>
      </c>
    </row>
    <row r="10" spans="1:17" ht="31.5" customHeight="1" x14ac:dyDescent="0.25">
      <c r="A10" s="11" t="s">
        <v>211</v>
      </c>
      <c r="B10" s="20">
        <v>0</v>
      </c>
      <c r="C10" s="18">
        <v>548</v>
      </c>
      <c r="D10" s="17">
        <f t="shared" si="0"/>
        <v>548</v>
      </c>
    </row>
    <row r="11" spans="1:17" ht="31.5" customHeight="1" x14ac:dyDescent="0.25">
      <c r="A11" s="11" t="s">
        <v>212</v>
      </c>
      <c r="B11" s="20">
        <v>0</v>
      </c>
      <c r="C11" s="18">
        <v>1929.42</v>
      </c>
      <c r="D11" s="17">
        <f t="shared" si="0"/>
        <v>1929.42</v>
      </c>
    </row>
    <row r="12" spans="1:17" ht="31.5" customHeight="1" x14ac:dyDescent="0.25">
      <c r="A12" s="11" t="s">
        <v>256</v>
      </c>
      <c r="B12" s="20">
        <v>8028.91</v>
      </c>
      <c r="C12" s="18">
        <v>10315.44</v>
      </c>
      <c r="D12" s="17">
        <f t="shared" si="0"/>
        <v>2286.5300000000007</v>
      </c>
    </row>
    <row r="13" spans="1:17" ht="31.5" customHeight="1" x14ac:dyDescent="0.25">
      <c r="A13" s="11" t="s">
        <v>257</v>
      </c>
      <c r="B13" s="20">
        <v>5241.05</v>
      </c>
      <c r="C13" s="18">
        <v>5241.05</v>
      </c>
      <c r="D13" s="17">
        <f t="shared" si="0"/>
        <v>0</v>
      </c>
    </row>
    <row r="14" spans="1:17" ht="31.5" customHeight="1" x14ac:dyDescent="0.25">
      <c r="A14" s="11" t="s">
        <v>200</v>
      </c>
      <c r="B14" s="20">
        <v>4321.66</v>
      </c>
      <c r="C14" s="18">
        <v>5483.09</v>
      </c>
      <c r="D14" s="17">
        <f t="shared" si="0"/>
        <v>1161.4300000000003</v>
      </c>
    </row>
    <row r="15" spans="1:17" ht="31.5" customHeight="1" x14ac:dyDescent="0.25">
      <c r="A15" s="11" t="s">
        <v>213</v>
      </c>
      <c r="B15" s="20">
        <v>7418.64</v>
      </c>
      <c r="C15" s="18">
        <v>7994.44</v>
      </c>
      <c r="D15" s="17">
        <f t="shared" si="0"/>
        <v>575.79999999999927</v>
      </c>
    </row>
    <row r="16" spans="1:17" ht="31.5" customHeight="1" x14ac:dyDescent="0.25">
      <c r="A16" s="11" t="s">
        <v>214</v>
      </c>
      <c r="B16" s="20">
        <v>13744.24</v>
      </c>
      <c r="C16" s="18">
        <v>18121.27</v>
      </c>
      <c r="D16" s="17">
        <f t="shared" si="0"/>
        <v>4377.0300000000007</v>
      </c>
    </row>
    <row r="17" spans="1:5" ht="29.25" customHeight="1" x14ac:dyDescent="0.25">
      <c r="A17" s="13" t="s">
        <v>215</v>
      </c>
      <c r="B17" s="21">
        <f>SUM(B3:B16)</f>
        <v>135101.37</v>
      </c>
      <c r="C17" s="19">
        <f>SUM(C3:C16)</f>
        <v>188830.44</v>
      </c>
      <c r="D17" s="19">
        <f>SUM(D3:D16)</f>
        <v>53729.069999999992</v>
      </c>
      <c r="E17" s="4"/>
    </row>
    <row r="18" spans="1:5" x14ac:dyDescent="0.25">
      <c r="C18" s="16"/>
    </row>
    <row r="19" spans="1:5" ht="32.25" customHeight="1" x14ac:dyDescent="0.3">
      <c r="A19" s="105" t="s">
        <v>265</v>
      </c>
      <c r="B19" s="106"/>
      <c r="C19" s="106"/>
      <c r="D19" s="106"/>
    </row>
    <row r="20" spans="1:5" x14ac:dyDescent="0.25">
      <c r="C20" s="3"/>
    </row>
    <row r="21" spans="1:5" ht="15.75" thickBot="1" x14ac:dyDescent="0.3">
      <c r="A21" s="64"/>
      <c r="B21" s="64"/>
    </row>
    <row r="22" spans="1:5" x14ac:dyDescent="0.25">
      <c r="A22" s="63" t="s">
        <v>245</v>
      </c>
      <c r="B22" s="59"/>
    </row>
    <row r="23" spans="1:5" x14ac:dyDescent="0.25">
      <c r="A23" s="63" t="s">
        <v>246</v>
      </c>
      <c r="B23" s="59"/>
    </row>
    <row r="24" spans="1:5" x14ac:dyDescent="0.25">
      <c r="A24" s="40"/>
      <c r="B24" s="40"/>
    </row>
  </sheetData>
  <mergeCells count="2">
    <mergeCell ref="A1:D1"/>
    <mergeCell ref="A19:D1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E12" sqref="E12"/>
    </sheetView>
  </sheetViews>
  <sheetFormatPr baseColWidth="10" defaultRowHeight="15" x14ac:dyDescent="0.25"/>
  <cols>
    <col min="1" max="1" width="22.42578125" customWidth="1"/>
    <col min="2" max="2" width="18.42578125" customWidth="1"/>
    <col min="3" max="3" width="17.7109375" customWidth="1"/>
    <col min="4" max="4" width="21.85546875" customWidth="1"/>
  </cols>
  <sheetData>
    <row r="1" spans="1:4" ht="59.25" customHeight="1" x14ac:dyDescent="0.35">
      <c r="A1" s="112" t="s">
        <v>229</v>
      </c>
      <c r="B1" s="113"/>
      <c r="C1" s="113"/>
      <c r="D1" s="114"/>
    </row>
    <row r="2" spans="1:4" s="27" customFormat="1" ht="15" customHeight="1" x14ac:dyDescent="0.35">
      <c r="A2" s="14"/>
      <c r="B2" s="26"/>
      <c r="C2" s="26"/>
      <c r="D2" s="28"/>
    </row>
    <row r="3" spans="1:4" ht="29.25" customHeight="1" x14ac:dyDescent="0.25">
      <c r="A3" s="15" t="s">
        <v>224</v>
      </c>
      <c r="B3" s="12" t="s">
        <v>230</v>
      </c>
      <c r="C3" s="12" t="s">
        <v>231</v>
      </c>
      <c r="D3" s="12" t="s">
        <v>228</v>
      </c>
    </row>
    <row r="4" spans="1:4" ht="33.75" customHeight="1" x14ac:dyDescent="0.25">
      <c r="A4" s="22" t="s">
        <v>219</v>
      </c>
      <c r="B4" s="25">
        <v>227001.22</v>
      </c>
      <c r="C4" s="25">
        <v>217509.55</v>
      </c>
      <c r="D4" s="25">
        <f>B4-C4</f>
        <v>9491.6700000000128</v>
      </c>
    </row>
    <row r="5" spans="1:4" ht="33.75" customHeight="1" x14ac:dyDescent="0.25">
      <c r="A5" s="22" t="s">
        <v>220</v>
      </c>
      <c r="B5" s="25">
        <v>225120.67</v>
      </c>
      <c r="C5" s="25">
        <v>220432.91</v>
      </c>
      <c r="D5" s="25">
        <f t="shared" ref="D5:D7" si="0">B5-C5</f>
        <v>4687.7600000000093</v>
      </c>
    </row>
    <row r="6" spans="1:4" ht="33.75" customHeight="1" x14ac:dyDescent="0.25">
      <c r="A6" s="22" t="s">
        <v>221</v>
      </c>
      <c r="B6" s="25">
        <v>234741.22</v>
      </c>
      <c r="C6" s="25">
        <v>224565.42</v>
      </c>
      <c r="D6" s="25">
        <f t="shared" si="0"/>
        <v>10175.799999999988</v>
      </c>
    </row>
    <row r="7" spans="1:4" ht="33.75" customHeight="1" x14ac:dyDescent="0.25">
      <c r="A7" s="22" t="s">
        <v>222</v>
      </c>
      <c r="B7" s="25">
        <v>234167.41</v>
      </c>
      <c r="C7" s="25">
        <v>234203.76</v>
      </c>
      <c r="D7" s="25">
        <f t="shared" si="0"/>
        <v>-36.350000000005821</v>
      </c>
    </row>
    <row r="8" spans="1:4" ht="42" customHeight="1" x14ac:dyDescent="0.25">
      <c r="A8" s="23" t="s">
        <v>223</v>
      </c>
      <c r="B8" s="24">
        <f>SUM(B4:B7)</f>
        <v>921030.52</v>
      </c>
      <c r="C8" s="24">
        <f>SUM(C4:C7)</f>
        <v>896711.64</v>
      </c>
      <c r="D8" s="24">
        <f>SUM(D4:D7)</f>
        <v>24318.880000000005</v>
      </c>
    </row>
    <row r="10" spans="1:4" ht="34.5" customHeight="1" x14ac:dyDescent="0.3">
      <c r="A10" s="105" t="s">
        <v>265</v>
      </c>
      <c r="B10" s="106"/>
      <c r="C10" s="106"/>
      <c r="D10" s="106"/>
    </row>
    <row r="12" spans="1:4" ht="15.75" thickBot="1" x14ac:dyDescent="0.3">
      <c r="A12" s="64"/>
      <c r="B12" s="64"/>
    </row>
    <row r="13" spans="1:4" x14ac:dyDescent="0.25">
      <c r="A13" s="63" t="s">
        <v>245</v>
      </c>
      <c r="B13" s="59"/>
    </row>
    <row r="14" spans="1:4" x14ac:dyDescent="0.25">
      <c r="A14" s="63" t="s">
        <v>246</v>
      </c>
      <c r="B14" s="59"/>
    </row>
    <row r="15" spans="1:4" x14ac:dyDescent="0.25">
      <c r="A15" s="40"/>
      <c r="B15" s="40"/>
    </row>
  </sheetData>
  <mergeCells count="2">
    <mergeCell ref="A1:D1"/>
    <mergeCell ref="A10:D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REFOR TRAB 2014</vt:lpstr>
      <vt:lpstr>REFOR TRAB 2014 ACTUALMENTE</vt:lpstr>
      <vt:lpstr>CUADRO DEMOSTRATIVO</vt:lpstr>
      <vt:lpstr>INGRESOS CNEL</vt:lpstr>
      <vt:lpstr>'REFOR TRAB 2014'!Área_de_impresión</vt:lpstr>
      <vt:lpstr>'REFOR TRAB 2014 ACTUALMENTE'!Área_de_impresión</vt:lpstr>
    </vt:vector>
  </TitlesOfParts>
  <Company>Luffi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contabil1</cp:lastModifiedBy>
  <cp:lastPrinted>2014-06-16T16:29:14Z</cp:lastPrinted>
  <dcterms:created xsi:type="dcterms:W3CDTF">2014-06-13T22:54:12Z</dcterms:created>
  <dcterms:modified xsi:type="dcterms:W3CDTF">2014-06-16T16:32:02Z</dcterms:modified>
</cp:coreProperties>
</file>