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 defaultThemeVersion="124226"/>
  <bookViews>
    <workbookView xWindow="0" yWindow="60" windowWidth="17400" windowHeight="7410" tabRatio="685"/>
  </bookViews>
  <sheets>
    <sheet name="FORMULARIO 2 (2)" sheetId="25" r:id="rId1"/>
    <sheet name="FORMULARIO 1 (2) " sheetId="26" r:id="rId2"/>
    <sheet name="FORMULARIO 3 (2)" sheetId="27" r:id="rId3"/>
    <sheet name="FORMULARIO 4 (2)" sheetId="28" r:id="rId4"/>
  </sheets>
  <definedNames>
    <definedName name="_xlnm.Print_Area" localSheetId="1">'FORMULARIO 1 (2) '!$A$1:$G$95</definedName>
    <definedName name="_xlnm.Print_Area" localSheetId="0">'FORMULARIO 2 (2)'!$A$1:$E$55</definedName>
  </definedNames>
  <calcPr calcId="145621"/>
</workbook>
</file>

<file path=xl/calcChain.xml><?xml version="1.0" encoding="utf-8"?>
<calcChain xmlns="http://schemas.openxmlformats.org/spreadsheetml/2006/main">
  <c r="D25" i="25" l="1"/>
  <c r="D24" i="25"/>
  <c r="D20" i="25"/>
  <c r="D19" i="25"/>
  <c r="D10" i="28"/>
  <c r="E10" i="28"/>
  <c r="F10" i="28"/>
  <c r="G51" i="27"/>
  <c r="F51" i="27"/>
  <c r="E50" i="28" l="1"/>
  <c r="D50" i="28"/>
  <c r="D75" i="28" s="1"/>
  <c r="D32" i="28"/>
  <c r="D31" i="28" s="1"/>
  <c r="E9" i="28"/>
  <c r="D40" i="25"/>
  <c r="C37" i="26"/>
  <c r="I87" i="28"/>
  <c r="H87" i="28"/>
  <c r="F77" i="28"/>
  <c r="F82" i="28"/>
  <c r="D77" i="28"/>
  <c r="D82" i="28"/>
  <c r="C87" i="28"/>
  <c r="G82" i="28"/>
  <c r="E82" i="28"/>
  <c r="G77" i="28"/>
  <c r="E77" i="28"/>
  <c r="G50" i="28"/>
  <c r="G47" i="28"/>
  <c r="F47" i="28"/>
  <c r="E47" i="28"/>
  <c r="H9" i="28"/>
  <c r="H31" i="28"/>
  <c r="H46" i="28"/>
  <c r="H76" i="28" s="1"/>
  <c r="I31" i="28"/>
  <c r="C31" i="28"/>
  <c r="G10" i="28"/>
  <c r="G9" i="28" s="1"/>
  <c r="I9" i="28"/>
  <c r="I46" i="28" s="1"/>
  <c r="I76" i="28" s="1"/>
  <c r="C9" i="28"/>
  <c r="C46" i="28" s="1"/>
  <c r="C76" i="28" s="1"/>
  <c r="F50" i="28"/>
  <c r="F32" i="28"/>
  <c r="F31" i="28" s="1"/>
  <c r="G32" i="28"/>
  <c r="G31" i="28" s="1"/>
  <c r="E32" i="28"/>
  <c r="E31" i="28" s="1"/>
  <c r="D9" i="28"/>
  <c r="F9" i="28"/>
  <c r="C40" i="25"/>
  <c r="D37" i="26"/>
  <c r="F87" i="28" l="1"/>
  <c r="E87" i="28"/>
  <c r="D87" i="28"/>
  <c r="G87" i="28"/>
  <c r="F75" i="28"/>
  <c r="G75" i="28"/>
  <c r="E75" i="28"/>
  <c r="F46" i="28"/>
  <c r="G46" i="28"/>
  <c r="D46" i="28"/>
  <c r="D76" i="28" s="1"/>
  <c r="E46" i="28"/>
  <c r="E76" i="28" s="1"/>
  <c r="G76" i="28" l="1"/>
  <c r="F76" i="28"/>
</calcChain>
</file>

<file path=xl/comments1.xml><?xml version="1.0" encoding="utf-8"?>
<comments xmlns="http://schemas.openxmlformats.org/spreadsheetml/2006/main">
  <authors>
    <author>Usuario</author>
  </authors>
  <commentList>
    <comment ref="C10" authorId="0">
      <text>
        <r>
          <rPr>
            <b/>
            <sz val="8"/>
            <color indexed="81"/>
            <rFont val="Tahoma"/>
            <family val="2"/>
          </rPr>
          <t>EXIGENCIAS DEL PROYECTO DEL CONTRATO COLECTIVO</t>
        </r>
      </text>
    </comment>
    <comment ref="D10" authorId="0">
      <text>
        <r>
          <rPr>
            <b/>
            <sz val="8"/>
            <color indexed="81"/>
            <rFont val="Tahoma"/>
            <family val="2"/>
          </rPr>
          <t>Usuario:</t>
        </r>
        <r>
          <rPr>
            <sz val="8"/>
            <color indexed="81"/>
            <rFont val="Tahoma"/>
            <family val="2"/>
          </rPr>
          <t xml:space="preserve">
EXIGENCIAS DEL PROYECTO DEL CONTRATO COLECTIVO</t>
        </r>
      </text>
    </comment>
  </commentList>
</comments>
</file>

<file path=xl/comments2.xml><?xml version="1.0" encoding="utf-8"?>
<comments xmlns="http://schemas.openxmlformats.org/spreadsheetml/2006/main">
  <authors>
    <author>avillareal</author>
  </authors>
  <commentList>
    <comment ref="C9" authorId="0">
      <text>
        <r>
          <rPr>
            <sz val="10"/>
            <color indexed="81"/>
            <rFont val="Tahoma"/>
            <family val="2"/>
          </rPr>
          <t xml:space="preserve">Se refiere al detalle de ingresos con los cuales se financiaron los salarios de los trabajadores correspondientes al año anterior de la solicitud del contrato colectivo.
</t>
        </r>
      </text>
    </comment>
    <comment ref="D9" authorId="0">
      <text>
        <r>
          <rPr>
            <sz val="10"/>
            <color indexed="81"/>
            <rFont val="Tahoma"/>
            <family val="2"/>
          </rPr>
          <t xml:space="preserve">Se refiere detalle de ingresos con los cuales se financiarán los salarios de los trabajadores del contrato colectivo que se está negociando.
</t>
        </r>
      </text>
    </comment>
  </commentList>
</comments>
</file>

<file path=xl/comments3.xml><?xml version="1.0" encoding="utf-8"?>
<comments xmlns="http://schemas.openxmlformats.org/spreadsheetml/2006/main">
  <authors>
    <author>avillareal</author>
  </authors>
  <commentList>
    <comment ref="C9" authorId="0">
      <text>
        <r>
          <rPr>
            <sz val="10"/>
            <color indexed="81"/>
            <rFont val="Tahoma"/>
            <family val="2"/>
          </rPr>
          <t>Es una numeración secuencial</t>
        </r>
      </text>
    </comment>
    <comment ref="D9" authorId="0">
      <text>
        <r>
          <rPr>
            <sz val="10"/>
            <color indexed="81"/>
            <rFont val="Tahoma"/>
            <family val="2"/>
          </rPr>
          <t xml:space="preserve">
Son los niveles que están en el acuerdo de MRL.</t>
        </r>
      </text>
    </comment>
    <comment ref="E9" authorId="0">
      <text>
        <r>
          <rPr>
            <sz val="10"/>
            <color indexed="81"/>
            <rFont val="Tahoma"/>
            <family val="2"/>
          </rPr>
          <t xml:space="preserve">
Denominación del cargo tal cual cómo menciona el acuerdo de MRL.
</t>
        </r>
      </text>
    </comment>
    <comment ref="F9" authorId="0">
      <text>
        <r>
          <rPr>
            <sz val="10"/>
            <color indexed="81"/>
            <rFont val="Tahoma"/>
            <family val="2"/>
          </rPr>
          <t xml:space="preserve">
Se refiere a la remuneración del personal correspondiente al año anterior de la solicitud del contrato colectivo.</t>
        </r>
      </text>
    </comment>
    <comment ref="G9" authorId="0">
      <text>
        <r>
          <rPr>
            <sz val="10"/>
            <color indexed="81"/>
            <rFont val="Tahoma"/>
            <family val="2"/>
          </rPr>
          <t>Se refiere a la remuneración del personal correspondiente al año del cual se está negociando el contrato colectivo.</t>
        </r>
      </text>
    </comment>
  </commentList>
</comments>
</file>

<file path=xl/sharedStrings.xml><?xml version="1.0" encoding="utf-8"?>
<sst xmlns="http://schemas.openxmlformats.org/spreadsheetml/2006/main" count="331" uniqueCount="278">
  <si>
    <t>MINISTERIO DE FINANZAS</t>
  </si>
  <si>
    <t>FORMULARIO 2: "COSTOS DEL PROYECTO DE CONTRATO COLECTIVO"</t>
  </si>
  <si>
    <t>Nº PROYECTO CONTRATO COLECTIVO __________________</t>
  </si>
  <si>
    <t xml:space="preserve"> Nº ACTA TRANSACCIONAL ___________________________</t>
  </si>
  <si>
    <t>CLASIFICADOR PRESUPUESTARIO</t>
  </si>
  <si>
    <t>GASTO DEL PERSONAL</t>
  </si>
  <si>
    <t>OBSERVACIONES</t>
  </si>
  <si>
    <t>REMUNERACIONES BASICAS</t>
  </si>
  <si>
    <t>SALARIOS UNIFICADOS</t>
  </si>
  <si>
    <t xml:space="preserve">REMUNERACIONES COMPLEMENTARIAS </t>
  </si>
  <si>
    <t>DECIMOTERCER SUELDO</t>
  </si>
  <si>
    <t>DECIMOCUARTO SUELDO</t>
  </si>
  <si>
    <t>REMUNERACIONES COMPENSATORIAS</t>
  </si>
  <si>
    <t>COMPENSACION POR TRANSPORTE</t>
  </si>
  <si>
    <t>COMISARIATO</t>
  </si>
  <si>
    <t>SUBSIDIOS</t>
  </si>
  <si>
    <t>POR CARGAS FAMILIARES</t>
  </si>
  <si>
    <t>REMUNERACIONES TEMPORALES</t>
  </si>
  <si>
    <t>510509</t>
  </si>
  <si>
    <t>HORAS EXTRAORDINARIAS Y SUPLEMENTARIAS</t>
  </si>
  <si>
    <t>APORTES A LA SEGURIDAD SOCIAL</t>
  </si>
  <si>
    <t>510601</t>
  </si>
  <si>
    <t xml:space="preserve">APORTE PATRONAL </t>
  </si>
  <si>
    <t>510602</t>
  </si>
  <si>
    <t xml:space="preserve">FONDO DE RESERVA </t>
  </si>
  <si>
    <t>510603</t>
  </si>
  <si>
    <t>FONDO DE JUBILACION PATRONAL</t>
  </si>
  <si>
    <t xml:space="preserve">INDEMNIZACIONES </t>
  </si>
  <si>
    <t>COMPENSACION POR DESAHUCIO</t>
  </si>
  <si>
    <t xml:space="preserve">POR JUBILACIÓN </t>
  </si>
  <si>
    <t>COMPENSACION POR VACACIONES NO GOZADAS</t>
  </si>
  <si>
    <t xml:space="preserve">TOTAL </t>
  </si>
  <si>
    <t>INCREMENTO PORCENTUAL %</t>
  </si>
  <si>
    <t>* De ser el caso,  se deberá incluir filas adicionales, para detallar los subgrupos o items correspondientes.</t>
  </si>
  <si>
    <t>* En caso de que en el contrato colectivo se negocie algún beneficio adicional a los expuestos favor incluir el item correspondiente.</t>
  </si>
  <si>
    <t>* La información de los formularios deberá remitirse en medio magnético (Excel) e impreso con las respectivas firmas de responsabilidad.</t>
  </si>
  <si>
    <t>Sello Institucional</t>
  </si>
  <si>
    <t>FORMULARIO 1: "FUENTES DE FINANCIAMIENTO DEL PROYECTO DE CONTRATO COLECTIVO"</t>
  </si>
  <si>
    <t>DETALLE DE INGRESOS</t>
  </si>
  <si>
    <t>FUENTES DE FINANCIAMIENTO</t>
  </si>
  <si>
    <t>FINANCIAMIENTO REAL DEL CONTRATO COLECTIVO VIGENTE USD</t>
  </si>
  <si>
    <t>FINANCIAMIENTO ESTIMADO DEL   CONTRATO COLECTIVO PROPUESTO USD $</t>
  </si>
  <si>
    <t>INGRESOS CORRIENTES  Y PERMANENTES</t>
  </si>
  <si>
    <t>Impuesto Basico</t>
  </si>
  <si>
    <t>Uso de Solares sin transferencia de dominio</t>
  </si>
  <si>
    <t>Impuesto de Alcabalas</t>
  </si>
  <si>
    <t>A los Activos Totales</t>
  </si>
  <si>
    <t>Al consumo de Bienes y Servicios</t>
  </si>
  <si>
    <t>Impuestos Diversos</t>
  </si>
  <si>
    <t xml:space="preserve">TASAS Y CONTRIBUCIONES </t>
  </si>
  <si>
    <t>Tasas generales</t>
  </si>
  <si>
    <t>Tasas portuarias y aeroportuarias</t>
  </si>
  <si>
    <t>Tasas diversas</t>
  </si>
  <si>
    <t>Contribuciones</t>
  </si>
  <si>
    <t xml:space="preserve">VENTA DE BIENES Y SERVICIOS </t>
  </si>
  <si>
    <t>AGUA POTABLE (EMRAPAH)</t>
  </si>
  <si>
    <t>RENTAS DE INVERSIONES Y MULTAS</t>
  </si>
  <si>
    <t xml:space="preserve">TRANSFERENCIAS Y DONACIONES CORRIENTES  </t>
  </si>
  <si>
    <t>COOTAD</t>
  </si>
  <si>
    <t>OTROS INGRESOS</t>
  </si>
  <si>
    <t>Garantías y Fianzas</t>
  </si>
  <si>
    <t>Indemnizaciones y valores no reclamados</t>
  </si>
  <si>
    <t>Otros no Operacionales</t>
  </si>
  <si>
    <r>
      <t>FORMULARIO 3:</t>
    </r>
    <r>
      <rPr>
        <sz val="12"/>
        <color indexed="8"/>
        <rFont val="Calibri"/>
        <family val="2"/>
      </rPr>
      <t xml:space="preserve"> </t>
    </r>
    <r>
      <rPr>
        <b/>
        <sz val="12"/>
        <color indexed="8"/>
        <rFont val="Calibri"/>
        <family val="2"/>
      </rPr>
      <t xml:space="preserve">"COMPARATIVO ENTRE REMUNERACIÓN UNIFICADA Y PROPUESTA" </t>
    </r>
  </si>
  <si>
    <t>DISTRIBUTIVO DE SALARIO UNIFICADO DESAGREGADO POR TRABAJADOR</t>
  </si>
  <si>
    <t>CEDULA</t>
  </si>
  <si>
    <t>APELLIDOS Y NOMBRES</t>
  </si>
  <si>
    <t>No. TRABAJADOR</t>
  </si>
  <si>
    <t>GRADO DEL CARGO O PUESTO</t>
  </si>
  <si>
    <t>DENOMINACIÓN DEL PUESTO O CARGO DE OCUPACIÓN</t>
  </si>
  <si>
    <t>REMUNERACIÓN UNIFICADA CONTRATO COLECTIVO VIGENTE USD $</t>
  </si>
  <si>
    <t>REMUNERACIÓN UNIFICADA CONTRATO COLECTIVO PROPUESTO USD $</t>
  </si>
  <si>
    <t>SUMAN</t>
  </si>
  <si>
    <t xml:space="preserve">NOTA: </t>
  </si>
  <si>
    <t>* De ser el caso,  se deberá incluir filas adicionales para detallar a todos los trabajadores del contrato colectivo.</t>
  </si>
  <si>
    <t>* La información deberá estar acorde a los techos presupuestarios establecidos por el MRL correspondiente a cada periodo.</t>
  </si>
  <si>
    <t>FORMULARIO 4</t>
  </si>
  <si>
    <t>FLUJO PRESUPUESTARIO DE INGRESOS Y GASTOS</t>
  </si>
  <si>
    <t>DETALLE DE GRUPOS Y SUBGRUPOS</t>
  </si>
  <si>
    <t>FLUJO HISTÓRICO (USD)</t>
  </si>
  <si>
    <t>FLUJO PROYECTADO (USD)</t>
  </si>
  <si>
    <t>Grupo y Subgrupo</t>
  </si>
  <si>
    <t xml:space="preserve">Descripción </t>
  </si>
  <si>
    <t xml:space="preserve">AÑO 3 </t>
  </si>
  <si>
    <t>AÑO 4</t>
  </si>
  <si>
    <t>TOTAL INGRESOS CORRIENTES (1)</t>
  </si>
  <si>
    <t>TOTAL GASTOS CORRIENTES (2)</t>
  </si>
  <si>
    <t>Gastos en personal</t>
  </si>
  <si>
    <t>Remuneraciones Básicas</t>
  </si>
  <si>
    <t>Remuneraciones Complementarias</t>
  </si>
  <si>
    <t>Remuneraciones Compensatorias</t>
  </si>
  <si>
    <t>Subsidios</t>
  </si>
  <si>
    <t>Remuneraciones Temporales</t>
  </si>
  <si>
    <t>Aportes Patronales a la Seguridad Social</t>
  </si>
  <si>
    <t>Indemnizaciones</t>
  </si>
  <si>
    <t>Asignaciones a distribuir</t>
  </si>
  <si>
    <t>Bienes y servicios de consumo</t>
  </si>
  <si>
    <t>Gastos Financieros</t>
  </si>
  <si>
    <t>Otros gastos corrientes</t>
  </si>
  <si>
    <t>Transferencias y donaciones corrientes</t>
  </si>
  <si>
    <t>Previsiones para reasignaciones</t>
  </si>
  <si>
    <t>SUPERAVIT/DEFICIT CORRIENTE (1) - (2) = (3)</t>
  </si>
  <si>
    <t>INGRESOS DE CAPITAL E INVERSIÓN (4)</t>
  </si>
  <si>
    <t>Venta de activos no financieros</t>
  </si>
  <si>
    <t>Transferencias y donaciones de capital e inversión</t>
  </si>
  <si>
    <t>GASTOS DE CAPITAL E INVERSIÓN (5)</t>
  </si>
  <si>
    <t>61</t>
  </si>
  <si>
    <t>Gastos en personal para producción</t>
  </si>
  <si>
    <t>63</t>
  </si>
  <si>
    <t>Bienes y servicios para producción</t>
  </si>
  <si>
    <t>67</t>
  </si>
  <si>
    <t>Otros gastos de producción</t>
  </si>
  <si>
    <t>Gastos en personal para Inversión</t>
  </si>
  <si>
    <t>Bienes y servicios para inversión</t>
  </si>
  <si>
    <t>Obras públicas</t>
  </si>
  <si>
    <t>Obras de Infraestructura</t>
  </si>
  <si>
    <t>Obras para generación de energía</t>
  </si>
  <si>
    <t>Obras Hidrocarburíferas y Mineras</t>
  </si>
  <si>
    <t>Obras en líneas, redes, e intalaciones eléctricas y de telecomunicaciones</t>
  </si>
  <si>
    <t>Mantenimiento y repaciones</t>
  </si>
  <si>
    <t>Otros Gastos de Inversión</t>
  </si>
  <si>
    <t>Transferencias y donaciones para inversión</t>
  </si>
  <si>
    <t>Bienes de larga duración</t>
  </si>
  <si>
    <t>Transferencias y donaciones de capital</t>
  </si>
  <si>
    <t>SUPERAVIT/DEFICIT DE CAPITAL E INVERSIÓN (4) - (5) = (6)</t>
  </si>
  <si>
    <t>SUPERAVIT/DEFICIT FISCAL  (3) + (6)</t>
  </si>
  <si>
    <t>FUENTES FINANCIERAS (7)</t>
  </si>
  <si>
    <t>Recuperación de inversiones</t>
  </si>
  <si>
    <t>Financiamiento Público</t>
  </si>
  <si>
    <t>Saldos disponibles</t>
  </si>
  <si>
    <t>Cuenta Pendientes por Cobrar</t>
  </si>
  <si>
    <t>USOS FINANCIEROS (8)</t>
  </si>
  <si>
    <t>Inversiones financieras</t>
  </si>
  <si>
    <t>Amortización de la deuda</t>
  </si>
  <si>
    <t>Pasivo Circulante</t>
  </si>
  <si>
    <t>Otros Pasivos</t>
  </si>
  <si>
    <t>SUPERAVIT/DEFICIT DE FINANCIAMIENTO (7) - (8)</t>
  </si>
  <si>
    <t xml:space="preserve"> CÁLCULO DE LÍMITES DE ENDEUDAMIENTO </t>
  </si>
  <si>
    <r>
      <t>* Se requiere d</t>
    </r>
    <r>
      <rPr>
        <sz val="8"/>
        <color indexed="8"/>
        <rFont val="Calibri"/>
        <family val="2"/>
      </rPr>
      <t>etallar claramente qué partida o partidas presupuestarias de ingresos y gastos sustentaran el egreso del contrato colectivo o acta transaccional (Si es necesario desglosando los datos en filas adicionales a nivel de item)</t>
    </r>
  </si>
  <si>
    <t>*La información histórica presentada en este anexo deberá corresponder a la que el GAD cargó a través del Módulo de Consolidación del E-sigef del Ministerio de Finanzas.</t>
  </si>
  <si>
    <t>* Se requiere incluir el cálculo de los límites de endeudamiento establecidos en el artículo 125 del Código Orgánico de Planificación y Finanzas Públicas.</t>
  </si>
  <si>
    <t>AYALA LOAYZA SANDRA DEL CARMEN</t>
  </si>
  <si>
    <t xml:space="preserve">ERREYES QUEZADA ELIZA </t>
  </si>
  <si>
    <t xml:space="preserve">IZQUIERDO IÑIGUEZ RUTH EUGENIA </t>
  </si>
  <si>
    <t xml:space="preserve">JIMA MOCHA SEGUNDO MANUEL </t>
  </si>
  <si>
    <t xml:space="preserve">OCHOA MENDOZA NELSON FABRICIO </t>
  </si>
  <si>
    <t>ORDOÑEZ MIZHQUERO MAYRA ALEXANDRA</t>
  </si>
  <si>
    <t xml:space="preserve">PIEDRA IÑIGUEZ EDGAR YOVANNY </t>
  </si>
  <si>
    <t>RAMON SAMANIEGO  WALTER KENNEDY</t>
  </si>
  <si>
    <t>RIOFRIO QUIZHPE LEOPOLDO</t>
  </si>
  <si>
    <t xml:space="preserve">ROMERO JIMA JUAN CARLOS </t>
  </si>
  <si>
    <t xml:space="preserve">TORRES AZUERO CARMITA MELANIA </t>
  </si>
  <si>
    <t xml:space="preserve">TORRES SARANGO RAFAEL ANTONIO </t>
  </si>
  <si>
    <t>CAJAS PELAEZ FELIX FAUSTINO</t>
  </si>
  <si>
    <t xml:space="preserve">CANUZA BORJA PEDRO MANUEL </t>
  </si>
  <si>
    <t xml:space="preserve">RIVERA PELAEZ ANGEL ROSENDO </t>
  </si>
  <si>
    <t>CARRION IÑIGUEZ  OSWALDO ARTURO</t>
  </si>
  <si>
    <t xml:space="preserve">RAMIREZ ZAMBRANO ALVARO ROBERTO </t>
  </si>
  <si>
    <t xml:space="preserve">GONZALEZ LALANGUI RHUBER YEROBI </t>
  </si>
  <si>
    <t>BETANCOURTH GALVEZ DROBHER DANNY</t>
  </si>
  <si>
    <t>REGALADO ALVAREZ EDWIN GONZALO</t>
  </si>
  <si>
    <t>FREIRE JARAMILLO CESAR HUMBERTO</t>
  </si>
  <si>
    <t>CARCHI GUAMAN JOSE DAVID</t>
  </si>
  <si>
    <t xml:space="preserve">IZQUIERDO GUTIERREZ HUGO PATRICIO </t>
  </si>
  <si>
    <t xml:space="preserve">SILVA AGUILAR NERIO EDWIN </t>
  </si>
  <si>
    <t>RIVADENEIRA ARTEAGA MILTER FLAWER</t>
  </si>
  <si>
    <t>SOTO VILLALTA MANUEL ISIDRO</t>
  </si>
  <si>
    <t xml:space="preserve">TORRES COVOS GERMAN EFREN </t>
  </si>
  <si>
    <t>SOTO SARAGURO ELIZANDRO ROBERTO</t>
  </si>
  <si>
    <t xml:space="preserve">MEZA OCHOA JOSÉ LUÍS </t>
  </si>
  <si>
    <t xml:space="preserve">MOROCHO ALVAREZ ANGEL WILSON </t>
  </si>
  <si>
    <t xml:space="preserve">LANDIN DIAZ MARIO TOMAS </t>
  </si>
  <si>
    <t xml:space="preserve">TORRES TORRES EDUARDO NIXON </t>
  </si>
  <si>
    <t xml:space="preserve">GONZALEZ GARCES EDDY ABSALON </t>
  </si>
  <si>
    <t xml:space="preserve">ORTÍZ DÁVILA SOMER JASMANIA </t>
  </si>
  <si>
    <t xml:space="preserve">ALVERCA QUEZADA JONATHAN ALEXANDER </t>
  </si>
  <si>
    <t xml:space="preserve">NANTIP SHIRIMBO ANA LUCIA </t>
  </si>
  <si>
    <t>SUCUNUTA CASTILLO JORGE PATRICIO</t>
  </si>
  <si>
    <t xml:space="preserve">VALLADAREZ CRISTIAN FERNANDO </t>
  </si>
  <si>
    <t xml:space="preserve">MEDINA LEON BRYAN MEDINA </t>
  </si>
  <si>
    <t>0702191388</t>
  </si>
  <si>
    <t>1102536966</t>
  </si>
  <si>
    <t>1900181973</t>
  </si>
  <si>
    <t>1102076856</t>
  </si>
  <si>
    <t>1900302199</t>
  </si>
  <si>
    <t>1900415934</t>
  </si>
  <si>
    <t>1900181809</t>
  </si>
  <si>
    <t>1900226760</t>
  </si>
  <si>
    <t>1900350206</t>
  </si>
  <si>
    <t>1900464320</t>
  </si>
  <si>
    <t>1900195882</t>
  </si>
  <si>
    <t>1900315548</t>
  </si>
  <si>
    <t>1900253384</t>
  </si>
  <si>
    <t>1900194216</t>
  </si>
  <si>
    <t>1900253228</t>
  </si>
  <si>
    <t>1900124643</t>
  </si>
  <si>
    <t>1900458579</t>
  </si>
  <si>
    <t>1900258326</t>
  </si>
  <si>
    <t>1900377217</t>
  </si>
  <si>
    <t>1900182468</t>
  </si>
  <si>
    <t>1900267871</t>
  </si>
  <si>
    <t>1102119748</t>
  </si>
  <si>
    <t>1301724868</t>
  </si>
  <si>
    <t>1900182047</t>
  </si>
  <si>
    <t>1900464189</t>
  </si>
  <si>
    <t>1717137903</t>
  </si>
  <si>
    <t>1900475201</t>
  </si>
  <si>
    <t>1900497973</t>
  </si>
  <si>
    <t>1708588932</t>
  </si>
  <si>
    <t>1900315035</t>
  </si>
  <si>
    <t>0910496652</t>
  </si>
  <si>
    <t>1900629203</t>
  </si>
  <si>
    <t>1900573955</t>
  </si>
  <si>
    <t>1900724640</t>
  </si>
  <si>
    <t>1900612068</t>
  </si>
  <si>
    <t xml:space="preserve">TESORERA </t>
  </si>
  <si>
    <t>GUARDALMACEN</t>
  </si>
  <si>
    <t xml:space="preserve">SECRETARIA </t>
  </si>
  <si>
    <t>JEFE DE RR.PP.</t>
  </si>
  <si>
    <t>PROVEEDOR</t>
  </si>
  <si>
    <t xml:space="preserve">AUX. DE SECRETARIA </t>
  </si>
  <si>
    <t>CHOFER</t>
  </si>
  <si>
    <t xml:space="preserve">AUXILIAR DE SERVICIOS </t>
  </si>
  <si>
    <t xml:space="preserve">MENSAJERO </t>
  </si>
  <si>
    <t xml:space="preserve">CHOFER </t>
  </si>
  <si>
    <t xml:space="preserve">CONTADORA </t>
  </si>
  <si>
    <t xml:space="preserve">SECRETARIO </t>
  </si>
  <si>
    <t>CONSERJE 1</t>
  </si>
  <si>
    <t>CONSERJE 2</t>
  </si>
  <si>
    <t xml:space="preserve">GURADIAN DEL COLISEO </t>
  </si>
  <si>
    <t>METODOLOGO</t>
  </si>
  <si>
    <t>TUTOR</t>
  </si>
  <si>
    <t>ODONTOLOGO</t>
  </si>
  <si>
    <t>ENTRENADOR DE ATLETISMO</t>
  </si>
  <si>
    <t>MONITOR DE ATLETISMO</t>
  </si>
  <si>
    <t xml:space="preserve">ENTRENADOR DE AJEDREZ </t>
  </si>
  <si>
    <t xml:space="preserve">ENTRENADOR DE BALONCESTO </t>
  </si>
  <si>
    <t>ENTRENADOR DE BOXEO</t>
  </si>
  <si>
    <t>MONITOR DE BOXEO</t>
  </si>
  <si>
    <t>ENTRENADOR DE CICLISMO</t>
  </si>
  <si>
    <t>ENTRENADOR DE FUTBOL</t>
  </si>
  <si>
    <t>MONITOR DE FUTBOL</t>
  </si>
  <si>
    <t>ENTRENADOR DE LUCHA</t>
  </si>
  <si>
    <t>MONITOR DE LUCHA</t>
  </si>
  <si>
    <t>ENTRENADOR DE PESAS</t>
  </si>
  <si>
    <t>MONITOR DE PESAS</t>
  </si>
  <si>
    <t>ENTRENADOR DE NATACION</t>
  </si>
  <si>
    <t xml:space="preserve">MONITOR DE NATACION </t>
  </si>
  <si>
    <t>MONITOR DE TENIS DE MESA</t>
  </si>
  <si>
    <t>FEDERACION DEPORTIVA PROVINCIAL DE ZAMORA CHINCHIPE</t>
  </si>
  <si>
    <t>EN EL SUELDO DE CADA FUNCIONARIO SE INCLUYE SBU MAS DECIMO CUARTO,DECIMO TERCERO, FONDO DE RESERVA  Y APORTE PATRONAL EN FORMA MENSUAL.</t>
  </si>
  <si>
    <t>EN ALGUNOS DE LOS CASOS EL SUELDO DE CADA TRABAJADOR SUPERA LOS TECHOS ESTABLECIDOS POR EL MRL.</t>
  </si>
  <si>
    <t xml:space="preserve">NOTA1: </t>
  </si>
  <si>
    <t xml:space="preserve">NOTA2: </t>
  </si>
  <si>
    <t>FEDERACION DEPORTIVA PROVINCIAL DE ZAMORA CHINCHIPE (FDPZCH.)</t>
  </si>
  <si>
    <t>Transferencias Corrientes del Sector Publico</t>
  </si>
  <si>
    <t>Del Gobierno Central</t>
  </si>
  <si>
    <t>Otros Ingresos no Clasificados</t>
  </si>
  <si>
    <t>FEDERACION DEPORTIVA PROVINCIAL DE ZAMORA CHINCHIPE ESTA SUJETA AL CONTROL DEL MINISTERIO DEL DEPORTE A TRAVES DEL DEPARTAMENTO SE SEGUIMIENTO Y CONTROL MAS NO DEL MINISTERIO DEL FINANZAS</t>
  </si>
  <si>
    <t>SUBSIDIO DE ANTIGÜEDAD</t>
  </si>
  <si>
    <t>ALIMENTACION</t>
  </si>
  <si>
    <t xml:space="preserve">BENEFICIOS MENSUALES </t>
  </si>
  <si>
    <t>BENEFICIOS ANULAES</t>
  </si>
  <si>
    <t>VESTUARIO, LENCERIA, PRENDAS DE PROTECCION; ACCESORIOS PARA UNIOFMRES MILITARES Y POLICIALES; Y, CARPAS</t>
  </si>
  <si>
    <t>GASTO PERSONAL Y OTROS</t>
  </si>
  <si>
    <t>AGUINALDO NEVIDEÑO</t>
  </si>
  <si>
    <t>COSTO ESTIMADO MENSUAL DEL CONTRATO COLECTIVO PROPUESTO USD</t>
  </si>
  <si>
    <t>COSTO ESTIMADO ANUAL DEL CONTRATO COLECTIVO PROPUESTO USD</t>
  </si>
  <si>
    <t>NOTA: No se cuenta con recursos para financiar las exigencias del proyecto de Contrato Colectivo, ya que los recursos son muy escasos para financiar las actividades institucionales.</t>
  </si>
  <si>
    <t>BENEFICIOS SOCIALES</t>
  </si>
  <si>
    <t>LOS BENEFICIOS DESCRITOS CORRESPONDEN A LAS EXIGENCIAS DEL PROYECTO DEL CONTRATO COLECTIVO PROPUESTO, PARA LOS CUALES NO EXISTE FINANCIAMIENTO, PUESTO QUE LOS RECURSOS QUE PERCIBE FDPZCH. SON INSUFIFIENTES INCLUSIVE PARA FINANCIAR LAS ACTIVIDADES INSTITUCIONALES Y CORRESPONDEN EN UN 100% AL ESTADO ECUATORIANO.</t>
  </si>
  <si>
    <t>TAPIA SARMIENTO XIMENA BEZTRIZ</t>
  </si>
  <si>
    <t>INCLUYE: SEGURO POR MUERTE O INCAPACIDAD, AYUDA PARA EL DEPORTE, BONIFICACION POR EL 1RO. DE MAYO, DIA INTERNACIONAL DEL TRABAJO, ANIVERSARIO DEL SINDICATO</t>
  </si>
  <si>
    <t>Nombre: Ing. Liliana Acaro Martinez</t>
  </si>
  <si>
    <t>Lugar y Fecha: Zamora, 8 de agosto de 2016</t>
  </si>
  <si>
    <t>FIRMA DEL PRESIDENTE DE FDPZCH.</t>
  </si>
  <si>
    <t>FIRMA DEL ADMINISTRADOR FINANCIERO DE FDPZCH.</t>
  </si>
  <si>
    <t>Nombre: Dra. Frecia Pontón Gallardo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</si>
</sst>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[$€]* #,##0.00_);_([$€]* \(#,##0.00\);_([$€]* &quot;-&quot;??_);_(@_)"/>
  </numFmts>
  <fonts count="38" x14ac:knownFonts="1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b/>
      <sz val="10"/>
      <color indexed="8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8"/>
      <color indexed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1"/>
      <name val="Tahoma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6"/>
      <color indexed="10"/>
      <name val="Times New Roman"/>
      <family val="1"/>
    </font>
    <font>
      <b/>
      <sz val="14"/>
      <color indexed="8"/>
      <name val="Calibri"/>
      <family val="2"/>
    </font>
    <font>
      <b/>
      <sz val="10"/>
      <color indexed="9"/>
      <name val="Calibri"/>
      <family val="2"/>
    </font>
    <font>
      <b/>
      <sz val="12"/>
      <color indexed="9"/>
      <name val="Calibri"/>
      <family val="2"/>
    </font>
    <font>
      <b/>
      <sz val="9"/>
      <color indexed="8"/>
      <name val="Calibri"/>
      <family val="2"/>
    </font>
    <font>
      <sz val="9"/>
      <color indexed="8"/>
      <name val="Calibri"/>
      <family val="2"/>
    </font>
    <font>
      <sz val="11"/>
      <color indexed="29"/>
      <name val="Calibri"/>
      <family val="2"/>
    </font>
    <font>
      <b/>
      <sz val="11"/>
      <color indexed="22"/>
      <name val="Calibri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1"/>
      <color theme="0" tint="-4.9989318521683403E-2"/>
      <name val="Calibri"/>
      <family val="2"/>
    </font>
    <font>
      <sz val="8"/>
      <color theme="1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sz val="10"/>
      <color rgb="FFFF000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29"/>
      <name val="Calibri"/>
      <family val="2"/>
    </font>
    <font>
      <sz val="10"/>
      <color theme="1"/>
      <name val="Calibri"/>
      <family val="2"/>
    </font>
    <font>
      <b/>
      <sz val="10"/>
      <color indexed="2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6" fillId="0" borderId="0"/>
    <xf numFmtId="0" fontId="2" fillId="0" borderId="0"/>
  </cellStyleXfs>
  <cellXfs count="250">
    <xf numFmtId="0" fontId="0" fillId="0" borderId="0" xfId="0"/>
    <xf numFmtId="0" fontId="3" fillId="0" borderId="0" xfId="0" applyFont="1"/>
    <xf numFmtId="0" fontId="6" fillId="0" borderId="0" xfId="0" applyFont="1"/>
    <xf numFmtId="0" fontId="6" fillId="0" borderId="0" xfId="0" applyFont="1" applyBorder="1"/>
    <xf numFmtId="0" fontId="4" fillId="0" borderId="0" xfId="0" applyFont="1" applyFill="1" applyBorder="1" applyAlignment="1"/>
    <xf numFmtId="0" fontId="4" fillId="0" borderId="0" xfId="0" applyFont="1" applyBorder="1" applyAlignment="1"/>
    <xf numFmtId="4" fontId="6" fillId="0" borderId="0" xfId="0" applyNumberFormat="1" applyFont="1"/>
    <xf numFmtId="0" fontId="13" fillId="0" borderId="0" xfId="0" applyFont="1" applyBorder="1"/>
    <xf numFmtId="0" fontId="26" fillId="0" borderId="0" xfId="6"/>
    <xf numFmtId="0" fontId="15" fillId="2" borderId="1" xfId="6" applyFont="1" applyFill="1" applyBorder="1" applyAlignment="1">
      <alignment horizontal="center" vertical="center" wrapText="1"/>
    </xf>
    <xf numFmtId="0" fontId="16" fillId="2" borderId="2" xfId="6" applyFont="1" applyFill="1" applyBorder="1" applyAlignment="1">
      <alignment horizontal="center" vertical="center"/>
    </xf>
    <xf numFmtId="0" fontId="16" fillId="2" borderId="3" xfId="6" applyFont="1" applyFill="1" applyBorder="1" applyAlignment="1">
      <alignment horizontal="center" vertical="center"/>
    </xf>
    <xf numFmtId="0" fontId="16" fillId="2" borderId="4" xfId="6" applyFont="1" applyFill="1" applyBorder="1" applyAlignment="1">
      <alignment horizontal="center" vertical="center"/>
    </xf>
    <xf numFmtId="0" fontId="16" fillId="2" borderId="5" xfId="6" applyFont="1" applyFill="1" applyBorder="1" applyAlignment="1">
      <alignment horizontal="center" vertical="center"/>
    </xf>
    <xf numFmtId="0" fontId="11" fillId="2" borderId="6" xfId="6" applyFont="1" applyFill="1" applyBorder="1" applyAlignment="1">
      <alignment horizontal="center" vertical="center" wrapText="1"/>
    </xf>
    <xf numFmtId="0" fontId="11" fillId="2" borderId="3" xfId="6" applyFont="1" applyFill="1" applyBorder="1" applyAlignment="1">
      <alignment horizontal="center" vertical="center" wrapText="1"/>
    </xf>
    <xf numFmtId="0" fontId="17" fillId="0" borderId="8" xfId="6" applyFont="1" applyBorder="1" applyAlignment="1">
      <alignment horizontal="left"/>
    </xf>
    <xf numFmtId="0" fontId="26" fillId="0" borderId="12" xfId="6" applyBorder="1"/>
    <xf numFmtId="0" fontId="17" fillId="0" borderId="10" xfId="6" applyFont="1" applyBorder="1"/>
    <xf numFmtId="0" fontId="18" fillId="4" borderId="10" xfId="6" applyFont="1" applyFill="1" applyBorder="1"/>
    <xf numFmtId="0" fontId="26" fillId="3" borderId="12" xfId="6" applyFill="1" applyBorder="1"/>
    <xf numFmtId="0" fontId="17" fillId="0" borderId="14" xfId="6" applyFont="1" applyBorder="1" applyAlignment="1">
      <alignment horizontal="left"/>
    </xf>
    <xf numFmtId="0" fontId="17" fillId="0" borderId="15" xfId="6" applyFont="1" applyBorder="1"/>
    <xf numFmtId="0" fontId="19" fillId="4" borderId="12" xfId="6" applyFont="1" applyFill="1" applyBorder="1"/>
    <xf numFmtId="0" fontId="20" fillId="2" borderId="10" xfId="6" applyFont="1" applyFill="1" applyBorder="1"/>
    <xf numFmtId="0" fontId="17" fillId="0" borderId="17" xfId="6" applyFont="1" applyBorder="1" applyAlignment="1">
      <alignment horizontal="left"/>
    </xf>
    <xf numFmtId="0" fontId="17" fillId="0" borderId="18" xfId="6" applyFont="1" applyBorder="1" applyAlignment="1">
      <alignment horizontal="left"/>
    </xf>
    <xf numFmtId="0" fontId="17" fillId="0" borderId="19" xfId="6" applyFont="1" applyBorder="1"/>
    <xf numFmtId="0" fontId="17" fillId="0" borderId="20" xfId="6" applyFont="1" applyBorder="1" applyAlignment="1">
      <alignment horizontal="left"/>
    </xf>
    <xf numFmtId="0" fontId="17" fillId="0" borderId="21" xfId="6" applyFont="1" applyBorder="1"/>
    <xf numFmtId="0" fontId="20" fillId="2" borderId="13" xfId="6" applyFont="1" applyFill="1" applyBorder="1"/>
    <xf numFmtId="0" fontId="20" fillId="0" borderId="0" xfId="6" applyFont="1" applyFill="1" applyBorder="1" applyAlignment="1">
      <alignment horizontal="center"/>
    </xf>
    <xf numFmtId="0" fontId="20" fillId="0" borderId="0" xfId="6" applyFont="1" applyFill="1" applyBorder="1"/>
    <xf numFmtId="0" fontId="26" fillId="0" borderId="0" xfId="6" applyFill="1"/>
    <xf numFmtId="0" fontId="12" fillId="0" borderId="22" xfId="6" applyFont="1" applyFill="1" applyBorder="1" applyAlignment="1">
      <alignment horizontal="center"/>
    </xf>
    <xf numFmtId="0" fontId="12" fillId="0" borderId="23" xfId="6" applyFont="1" applyFill="1" applyBorder="1" applyAlignment="1">
      <alignment horizontal="center"/>
    </xf>
    <xf numFmtId="0" fontId="12" fillId="0" borderId="24" xfId="6" applyFont="1" applyFill="1" applyBorder="1" applyAlignment="1">
      <alignment horizontal="center"/>
    </xf>
    <xf numFmtId="0" fontId="12" fillId="0" borderId="25" xfId="6" applyFont="1" applyFill="1" applyBorder="1" applyAlignment="1">
      <alignment horizontal="center"/>
    </xf>
    <xf numFmtId="0" fontId="12" fillId="0" borderId="26" xfId="6" applyFont="1" applyFill="1" applyBorder="1" applyAlignment="1">
      <alignment horizontal="center"/>
    </xf>
    <xf numFmtId="0" fontId="20" fillId="0" borderId="26" xfId="6" applyFont="1" applyFill="1" applyBorder="1"/>
    <xf numFmtId="0" fontId="20" fillId="0" borderId="27" xfId="6" applyFont="1" applyFill="1" applyBorder="1"/>
    <xf numFmtId="0" fontId="12" fillId="0" borderId="0" xfId="6" applyFont="1"/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horizontal="center"/>
    </xf>
    <xf numFmtId="0" fontId="21" fillId="0" borderId="0" xfId="0" applyFont="1" applyBorder="1" applyAlignment="1"/>
    <xf numFmtId="0" fontId="21" fillId="0" borderId="17" xfId="0" applyFont="1" applyBorder="1" applyAlignment="1">
      <alignment horizontal="center"/>
    </xf>
    <xf numFmtId="0" fontId="22" fillId="0" borderId="0" xfId="0" applyFont="1" applyBorder="1"/>
    <xf numFmtId="0" fontId="23" fillId="0" borderId="0" xfId="0" applyFont="1" applyBorder="1" applyAlignment="1">
      <alignment horizontal="center"/>
    </xf>
    <xf numFmtId="4" fontId="22" fillId="0" borderId="0" xfId="0" applyNumberFormat="1" applyFont="1" applyBorder="1"/>
    <xf numFmtId="0" fontId="22" fillId="0" borderId="0" xfId="0" applyFont="1"/>
    <xf numFmtId="0" fontId="21" fillId="0" borderId="0" xfId="0" applyFont="1" applyFill="1" applyBorder="1" applyAlignment="1">
      <alignment horizontal="left"/>
    </xf>
    <xf numFmtId="0" fontId="24" fillId="0" borderId="0" xfId="0" applyFont="1" applyFill="1" applyBorder="1" applyAlignment="1"/>
    <xf numFmtId="0" fontId="24" fillId="0" borderId="17" xfId="0" applyFont="1" applyFill="1" applyBorder="1" applyAlignment="1">
      <alignment horizontal="center"/>
    </xf>
    <xf numFmtId="4" fontId="24" fillId="0" borderId="17" xfId="0" applyNumberFormat="1" applyFont="1" applyFill="1" applyBorder="1" applyAlignment="1">
      <alignment horizontal="right"/>
    </xf>
    <xf numFmtId="0" fontId="21" fillId="0" borderId="17" xfId="0" applyFont="1" applyFill="1" applyBorder="1" applyAlignment="1">
      <alignment horizontal="center"/>
    </xf>
    <xf numFmtId="4" fontId="21" fillId="0" borderId="17" xfId="0" applyNumberFormat="1" applyFont="1" applyFill="1" applyBorder="1" applyAlignment="1">
      <alignment horizontal="right" vertical="center" wrapText="1"/>
    </xf>
    <xf numFmtId="43" fontId="22" fillId="0" borderId="0" xfId="2" applyFont="1" applyBorder="1"/>
    <xf numFmtId="0" fontId="21" fillId="0" borderId="0" xfId="0" applyFont="1" applyBorder="1" applyAlignment="1">
      <alignment horizontal="center"/>
    </xf>
    <xf numFmtId="4" fontId="21" fillId="0" borderId="0" xfId="0" applyNumberFormat="1" applyFont="1" applyFill="1" applyBorder="1" applyAlignment="1">
      <alignment horizontal="right" vertical="center" wrapText="1"/>
    </xf>
    <xf numFmtId="0" fontId="25" fillId="0" borderId="0" xfId="0" applyFont="1" applyBorder="1"/>
    <xf numFmtId="0" fontId="24" fillId="0" borderId="28" xfId="0" applyFont="1" applyFill="1" applyBorder="1" applyAlignment="1">
      <alignment horizontal="center"/>
    </xf>
    <xf numFmtId="4" fontId="24" fillId="0" borderId="28" xfId="0" applyNumberFormat="1" applyFont="1" applyFill="1" applyBorder="1" applyAlignment="1">
      <alignment horizontal="right"/>
    </xf>
    <xf numFmtId="0" fontId="11" fillId="2" borderId="1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center" vertical="center" wrapText="1"/>
    </xf>
    <xf numFmtId="49" fontId="16" fillId="2" borderId="23" xfId="0" applyNumberFormat="1" applyFont="1" applyFill="1" applyBorder="1" applyAlignment="1">
      <alignment horizontal="center" vertical="center" wrapText="1"/>
    </xf>
    <xf numFmtId="49" fontId="16" fillId="2" borderId="30" xfId="0" applyNumberFormat="1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center"/>
    </xf>
    <xf numFmtId="4" fontId="24" fillId="0" borderId="33" xfId="0" applyNumberFormat="1" applyFont="1" applyFill="1" applyBorder="1" applyAlignment="1">
      <alignment horizontal="center"/>
    </xf>
    <xf numFmtId="4" fontId="24" fillId="0" borderId="34" xfId="0" applyNumberFormat="1" applyFont="1" applyFill="1" applyBorder="1" applyAlignment="1">
      <alignment horizontal="center"/>
    </xf>
    <xf numFmtId="4" fontId="21" fillId="0" borderId="34" xfId="0" applyNumberFormat="1" applyFont="1" applyFill="1" applyBorder="1" applyAlignment="1">
      <alignment horizontal="center"/>
    </xf>
    <xf numFmtId="0" fontId="22" fillId="0" borderId="34" xfId="0" applyFont="1" applyBorder="1"/>
    <xf numFmtId="4" fontId="22" fillId="0" borderId="34" xfId="0" applyNumberFormat="1" applyFont="1" applyBorder="1"/>
    <xf numFmtId="4" fontId="21" fillId="0" borderId="9" xfId="0" applyNumberFormat="1" applyFont="1" applyFill="1" applyBorder="1" applyAlignment="1">
      <alignment horizontal="center"/>
    </xf>
    <xf numFmtId="4" fontId="24" fillId="0" borderId="10" xfId="0" applyNumberFormat="1" applyFont="1" applyFill="1" applyBorder="1" applyAlignment="1">
      <alignment horizontal="center"/>
    </xf>
    <xf numFmtId="4" fontId="21" fillId="0" borderId="10" xfId="0" applyNumberFormat="1" applyFont="1" applyFill="1" applyBorder="1" applyAlignment="1">
      <alignment horizontal="center"/>
    </xf>
    <xf numFmtId="0" fontId="22" fillId="0" borderId="36" xfId="0" applyFont="1" applyBorder="1" applyAlignment="1">
      <alignment horizontal="center"/>
    </xf>
    <xf numFmtId="0" fontId="24" fillId="0" borderId="9" xfId="0" applyFont="1" applyBorder="1"/>
    <xf numFmtId="0" fontId="22" fillId="0" borderId="24" xfId="0" applyFont="1" applyBorder="1"/>
    <xf numFmtId="0" fontId="22" fillId="0" borderId="39" xfId="0" applyFont="1" applyBorder="1"/>
    <xf numFmtId="0" fontId="22" fillId="0" borderId="41" xfId="0" applyFont="1" applyBorder="1"/>
    <xf numFmtId="0" fontId="24" fillId="0" borderId="3" xfId="0" applyFont="1" applyBorder="1"/>
    <xf numFmtId="49" fontId="16" fillId="2" borderId="44" xfId="0" applyNumberFormat="1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0" fontId="11" fillId="2" borderId="25" xfId="6" applyFont="1" applyFill="1" applyBorder="1" applyAlignment="1"/>
    <xf numFmtId="0" fontId="11" fillId="2" borderId="26" xfId="6" applyFont="1" applyFill="1" applyBorder="1" applyAlignment="1"/>
    <xf numFmtId="4" fontId="1" fillId="0" borderId="10" xfId="2" applyNumberFormat="1" applyFont="1" applyBorder="1" applyAlignment="1">
      <alignment horizontal="center"/>
    </xf>
    <xf numFmtId="4" fontId="22" fillId="0" borderId="46" xfId="0" applyNumberFormat="1" applyFont="1" applyBorder="1"/>
    <xf numFmtId="0" fontId="27" fillId="0" borderId="17" xfId="0" applyFont="1" applyBorder="1"/>
    <xf numFmtId="4" fontId="27" fillId="0" borderId="17" xfId="0" applyNumberFormat="1" applyFont="1" applyBorder="1"/>
    <xf numFmtId="4" fontId="24" fillId="0" borderId="10" xfId="0" applyNumberFormat="1" applyFont="1" applyFill="1" applyBorder="1" applyAlignment="1">
      <alignment horizontal="right"/>
    </xf>
    <xf numFmtId="0" fontId="28" fillId="2" borderId="26" xfId="6" applyFont="1" applyFill="1" applyBorder="1" applyAlignment="1"/>
    <xf numFmtId="4" fontId="1" fillId="0" borderId="34" xfId="2" applyNumberFormat="1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4" fontId="22" fillId="0" borderId="34" xfId="0" applyNumberFormat="1" applyFont="1" applyBorder="1" applyAlignment="1">
      <alignment horizontal="center"/>
    </xf>
    <xf numFmtId="0" fontId="22" fillId="0" borderId="10" xfId="0" applyFont="1" applyBorder="1" applyAlignment="1">
      <alignment horizontal="center" vertical="center"/>
    </xf>
    <xf numFmtId="4" fontId="22" fillId="0" borderId="10" xfId="0" applyNumberFormat="1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8" fillId="0" borderId="0" xfId="0" applyFont="1" applyFill="1" applyBorder="1" applyAlignment="1"/>
    <xf numFmtId="0" fontId="12" fillId="0" borderId="0" xfId="6" applyFont="1" applyBorder="1" applyAlignment="1"/>
    <xf numFmtId="0" fontId="12" fillId="0" borderId="32" xfId="6" applyFont="1" applyBorder="1" applyAlignment="1"/>
    <xf numFmtId="4" fontId="21" fillId="0" borderId="38" xfId="0" applyNumberFormat="1" applyFont="1" applyFill="1" applyBorder="1" applyAlignment="1">
      <alignment horizontal="right" vertical="center" wrapText="1"/>
    </xf>
    <xf numFmtId="0" fontId="24" fillId="0" borderId="0" xfId="0" applyFont="1" applyBorder="1" applyAlignment="1">
      <alignment horizontal="left"/>
    </xf>
    <xf numFmtId="49" fontId="16" fillId="2" borderId="45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/>
    </xf>
    <xf numFmtId="0" fontId="14" fillId="0" borderId="0" xfId="6" applyFont="1" applyAlignment="1">
      <alignment horizontal="center"/>
    </xf>
    <xf numFmtId="0" fontId="8" fillId="0" borderId="0" xfId="0" applyFont="1" applyBorder="1" applyAlignment="1"/>
    <xf numFmtId="0" fontId="12" fillId="0" borderId="4" xfId="0" applyFont="1" applyBorder="1" applyAlignment="1">
      <alignment horizontal="center"/>
    </xf>
    <xf numFmtId="4" fontId="12" fillId="0" borderId="2" xfId="2" applyNumberFormat="1" applyFont="1" applyBorder="1" applyAlignment="1">
      <alignment horizontal="center"/>
    </xf>
    <xf numFmtId="4" fontId="12" fillId="0" borderId="3" xfId="2" applyNumberFormat="1" applyFont="1" applyBorder="1" applyAlignment="1">
      <alignment horizontal="center"/>
    </xf>
    <xf numFmtId="4" fontId="12" fillId="0" borderId="34" xfId="2" applyNumberFormat="1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7" fillId="3" borderId="7" xfId="6" applyFont="1" applyFill="1" applyBorder="1"/>
    <xf numFmtId="4" fontId="7" fillId="3" borderId="7" xfId="6" applyNumberFormat="1" applyFont="1" applyFill="1" applyBorder="1"/>
    <xf numFmtId="0" fontId="7" fillId="0" borderId="10" xfId="6" applyFont="1" applyBorder="1"/>
    <xf numFmtId="0" fontId="7" fillId="0" borderId="8" xfId="6" applyFont="1" applyBorder="1" applyAlignment="1">
      <alignment horizontal="center"/>
    </xf>
    <xf numFmtId="0" fontId="7" fillId="0" borderId="10" xfId="6" applyFont="1" applyBorder="1" applyAlignment="1">
      <alignment horizontal="left" indent="2"/>
    </xf>
    <xf numFmtId="0" fontId="7" fillId="0" borderId="11" xfId="6" applyFont="1" applyBorder="1"/>
    <xf numFmtId="0" fontId="7" fillId="0" borderId="12" xfId="6" applyFont="1" applyBorder="1"/>
    <xf numFmtId="0" fontId="7" fillId="0" borderId="13" xfId="6" applyFont="1" applyBorder="1" applyAlignment="1">
      <alignment horizontal="left" indent="2"/>
    </xf>
    <xf numFmtId="0" fontId="7" fillId="3" borderId="10" xfId="6" applyFont="1" applyFill="1" applyBorder="1"/>
    <xf numFmtId="0" fontId="7" fillId="3" borderId="12" xfId="6" applyFont="1" applyFill="1" applyBorder="1"/>
    <xf numFmtId="0" fontId="7" fillId="0" borderId="0" xfId="6" applyFont="1" applyFill="1" applyBorder="1"/>
    <xf numFmtId="0" fontId="21" fillId="0" borderId="7" xfId="0" applyFont="1" applyBorder="1" applyAlignment="1">
      <alignment horizontal="center" vertical="center"/>
    </xf>
    <xf numFmtId="0" fontId="21" fillId="0" borderId="42" xfId="0" applyFont="1" applyBorder="1" applyAlignment="1">
      <alignment horizontal="left" vertical="center"/>
    </xf>
    <xf numFmtId="2" fontId="21" fillId="0" borderId="19" xfId="0" applyNumberFormat="1" applyFont="1" applyFill="1" applyBorder="1" applyAlignment="1">
      <alignment horizontal="center" vertical="center"/>
    </xf>
    <xf numFmtId="2" fontId="21" fillId="0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27" fillId="0" borderId="17" xfId="0" applyFont="1" applyBorder="1" applyAlignment="1">
      <alignment horizontal="left"/>
    </xf>
    <xf numFmtId="0" fontId="29" fillId="0" borderId="17" xfId="0" applyFont="1" applyFill="1" applyBorder="1"/>
    <xf numFmtId="0" fontId="29" fillId="0" borderId="17" xfId="0" applyFont="1" applyFill="1" applyBorder="1" applyAlignment="1">
      <alignment vertical="center"/>
    </xf>
    <xf numFmtId="43" fontId="6" fillId="0" borderId="0" xfId="2" applyFont="1"/>
    <xf numFmtId="0" fontId="21" fillId="0" borderId="0" xfId="0" applyFont="1" applyBorder="1" applyAlignment="1">
      <alignment horizontal="left"/>
    </xf>
    <xf numFmtId="43" fontId="26" fillId="0" borderId="12" xfId="2" applyFont="1" applyBorder="1"/>
    <xf numFmtId="0" fontId="30" fillId="0" borderId="0" xfId="6" applyFont="1" applyFill="1" applyBorder="1" applyAlignment="1">
      <alignment horizontal="center"/>
    </xf>
    <xf numFmtId="0" fontId="30" fillId="0" borderId="0" xfId="6" applyFont="1" applyFill="1" applyBorder="1"/>
    <xf numFmtId="0" fontId="31" fillId="0" borderId="0" xfId="6" applyFont="1" applyFill="1"/>
    <xf numFmtId="0" fontId="24" fillId="0" borderId="40" xfId="0" applyFont="1" applyBorder="1" applyAlignment="1">
      <alignment horizontal="center" vertical="center"/>
    </xf>
    <xf numFmtId="0" fontId="24" fillId="0" borderId="43" xfId="0" applyFont="1" applyBorder="1" applyAlignment="1">
      <alignment horizontal="left" vertical="center" wrapText="1"/>
    </xf>
    <xf numFmtId="4" fontId="24" fillId="0" borderId="38" xfId="0" applyNumberFormat="1" applyFont="1" applyBorder="1" applyAlignment="1">
      <alignment horizontal="center" vertical="center"/>
    </xf>
    <xf numFmtId="4" fontId="24" fillId="0" borderId="40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42" xfId="0" applyFont="1" applyBorder="1" applyAlignment="1">
      <alignment horizontal="left" vertical="center"/>
    </xf>
    <xf numFmtId="4" fontId="24" fillId="0" borderId="15" xfId="2" applyNumberFormat="1" applyFont="1" applyFill="1" applyBorder="1" applyAlignment="1">
      <alignment horizontal="center" vertical="center"/>
    </xf>
    <xf numFmtId="4" fontId="24" fillId="0" borderId="10" xfId="2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4" fontId="24" fillId="0" borderId="15" xfId="0" applyNumberFormat="1" applyFont="1" applyFill="1" applyBorder="1" applyAlignment="1">
      <alignment horizontal="center" vertical="center"/>
    </xf>
    <xf numFmtId="4" fontId="24" fillId="0" borderId="10" xfId="0" applyNumberFormat="1" applyFont="1" applyFill="1" applyBorder="1" applyAlignment="1">
      <alignment horizontal="center" vertical="center"/>
    </xf>
    <xf numFmtId="4" fontId="32" fillId="0" borderId="10" xfId="2" applyNumberFormat="1" applyFont="1" applyFill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42" xfId="0" applyFont="1" applyBorder="1" applyAlignment="1">
      <alignment horizontal="left" vertical="center"/>
    </xf>
    <xf numFmtId="49" fontId="24" fillId="0" borderId="7" xfId="0" applyNumberFormat="1" applyFont="1" applyBorder="1" applyAlignment="1">
      <alignment horizontal="center" vertical="center"/>
    </xf>
    <xf numFmtId="4" fontId="32" fillId="0" borderId="38" xfId="0" applyNumberFormat="1" applyFont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22" fillId="0" borderId="13" xfId="0" applyFont="1" applyBorder="1" applyAlignment="1">
      <alignment vertical="center"/>
    </xf>
    <xf numFmtId="0" fontId="23" fillId="0" borderId="6" xfId="0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7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23" fillId="0" borderId="0" xfId="0" applyFont="1" applyBorder="1" applyAlignment="1">
      <alignment horizontal="center" vertical="center"/>
    </xf>
    <xf numFmtId="43" fontId="22" fillId="0" borderId="0" xfId="2" applyFont="1" applyBorder="1" applyAlignment="1">
      <alignment vertical="center"/>
    </xf>
    <xf numFmtId="43" fontId="6" fillId="0" borderId="0" xfId="2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4" fontId="22" fillId="0" borderId="0" xfId="0" applyNumberFormat="1" applyFont="1" applyBorder="1" applyAlignment="1">
      <alignment vertical="center"/>
    </xf>
    <xf numFmtId="0" fontId="27" fillId="0" borderId="17" xfId="0" applyFont="1" applyBorder="1" applyAlignment="1">
      <alignment horizontal="left" vertical="center"/>
    </xf>
    <xf numFmtId="4" fontId="7" fillId="0" borderId="10" xfId="2" applyNumberFormat="1" applyFont="1" applyFill="1" applyBorder="1" applyAlignment="1">
      <alignment horizontal="center" vertical="center" wrapText="1"/>
    </xf>
    <xf numFmtId="0" fontId="24" fillId="0" borderId="8" xfId="6" applyFont="1" applyBorder="1" applyAlignment="1">
      <alignment horizontal="center"/>
    </xf>
    <xf numFmtId="0" fontId="24" fillId="0" borderId="10" xfId="6" applyFont="1" applyBorder="1" applyAlignment="1">
      <alignment horizontal="left" indent="2"/>
    </xf>
    <xf numFmtId="0" fontId="1" fillId="0" borderId="8" xfId="6" applyFont="1" applyBorder="1" applyAlignment="1">
      <alignment horizontal="center"/>
    </xf>
    <xf numFmtId="0" fontId="1" fillId="0" borderId="10" xfId="6" applyFont="1" applyBorder="1" applyAlignment="1">
      <alignment horizontal="left" indent="2"/>
    </xf>
    <xf numFmtId="0" fontId="1" fillId="0" borderId="10" xfId="6" applyFont="1" applyBorder="1" applyAlignment="1">
      <alignment horizontal="center"/>
    </xf>
    <xf numFmtId="0" fontId="1" fillId="0" borderId="35" xfId="6" applyFont="1" applyBorder="1" applyAlignment="1">
      <alignment horizontal="left" indent="2"/>
    </xf>
    <xf numFmtId="0" fontId="1" fillId="0" borderId="10" xfId="0" applyFont="1" applyBorder="1" applyAlignment="1">
      <alignment horizontal="center"/>
    </xf>
    <xf numFmtId="0" fontId="1" fillId="0" borderId="35" xfId="0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12" fillId="0" borderId="35" xfId="0" applyFont="1" applyBorder="1" applyAlignment="1">
      <alignment horizontal="left"/>
    </xf>
    <xf numFmtId="49" fontId="1" fillId="0" borderId="10" xfId="0" applyNumberFormat="1" applyFont="1" applyBorder="1" applyAlignment="1">
      <alignment horizontal="center"/>
    </xf>
    <xf numFmtId="0" fontId="1" fillId="0" borderId="16" xfId="6" applyFont="1" applyBorder="1" applyAlignment="1">
      <alignment horizontal="center"/>
    </xf>
    <xf numFmtId="0" fontId="1" fillId="0" borderId="32" xfId="6" applyFont="1" applyBorder="1" applyAlignment="1">
      <alignment horizontal="left" indent="2"/>
    </xf>
    <xf numFmtId="0" fontId="21" fillId="0" borderId="8" xfId="6" applyFont="1" applyBorder="1" applyAlignment="1">
      <alignment horizontal="left"/>
    </xf>
    <xf numFmtId="0" fontId="21" fillId="0" borderId="9" xfId="6" applyFont="1" applyBorder="1"/>
    <xf numFmtId="0" fontId="24" fillId="0" borderId="10" xfId="6" applyFont="1" applyBorder="1"/>
    <xf numFmtId="4" fontId="24" fillId="0" borderId="10" xfId="6" applyNumberFormat="1" applyFont="1" applyBorder="1"/>
    <xf numFmtId="0" fontId="24" fillId="0" borderId="11" xfId="6" applyFont="1" applyBorder="1"/>
    <xf numFmtId="0" fontId="24" fillId="0" borderId="12" xfId="6" applyFont="1" applyBorder="1"/>
    <xf numFmtId="43" fontId="24" fillId="0" borderId="12" xfId="2" applyFont="1" applyBorder="1"/>
    <xf numFmtId="0" fontId="24" fillId="3" borderId="10" xfId="6" applyFont="1" applyFill="1" applyBorder="1"/>
    <xf numFmtId="43" fontId="24" fillId="0" borderId="10" xfId="2" applyFont="1" applyBorder="1"/>
    <xf numFmtId="43" fontId="24" fillId="0" borderId="11" xfId="2" applyFont="1" applyBorder="1"/>
    <xf numFmtId="0" fontId="21" fillId="0" borderId="10" xfId="6" applyFont="1" applyBorder="1"/>
    <xf numFmtId="0" fontId="21" fillId="0" borderId="13" xfId="6" applyFont="1" applyBorder="1"/>
    <xf numFmtId="0" fontId="24" fillId="4" borderId="10" xfId="6" applyFont="1" applyFill="1" applyBorder="1"/>
    <xf numFmtId="4" fontId="24" fillId="4" borderId="10" xfId="6" applyNumberFormat="1" applyFont="1" applyFill="1" applyBorder="1"/>
    <xf numFmtId="0" fontId="24" fillId="3" borderId="11" xfId="6" applyFont="1" applyFill="1" applyBorder="1"/>
    <xf numFmtId="0" fontId="24" fillId="3" borderId="12" xfId="6" applyFont="1" applyFill="1" applyBorder="1"/>
    <xf numFmtId="0" fontId="21" fillId="0" borderId="14" xfId="6" applyFont="1" applyBorder="1" applyAlignment="1">
      <alignment horizontal="left"/>
    </xf>
    <xf numFmtId="0" fontId="21" fillId="0" borderId="15" xfId="6" applyFont="1" applyBorder="1"/>
    <xf numFmtId="43" fontId="24" fillId="3" borderId="12" xfId="2" applyFont="1" applyFill="1" applyBorder="1"/>
    <xf numFmtId="0" fontId="21" fillId="0" borderId="10" xfId="6" applyFont="1" applyBorder="1" applyAlignment="1">
      <alignment horizontal="left"/>
    </xf>
    <xf numFmtId="0" fontId="24" fillId="0" borderId="16" xfId="6" applyFont="1" applyBorder="1"/>
    <xf numFmtId="0" fontId="35" fillId="4" borderId="9" xfId="6" applyFont="1" applyFill="1" applyBorder="1"/>
    <xf numFmtId="0" fontId="36" fillId="4" borderId="12" xfId="6" applyFont="1" applyFill="1" applyBorder="1"/>
    <xf numFmtId="0" fontId="37" fillId="2" borderId="10" xfId="6" applyFont="1" applyFill="1" applyBorder="1"/>
    <xf numFmtId="4" fontId="37" fillId="2" borderId="10" xfId="6" applyNumberFormat="1" applyFont="1" applyFill="1" applyBorder="1"/>
    <xf numFmtId="0" fontId="14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12" fillId="3" borderId="22" xfId="0" applyFont="1" applyFill="1" applyBorder="1" applyAlignment="1">
      <alignment horizontal="center"/>
    </xf>
    <xf numFmtId="0" fontId="12" fillId="3" borderId="23" xfId="0" applyFont="1" applyFill="1" applyBorder="1" applyAlignment="1">
      <alignment horizontal="center"/>
    </xf>
    <xf numFmtId="0" fontId="12" fillId="3" borderId="24" xfId="0" applyFont="1" applyFill="1" applyBorder="1" applyAlignment="1">
      <alignment horizontal="center"/>
    </xf>
    <xf numFmtId="0" fontId="12" fillId="0" borderId="32" xfId="6" applyFont="1" applyBorder="1" applyAlignment="1">
      <alignment horizontal="center"/>
    </xf>
    <xf numFmtId="0" fontId="22" fillId="0" borderId="0" xfId="0" applyFont="1" applyBorder="1" applyAlignment="1">
      <alignment horizontal="left" vertical="center" wrapText="1"/>
    </xf>
    <xf numFmtId="49" fontId="16" fillId="2" borderId="22" xfId="0" applyNumberFormat="1" applyFont="1" applyFill="1" applyBorder="1" applyAlignment="1">
      <alignment horizontal="center" vertical="center" wrapText="1"/>
    </xf>
    <xf numFmtId="49" fontId="16" fillId="2" borderId="45" xfId="0" applyNumberFormat="1" applyFont="1" applyFill="1" applyBorder="1" applyAlignment="1">
      <alignment horizontal="center" vertical="center" wrapText="1"/>
    </xf>
    <xf numFmtId="0" fontId="12" fillId="3" borderId="25" xfId="0" applyFont="1" applyFill="1" applyBorder="1" applyAlignment="1">
      <alignment horizontal="center"/>
    </xf>
    <xf numFmtId="0" fontId="12" fillId="3" borderId="26" xfId="0" applyFont="1" applyFill="1" applyBorder="1" applyAlignment="1">
      <alignment horizontal="center"/>
    </xf>
    <xf numFmtId="0" fontId="23" fillId="0" borderId="0" xfId="0" applyFont="1" applyBorder="1" applyAlignment="1">
      <alignment horizontal="left" vertical="center" wrapText="1"/>
    </xf>
    <xf numFmtId="0" fontId="12" fillId="0" borderId="0" xfId="6" applyFont="1" applyAlignment="1">
      <alignment horizontal="left"/>
    </xf>
    <xf numFmtId="0" fontId="12" fillId="0" borderId="32" xfId="6" applyFont="1" applyBorder="1" applyAlignment="1">
      <alignment horizontal="left"/>
    </xf>
    <xf numFmtId="0" fontId="14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6" applyFont="1" applyAlignment="1">
      <alignment horizontal="center"/>
    </xf>
    <xf numFmtId="0" fontId="12" fillId="0" borderId="0" xfId="6" applyFont="1" applyBorder="1" applyAlignment="1">
      <alignment horizontal="center"/>
    </xf>
    <xf numFmtId="0" fontId="21" fillId="4" borderId="14" xfId="6" applyFont="1" applyFill="1" applyBorder="1" applyAlignment="1">
      <alignment horizontal="center"/>
    </xf>
    <xf numFmtId="0" fontId="21" fillId="4" borderId="19" xfId="6" applyFont="1" applyFill="1" applyBorder="1" applyAlignment="1">
      <alignment horizontal="center"/>
    </xf>
    <xf numFmtId="0" fontId="37" fillId="2" borderId="14" xfId="6" applyFont="1" applyFill="1" applyBorder="1" applyAlignment="1">
      <alignment horizontal="center"/>
    </xf>
    <xf numFmtId="0" fontId="37" fillId="2" borderId="15" xfId="6" applyFont="1" applyFill="1" applyBorder="1" applyAlignment="1">
      <alignment horizontal="center"/>
    </xf>
    <xf numFmtId="0" fontId="17" fillId="3" borderId="47" xfId="6" applyFont="1" applyFill="1" applyBorder="1" applyAlignment="1">
      <alignment horizontal="left"/>
    </xf>
    <xf numFmtId="0" fontId="17" fillId="3" borderId="48" xfId="6" applyFont="1" applyFill="1" applyBorder="1" applyAlignment="1">
      <alignment horizontal="left"/>
    </xf>
    <xf numFmtId="0" fontId="17" fillId="3" borderId="14" xfId="6" applyFont="1" applyFill="1" applyBorder="1" applyAlignment="1">
      <alignment horizontal="left"/>
    </xf>
    <xf numFmtId="0" fontId="17" fillId="3" borderId="15" xfId="6" applyFont="1" applyFill="1" applyBorder="1" applyAlignment="1">
      <alignment horizontal="left"/>
    </xf>
    <xf numFmtId="0" fontId="20" fillId="2" borderId="49" xfId="6" applyFont="1" applyFill="1" applyBorder="1" applyAlignment="1">
      <alignment horizontal="center"/>
    </xf>
    <xf numFmtId="0" fontId="20" fillId="2" borderId="39" xfId="6" applyFont="1" applyFill="1" applyBorder="1" applyAlignment="1">
      <alignment horizontal="center"/>
    </xf>
    <xf numFmtId="0" fontId="11" fillId="2" borderId="46" xfId="6" applyFont="1" applyFill="1" applyBorder="1" applyAlignment="1">
      <alignment horizontal="center" vertical="center" wrapText="1"/>
    </xf>
    <xf numFmtId="0" fontId="11" fillId="2" borderId="40" xfId="6" applyFont="1" applyFill="1" applyBorder="1" applyAlignment="1">
      <alignment horizontal="center" vertical="center" wrapText="1"/>
    </xf>
    <xf numFmtId="0" fontId="11" fillId="2" borderId="41" xfId="6" applyFont="1" applyFill="1" applyBorder="1" applyAlignment="1">
      <alignment horizontal="center" vertical="center" wrapText="1"/>
    </xf>
    <xf numFmtId="0" fontId="17" fillId="3" borderId="38" xfId="6" applyFont="1" applyFill="1" applyBorder="1" applyAlignment="1">
      <alignment horizontal="left"/>
    </xf>
    <xf numFmtId="0" fontId="21" fillId="3" borderId="14" xfId="6" applyFont="1" applyFill="1" applyBorder="1" applyAlignment="1">
      <alignment horizontal="left"/>
    </xf>
    <xf numFmtId="0" fontId="21" fillId="3" borderId="38" xfId="6" applyFont="1" applyFill="1" applyBorder="1" applyAlignment="1">
      <alignment horizontal="left"/>
    </xf>
    <xf numFmtId="0" fontId="21" fillId="3" borderId="15" xfId="6" applyFont="1" applyFill="1" applyBorder="1" applyAlignment="1">
      <alignment horizontal="left"/>
    </xf>
    <xf numFmtId="0" fontId="21" fillId="3" borderId="48" xfId="6" applyFont="1" applyFill="1" applyBorder="1" applyAlignment="1">
      <alignment horizontal="left"/>
    </xf>
    <xf numFmtId="0" fontId="14" fillId="0" borderId="0" xfId="6" applyFont="1" applyAlignment="1">
      <alignment horizontal="center"/>
    </xf>
    <xf numFmtId="0" fontId="14" fillId="0" borderId="0" xfId="6" applyFont="1" applyAlignment="1">
      <alignment horizontal="left"/>
    </xf>
    <xf numFmtId="0" fontId="11" fillId="2" borderId="22" xfId="6" applyFont="1" applyFill="1" applyBorder="1" applyAlignment="1">
      <alignment horizontal="center" vertical="center" wrapText="1"/>
    </xf>
    <xf numFmtId="0" fontId="11" fillId="2" borderId="23" xfId="6" applyFont="1" applyFill="1" applyBorder="1" applyAlignment="1">
      <alignment horizontal="center" vertical="center" wrapText="1"/>
    </xf>
    <xf numFmtId="0" fontId="11" fillId="2" borderId="50" xfId="6" applyFont="1" applyFill="1" applyBorder="1" applyAlignment="1">
      <alignment horizontal="center" vertical="center" wrapText="1"/>
    </xf>
    <xf numFmtId="0" fontId="11" fillId="2" borderId="0" xfId="6" applyFont="1" applyFill="1" applyBorder="1" applyAlignment="1">
      <alignment horizontal="center" vertical="center" wrapText="1"/>
    </xf>
    <xf numFmtId="0" fontId="11" fillId="2" borderId="24" xfId="6" applyFont="1" applyFill="1" applyBorder="1" applyAlignment="1">
      <alignment horizontal="center" vertical="center" wrapText="1"/>
    </xf>
    <xf numFmtId="0" fontId="11" fillId="2" borderId="51" xfId="6" applyFont="1" applyFill="1" applyBorder="1" applyAlignment="1">
      <alignment horizontal="center" vertical="center" wrapText="1"/>
    </xf>
    <xf numFmtId="0" fontId="11" fillId="2" borderId="25" xfId="6" applyFont="1" applyFill="1" applyBorder="1" applyAlignment="1">
      <alignment horizontal="center" vertical="center" wrapText="1"/>
    </xf>
    <xf numFmtId="0" fontId="11" fillId="2" borderId="26" xfId="6" applyFont="1" applyFill="1" applyBorder="1" applyAlignment="1">
      <alignment horizontal="center" vertical="center" wrapText="1"/>
    </xf>
  </cellXfs>
  <cellStyles count="8">
    <cellStyle name="Euro" xfId="1"/>
    <cellStyle name="Millares" xfId="2" builtinId="3"/>
    <cellStyle name="Millares 2" xfId="3"/>
    <cellStyle name="Normal" xfId="0" builtinId="0"/>
    <cellStyle name="Normal 14" xfId="4"/>
    <cellStyle name="Normal 15" xfId="5"/>
    <cellStyle name="Normal 2" xfId="6"/>
    <cellStyle name="Normal 7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54"/>
  <sheetViews>
    <sheetView tabSelected="1" topLeftCell="A25" zoomScaleNormal="100" workbookViewId="0">
      <selection activeCell="B29" sqref="B29"/>
    </sheetView>
  </sheetViews>
  <sheetFormatPr baseColWidth="10" defaultColWidth="11.42578125" defaultRowHeight="20.100000000000001" customHeight="1" x14ac:dyDescent="0.2"/>
  <cols>
    <col min="1" max="1" width="17.28515625" style="49" customWidth="1"/>
    <col min="2" max="2" width="44.5703125" style="49" customWidth="1"/>
    <col min="3" max="3" width="28.28515625" style="49" customWidth="1"/>
    <col min="4" max="4" width="25.28515625" style="49" customWidth="1"/>
    <col min="5" max="5" width="34.85546875" style="2" customWidth="1"/>
    <col min="6" max="16384" width="11.42578125" style="2"/>
  </cols>
  <sheetData>
    <row r="1" spans="1:8" ht="20.100000000000001" customHeight="1" x14ac:dyDescent="0.3">
      <c r="A1" s="204" t="s">
        <v>0</v>
      </c>
      <c r="B1" s="204"/>
      <c r="C1" s="204"/>
      <c r="D1" s="204"/>
      <c r="E1" s="4"/>
      <c r="F1" s="4"/>
      <c r="G1" s="4"/>
    </row>
    <row r="2" spans="1:8" ht="20.100000000000001" customHeight="1" x14ac:dyDescent="0.25">
      <c r="A2" s="205" t="s">
        <v>1</v>
      </c>
      <c r="B2" s="205"/>
      <c r="C2" s="205"/>
      <c r="D2" s="205"/>
      <c r="E2" s="4"/>
      <c r="F2" s="4"/>
      <c r="G2" s="4"/>
    </row>
    <row r="3" spans="1:8" ht="20.100000000000001" customHeight="1" x14ac:dyDescent="0.25">
      <c r="A3" s="104"/>
      <c r="B3" s="104"/>
      <c r="C3" s="104"/>
      <c r="D3" s="104"/>
      <c r="E3" s="4"/>
      <c r="F3" s="4"/>
      <c r="G3" s="4"/>
    </row>
    <row r="4" spans="1:8" ht="20.100000000000001" customHeight="1" x14ac:dyDescent="0.25">
      <c r="A4" s="98" t="s">
        <v>249</v>
      </c>
      <c r="B4" s="104"/>
      <c r="C4" s="104"/>
      <c r="D4" s="104"/>
      <c r="E4" s="104"/>
      <c r="F4" s="4"/>
      <c r="G4" s="4"/>
    </row>
    <row r="5" spans="1:8" ht="20.100000000000001" customHeight="1" x14ac:dyDescent="0.25">
      <c r="A5" s="98" t="s">
        <v>2</v>
      </c>
      <c r="B5" s="50"/>
      <c r="C5" s="51"/>
      <c r="D5" s="51"/>
      <c r="E5" s="42"/>
      <c r="F5" s="4"/>
      <c r="G5" s="4"/>
    </row>
    <row r="6" spans="1:8" ht="20.100000000000001" customHeight="1" x14ac:dyDescent="0.25">
      <c r="A6" s="106" t="s">
        <v>3</v>
      </c>
      <c r="B6" s="44"/>
      <c r="C6" s="44"/>
      <c r="D6" s="44"/>
      <c r="E6" s="44"/>
      <c r="F6" s="5"/>
      <c r="G6" s="5"/>
      <c r="H6" s="3"/>
    </row>
    <row r="7" spans="1:8" ht="20.100000000000001" customHeight="1" thickBot="1" x14ac:dyDescent="0.3">
      <c r="A7" s="106"/>
      <c r="B7" s="44"/>
      <c r="C7" s="44"/>
      <c r="D7" s="44"/>
      <c r="E7" s="44"/>
      <c r="F7" s="5"/>
      <c r="G7" s="5"/>
      <c r="H7" s="3"/>
    </row>
    <row r="8" spans="1:8" ht="70.5" customHeight="1" thickBot="1" x14ac:dyDescent="0.25">
      <c r="A8" s="82" t="s">
        <v>4</v>
      </c>
      <c r="B8" s="103" t="s">
        <v>5</v>
      </c>
      <c r="C8" s="83" t="s">
        <v>266</v>
      </c>
      <c r="D8" s="83" t="s">
        <v>267</v>
      </c>
      <c r="E8" s="83" t="s">
        <v>6</v>
      </c>
    </row>
    <row r="9" spans="1:8" ht="20.100000000000001" customHeight="1" x14ac:dyDescent="0.25">
      <c r="A9" s="206" t="s">
        <v>264</v>
      </c>
      <c r="B9" s="207"/>
      <c r="C9" s="207"/>
      <c r="D9" s="207"/>
      <c r="E9" s="208"/>
    </row>
    <row r="10" spans="1:8" s="127" customFormat="1" ht="20.100000000000001" customHeight="1" x14ac:dyDescent="0.2">
      <c r="A10" s="153"/>
      <c r="B10" s="153"/>
      <c r="C10" s="153" t="s">
        <v>261</v>
      </c>
      <c r="D10" s="153" t="s">
        <v>262</v>
      </c>
      <c r="E10" s="153"/>
    </row>
    <row r="11" spans="1:8" s="127" customFormat="1" ht="20.100000000000001" customHeight="1" x14ac:dyDescent="0.2">
      <c r="A11" s="123">
        <v>5101</v>
      </c>
      <c r="B11" s="124" t="s">
        <v>7</v>
      </c>
      <c r="C11" s="125"/>
      <c r="D11" s="126"/>
      <c r="E11" s="126"/>
    </row>
    <row r="12" spans="1:8" s="127" customFormat="1" ht="20.100000000000001" customHeight="1" x14ac:dyDescent="0.2">
      <c r="A12" s="141">
        <v>510106</v>
      </c>
      <c r="B12" s="142" t="s">
        <v>8</v>
      </c>
      <c r="C12" s="143"/>
      <c r="D12" s="144"/>
      <c r="E12" s="144"/>
      <c r="F12" s="145"/>
      <c r="G12" s="145"/>
    </row>
    <row r="13" spans="1:8" s="127" customFormat="1" ht="20.100000000000001" customHeight="1" x14ac:dyDescent="0.2">
      <c r="A13" s="141"/>
      <c r="B13" s="142"/>
      <c r="C13" s="146"/>
      <c r="D13" s="147"/>
      <c r="E13" s="147"/>
    </row>
    <row r="14" spans="1:8" s="127" customFormat="1" ht="20.100000000000001" customHeight="1" x14ac:dyDescent="0.2">
      <c r="A14" s="123">
        <v>5102</v>
      </c>
      <c r="B14" s="124" t="s">
        <v>9</v>
      </c>
      <c r="C14" s="146"/>
      <c r="D14" s="147"/>
      <c r="E14" s="147"/>
    </row>
    <row r="15" spans="1:8" s="127" customFormat="1" ht="20.100000000000001" customHeight="1" x14ac:dyDescent="0.2">
      <c r="A15" s="141">
        <v>510203</v>
      </c>
      <c r="B15" s="142" t="s">
        <v>10</v>
      </c>
      <c r="C15" s="143"/>
      <c r="D15" s="144"/>
      <c r="E15" s="144"/>
    </row>
    <row r="16" spans="1:8" s="127" customFormat="1" ht="20.100000000000001" customHeight="1" x14ac:dyDescent="0.2">
      <c r="A16" s="141">
        <v>510204</v>
      </c>
      <c r="B16" s="142" t="s">
        <v>11</v>
      </c>
      <c r="C16" s="143"/>
      <c r="D16" s="144"/>
      <c r="E16" s="144"/>
    </row>
    <row r="17" spans="1:5" s="127" customFormat="1" ht="20.100000000000001" customHeight="1" x14ac:dyDescent="0.2">
      <c r="A17" s="141">
        <v>510213</v>
      </c>
      <c r="B17" s="142" t="s">
        <v>265</v>
      </c>
      <c r="C17" s="143"/>
      <c r="D17" s="148">
        <v>4100</v>
      </c>
      <c r="E17" s="144"/>
    </row>
    <row r="18" spans="1:5" s="127" customFormat="1" ht="20.100000000000001" customHeight="1" x14ac:dyDescent="0.2">
      <c r="A18" s="123">
        <v>5103</v>
      </c>
      <c r="B18" s="124" t="s">
        <v>12</v>
      </c>
      <c r="C18" s="143"/>
      <c r="D18" s="144"/>
      <c r="E18" s="144"/>
    </row>
    <row r="19" spans="1:5" s="127" customFormat="1" ht="20.100000000000001" customHeight="1" x14ac:dyDescent="0.2">
      <c r="A19" s="141">
        <v>510304</v>
      </c>
      <c r="B19" s="142" t="s">
        <v>13</v>
      </c>
      <c r="C19" s="143">
        <v>440</v>
      </c>
      <c r="D19" s="144">
        <f>C19*12</f>
        <v>5280</v>
      </c>
      <c r="E19" s="144"/>
    </row>
    <row r="20" spans="1:5" s="127" customFormat="1" ht="20.100000000000001" customHeight="1" x14ac:dyDescent="0.2">
      <c r="A20" s="149">
        <v>510306</v>
      </c>
      <c r="B20" s="150" t="s">
        <v>260</v>
      </c>
      <c r="C20" s="143">
        <v>3520</v>
      </c>
      <c r="D20" s="144">
        <f>C20*12</f>
        <v>42240</v>
      </c>
      <c r="E20" s="144"/>
    </row>
    <row r="21" spans="1:5" s="127" customFormat="1" ht="20.100000000000001" customHeight="1" x14ac:dyDescent="0.2">
      <c r="A21" s="141">
        <v>510307</v>
      </c>
      <c r="B21" s="142" t="s">
        <v>14</v>
      </c>
      <c r="C21" s="143"/>
      <c r="D21" s="148">
        <v>984</v>
      </c>
      <c r="E21" s="144"/>
    </row>
    <row r="22" spans="1:5" s="127" customFormat="1" ht="20.100000000000001" customHeight="1" x14ac:dyDescent="0.2">
      <c r="A22" s="141"/>
      <c r="B22" s="142"/>
      <c r="C22" s="143"/>
      <c r="D22" s="144"/>
      <c r="E22" s="144"/>
    </row>
    <row r="23" spans="1:5" s="127" customFormat="1" ht="20.100000000000001" customHeight="1" x14ac:dyDescent="0.2">
      <c r="A23" s="123">
        <v>5104</v>
      </c>
      <c r="B23" s="124" t="s">
        <v>15</v>
      </c>
      <c r="C23" s="143"/>
      <c r="D23" s="144"/>
      <c r="E23" s="144"/>
    </row>
    <row r="24" spans="1:5" s="127" customFormat="1" ht="20.100000000000001" customHeight="1" x14ac:dyDescent="0.2">
      <c r="A24" s="141">
        <v>510401</v>
      </c>
      <c r="B24" s="142" t="s">
        <v>16</v>
      </c>
      <c r="C24" s="143">
        <v>419.52539999999999</v>
      </c>
      <c r="D24" s="144">
        <f>C24*12</f>
        <v>5034.3047999999999</v>
      </c>
      <c r="E24" s="144"/>
    </row>
    <row r="25" spans="1:5" s="127" customFormat="1" ht="20.100000000000001" customHeight="1" x14ac:dyDescent="0.2">
      <c r="A25" s="149">
        <v>510408</v>
      </c>
      <c r="B25" s="124" t="s">
        <v>259</v>
      </c>
      <c r="C25" s="143">
        <v>1143.5524041666667</v>
      </c>
      <c r="D25" s="144">
        <f>C25*12</f>
        <v>13722.628850000001</v>
      </c>
      <c r="E25" s="144"/>
    </row>
    <row r="26" spans="1:5" s="127" customFormat="1" ht="75.75" customHeight="1" x14ac:dyDescent="0.2">
      <c r="A26" s="149">
        <v>510409</v>
      </c>
      <c r="B26" s="124" t="s">
        <v>269</v>
      </c>
      <c r="C26" s="143"/>
      <c r="D26" s="144">
        <v>5405</v>
      </c>
      <c r="E26" s="165" t="s">
        <v>272</v>
      </c>
    </row>
    <row r="27" spans="1:5" s="127" customFormat="1" ht="20.100000000000001" customHeight="1" x14ac:dyDescent="0.2">
      <c r="A27" s="123">
        <v>5105</v>
      </c>
      <c r="B27" s="124" t="s">
        <v>17</v>
      </c>
      <c r="C27" s="146"/>
      <c r="D27" s="147"/>
      <c r="E27" s="147"/>
    </row>
    <row r="28" spans="1:5" s="127" customFormat="1" ht="20.100000000000001" customHeight="1" x14ac:dyDescent="0.2">
      <c r="A28" s="151" t="s">
        <v>18</v>
      </c>
      <c r="B28" s="142" t="s">
        <v>19</v>
      </c>
      <c r="C28" s="146"/>
      <c r="D28" s="147">
        <v>5405</v>
      </c>
      <c r="E28" s="147"/>
    </row>
    <row r="29" spans="1:5" s="127" customFormat="1" ht="20.100000000000001" customHeight="1" x14ac:dyDescent="0.2">
      <c r="A29" s="141"/>
      <c r="B29" s="142"/>
      <c r="C29" s="146"/>
      <c r="D29" s="147"/>
      <c r="E29" s="147"/>
    </row>
    <row r="30" spans="1:5" s="127" customFormat="1" ht="20.100000000000001" customHeight="1" x14ac:dyDescent="0.2">
      <c r="A30" s="123">
        <v>5106</v>
      </c>
      <c r="B30" s="124" t="s">
        <v>20</v>
      </c>
      <c r="C30" s="146"/>
      <c r="D30" s="147"/>
      <c r="E30" s="147"/>
    </row>
    <row r="31" spans="1:5" s="127" customFormat="1" ht="20.100000000000001" customHeight="1" x14ac:dyDescent="0.2">
      <c r="A31" s="151" t="s">
        <v>21</v>
      </c>
      <c r="B31" s="142" t="s">
        <v>22</v>
      </c>
      <c r="C31" s="143"/>
      <c r="D31" s="144"/>
      <c r="E31" s="144"/>
    </row>
    <row r="32" spans="1:5" s="127" customFormat="1" ht="20.100000000000001" customHeight="1" x14ac:dyDescent="0.2">
      <c r="A32" s="151" t="s">
        <v>23</v>
      </c>
      <c r="B32" s="142" t="s">
        <v>24</v>
      </c>
      <c r="C32" s="143"/>
      <c r="D32" s="144"/>
      <c r="E32" s="144"/>
    </row>
    <row r="33" spans="1:5" s="127" customFormat="1" ht="20.100000000000001" customHeight="1" x14ac:dyDescent="0.2">
      <c r="A33" s="151" t="s">
        <v>25</v>
      </c>
      <c r="B33" s="142" t="s">
        <v>26</v>
      </c>
      <c r="C33" s="143"/>
      <c r="D33" s="144"/>
      <c r="E33" s="144"/>
    </row>
    <row r="34" spans="1:5" s="127" customFormat="1" ht="20.100000000000001" customHeight="1" x14ac:dyDescent="0.2">
      <c r="A34" s="141"/>
      <c r="B34" s="142"/>
      <c r="C34" s="146"/>
      <c r="D34" s="147"/>
      <c r="E34" s="147"/>
    </row>
    <row r="35" spans="1:5" s="127" customFormat="1" ht="20.100000000000001" customHeight="1" x14ac:dyDescent="0.2">
      <c r="A35" s="123">
        <v>5107</v>
      </c>
      <c r="B35" s="124" t="s">
        <v>27</v>
      </c>
      <c r="C35" s="146"/>
      <c r="D35" s="147"/>
      <c r="E35" s="147"/>
    </row>
    <row r="36" spans="1:5" s="127" customFormat="1" ht="20.100000000000001" customHeight="1" x14ac:dyDescent="0.2">
      <c r="A36" s="141">
        <v>510704</v>
      </c>
      <c r="B36" s="142" t="s">
        <v>28</v>
      </c>
      <c r="C36" s="146"/>
      <c r="D36" s="147"/>
      <c r="E36" s="147"/>
    </row>
    <row r="37" spans="1:5" s="127" customFormat="1" ht="20.100000000000001" customHeight="1" x14ac:dyDescent="0.2">
      <c r="A37" s="141">
        <v>510705</v>
      </c>
      <c r="B37" s="142" t="s">
        <v>29</v>
      </c>
      <c r="C37" s="146"/>
      <c r="D37" s="147"/>
      <c r="E37" s="147"/>
    </row>
    <row r="38" spans="1:5" s="127" customFormat="1" ht="20.100000000000001" customHeight="1" x14ac:dyDescent="0.2">
      <c r="A38" s="141">
        <v>510707</v>
      </c>
      <c r="B38" s="142" t="s">
        <v>30</v>
      </c>
      <c r="C38" s="146"/>
      <c r="D38" s="147"/>
      <c r="E38" s="147"/>
    </row>
    <row r="39" spans="1:5" s="127" customFormat="1" ht="43.5" customHeight="1" thickBot="1" x14ac:dyDescent="0.25">
      <c r="A39" s="137">
        <v>530802</v>
      </c>
      <c r="B39" s="138" t="s">
        <v>263</v>
      </c>
      <c r="C39" s="139"/>
      <c r="D39" s="152">
        <v>6929</v>
      </c>
      <c r="E39" s="140"/>
    </row>
    <row r="40" spans="1:5" ht="20.100000000000001" customHeight="1" thickBot="1" x14ac:dyDescent="0.3">
      <c r="A40" s="81"/>
      <c r="B40" s="107" t="s">
        <v>31</v>
      </c>
      <c r="C40" s="108">
        <f>SUM(C11:C39)</f>
        <v>5523.0778041666672</v>
      </c>
      <c r="D40" s="108">
        <f>SUM(D11:D39)</f>
        <v>89099.933649999992</v>
      </c>
      <c r="E40" s="109"/>
    </row>
    <row r="41" spans="1:5" ht="20.100000000000001" customHeight="1" thickBot="1" x14ac:dyDescent="0.25">
      <c r="A41" s="80"/>
      <c r="B41" s="67" t="s">
        <v>32</v>
      </c>
      <c r="C41" s="79"/>
      <c r="D41" s="80"/>
      <c r="E41" s="80"/>
    </row>
    <row r="42" spans="1:5" ht="20.100000000000001" customHeight="1" x14ac:dyDescent="0.2">
      <c r="A42" s="46"/>
      <c r="B42" s="47"/>
      <c r="C42" s="46"/>
      <c r="D42" s="46"/>
    </row>
    <row r="43" spans="1:5" ht="39" customHeight="1" x14ac:dyDescent="0.2">
      <c r="A43" s="210" t="s">
        <v>270</v>
      </c>
      <c r="B43" s="210"/>
      <c r="C43" s="210"/>
      <c r="D43" s="210"/>
      <c r="E43" s="210"/>
    </row>
    <row r="44" spans="1:5" s="127" customFormat="1" ht="20.100000000000001" customHeight="1" x14ac:dyDescent="0.2">
      <c r="A44" s="158" t="s">
        <v>33</v>
      </c>
      <c r="B44" s="159"/>
      <c r="C44" s="160"/>
      <c r="D44" s="160"/>
      <c r="E44" s="161"/>
    </row>
    <row r="45" spans="1:5" s="127" customFormat="1" ht="20.100000000000001" customHeight="1" x14ac:dyDescent="0.2">
      <c r="A45" s="158" t="s">
        <v>34</v>
      </c>
      <c r="B45" s="162"/>
      <c r="C45" s="162"/>
      <c r="D45" s="163"/>
      <c r="E45" s="145"/>
    </row>
    <row r="46" spans="1:5" s="127" customFormat="1" ht="20.100000000000001" customHeight="1" x14ac:dyDescent="0.2">
      <c r="A46" s="158" t="s">
        <v>35</v>
      </c>
      <c r="B46" s="162"/>
      <c r="C46" s="162"/>
      <c r="D46" s="163"/>
      <c r="E46" s="145"/>
    </row>
    <row r="47" spans="1:5" ht="20.100000000000001" customHeight="1" x14ac:dyDescent="0.2">
      <c r="A47" s="46"/>
      <c r="B47" s="46"/>
      <c r="C47" s="46"/>
      <c r="D47" s="48"/>
      <c r="E47" s="3"/>
    </row>
    <row r="48" spans="1:5" ht="20.100000000000001" customHeight="1" x14ac:dyDescent="0.2">
      <c r="A48" s="46"/>
      <c r="B48" s="46"/>
      <c r="C48" s="46"/>
      <c r="D48" s="48"/>
      <c r="E48" s="3"/>
    </row>
    <row r="49" spans="1:5" ht="20.100000000000001" customHeight="1" x14ac:dyDescent="0.2">
      <c r="A49" s="46"/>
      <c r="B49" s="46"/>
      <c r="C49" s="46"/>
      <c r="D49" s="48"/>
      <c r="E49" s="3"/>
    </row>
    <row r="50" spans="1:5" ht="20.100000000000001" customHeight="1" x14ac:dyDescent="0.2">
      <c r="A50" s="2"/>
      <c r="B50" s="46"/>
      <c r="C50" s="46"/>
      <c r="D50" s="46"/>
      <c r="E50" s="3"/>
    </row>
    <row r="51" spans="1:5" ht="20.100000000000001" customHeight="1" x14ac:dyDescent="0.25">
      <c r="A51" s="2"/>
      <c r="B51" s="100" t="s">
        <v>275</v>
      </c>
      <c r="C51" s="99"/>
      <c r="D51" s="209" t="s">
        <v>276</v>
      </c>
      <c r="E51" s="209"/>
    </row>
    <row r="52" spans="1:5" ht="15" x14ac:dyDescent="0.25">
      <c r="A52" s="2"/>
      <c r="B52" s="41" t="s">
        <v>273</v>
      </c>
      <c r="C52" s="8"/>
      <c r="D52" s="41" t="s">
        <v>277</v>
      </c>
      <c r="E52" s="3"/>
    </row>
    <row r="53" spans="1:5" ht="20.100000000000001" customHeight="1" x14ac:dyDescent="0.25">
      <c r="A53" s="2"/>
      <c r="B53" s="41" t="s">
        <v>274</v>
      </c>
      <c r="C53" s="46"/>
      <c r="D53" s="46"/>
    </row>
    <row r="54" spans="1:5" ht="20.100000000000001" customHeight="1" x14ac:dyDescent="0.25">
      <c r="A54" s="2"/>
      <c r="B54" s="41" t="s">
        <v>36</v>
      </c>
      <c r="C54" s="46"/>
      <c r="D54" s="46"/>
    </row>
  </sheetData>
  <mergeCells count="5">
    <mergeCell ref="A1:D1"/>
    <mergeCell ref="A2:D2"/>
    <mergeCell ref="A9:E9"/>
    <mergeCell ref="D51:E51"/>
    <mergeCell ref="A43:E43"/>
  </mergeCells>
  <pageMargins left="0.76" right="0" top="0.72" bottom="0.24" header="0.31496062992125984" footer="0.31496062992125984"/>
  <pageSetup paperSize="9" scale="52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34"/>
  <sheetViews>
    <sheetView topLeftCell="A21" zoomScaleNormal="100" workbookViewId="0">
      <selection activeCell="B47" sqref="B47"/>
    </sheetView>
  </sheetViews>
  <sheetFormatPr baseColWidth="10" defaultColWidth="11.42578125" defaultRowHeight="20.100000000000001" customHeight="1" x14ac:dyDescent="0.2"/>
  <cols>
    <col min="1" max="1" width="13.140625" style="49" customWidth="1"/>
    <col min="2" max="2" width="54.42578125" style="49" customWidth="1"/>
    <col min="3" max="3" width="21.5703125" style="49" customWidth="1"/>
    <col min="4" max="4" width="29.7109375" style="49" bestFit="1" customWidth="1"/>
    <col min="5" max="5" width="27.5703125" style="2" customWidth="1"/>
    <col min="6" max="16384" width="11.42578125" style="2"/>
  </cols>
  <sheetData>
    <row r="1" spans="1:5" ht="20.100000000000001" customHeight="1" x14ac:dyDescent="0.3">
      <c r="A1" s="204" t="s">
        <v>0</v>
      </c>
      <c r="B1" s="204"/>
      <c r="C1" s="204"/>
      <c r="D1" s="204"/>
    </row>
    <row r="2" spans="1:5" ht="20.100000000000001" customHeight="1" x14ac:dyDescent="0.25">
      <c r="A2" s="205" t="s">
        <v>37</v>
      </c>
      <c r="B2" s="205"/>
      <c r="C2" s="205"/>
      <c r="D2" s="205"/>
    </row>
    <row r="3" spans="1:5" ht="20.100000000000001" customHeight="1" x14ac:dyDescent="0.25">
      <c r="A3" s="205" t="s">
        <v>38</v>
      </c>
      <c r="B3" s="205"/>
      <c r="C3" s="205"/>
      <c r="D3" s="205"/>
    </row>
    <row r="4" spans="1:5" ht="20.100000000000001" customHeight="1" x14ac:dyDescent="0.25">
      <c r="A4" s="104"/>
      <c r="B4" s="104"/>
      <c r="C4" s="104"/>
      <c r="D4" s="104"/>
    </row>
    <row r="5" spans="1:5" ht="20.100000000000001" customHeight="1" x14ac:dyDescent="0.25">
      <c r="A5" s="98" t="s">
        <v>249</v>
      </c>
      <c r="B5" s="104"/>
      <c r="C5" s="2"/>
      <c r="D5" s="98"/>
    </row>
    <row r="6" spans="1:5" ht="20.100000000000001" customHeight="1" x14ac:dyDescent="0.25">
      <c r="A6" s="98" t="s">
        <v>2</v>
      </c>
      <c r="B6" s="104"/>
      <c r="C6" s="2"/>
      <c r="D6" s="98"/>
    </row>
    <row r="7" spans="1:5" ht="20.100000000000001" customHeight="1" x14ac:dyDescent="0.25">
      <c r="A7" s="106" t="s">
        <v>3</v>
      </c>
      <c r="B7" s="106"/>
      <c r="C7" s="2"/>
      <c r="D7" s="106"/>
    </row>
    <row r="8" spans="1:5" ht="20.100000000000001" customHeight="1" thickBot="1" x14ac:dyDescent="0.3">
      <c r="A8" s="106"/>
      <c r="B8" s="106"/>
      <c r="C8" s="2"/>
      <c r="D8" s="106"/>
    </row>
    <row r="9" spans="1:5" ht="62.25" customHeight="1" x14ac:dyDescent="0.2">
      <c r="A9" s="211" t="s">
        <v>39</v>
      </c>
      <c r="B9" s="212"/>
      <c r="C9" s="65" t="s">
        <v>40</v>
      </c>
      <c r="D9" s="66" t="s">
        <v>41</v>
      </c>
      <c r="E9" s="66" t="s">
        <v>6</v>
      </c>
    </row>
    <row r="10" spans="1:5" ht="20.100000000000001" customHeight="1" thickBot="1" x14ac:dyDescent="0.3">
      <c r="A10" s="213" t="s">
        <v>42</v>
      </c>
      <c r="B10" s="214"/>
      <c r="C10" s="214"/>
      <c r="D10" s="214"/>
      <c r="E10" s="214"/>
    </row>
    <row r="11" spans="1:5" ht="20.100000000000001" customHeight="1" x14ac:dyDescent="0.2">
      <c r="A11" s="179">
        <v>1801</v>
      </c>
      <c r="B11" s="180" t="s">
        <v>255</v>
      </c>
      <c r="C11" s="73"/>
      <c r="D11" s="68"/>
      <c r="E11" s="68"/>
    </row>
    <row r="12" spans="1:5" ht="20.100000000000001" customHeight="1" x14ac:dyDescent="0.25">
      <c r="A12" s="168">
        <v>180101</v>
      </c>
      <c r="B12" s="169" t="s">
        <v>256</v>
      </c>
      <c r="C12" s="74"/>
      <c r="D12" s="69"/>
      <c r="E12" s="69"/>
    </row>
    <row r="13" spans="1:5" ht="20.100000000000001" customHeight="1" x14ac:dyDescent="0.25">
      <c r="A13" s="168">
        <v>1904</v>
      </c>
      <c r="B13" s="169" t="s">
        <v>257</v>
      </c>
      <c r="C13" s="74"/>
      <c r="D13" s="69"/>
      <c r="E13" s="69"/>
    </row>
    <row r="14" spans="1:5" ht="20.100000000000001" customHeight="1" x14ac:dyDescent="0.25">
      <c r="A14" s="170">
        <v>110201</v>
      </c>
      <c r="B14" s="171" t="s">
        <v>43</v>
      </c>
      <c r="C14" s="74"/>
      <c r="D14" s="69"/>
      <c r="E14" s="69"/>
    </row>
    <row r="15" spans="1:5" ht="20.100000000000001" customHeight="1" x14ac:dyDescent="0.25">
      <c r="A15" s="170">
        <v>110203</v>
      </c>
      <c r="B15" s="171" t="s">
        <v>44</v>
      </c>
      <c r="C15" s="74"/>
      <c r="D15" s="69"/>
      <c r="E15" s="69"/>
    </row>
    <row r="16" spans="1:5" ht="20.100000000000001" customHeight="1" x14ac:dyDescent="0.25">
      <c r="A16" s="170">
        <v>110206</v>
      </c>
      <c r="B16" s="171" t="s">
        <v>45</v>
      </c>
      <c r="C16" s="74"/>
      <c r="D16" s="69"/>
      <c r="E16" s="69"/>
    </row>
    <row r="17" spans="1:5" ht="20.100000000000001" customHeight="1" x14ac:dyDescent="0.25">
      <c r="A17" s="170">
        <v>110207</v>
      </c>
      <c r="B17" s="171" t="s">
        <v>46</v>
      </c>
      <c r="C17" s="74"/>
      <c r="D17" s="69"/>
      <c r="E17" s="69"/>
    </row>
    <row r="18" spans="1:5" ht="20.100000000000001" customHeight="1" x14ac:dyDescent="0.25">
      <c r="A18" s="170">
        <v>1103</v>
      </c>
      <c r="B18" s="171" t="s">
        <v>47</v>
      </c>
      <c r="C18" s="74"/>
      <c r="D18" s="69"/>
      <c r="E18" s="69"/>
    </row>
    <row r="19" spans="1:5" ht="20.100000000000001" customHeight="1" x14ac:dyDescent="0.25">
      <c r="A19" s="170">
        <v>1107</v>
      </c>
      <c r="B19" s="171" t="s">
        <v>48</v>
      </c>
      <c r="C19" s="74"/>
      <c r="D19" s="69"/>
      <c r="E19" s="69"/>
    </row>
    <row r="20" spans="1:5" ht="20.100000000000001" customHeight="1" x14ac:dyDescent="0.25">
      <c r="A20" s="172"/>
      <c r="B20" s="173"/>
      <c r="C20" s="75"/>
      <c r="D20" s="70"/>
      <c r="E20" s="70"/>
    </row>
    <row r="21" spans="1:5" ht="20.100000000000001" customHeight="1" x14ac:dyDescent="0.25">
      <c r="A21" s="174">
        <v>13</v>
      </c>
      <c r="B21" s="175" t="s">
        <v>49</v>
      </c>
      <c r="C21" s="74"/>
      <c r="D21" s="69"/>
      <c r="E21" s="69"/>
    </row>
    <row r="22" spans="1:5" ht="20.100000000000001" customHeight="1" x14ac:dyDescent="0.25">
      <c r="A22" s="170">
        <v>1301</v>
      </c>
      <c r="B22" s="171" t="s">
        <v>50</v>
      </c>
      <c r="C22" s="74"/>
      <c r="D22" s="69"/>
      <c r="E22" s="69"/>
    </row>
    <row r="23" spans="1:5" ht="20.100000000000001" customHeight="1" x14ac:dyDescent="0.25">
      <c r="A23" s="170">
        <v>1302</v>
      </c>
      <c r="B23" s="171" t="s">
        <v>51</v>
      </c>
      <c r="C23" s="74"/>
      <c r="D23" s="69"/>
      <c r="E23" s="69"/>
    </row>
    <row r="24" spans="1:5" ht="20.100000000000001" customHeight="1" x14ac:dyDescent="0.25">
      <c r="A24" s="170">
        <v>1303</v>
      </c>
      <c r="B24" s="171" t="s">
        <v>52</v>
      </c>
      <c r="C24" s="75"/>
      <c r="D24" s="70"/>
      <c r="E24" s="70"/>
    </row>
    <row r="25" spans="1:5" ht="20.100000000000001" customHeight="1" x14ac:dyDescent="0.25">
      <c r="A25" s="170">
        <v>1304</v>
      </c>
      <c r="B25" s="171" t="s">
        <v>53</v>
      </c>
      <c r="C25" s="74"/>
      <c r="D25" s="69"/>
      <c r="E25" s="70"/>
    </row>
    <row r="26" spans="1:5" ht="20.100000000000001" customHeight="1" x14ac:dyDescent="0.25">
      <c r="A26" s="172"/>
      <c r="B26" s="173"/>
      <c r="C26" s="75"/>
      <c r="D26" s="69"/>
      <c r="E26" s="69"/>
    </row>
    <row r="27" spans="1:5" ht="20.100000000000001" customHeight="1" x14ac:dyDescent="0.25">
      <c r="A27" s="174">
        <v>14</v>
      </c>
      <c r="B27" s="175" t="s">
        <v>54</v>
      </c>
      <c r="C27" s="86"/>
      <c r="D27" s="92"/>
      <c r="E27" s="110"/>
    </row>
    <row r="28" spans="1:5" ht="20.100000000000001" customHeight="1" x14ac:dyDescent="0.25">
      <c r="A28" s="176"/>
      <c r="B28" s="173" t="s">
        <v>55</v>
      </c>
      <c r="C28" s="86"/>
      <c r="D28" s="92"/>
      <c r="E28" s="71"/>
    </row>
    <row r="29" spans="1:5" ht="20.100000000000001" customHeight="1" x14ac:dyDescent="0.25">
      <c r="A29" s="174">
        <v>17</v>
      </c>
      <c r="B29" s="175" t="s">
        <v>56</v>
      </c>
      <c r="C29" s="95"/>
      <c r="D29" s="93"/>
      <c r="E29" s="71"/>
    </row>
    <row r="30" spans="1:5" ht="20.100000000000001" customHeight="1" x14ac:dyDescent="0.25">
      <c r="A30" s="172"/>
      <c r="B30" s="173"/>
      <c r="C30" s="96"/>
      <c r="D30" s="94"/>
      <c r="E30" s="72"/>
    </row>
    <row r="31" spans="1:5" ht="20.100000000000001" customHeight="1" x14ac:dyDescent="0.25">
      <c r="A31" s="174">
        <v>18</v>
      </c>
      <c r="B31" s="175" t="s">
        <v>57</v>
      </c>
      <c r="C31" s="95"/>
      <c r="D31" s="94"/>
      <c r="E31" s="72"/>
    </row>
    <row r="32" spans="1:5" ht="20.100000000000001" customHeight="1" x14ac:dyDescent="0.25">
      <c r="A32" s="172"/>
      <c r="B32" s="171" t="s">
        <v>58</v>
      </c>
      <c r="C32" s="96"/>
      <c r="D32" s="72"/>
      <c r="E32" s="72"/>
    </row>
    <row r="33" spans="1:5" ht="20.100000000000001" customHeight="1" x14ac:dyDescent="0.25">
      <c r="A33" s="174">
        <v>19</v>
      </c>
      <c r="B33" s="175" t="s">
        <v>59</v>
      </c>
      <c r="C33" s="96"/>
      <c r="D33" s="72"/>
      <c r="E33" s="72"/>
    </row>
    <row r="34" spans="1:5" ht="20.100000000000001" customHeight="1" x14ac:dyDescent="0.25">
      <c r="A34" s="170">
        <v>1901</v>
      </c>
      <c r="B34" s="171" t="s">
        <v>60</v>
      </c>
      <c r="C34" s="96"/>
      <c r="D34" s="72"/>
      <c r="E34" s="72"/>
    </row>
    <row r="35" spans="1:5" ht="20.100000000000001" customHeight="1" x14ac:dyDescent="0.25">
      <c r="A35" s="170">
        <v>1902</v>
      </c>
      <c r="B35" s="171" t="s">
        <v>61</v>
      </c>
      <c r="C35" s="95"/>
      <c r="D35" s="71"/>
      <c r="E35" s="71"/>
    </row>
    <row r="36" spans="1:5" ht="20.100000000000001" customHeight="1" thickBot="1" x14ac:dyDescent="0.3">
      <c r="A36" s="177">
        <v>1904</v>
      </c>
      <c r="B36" s="178" t="s">
        <v>62</v>
      </c>
      <c r="C36" s="97"/>
      <c r="D36" s="76"/>
      <c r="E36" s="76"/>
    </row>
    <row r="37" spans="1:5" ht="20.100000000000001" customHeight="1" thickBot="1" x14ac:dyDescent="0.3">
      <c r="A37" s="77"/>
      <c r="B37" s="111" t="s">
        <v>31</v>
      </c>
      <c r="C37" s="87">
        <f>SUM(C12:C36)</f>
        <v>0</v>
      </c>
      <c r="D37" s="87">
        <f>SUM(D12:D36)</f>
        <v>0</v>
      </c>
      <c r="E37" s="78"/>
    </row>
    <row r="38" spans="1:5" s="127" customFormat="1" ht="20.100000000000001" customHeight="1" thickBot="1" x14ac:dyDescent="0.25">
      <c r="A38" s="154"/>
      <c r="B38" s="155" t="s">
        <v>32</v>
      </c>
      <c r="C38" s="156"/>
      <c r="D38" s="157"/>
      <c r="E38" s="157"/>
    </row>
    <row r="39" spans="1:5" ht="20.100000000000001" customHeight="1" x14ac:dyDescent="0.2">
      <c r="A39" s="46"/>
      <c r="B39" s="47"/>
      <c r="C39" s="46"/>
      <c r="D39" s="46"/>
    </row>
    <row r="40" spans="1:5" ht="35.25" customHeight="1" x14ac:dyDescent="0.2">
      <c r="A40" s="215" t="s">
        <v>268</v>
      </c>
      <c r="B40" s="210"/>
      <c r="C40" s="210"/>
      <c r="D40" s="210"/>
      <c r="E40" s="210"/>
    </row>
    <row r="41" spans="1:5" ht="20.100000000000001" customHeight="1" x14ac:dyDescent="0.2">
      <c r="A41" s="46"/>
      <c r="B41" s="47"/>
      <c r="C41" s="46"/>
      <c r="D41" s="46"/>
    </row>
    <row r="42" spans="1:5" ht="20.100000000000001" customHeight="1" x14ac:dyDescent="0.2">
      <c r="A42" s="46"/>
      <c r="B42" s="47"/>
      <c r="C42" s="46"/>
      <c r="D42" s="46"/>
    </row>
    <row r="43" spans="1:5" ht="20.100000000000001" customHeight="1" x14ac:dyDescent="0.2">
      <c r="A43" s="59" t="s">
        <v>33</v>
      </c>
      <c r="B43" s="47"/>
      <c r="C43" s="46"/>
      <c r="D43" s="46"/>
    </row>
    <row r="44" spans="1:5" ht="20.100000000000001" customHeight="1" x14ac:dyDescent="0.2">
      <c r="A44" s="59" t="s">
        <v>34</v>
      </c>
      <c r="B44" s="47"/>
      <c r="C44" s="46"/>
      <c r="D44" s="46"/>
    </row>
    <row r="45" spans="1:5" ht="20.100000000000001" customHeight="1" x14ac:dyDescent="0.2">
      <c r="A45" s="59" t="s">
        <v>35</v>
      </c>
      <c r="B45" s="46"/>
      <c r="C45" s="46"/>
      <c r="D45" s="46"/>
    </row>
    <row r="46" spans="1:5" ht="20.100000000000001" customHeight="1" x14ac:dyDescent="0.2">
      <c r="A46" s="46"/>
      <c r="B46" s="47"/>
      <c r="C46" s="46"/>
      <c r="D46" s="46"/>
    </row>
    <row r="47" spans="1:5" ht="20.100000000000001" customHeight="1" x14ac:dyDescent="0.2">
      <c r="A47" s="46"/>
      <c r="B47" s="46"/>
      <c r="C47" s="46"/>
      <c r="D47" s="46"/>
    </row>
    <row r="48" spans="1:5" ht="20.100000000000001" customHeight="1" x14ac:dyDescent="0.2">
      <c r="A48" s="46"/>
      <c r="B48" s="46"/>
      <c r="C48" s="46"/>
      <c r="D48" s="46"/>
    </row>
    <row r="49" spans="1:5" ht="20.100000000000001" customHeight="1" x14ac:dyDescent="0.25">
      <c r="A49" s="2"/>
      <c r="B49" s="100" t="s">
        <v>275</v>
      </c>
      <c r="C49" s="99"/>
      <c r="D49" s="209" t="s">
        <v>276</v>
      </c>
      <c r="E49" s="209"/>
    </row>
    <row r="50" spans="1:5" ht="20.100000000000001" customHeight="1" x14ac:dyDescent="0.25">
      <c r="A50" s="2"/>
      <c r="B50" s="41" t="s">
        <v>273</v>
      </c>
      <c r="C50" s="8"/>
      <c r="D50" s="41" t="s">
        <v>277</v>
      </c>
      <c r="E50" s="3"/>
    </row>
    <row r="51" spans="1:5" ht="20.100000000000001" customHeight="1" x14ac:dyDescent="0.25">
      <c r="A51" s="2"/>
      <c r="B51" s="41" t="s">
        <v>274</v>
      </c>
      <c r="C51" s="46"/>
      <c r="D51" s="46"/>
    </row>
    <row r="52" spans="1:5" ht="20.100000000000001" customHeight="1" x14ac:dyDescent="0.25">
      <c r="A52" s="2"/>
      <c r="B52" s="41" t="s">
        <v>36</v>
      </c>
      <c r="C52" s="46"/>
      <c r="D52" s="46"/>
    </row>
    <row r="53" spans="1:5" ht="20.100000000000001" customHeight="1" x14ac:dyDescent="0.25">
      <c r="A53" s="2"/>
      <c r="B53" s="41"/>
      <c r="C53" s="46"/>
      <c r="D53" s="46"/>
    </row>
    <row r="54" spans="1:5" ht="20.100000000000001" customHeight="1" x14ac:dyDescent="0.25">
      <c r="A54" s="2"/>
      <c r="B54" s="41"/>
      <c r="C54" s="46"/>
      <c r="D54" s="46"/>
    </row>
    <row r="55" spans="1:5" ht="20.100000000000001" customHeight="1" x14ac:dyDescent="0.2">
      <c r="A55" s="46"/>
      <c r="B55" s="46"/>
    </row>
    <row r="56" spans="1:5" ht="20.100000000000001" customHeight="1" x14ac:dyDescent="0.2">
      <c r="A56" s="46"/>
      <c r="B56" s="46"/>
    </row>
    <row r="57" spans="1:5" ht="45.75" customHeight="1" x14ac:dyDescent="0.2">
      <c r="A57" s="46"/>
      <c r="B57" s="46"/>
    </row>
    <row r="58" spans="1:5" ht="20.100000000000001" customHeight="1" x14ac:dyDescent="0.2">
      <c r="A58" s="46"/>
      <c r="B58" s="46"/>
    </row>
    <row r="59" spans="1:5" ht="20.100000000000001" customHeight="1" x14ac:dyDescent="0.2">
      <c r="A59" s="46"/>
      <c r="B59" s="46"/>
    </row>
    <row r="60" spans="1:5" ht="20.100000000000001" customHeight="1" x14ac:dyDescent="0.2">
      <c r="A60" s="46"/>
      <c r="B60" s="46"/>
    </row>
    <row r="61" spans="1:5" ht="20.100000000000001" customHeight="1" x14ac:dyDescent="0.2">
      <c r="A61" s="46"/>
      <c r="B61" s="46"/>
    </row>
    <row r="62" spans="1:5" ht="20.100000000000001" customHeight="1" x14ac:dyDescent="0.2">
      <c r="A62" s="46"/>
      <c r="B62" s="46"/>
    </row>
    <row r="63" spans="1:5" ht="20.100000000000001" customHeight="1" x14ac:dyDescent="0.2">
      <c r="A63" s="46"/>
      <c r="B63" s="46"/>
    </row>
    <row r="134" ht="27.75" customHeight="1" x14ac:dyDescent="0.2"/>
  </sheetData>
  <mergeCells count="7">
    <mergeCell ref="D49:E49"/>
    <mergeCell ref="A1:D1"/>
    <mergeCell ref="A2:D2"/>
    <mergeCell ref="A3:D3"/>
    <mergeCell ref="A9:B9"/>
    <mergeCell ref="A10:E10"/>
    <mergeCell ref="A40:E40"/>
  </mergeCells>
  <printOptions horizontalCentered="1" verticalCentered="1"/>
  <pageMargins left="0.39370078740157483" right="0.18" top="0" bottom="0" header="0" footer="0"/>
  <pageSetup paperSize="9" scale="65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O69"/>
  <sheetViews>
    <sheetView topLeftCell="A26" zoomScaleNormal="100" workbookViewId="0">
      <selection activeCell="E60" sqref="E60"/>
    </sheetView>
  </sheetViews>
  <sheetFormatPr baseColWidth="10" defaultColWidth="11.42578125" defaultRowHeight="20.100000000000001" customHeight="1" x14ac:dyDescent="0.2"/>
  <cols>
    <col min="1" max="1" width="10.28515625" style="49" customWidth="1"/>
    <col min="2" max="2" width="40.42578125" style="49" customWidth="1"/>
    <col min="3" max="3" width="9.140625" style="49" customWidth="1"/>
    <col min="4" max="4" width="9.28515625" style="49" customWidth="1"/>
    <col min="5" max="5" width="22" style="49" customWidth="1"/>
    <col min="6" max="7" width="19" style="49" customWidth="1"/>
    <col min="8" max="8" width="25" style="2" customWidth="1"/>
    <col min="9" max="16384" width="11.42578125" style="2"/>
  </cols>
  <sheetData>
    <row r="1" spans="1:15" ht="19.5" customHeight="1" x14ac:dyDescent="0.2">
      <c r="A1" s="218" t="s">
        <v>0</v>
      </c>
      <c r="B1" s="218"/>
      <c r="C1" s="218"/>
      <c r="D1" s="218"/>
      <c r="E1" s="218"/>
      <c r="F1" s="218"/>
      <c r="G1" s="218"/>
    </row>
    <row r="2" spans="1:15" ht="23.25" customHeight="1" x14ac:dyDescent="0.2">
      <c r="A2" s="219" t="s">
        <v>63</v>
      </c>
      <c r="B2" s="219"/>
      <c r="C2" s="219"/>
      <c r="D2" s="219"/>
      <c r="E2" s="219"/>
      <c r="F2" s="219"/>
      <c r="G2" s="219"/>
    </row>
    <row r="3" spans="1:15" ht="15.95" customHeight="1" x14ac:dyDescent="0.25">
      <c r="A3" s="205" t="s">
        <v>64</v>
      </c>
      <c r="B3" s="205"/>
      <c r="C3" s="205"/>
      <c r="D3" s="205"/>
      <c r="E3" s="205"/>
      <c r="F3" s="205"/>
      <c r="G3" s="205"/>
    </row>
    <row r="4" spans="1:15" ht="15.95" customHeight="1" x14ac:dyDescent="0.25">
      <c r="A4" s="104"/>
      <c r="B4" s="104"/>
      <c r="C4" s="104"/>
      <c r="D4" s="104"/>
      <c r="E4" s="104"/>
      <c r="F4" s="104"/>
      <c r="G4" s="104"/>
    </row>
    <row r="5" spans="1:15" ht="15.95" customHeight="1" x14ac:dyDescent="0.25">
      <c r="A5" s="205" t="s">
        <v>254</v>
      </c>
      <c r="B5" s="205"/>
      <c r="C5" s="205"/>
      <c r="D5" s="205"/>
      <c r="E5" s="205"/>
      <c r="F5" s="205"/>
      <c r="G5" s="205"/>
      <c r="H5" s="205"/>
    </row>
    <row r="6" spans="1:15" ht="15.95" customHeight="1" x14ac:dyDescent="0.25">
      <c r="A6" s="98" t="s">
        <v>2</v>
      </c>
      <c r="B6" s="50"/>
      <c r="C6" s="51"/>
      <c r="D6" s="51"/>
      <c r="E6" s="42"/>
      <c r="F6" s="42"/>
      <c r="G6" s="42"/>
    </row>
    <row r="7" spans="1:15" ht="15.95" customHeight="1" x14ac:dyDescent="0.25">
      <c r="A7" s="106" t="s">
        <v>3</v>
      </c>
      <c r="B7" s="44"/>
      <c r="C7" s="44"/>
      <c r="D7" s="44"/>
      <c r="E7" s="44"/>
      <c r="F7" s="44"/>
      <c r="G7" s="44"/>
    </row>
    <row r="8" spans="1:15" ht="15.95" customHeight="1" thickBot="1" x14ac:dyDescent="0.3">
      <c r="A8" s="106"/>
      <c r="B8" s="44"/>
      <c r="C8" s="44"/>
      <c r="D8" s="44"/>
      <c r="E8" s="44"/>
      <c r="F8" s="44"/>
      <c r="G8" s="44"/>
    </row>
    <row r="9" spans="1:15" s="1" customFormat="1" ht="75.75" thickBot="1" x14ac:dyDescent="0.25">
      <c r="A9" s="62" t="s">
        <v>65</v>
      </c>
      <c r="B9" s="63" t="s">
        <v>66</v>
      </c>
      <c r="C9" s="63" t="s">
        <v>67</v>
      </c>
      <c r="D9" s="63" t="s">
        <v>68</v>
      </c>
      <c r="E9" s="63" t="s">
        <v>69</v>
      </c>
      <c r="F9" s="63" t="s">
        <v>70</v>
      </c>
      <c r="G9" s="64" t="s">
        <v>71</v>
      </c>
      <c r="H9" s="64" t="s">
        <v>6</v>
      </c>
    </row>
    <row r="10" spans="1:15" ht="15.95" customHeight="1" x14ac:dyDescent="0.2">
      <c r="A10" s="88" t="s">
        <v>180</v>
      </c>
      <c r="B10" s="88" t="s">
        <v>141</v>
      </c>
      <c r="C10" s="60">
        <v>1</v>
      </c>
      <c r="D10" s="60"/>
      <c r="E10" s="129" t="s">
        <v>215</v>
      </c>
      <c r="F10" s="61">
        <v>1404.7708093333331</v>
      </c>
      <c r="G10" s="61">
        <v>1404.7708093333331</v>
      </c>
      <c r="H10" s="61"/>
      <c r="I10" s="6"/>
      <c r="J10" s="131"/>
      <c r="K10" s="131"/>
      <c r="L10" s="131"/>
      <c r="M10" s="131"/>
      <c r="N10" s="131"/>
      <c r="O10" s="131"/>
    </row>
    <row r="11" spans="1:15" ht="15.95" customHeight="1" x14ac:dyDescent="0.2">
      <c r="A11" s="88" t="s">
        <v>181</v>
      </c>
      <c r="B11" s="88" t="s">
        <v>142</v>
      </c>
      <c r="C11" s="52">
        <v>2</v>
      </c>
      <c r="D11" s="52"/>
      <c r="E11" s="129" t="s">
        <v>216</v>
      </c>
      <c r="F11" s="53">
        <v>1379.1755999999998</v>
      </c>
      <c r="G11" s="53">
        <v>1379.1755999999998</v>
      </c>
      <c r="H11" s="53"/>
      <c r="I11" s="6"/>
      <c r="J11" s="131"/>
      <c r="K11" s="131"/>
      <c r="L11" s="131"/>
      <c r="M11" s="131"/>
      <c r="N11" s="131"/>
      <c r="O11" s="131"/>
    </row>
    <row r="12" spans="1:15" ht="15.95" customHeight="1" x14ac:dyDescent="0.2">
      <c r="A12" s="88" t="s">
        <v>182</v>
      </c>
      <c r="B12" s="88" t="s">
        <v>143</v>
      </c>
      <c r="C12" s="60">
        <v>3</v>
      </c>
      <c r="D12" s="52"/>
      <c r="E12" s="129" t="s">
        <v>217</v>
      </c>
      <c r="F12" s="53">
        <v>1238.9880493333333</v>
      </c>
      <c r="G12" s="53">
        <v>1238.9880493333333</v>
      </c>
      <c r="H12" s="53"/>
      <c r="I12" s="6"/>
      <c r="J12" s="131"/>
      <c r="K12" s="131"/>
      <c r="L12" s="131"/>
      <c r="M12" s="131"/>
      <c r="N12" s="131"/>
      <c r="O12" s="131"/>
    </row>
    <row r="13" spans="1:15" ht="15.95" customHeight="1" x14ac:dyDescent="0.2">
      <c r="A13" s="88" t="s">
        <v>183</v>
      </c>
      <c r="B13" s="88" t="s">
        <v>144</v>
      </c>
      <c r="C13" s="52">
        <v>4</v>
      </c>
      <c r="D13" s="52"/>
      <c r="E13" s="129" t="s">
        <v>218</v>
      </c>
      <c r="F13" s="53">
        <v>1092.514408</v>
      </c>
      <c r="G13" s="53">
        <v>1092.514408</v>
      </c>
      <c r="H13" s="53"/>
      <c r="I13" s="6"/>
      <c r="J13" s="131"/>
      <c r="K13" s="131"/>
      <c r="L13" s="131"/>
      <c r="M13" s="131"/>
      <c r="N13" s="131"/>
      <c r="O13" s="131"/>
    </row>
    <row r="14" spans="1:15" ht="15.95" customHeight="1" x14ac:dyDescent="0.2">
      <c r="A14" s="88" t="s">
        <v>184</v>
      </c>
      <c r="B14" s="88" t="s">
        <v>145</v>
      </c>
      <c r="C14" s="60">
        <v>5</v>
      </c>
      <c r="D14" s="52"/>
      <c r="E14" s="129" t="s">
        <v>219</v>
      </c>
      <c r="F14" s="53">
        <v>1232.7534839999998</v>
      </c>
      <c r="G14" s="53">
        <v>1232.7534839999998</v>
      </c>
      <c r="H14" s="53"/>
      <c r="I14" s="6"/>
      <c r="J14" s="131"/>
      <c r="K14" s="131"/>
      <c r="L14" s="131"/>
      <c r="M14" s="131"/>
      <c r="N14" s="131"/>
      <c r="O14" s="131"/>
    </row>
    <row r="15" spans="1:15" ht="15.95" customHeight="1" x14ac:dyDescent="0.2">
      <c r="A15" s="88" t="s">
        <v>185</v>
      </c>
      <c r="B15" s="88" t="s">
        <v>146</v>
      </c>
      <c r="C15" s="52">
        <v>6</v>
      </c>
      <c r="D15" s="52"/>
      <c r="E15" s="130" t="s">
        <v>220</v>
      </c>
      <c r="F15" s="53">
        <v>846.31348400000013</v>
      </c>
      <c r="G15" s="53">
        <v>846.31348400000013</v>
      </c>
      <c r="H15" s="53"/>
      <c r="I15" s="6"/>
      <c r="J15" s="131"/>
      <c r="K15" s="131"/>
      <c r="L15" s="131"/>
      <c r="M15" s="131"/>
      <c r="N15" s="131"/>
      <c r="O15" s="131"/>
    </row>
    <row r="16" spans="1:15" ht="15.95" customHeight="1" x14ac:dyDescent="0.2">
      <c r="A16" s="88" t="s">
        <v>186</v>
      </c>
      <c r="B16" s="88" t="s">
        <v>147</v>
      </c>
      <c r="C16" s="60">
        <v>7</v>
      </c>
      <c r="D16" s="52"/>
      <c r="E16" s="129" t="s">
        <v>221</v>
      </c>
      <c r="F16" s="53">
        <v>1113.9618280000002</v>
      </c>
      <c r="G16" s="53">
        <v>1113.9618280000002</v>
      </c>
      <c r="H16" s="53"/>
      <c r="I16" s="6"/>
      <c r="J16" s="131"/>
      <c r="K16" s="131"/>
      <c r="L16" s="131"/>
      <c r="M16" s="131"/>
      <c r="N16" s="131"/>
      <c r="O16" s="131"/>
    </row>
    <row r="17" spans="1:15" ht="15.95" customHeight="1" x14ac:dyDescent="0.2">
      <c r="A17" s="88" t="s">
        <v>187</v>
      </c>
      <c r="B17" s="88" t="s">
        <v>148</v>
      </c>
      <c r="C17" s="60">
        <v>9</v>
      </c>
      <c r="D17" s="52"/>
      <c r="E17" s="129" t="s">
        <v>222</v>
      </c>
      <c r="F17" s="53">
        <v>1029.1253666666667</v>
      </c>
      <c r="G17" s="53">
        <v>1029.1253666666667</v>
      </c>
      <c r="H17" s="53"/>
      <c r="I17" s="6"/>
      <c r="J17" s="131"/>
      <c r="K17" s="131"/>
      <c r="L17" s="131"/>
      <c r="M17" s="131"/>
      <c r="N17" s="131"/>
      <c r="O17" s="131"/>
    </row>
    <row r="18" spans="1:15" ht="15.95" customHeight="1" x14ac:dyDescent="0.2">
      <c r="A18" s="88" t="s">
        <v>188</v>
      </c>
      <c r="B18" s="88" t="s">
        <v>149</v>
      </c>
      <c r="C18" s="52">
        <v>10</v>
      </c>
      <c r="D18" s="52"/>
      <c r="E18" s="129" t="s">
        <v>223</v>
      </c>
      <c r="F18" s="53">
        <v>803.38</v>
      </c>
      <c r="G18" s="53">
        <v>803.38</v>
      </c>
      <c r="H18" s="53"/>
      <c r="I18" s="6"/>
      <c r="J18" s="131"/>
      <c r="K18" s="131"/>
      <c r="L18" s="131"/>
      <c r="M18" s="131"/>
      <c r="N18" s="131"/>
      <c r="O18" s="131"/>
    </row>
    <row r="19" spans="1:15" ht="15.95" customHeight="1" x14ac:dyDescent="0.2">
      <c r="A19" s="88" t="s">
        <v>189</v>
      </c>
      <c r="B19" s="88" t="s">
        <v>150</v>
      </c>
      <c r="C19" s="60">
        <v>11</v>
      </c>
      <c r="D19" s="52"/>
      <c r="E19" s="129" t="s">
        <v>224</v>
      </c>
      <c r="F19" s="53">
        <v>975.12681733333341</v>
      </c>
      <c r="G19" s="53">
        <v>975.12681733333341</v>
      </c>
      <c r="H19" s="53"/>
      <c r="I19" s="6"/>
      <c r="J19" s="131"/>
      <c r="K19" s="131"/>
      <c r="L19" s="131"/>
      <c r="M19" s="131"/>
      <c r="N19" s="131"/>
      <c r="O19" s="131"/>
    </row>
    <row r="20" spans="1:15" ht="15.95" customHeight="1" x14ac:dyDescent="0.2">
      <c r="A20" s="88" t="s">
        <v>190</v>
      </c>
      <c r="B20" s="88" t="s">
        <v>151</v>
      </c>
      <c r="C20" s="52">
        <v>12</v>
      </c>
      <c r="D20" s="52"/>
      <c r="E20" s="129" t="s">
        <v>225</v>
      </c>
      <c r="F20" s="53">
        <v>1374.422388</v>
      </c>
      <c r="G20" s="53">
        <v>1374.422388</v>
      </c>
      <c r="H20" s="53"/>
      <c r="I20" s="6"/>
      <c r="J20" s="131"/>
      <c r="K20" s="131"/>
      <c r="L20" s="131"/>
      <c r="M20" s="131"/>
      <c r="N20" s="131"/>
      <c r="O20" s="131"/>
    </row>
    <row r="21" spans="1:15" ht="15.95" customHeight="1" x14ac:dyDescent="0.2">
      <c r="A21" s="88" t="s">
        <v>191</v>
      </c>
      <c r="B21" s="88" t="s">
        <v>152</v>
      </c>
      <c r="C21" s="60">
        <v>13</v>
      </c>
      <c r="D21" s="52"/>
      <c r="E21" s="129" t="s">
        <v>226</v>
      </c>
      <c r="F21" s="53">
        <v>1248.7263373333335</v>
      </c>
      <c r="G21" s="53">
        <v>1248.7263373333335</v>
      </c>
      <c r="H21" s="53"/>
      <c r="I21" s="6"/>
      <c r="J21" s="131"/>
      <c r="K21" s="131"/>
      <c r="L21" s="131"/>
      <c r="M21" s="131"/>
      <c r="N21" s="131"/>
      <c r="O21" s="131"/>
    </row>
    <row r="22" spans="1:15" ht="15.95" customHeight="1" x14ac:dyDescent="0.2">
      <c r="A22" s="88" t="s">
        <v>192</v>
      </c>
      <c r="B22" s="88" t="s">
        <v>153</v>
      </c>
      <c r="C22" s="60">
        <v>15</v>
      </c>
      <c r="D22" s="52"/>
      <c r="E22" s="129" t="s">
        <v>227</v>
      </c>
      <c r="F22" s="53">
        <v>1083.7679826666665</v>
      </c>
      <c r="G22" s="53">
        <v>1083.7679826666665</v>
      </c>
      <c r="H22" s="53"/>
      <c r="I22" s="6"/>
      <c r="J22" s="131"/>
      <c r="K22" s="131"/>
      <c r="L22" s="131"/>
      <c r="M22" s="131"/>
      <c r="N22" s="131"/>
      <c r="O22" s="131"/>
    </row>
    <row r="23" spans="1:15" ht="15.95" customHeight="1" x14ac:dyDescent="0.2">
      <c r="A23" s="88" t="s">
        <v>193</v>
      </c>
      <c r="B23" s="88" t="s">
        <v>154</v>
      </c>
      <c r="C23" s="52">
        <v>16</v>
      </c>
      <c r="D23" s="52"/>
      <c r="E23" s="129" t="s">
        <v>228</v>
      </c>
      <c r="F23" s="53">
        <v>1164.933264</v>
      </c>
      <c r="G23" s="53">
        <v>1164.933264</v>
      </c>
      <c r="H23" s="53"/>
      <c r="I23" s="6"/>
      <c r="J23" s="131"/>
      <c r="K23" s="131"/>
      <c r="L23" s="131"/>
      <c r="M23" s="131"/>
      <c r="N23" s="131"/>
      <c r="O23" s="131"/>
    </row>
    <row r="24" spans="1:15" ht="15.95" customHeight="1" x14ac:dyDescent="0.2">
      <c r="A24" s="88" t="s">
        <v>194</v>
      </c>
      <c r="B24" s="88" t="s">
        <v>155</v>
      </c>
      <c r="C24" s="60">
        <v>17</v>
      </c>
      <c r="D24" s="52"/>
      <c r="E24" s="129" t="s">
        <v>229</v>
      </c>
      <c r="F24" s="53">
        <v>1123.1719813333332</v>
      </c>
      <c r="G24" s="53">
        <v>1123.1719813333332</v>
      </c>
      <c r="H24" s="53"/>
      <c r="I24" s="6"/>
      <c r="J24" s="131"/>
      <c r="K24" s="131"/>
      <c r="L24" s="131"/>
      <c r="M24" s="131"/>
      <c r="N24" s="131"/>
      <c r="O24" s="131"/>
    </row>
    <row r="25" spans="1:15" ht="15.95" customHeight="1" x14ac:dyDescent="0.2">
      <c r="A25" s="88" t="s">
        <v>195</v>
      </c>
      <c r="B25" s="88" t="s">
        <v>156</v>
      </c>
      <c r="C25" s="52">
        <v>18</v>
      </c>
      <c r="D25" s="52"/>
      <c r="E25" s="129" t="s">
        <v>230</v>
      </c>
      <c r="F25" s="53">
        <v>1458.3313933333334</v>
      </c>
      <c r="G25" s="53">
        <v>1458.3313933333334</v>
      </c>
      <c r="H25" s="53"/>
      <c r="I25" s="6"/>
      <c r="J25" s="131"/>
      <c r="K25" s="131"/>
      <c r="L25" s="131"/>
      <c r="M25" s="131"/>
      <c r="N25" s="131"/>
      <c r="O25" s="131"/>
    </row>
    <row r="26" spans="1:15" ht="15.95" customHeight="1" x14ac:dyDescent="0.2">
      <c r="A26" s="88" t="s">
        <v>196</v>
      </c>
      <c r="B26" s="88" t="s">
        <v>157</v>
      </c>
      <c r="C26" s="60">
        <v>19</v>
      </c>
      <c r="D26" s="52"/>
      <c r="E26" s="129" t="s">
        <v>230</v>
      </c>
      <c r="F26" s="53">
        <v>1157.9387000000002</v>
      </c>
      <c r="G26" s="53">
        <v>1157.9387000000002</v>
      </c>
      <c r="H26" s="53"/>
      <c r="I26" s="6"/>
      <c r="J26" s="131"/>
      <c r="K26" s="131"/>
      <c r="L26" s="131"/>
      <c r="M26" s="131"/>
      <c r="N26" s="131"/>
      <c r="O26" s="131"/>
    </row>
    <row r="27" spans="1:15" ht="15.95" customHeight="1" x14ac:dyDescent="0.2">
      <c r="A27" s="88" t="s">
        <v>197</v>
      </c>
      <c r="B27" s="88" t="s">
        <v>158</v>
      </c>
      <c r="C27" s="52">
        <v>20</v>
      </c>
      <c r="D27" s="52"/>
      <c r="E27" s="129" t="s">
        <v>230</v>
      </c>
      <c r="F27" s="53">
        <v>1400.7260706666668</v>
      </c>
      <c r="G27" s="53">
        <v>1400.7260706666668</v>
      </c>
      <c r="H27" s="53"/>
      <c r="I27" s="6"/>
      <c r="J27" s="131"/>
      <c r="K27" s="131"/>
      <c r="L27" s="131"/>
      <c r="M27" s="131"/>
      <c r="N27" s="131"/>
      <c r="O27" s="131"/>
    </row>
    <row r="28" spans="1:15" ht="15.95" customHeight="1" x14ac:dyDescent="0.2">
      <c r="A28" s="88" t="s">
        <v>198</v>
      </c>
      <c r="B28" s="88" t="s">
        <v>159</v>
      </c>
      <c r="C28" s="60">
        <v>21</v>
      </c>
      <c r="D28" s="52"/>
      <c r="E28" s="129" t="s">
        <v>231</v>
      </c>
      <c r="F28" s="53">
        <v>974.70173333333332</v>
      </c>
      <c r="G28" s="53">
        <v>974.70173333333332</v>
      </c>
      <c r="H28" s="53"/>
      <c r="I28" s="6"/>
      <c r="J28" s="131"/>
      <c r="K28" s="131"/>
      <c r="L28" s="131"/>
      <c r="M28" s="131"/>
      <c r="N28" s="131"/>
      <c r="O28" s="131"/>
    </row>
    <row r="29" spans="1:15" ht="15.95" customHeight="1" x14ac:dyDescent="0.2">
      <c r="A29" s="88" t="s">
        <v>199</v>
      </c>
      <c r="B29" s="88" t="s">
        <v>160</v>
      </c>
      <c r="C29" s="52">
        <v>22</v>
      </c>
      <c r="D29" s="52"/>
      <c r="E29" s="129" t="s">
        <v>232</v>
      </c>
      <c r="F29" s="53">
        <v>1264.7635973333333</v>
      </c>
      <c r="G29" s="53">
        <v>1264.7635973333333</v>
      </c>
      <c r="H29" s="53"/>
      <c r="I29" s="6"/>
      <c r="J29" s="131"/>
      <c r="K29" s="131"/>
      <c r="L29" s="131"/>
      <c r="M29" s="131"/>
      <c r="N29" s="131"/>
      <c r="O29" s="131"/>
    </row>
    <row r="30" spans="1:15" ht="15.95" customHeight="1" x14ac:dyDescent="0.2">
      <c r="A30" s="128">
        <v>1101971438</v>
      </c>
      <c r="B30" s="88" t="s">
        <v>161</v>
      </c>
      <c r="C30" s="60">
        <v>23</v>
      </c>
      <c r="D30" s="52"/>
      <c r="E30" s="129" t="s">
        <v>233</v>
      </c>
      <c r="F30" s="53">
        <v>1300.5994666666668</v>
      </c>
      <c r="G30" s="53">
        <v>1300.5994666666668</v>
      </c>
      <c r="H30" s="53"/>
      <c r="I30" s="6"/>
      <c r="J30" s="131"/>
      <c r="K30" s="131"/>
      <c r="L30" s="131"/>
      <c r="M30" s="131"/>
      <c r="N30" s="131"/>
      <c r="O30" s="131"/>
    </row>
    <row r="31" spans="1:15" ht="15.95" customHeight="1" x14ac:dyDescent="0.2">
      <c r="A31" s="128">
        <v>1900406578</v>
      </c>
      <c r="B31" s="88" t="s">
        <v>162</v>
      </c>
      <c r="C31" s="52">
        <v>24</v>
      </c>
      <c r="D31" s="52"/>
      <c r="E31" s="129" t="s">
        <v>234</v>
      </c>
      <c r="F31" s="53">
        <v>709.34626666666657</v>
      </c>
      <c r="G31" s="53">
        <v>709.34626666666657</v>
      </c>
      <c r="H31" s="53"/>
      <c r="I31" s="6"/>
      <c r="J31" s="131"/>
      <c r="K31" s="131"/>
      <c r="L31" s="131"/>
      <c r="M31" s="131"/>
      <c r="N31" s="131"/>
      <c r="O31" s="131"/>
    </row>
    <row r="32" spans="1:15" ht="15.95" customHeight="1" x14ac:dyDescent="0.2">
      <c r="A32" s="88" t="s">
        <v>200</v>
      </c>
      <c r="B32" s="88" t="s">
        <v>163</v>
      </c>
      <c r="C32" s="60">
        <v>25</v>
      </c>
      <c r="D32" s="52"/>
      <c r="E32" s="129" t="s">
        <v>235</v>
      </c>
      <c r="F32" s="53">
        <v>1318.6333333333332</v>
      </c>
      <c r="G32" s="53">
        <v>1318.6333333333332</v>
      </c>
      <c r="H32" s="53"/>
      <c r="I32" s="6"/>
      <c r="J32" s="131"/>
      <c r="K32" s="131"/>
      <c r="L32" s="131"/>
      <c r="M32" s="131"/>
      <c r="N32" s="131"/>
      <c r="O32" s="131"/>
    </row>
    <row r="33" spans="1:15" ht="15.95" customHeight="1" x14ac:dyDescent="0.2">
      <c r="A33" s="88" t="s">
        <v>201</v>
      </c>
      <c r="B33" s="88" t="s">
        <v>164</v>
      </c>
      <c r="C33" s="52">
        <v>26</v>
      </c>
      <c r="D33" s="52"/>
      <c r="E33" s="129" t="s">
        <v>236</v>
      </c>
      <c r="F33" s="53">
        <v>1318.6333333333332</v>
      </c>
      <c r="G33" s="53">
        <v>1318.6333333333332</v>
      </c>
      <c r="H33" s="53"/>
      <c r="I33" s="6"/>
      <c r="J33" s="131"/>
      <c r="K33" s="131"/>
      <c r="L33" s="131"/>
      <c r="M33" s="131"/>
      <c r="N33" s="131"/>
      <c r="O33" s="131"/>
    </row>
    <row r="34" spans="1:15" ht="15.95" customHeight="1" x14ac:dyDescent="0.2">
      <c r="A34" s="88" t="s">
        <v>202</v>
      </c>
      <c r="B34" s="88" t="s">
        <v>165</v>
      </c>
      <c r="C34" s="60">
        <v>27</v>
      </c>
      <c r="D34" s="52"/>
      <c r="E34" s="129" t="s">
        <v>237</v>
      </c>
      <c r="F34" s="53">
        <v>1447.4466666666669</v>
      </c>
      <c r="G34" s="53">
        <v>1447.4466666666669</v>
      </c>
      <c r="H34" s="53"/>
      <c r="I34" s="6"/>
      <c r="J34" s="131"/>
      <c r="K34" s="131"/>
      <c r="L34" s="131"/>
      <c r="M34" s="131"/>
      <c r="N34" s="131"/>
      <c r="O34" s="131"/>
    </row>
    <row r="35" spans="1:15" ht="15.95" customHeight="1" x14ac:dyDescent="0.2">
      <c r="A35" s="88" t="s">
        <v>203</v>
      </c>
      <c r="B35" s="88" t="s">
        <v>166</v>
      </c>
      <c r="C35" s="52">
        <v>28</v>
      </c>
      <c r="D35" s="52"/>
      <c r="E35" s="129" t="s">
        <v>237</v>
      </c>
      <c r="F35" s="53">
        <v>1082.9049333333332</v>
      </c>
      <c r="G35" s="53">
        <v>1082.9049333333332</v>
      </c>
      <c r="H35" s="53"/>
      <c r="I35" s="6"/>
      <c r="J35" s="131"/>
      <c r="K35" s="131"/>
      <c r="L35" s="131"/>
      <c r="M35" s="131"/>
      <c r="N35" s="131"/>
      <c r="O35" s="131"/>
    </row>
    <row r="36" spans="1:15" ht="15.95" customHeight="1" x14ac:dyDescent="0.2">
      <c r="A36" s="164">
        <v>1900266030</v>
      </c>
      <c r="B36" s="88" t="s">
        <v>271</v>
      </c>
      <c r="C36" s="60"/>
      <c r="D36" s="52"/>
      <c r="E36" s="129"/>
      <c r="F36" s="53"/>
      <c r="G36" s="53"/>
      <c r="H36" s="53"/>
      <c r="I36" s="6"/>
      <c r="J36" s="131"/>
      <c r="K36" s="131"/>
      <c r="L36" s="131"/>
      <c r="M36" s="131"/>
      <c r="N36" s="131"/>
      <c r="O36" s="131"/>
    </row>
    <row r="37" spans="1:15" ht="15.95" customHeight="1" x14ac:dyDescent="0.2">
      <c r="A37" s="88" t="s">
        <v>204</v>
      </c>
      <c r="B37" s="88" t="s">
        <v>167</v>
      </c>
      <c r="C37" s="60">
        <v>29</v>
      </c>
      <c r="D37" s="52"/>
      <c r="E37" s="129" t="s">
        <v>238</v>
      </c>
      <c r="F37" s="53">
        <v>709.34626666666657</v>
      </c>
      <c r="G37" s="53">
        <v>709.34626666666657</v>
      </c>
      <c r="H37" s="53"/>
      <c r="I37" s="6"/>
      <c r="J37" s="131"/>
      <c r="K37" s="131"/>
      <c r="L37" s="131"/>
      <c r="M37" s="131"/>
      <c r="N37" s="131"/>
      <c r="O37" s="131"/>
    </row>
    <row r="38" spans="1:15" ht="15.95" customHeight="1" x14ac:dyDescent="0.2">
      <c r="A38" s="88" t="s">
        <v>205</v>
      </c>
      <c r="B38" s="88" t="s">
        <v>168</v>
      </c>
      <c r="C38" s="52">
        <v>30</v>
      </c>
      <c r="D38" s="52"/>
      <c r="E38" s="129" t="s">
        <v>238</v>
      </c>
      <c r="F38" s="53">
        <v>831.71893333333333</v>
      </c>
      <c r="G38" s="53">
        <v>831.71893333333333</v>
      </c>
      <c r="H38" s="53"/>
      <c r="I38" s="6"/>
      <c r="J38" s="131"/>
      <c r="K38" s="131"/>
      <c r="L38" s="131"/>
      <c r="M38" s="131"/>
      <c r="N38" s="131"/>
      <c r="O38" s="131"/>
    </row>
    <row r="39" spans="1:15" ht="15.95" customHeight="1" x14ac:dyDescent="0.2">
      <c r="A39" s="88" t="s">
        <v>206</v>
      </c>
      <c r="B39" s="88" t="s">
        <v>169</v>
      </c>
      <c r="C39" s="60">
        <v>31</v>
      </c>
      <c r="D39" s="52"/>
      <c r="E39" s="129" t="s">
        <v>237</v>
      </c>
      <c r="F39" s="53">
        <v>1318.6333333333332</v>
      </c>
      <c r="G39" s="53">
        <v>1318.6333333333332</v>
      </c>
      <c r="H39" s="53"/>
      <c r="I39" s="6"/>
      <c r="J39" s="131"/>
      <c r="K39" s="131"/>
      <c r="L39" s="131"/>
      <c r="M39" s="131"/>
      <c r="N39" s="131"/>
      <c r="O39" s="131"/>
    </row>
    <row r="40" spans="1:15" ht="15.95" customHeight="1" x14ac:dyDescent="0.2">
      <c r="A40" s="88" t="s">
        <v>207</v>
      </c>
      <c r="B40" s="88" t="s">
        <v>170</v>
      </c>
      <c r="C40" s="52">
        <v>32</v>
      </c>
      <c r="D40" s="52"/>
      <c r="E40" s="129" t="s">
        <v>239</v>
      </c>
      <c r="F40" s="53">
        <v>1082.9049333333332</v>
      </c>
      <c r="G40" s="53">
        <v>1082.9049333333332</v>
      </c>
      <c r="H40" s="53"/>
      <c r="I40" s="6"/>
      <c r="J40" s="131"/>
      <c r="K40" s="131"/>
      <c r="L40" s="131"/>
      <c r="M40" s="131"/>
      <c r="N40" s="131"/>
      <c r="O40" s="131"/>
    </row>
    <row r="41" spans="1:15" ht="15.95" customHeight="1" x14ac:dyDescent="0.2">
      <c r="A41" s="88" t="s">
        <v>208</v>
      </c>
      <c r="B41" s="88" t="s">
        <v>171</v>
      </c>
      <c r="C41" s="60">
        <v>33</v>
      </c>
      <c r="D41" s="52"/>
      <c r="E41" s="129" t="s">
        <v>240</v>
      </c>
      <c r="F41" s="53">
        <v>1300.5994666666668</v>
      </c>
      <c r="G41" s="53">
        <v>1300.5994666666668</v>
      </c>
      <c r="H41" s="53"/>
      <c r="I41" s="6"/>
      <c r="J41" s="131"/>
      <c r="K41" s="131"/>
      <c r="L41" s="131"/>
      <c r="M41" s="131"/>
      <c r="N41" s="131"/>
      <c r="O41" s="131"/>
    </row>
    <row r="42" spans="1:15" ht="15.95" customHeight="1" x14ac:dyDescent="0.2">
      <c r="A42" s="88" t="s">
        <v>209</v>
      </c>
      <c r="B42" s="88" t="s">
        <v>172</v>
      </c>
      <c r="C42" s="52">
        <v>34</v>
      </c>
      <c r="D42" s="52"/>
      <c r="E42" s="129" t="s">
        <v>241</v>
      </c>
      <c r="F42" s="53">
        <v>674.56666666666661</v>
      </c>
      <c r="G42" s="53">
        <v>674.56666666666661</v>
      </c>
      <c r="H42" s="53"/>
      <c r="I42" s="6"/>
      <c r="J42" s="131"/>
      <c r="K42" s="131"/>
      <c r="L42" s="131"/>
      <c r="M42" s="131"/>
      <c r="N42" s="131"/>
      <c r="O42" s="131"/>
    </row>
    <row r="43" spans="1:15" ht="15.95" customHeight="1" x14ac:dyDescent="0.2">
      <c r="A43" s="88" t="s">
        <v>210</v>
      </c>
      <c r="B43" s="88" t="s">
        <v>173</v>
      </c>
      <c r="C43" s="60">
        <v>35</v>
      </c>
      <c r="D43" s="52"/>
      <c r="E43" s="129" t="s">
        <v>242</v>
      </c>
      <c r="F43" s="53">
        <v>1318.6333333333332</v>
      </c>
      <c r="G43" s="53">
        <v>1318.6333333333332</v>
      </c>
      <c r="H43" s="53"/>
      <c r="I43" s="6"/>
      <c r="J43" s="131"/>
      <c r="K43" s="131"/>
      <c r="L43" s="131"/>
      <c r="M43" s="131"/>
      <c r="N43" s="131"/>
      <c r="O43" s="131"/>
    </row>
    <row r="44" spans="1:15" ht="15.95" customHeight="1" x14ac:dyDescent="0.2">
      <c r="A44" s="88" t="s">
        <v>211</v>
      </c>
      <c r="B44" s="88" t="s">
        <v>174</v>
      </c>
      <c r="C44" s="52">
        <v>36</v>
      </c>
      <c r="D44" s="52"/>
      <c r="E44" s="129" t="s">
        <v>243</v>
      </c>
      <c r="F44" s="53">
        <v>709.34626666666657</v>
      </c>
      <c r="G44" s="53">
        <v>709.34626666666657</v>
      </c>
      <c r="H44" s="53"/>
      <c r="I44" s="6"/>
      <c r="J44" s="131"/>
      <c r="K44" s="131"/>
      <c r="L44" s="131"/>
      <c r="M44" s="131"/>
      <c r="N44" s="131"/>
      <c r="O44" s="131"/>
    </row>
    <row r="45" spans="1:15" ht="15.95" customHeight="1" x14ac:dyDescent="0.2">
      <c r="A45" s="88" t="s">
        <v>212</v>
      </c>
      <c r="B45" s="88" t="s">
        <v>175</v>
      </c>
      <c r="C45" s="60">
        <v>37</v>
      </c>
      <c r="D45" s="52"/>
      <c r="E45" s="129" t="s">
        <v>244</v>
      </c>
      <c r="F45" s="53">
        <v>1082.9049333333332</v>
      </c>
      <c r="G45" s="53">
        <v>1082.9049333333332</v>
      </c>
      <c r="H45" s="53"/>
      <c r="I45" s="6"/>
      <c r="J45" s="131"/>
      <c r="K45" s="131"/>
      <c r="L45" s="131"/>
      <c r="M45" s="131"/>
      <c r="N45" s="131"/>
      <c r="O45" s="131"/>
    </row>
    <row r="46" spans="1:15" ht="15.95" customHeight="1" x14ac:dyDescent="0.2">
      <c r="A46" s="88" t="s">
        <v>213</v>
      </c>
      <c r="B46" s="88" t="s">
        <v>176</v>
      </c>
      <c r="C46" s="52">
        <v>38</v>
      </c>
      <c r="D46" s="52"/>
      <c r="E46" s="129" t="s">
        <v>245</v>
      </c>
      <c r="F46" s="53">
        <v>709.34626666666657</v>
      </c>
      <c r="G46" s="53">
        <v>709.34626666666657</v>
      </c>
      <c r="H46" s="53"/>
      <c r="I46" s="6"/>
      <c r="J46" s="131"/>
      <c r="K46" s="131"/>
      <c r="L46" s="131"/>
      <c r="M46" s="131"/>
      <c r="N46" s="131"/>
      <c r="O46" s="131"/>
    </row>
    <row r="47" spans="1:15" ht="15.95" customHeight="1" x14ac:dyDescent="0.2">
      <c r="A47" s="128">
        <v>1900438522</v>
      </c>
      <c r="B47" s="88" t="s">
        <v>177</v>
      </c>
      <c r="C47" s="60">
        <v>39</v>
      </c>
      <c r="D47" s="52"/>
      <c r="E47" s="129" t="s">
        <v>246</v>
      </c>
      <c r="F47" s="53">
        <v>1300.5994666666668</v>
      </c>
      <c r="G47" s="53">
        <v>1300.5994666666668</v>
      </c>
      <c r="H47" s="53"/>
      <c r="I47" s="6"/>
      <c r="J47" s="131"/>
      <c r="K47" s="131"/>
      <c r="L47" s="131"/>
      <c r="M47" s="131"/>
      <c r="N47" s="131"/>
      <c r="O47" s="131"/>
    </row>
    <row r="48" spans="1:15" ht="15.95" customHeight="1" x14ac:dyDescent="0.2">
      <c r="A48" s="128">
        <v>1900490291</v>
      </c>
      <c r="B48" s="88" t="s">
        <v>178</v>
      </c>
      <c r="C48" s="52">
        <v>40</v>
      </c>
      <c r="D48" s="52"/>
      <c r="E48" s="129" t="s">
        <v>247</v>
      </c>
      <c r="F48" s="53">
        <v>709.34626666666657</v>
      </c>
      <c r="G48" s="53">
        <v>709.34626666666657</v>
      </c>
      <c r="H48" s="53"/>
      <c r="I48" s="6"/>
      <c r="J48" s="131"/>
      <c r="K48" s="131"/>
      <c r="L48" s="131"/>
      <c r="M48" s="131"/>
      <c r="N48" s="131"/>
      <c r="O48" s="131"/>
    </row>
    <row r="49" spans="1:15" ht="15.95" customHeight="1" x14ac:dyDescent="0.2">
      <c r="A49" s="88" t="s">
        <v>214</v>
      </c>
      <c r="B49" s="88" t="s">
        <v>179</v>
      </c>
      <c r="C49" s="60">
        <v>41</v>
      </c>
      <c r="D49" s="52"/>
      <c r="E49" s="129" t="s">
        <v>248</v>
      </c>
      <c r="F49" s="53">
        <v>709.34626666666657</v>
      </c>
      <c r="G49" s="53">
        <v>709.34626666666657</v>
      </c>
      <c r="H49" s="53"/>
      <c r="I49" s="6"/>
      <c r="J49" s="131"/>
      <c r="K49" s="131"/>
      <c r="L49" s="131"/>
      <c r="M49" s="131"/>
      <c r="N49" s="131"/>
      <c r="O49" s="131"/>
    </row>
    <row r="50" spans="1:15" ht="15.95" customHeight="1" x14ac:dyDescent="0.2">
      <c r="A50" s="88"/>
      <c r="B50" s="88"/>
      <c r="C50" s="52"/>
      <c r="D50" s="52"/>
      <c r="E50" s="88"/>
      <c r="F50" s="89"/>
      <c r="G50" s="53"/>
      <c r="H50" s="53"/>
      <c r="I50" s="6"/>
    </row>
    <row r="51" spans="1:15" ht="15.95" customHeight="1" x14ac:dyDescent="0.2">
      <c r="A51" s="45"/>
      <c r="B51" s="45"/>
      <c r="C51" s="45"/>
      <c r="D51" s="45"/>
      <c r="E51" s="54" t="s">
        <v>72</v>
      </c>
      <c r="F51" s="55">
        <f>SUM(F10:F50)</f>
        <v>43002.44969466667</v>
      </c>
      <c r="G51" s="55">
        <f>SUM(G10:G50)</f>
        <v>43002.44969466667</v>
      </c>
      <c r="H51" s="53"/>
      <c r="I51" s="101"/>
    </row>
    <row r="52" spans="1:15" ht="15.95" customHeight="1" x14ac:dyDescent="0.2">
      <c r="A52" s="57"/>
      <c r="B52" s="57"/>
      <c r="C52" s="57"/>
      <c r="D52" s="57"/>
      <c r="E52" s="43"/>
      <c r="F52" s="58"/>
      <c r="G52" s="58"/>
      <c r="H52" s="58"/>
      <c r="I52" s="58"/>
    </row>
    <row r="53" spans="1:15" ht="15.95" customHeight="1" x14ac:dyDescent="0.2">
      <c r="A53" s="132" t="s">
        <v>252</v>
      </c>
      <c r="B53" s="102" t="s">
        <v>250</v>
      </c>
      <c r="C53" s="57"/>
      <c r="D53" s="57"/>
      <c r="E53" s="43"/>
      <c r="F53" s="58"/>
      <c r="G53" s="58"/>
      <c r="H53" s="7"/>
    </row>
    <row r="54" spans="1:15" ht="15.95" customHeight="1" x14ac:dyDescent="0.2">
      <c r="A54" s="132" t="s">
        <v>253</v>
      </c>
      <c r="B54" s="102" t="s">
        <v>251</v>
      </c>
      <c r="C54" s="57"/>
      <c r="D54" s="57"/>
      <c r="E54" s="43"/>
      <c r="F54" s="58"/>
      <c r="G54" s="58"/>
      <c r="H54" s="7"/>
    </row>
    <row r="55" spans="1:15" ht="15.95" customHeight="1" x14ac:dyDescent="0.2">
      <c r="A55" s="59" t="s">
        <v>74</v>
      </c>
      <c r="B55" s="57"/>
      <c r="C55" s="57"/>
      <c r="D55" s="57"/>
      <c r="E55" s="43"/>
      <c r="F55" s="58"/>
      <c r="G55" s="58"/>
      <c r="H55" s="7"/>
    </row>
    <row r="56" spans="1:15" ht="15.95" customHeight="1" x14ac:dyDescent="0.2">
      <c r="A56" s="59" t="s">
        <v>75</v>
      </c>
      <c r="B56" s="57"/>
      <c r="C56" s="57"/>
      <c r="D56" s="57"/>
      <c r="E56" s="43"/>
      <c r="F56" s="58"/>
      <c r="G56" s="58"/>
      <c r="H56" s="7"/>
    </row>
    <row r="57" spans="1:15" ht="15.95" customHeight="1" x14ac:dyDescent="0.2">
      <c r="A57" s="59" t="s">
        <v>35</v>
      </c>
      <c r="B57" s="46"/>
      <c r="C57" s="46"/>
      <c r="D57" s="46"/>
      <c r="E57" s="46"/>
      <c r="F57" s="46"/>
      <c r="G57" s="46"/>
    </row>
    <row r="58" spans="1:15" ht="15.95" customHeight="1" x14ac:dyDescent="0.2">
      <c r="A58" s="59"/>
      <c r="B58" s="46"/>
      <c r="C58" s="46"/>
      <c r="D58" s="46"/>
      <c r="E58" s="46"/>
      <c r="F58" s="46"/>
      <c r="G58" s="46"/>
    </row>
    <row r="59" spans="1:15" ht="15.95" customHeight="1" x14ac:dyDescent="0.2">
      <c r="A59" s="59"/>
      <c r="B59" s="46"/>
      <c r="C59" s="46"/>
      <c r="D59" s="46"/>
      <c r="E59" s="46"/>
      <c r="F59" s="46"/>
      <c r="G59" s="46"/>
    </row>
    <row r="60" spans="1:15" ht="15.95" customHeight="1" x14ac:dyDescent="0.2">
      <c r="A60" s="46"/>
      <c r="B60" s="46"/>
      <c r="C60" s="46"/>
      <c r="D60" s="46"/>
      <c r="E60" s="46"/>
      <c r="F60" s="56"/>
      <c r="G60" s="56"/>
    </row>
    <row r="61" spans="1:15" ht="15.95" customHeight="1" x14ac:dyDescent="0.2">
      <c r="A61" s="2"/>
      <c r="B61" s="46"/>
      <c r="D61" s="46"/>
      <c r="G61" s="46"/>
    </row>
    <row r="62" spans="1:15" ht="15.95" customHeight="1" x14ac:dyDescent="0.25">
      <c r="A62" s="217" t="s">
        <v>275</v>
      </c>
      <c r="B62" s="217"/>
      <c r="C62" s="99"/>
      <c r="D62" s="217" t="s">
        <v>276</v>
      </c>
      <c r="E62" s="217"/>
      <c r="F62" s="217"/>
      <c r="G62" s="217"/>
      <c r="H62" s="217"/>
    </row>
    <row r="63" spans="1:15" ht="15.95" customHeight="1" x14ac:dyDescent="0.25">
      <c r="A63" s="216" t="s">
        <v>273</v>
      </c>
      <c r="B63" s="216"/>
      <c r="C63" s="8"/>
      <c r="D63" s="216" t="s">
        <v>277</v>
      </c>
      <c r="E63" s="216"/>
      <c r="F63" s="216"/>
      <c r="G63" s="216"/>
      <c r="H63" s="216"/>
    </row>
    <row r="64" spans="1:15" ht="17.25" customHeight="1" x14ac:dyDescent="0.25">
      <c r="A64" s="216" t="s">
        <v>274</v>
      </c>
      <c r="B64" s="216"/>
      <c r="C64" s="46"/>
      <c r="D64" s="46"/>
      <c r="E64" s="2"/>
      <c r="F64" s="41"/>
      <c r="G64" s="8"/>
      <c r="H64" s="8"/>
    </row>
    <row r="65" spans="1:9" s="49" customFormat="1" ht="20.100000000000001" customHeight="1" x14ac:dyDescent="0.25">
      <c r="A65" s="2"/>
      <c r="B65" s="41" t="s">
        <v>36</v>
      </c>
      <c r="C65" s="46"/>
      <c r="D65" s="46"/>
      <c r="E65" s="2"/>
      <c r="H65" s="2"/>
      <c r="I65" s="2"/>
    </row>
    <row r="69" spans="1:9" ht="20.100000000000001" customHeight="1" x14ac:dyDescent="0.2">
      <c r="B69" s="46"/>
      <c r="C69" s="46"/>
    </row>
  </sheetData>
  <mergeCells count="9">
    <mergeCell ref="D63:H63"/>
    <mergeCell ref="A62:B62"/>
    <mergeCell ref="A63:B63"/>
    <mergeCell ref="A64:B64"/>
    <mergeCell ref="A1:G1"/>
    <mergeCell ref="A2:G2"/>
    <mergeCell ref="A3:G3"/>
    <mergeCell ref="A5:H5"/>
    <mergeCell ref="D62:H62"/>
  </mergeCells>
  <printOptions horizontalCentered="1"/>
  <pageMargins left="0.39370078740157483" right="0.18" top="0.51" bottom="0" header="0" footer="0"/>
  <pageSetup paperSize="9" scale="64" orientation="portrait" r:id="rId1"/>
  <colBreaks count="1" manualBreakCount="1">
    <brk id="8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4"/>
  <sheetViews>
    <sheetView topLeftCell="A60" zoomScaleNormal="100" workbookViewId="0">
      <selection activeCell="E72" sqref="E72"/>
    </sheetView>
  </sheetViews>
  <sheetFormatPr baseColWidth="10" defaultColWidth="11.42578125" defaultRowHeight="15" x14ac:dyDescent="0.25"/>
  <cols>
    <col min="1" max="1" width="11.28515625" style="8" customWidth="1"/>
    <col min="2" max="2" width="48.5703125" style="8" customWidth="1"/>
    <col min="3" max="3" width="14" style="8" customWidth="1"/>
    <col min="4" max="4" width="10.28515625" style="8" customWidth="1"/>
    <col min="5" max="5" width="12" style="8" customWidth="1"/>
    <col min="6" max="8" width="20.5703125" style="8" customWidth="1"/>
    <col min="9" max="9" width="15.5703125" style="8" customWidth="1"/>
    <col min="10" max="10" width="25" style="8" customWidth="1"/>
    <col min="11" max="16384" width="11.42578125" style="8"/>
  </cols>
  <sheetData>
    <row r="1" spans="1:10" ht="18.75" x14ac:dyDescent="0.3">
      <c r="A1" s="240" t="s">
        <v>76</v>
      </c>
      <c r="B1" s="240"/>
      <c r="C1" s="240"/>
      <c r="D1" s="240"/>
      <c r="E1" s="240"/>
      <c r="F1" s="240"/>
      <c r="G1" s="240"/>
      <c r="H1" s="240"/>
    </row>
    <row r="2" spans="1:10" ht="18.75" x14ac:dyDescent="0.3">
      <c r="A2" s="240" t="s">
        <v>77</v>
      </c>
      <c r="B2" s="240"/>
      <c r="C2" s="240"/>
      <c r="D2" s="240"/>
      <c r="E2" s="240"/>
      <c r="F2" s="240"/>
      <c r="G2" s="240"/>
      <c r="H2" s="240"/>
    </row>
    <row r="3" spans="1:10" ht="18.75" x14ac:dyDescent="0.3">
      <c r="A3" s="105"/>
      <c r="B3" s="105"/>
      <c r="C3" s="105"/>
      <c r="D3" s="105"/>
      <c r="E3" s="105"/>
      <c r="F3" s="105"/>
      <c r="G3" s="105"/>
      <c r="H3" s="105"/>
    </row>
    <row r="4" spans="1:10" ht="18.75" x14ac:dyDescent="0.3">
      <c r="A4" s="241" t="s">
        <v>249</v>
      </c>
      <c r="B4" s="241"/>
      <c r="C4" s="241"/>
      <c r="D4" s="241"/>
      <c r="E4" s="241"/>
      <c r="F4" s="241"/>
      <c r="G4" s="241"/>
      <c r="H4" s="241"/>
    </row>
    <row r="5" spans="1:10" ht="15.75" thickBot="1" x14ac:dyDescent="0.3">
      <c r="A5" s="220"/>
      <c r="B5" s="220"/>
      <c r="C5" s="220"/>
      <c r="D5" s="220"/>
      <c r="E5" s="220"/>
      <c r="F5" s="220"/>
      <c r="G5" s="220"/>
      <c r="H5" s="220"/>
    </row>
    <row r="6" spans="1:10" ht="15" customHeight="1" x14ac:dyDescent="0.25">
      <c r="A6" s="242" t="s">
        <v>78</v>
      </c>
      <c r="B6" s="243"/>
      <c r="C6" s="242" t="s">
        <v>79</v>
      </c>
      <c r="D6" s="243"/>
      <c r="E6" s="246"/>
      <c r="F6" s="244" t="s">
        <v>80</v>
      </c>
      <c r="G6" s="245"/>
      <c r="H6" s="245"/>
      <c r="I6" s="245"/>
      <c r="J6" s="232" t="s">
        <v>6</v>
      </c>
    </row>
    <row r="7" spans="1:10" ht="15.75" customHeight="1" thickBot="1" x14ac:dyDescent="0.3">
      <c r="A7" s="244"/>
      <c r="B7" s="245"/>
      <c r="C7" s="244"/>
      <c r="D7" s="245"/>
      <c r="E7" s="247"/>
      <c r="F7" s="248"/>
      <c r="G7" s="249"/>
      <c r="H7" s="249"/>
      <c r="I7" s="249"/>
      <c r="J7" s="233"/>
    </row>
    <row r="8" spans="1:10" ht="28.5" customHeight="1" thickBot="1" x14ac:dyDescent="0.3">
      <c r="A8" s="9" t="s">
        <v>81</v>
      </c>
      <c r="B8" s="10" t="s">
        <v>82</v>
      </c>
      <c r="C8" s="11">
        <v>2011</v>
      </c>
      <c r="D8" s="12">
        <v>2013</v>
      </c>
      <c r="E8" s="13">
        <v>2014</v>
      </c>
      <c r="F8" s="14">
        <v>2015</v>
      </c>
      <c r="G8" s="14">
        <v>2016</v>
      </c>
      <c r="H8" s="15" t="s">
        <v>83</v>
      </c>
      <c r="I8" s="15" t="s">
        <v>84</v>
      </c>
      <c r="J8" s="234"/>
    </row>
    <row r="9" spans="1:10" ht="15.75" thickBot="1" x14ac:dyDescent="0.3">
      <c r="A9" s="228" t="s">
        <v>85</v>
      </c>
      <c r="B9" s="235"/>
      <c r="C9" s="112">
        <f t="shared" ref="C9:I9" si="0">+C10+C15+C20+C23+C26+C27</f>
        <v>0</v>
      </c>
      <c r="D9" s="113">
        <f t="shared" si="0"/>
        <v>0</v>
      </c>
      <c r="E9" s="113">
        <f t="shared" si="0"/>
        <v>0</v>
      </c>
      <c r="F9" s="113">
        <f t="shared" si="0"/>
        <v>869764.53</v>
      </c>
      <c r="G9" s="113">
        <f t="shared" si="0"/>
        <v>845281.02</v>
      </c>
      <c r="H9" s="112">
        <f t="shared" si="0"/>
        <v>0</v>
      </c>
      <c r="I9" s="112">
        <f t="shared" si="0"/>
        <v>0</v>
      </c>
      <c r="J9" s="112"/>
    </row>
    <row r="10" spans="1:10" x14ac:dyDescent="0.25">
      <c r="A10" s="179">
        <v>1801</v>
      </c>
      <c r="B10" s="180" t="s">
        <v>255</v>
      </c>
      <c r="C10" s="181"/>
      <c r="D10" s="182">
        <f>D11+D12+D13+D14</f>
        <v>0</v>
      </c>
      <c r="E10" s="182">
        <f>E11+E12+E13+E14</f>
        <v>0</v>
      </c>
      <c r="F10" s="182">
        <f>F11+F12+F13+F14</f>
        <v>869764.53</v>
      </c>
      <c r="G10" s="182">
        <f>G11+G12+G13+G14</f>
        <v>845281.02</v>
      </c>
      <c r="H10" s="114"/>
      <c r="I10" s="114"/>
      <c r="J10" s="114"/>
    </row>
    <row r="11" spans="1:10" x14ac:dyDescent="0.25">
      <c r="A11" s="166">
        <v>180101</v>
      </c>
      <c r="B11" s="167" t="s">
        <v>256</v>
      </c>
      <c r="C11" s="181"/>
      <c r="D11" s="183"/>
      <c r="E11" s="90"/>
      <c r="F11" s="182">
        <v>845281.02</v>
      </c>
      <c r="G11" s="90">
        <v>845281.02</v>
      </c>
      <c r="H11" s="17"/>
      <c r="I11" s="17"/>
      <c r="J11" s="17"/>
    </row>
    <row r="12" spans="1:10" x14ac:dyDescent="0.25">
      <c r="A12" s="166">
        <v>1904</v>
      </c>
      <c r="B12" s="167" t="s">
        <v>257</v>
      </c>
      <c r="C12" s="181"/>
      <c r="D12" s="183"/>
      <c r="E12" s="184"/>
      <c r="F12" s="185">
        <v>24483.51</v>
      </c>
      <c r="G12" s="185"/>
      <c r="H12" s="17"/>
      <c r="I12" s="17"/>
      <c r="J12" s="17"/>
    </row>
    <row r="13" spans="1:10" x14ac:dyDescent="0.25">
      <c r="A13" s="115"/>
      <c r="B13" s="116"/>
      <c r="C13" s="114"/>
      <c r="D13" s="117"/>
      <c r="E13" s="118"/>
      <c r="F13" s="118"/>
      <c r="G13" s="118"/>
      <c r="H13" s="17"/>
      <c r="I13" s="17"/>
      <c r="J13" s="17"/>
    </row>
    <row r="14" spans="1:10" ht="6.75" customHeight="1" x14ac:dyDescent="0.25">
      <c r="A14" s="115"/>
      <c r="B14" s="116"/>
      <c r="C14" s="114"/>
      <c r="D14" s="117"/>
      <c r="E14" s="118"/>
      <c r="F14" s="118"/>
      <c r="G14" s="118"/>
      <c r="H14" s="17"/>
      <c r="I14" s="17"/>
      <c r="J14" s="17"/>
    </row>
    <row r="15" spans="1:10" ht="6.75" customHeight="1" x14ac:dyDescent="0.25">
      <c r="A15" s="16"/>
      <c r="B15" s="18"/>
      <c r="C15" s="114"/>
      <c r="D15" s="118"/>
      <c r="E15" s="118"/>
      <c r="F15" s="118"/>
      <c r="G15" s="118"/>
      <c r="H15" s="17"/>
      <c r="I15" s="17"/>
      <c r="J15" s="17"/>
    </row>
    <row r="16" spans="1:10" ht="6.75" customHeight="1" x14ac:dyDescent="0.25">
      <c r="A16" s="115"/>
      <c r="B16" s="116"/>
      <c r="C16" s="114"/>
      <c r="D16" s="117"/>
      <c r="E16" s="118"/>
      <c r="F16" s="118"/>
      <c r="G16" s="118"/>
      <c r="H16" s="17"/>
      <c r="I16" s="17"/>
      <c r="J16" s="17"/>
    </row>
    <row r="17" spans="1:10" ht="6.75" customHeight="1" x14ac:dyDescent="0.25">
      <c r="A17" s="115"/>
      <c r="B17" s="116"/>
      <c r="C17" s="114"/>
      <c r="D17" s="117"/>
      <c r="E17" s="118"/>
      <c r="F17" s="118"/>
      <c r="G17" s="118"/>
      <c r="H17" s="17"/>
      <c r="I17" s="17"/>
      <c r="J17" s="17"/>
    </row>
    <row r="18" spans="1:10" ht="6.75" customHeight="1" x14ac:dyDescent="0.25">
      <c r="A18" s="115"/>
      <c r="B18" s="116"/>
      <c r="C18" s="114"/>
      <c r="D18" s="117"/>
      <c r="E18" s="118"/>
      <c r="F18" s="118"/>
      <c r="G18" s="118"/>
      <c r="H18" s="17"/>
      <c r="I18" s="17"/>
      <c r="J18" s="17"/>
    </row>
    <row r="19" spans="1:10" ht="6.75" customHeight="1" x14ac:dyDescent="0.25">
      <c r="A19" s="115"/>
      <c r="B19" s="116"/>
      <c r="C19" s="114"/>
      <c r="D19" s="117"/>
      <c r="E19" s="118"/>
      <c r="F19" s="118"/>
      <c r="G19" s="118"/>
      <c r="H19" s="17"/>
      <c r="I19" s="17"/>
      <c r="J19" s="17"/>
    </row>
    <row r="20" spans="1:10" ht="6.75" customHeight="1" x14ac:dyDescent="0.25">
      <c r="A20" s="16"/>
      <c r="B20" s="18"/>
      <c r="C20" s="114"/>
      <c r="D20" s="117"/>
      <c r="E20" s="117"/>
      <c r="F20" s="117"/>
      <c r="G20" s="117"/>
      <c r="H20" s="17"/>
      <c r="I20" s="17"/>
      <c r="J20" s="17"/>
    </row>
    <row r="21" spans="1:10" ht="6.75" customHeight="1" x14ac:dyDescent="0.25">
      <c r="A21" s="16"/>
      <c r="B21" s="18"/>
      <c r="C21" s="114"/>
      <c r="D21" s="117"/>
      <c r="E21" s="118"/>
      <c r="F21" s="118"/>
      <c r="G21" s="118"/>
      <c r="H21" s="17"/>
      <c r="I21" s="17"/>
      <c r="J21" s="17"/>
    </row>
    <row r="22" spans="1:10" ht="6.75" customHeight="1" x14ac:dyDescent="0.25">
      <c r="A22" s="16"/>
      <c r="B22" s="18"/>
      <c r="C22" s="114"/>
      <c r="D22" s="117"/>
      <c r="E22" s="118"/>
      <c r="F22" s="118"/>
      <c r="G22" s="118"/>
      <c r="H22" s="17"/>
      <c r="I22" s="17"/>
      <c r="J22" s="17"/>
    </row>
    <row r="23" spans="1:10" ht="6.75" customHeight="1" x14ac:dyDescent="0.25">
      <c r="A23" s="16"/>
      <c r="B23" s="18"/>
      <c r="C23" s="114"/>
      <c r="D23" s="117"/>
      <c r="E23" s="117"/>
      <c r="F23" s="117"/>
      <c r="G23" s="117"/>
      <c r="H23" s="17"/>
      <c r="I23" s="17"/>
      <c r="J23" s="17"/>
    </row>
    <row r="24" spans="1:10" ht="6.75" customHeight="1" x14ac:dyDescent="0.25">
      <c r="A24" s="16"/>
      <c r="B24" s="18"/>
      <c r="C24" s="114"/>
      <c r="D24" s="117"/>
      <c r="E24" s="118"/>
      <c r="F24" s="118"/>
      <c r="G24" s="118"/>
      <c r="H24" s="17"/>
      <c r="I24" s="17"/>
      <c r="J24" s="17"/>
    </row>
    <row r="25" spans="1:10" ht="6.75" customHeight="1" x14ac:dyDescent="0.25">
      <c r="A25" s="16"/>
      <c r="B25" s="18"/>
      <c r="C25" s="114"/>
      <c r="D25" s="117"/>
      <c r="E25" s="118"/>
      <c r="F25" s="118"/>
      <c r="G25" s="118"/>
      <c r="H25" s="17"/>
      <c r="I25" s="17"/>
      <c r="J25" s="17"/>
    </row>
    <row r="26" spans="1:10" ht="6.75" customHeight="1" x14ac:dyDescent="0.25">
      <c r="A26" s="16"/>
      <c r="B26" s="18"/>
      <c r="C26" s="114"/>
      <c r="D26" s="117"/>
      <c r="E26" s="118"/>
      <c r="F26" s="118"/>
      <c r="G26" s="118"/>
      <c r="H26" s="17"/>
      <c r="I26" s="17"/>
      <c r="J26" s="17"/>
    </row>
    <row r="27" spans="1:10" ht="6.75" customHeight="1" x14ac:dyDescent="0.25">
      <c r="A27" s="16"/>
      <c r="B27" s="18"/>
      <c r="C27" s="114"/>
      <c r="D27" s="117"/>
      <c r="E27" s="118"/>
      <c r="F27" s="118"/>
      <c r="G27" s="118"/>
      <c r="H27" s="17"/>
      <c r="I27" s="17"/>
      <c r="J27" s="17"/>
    </row>
    <row r="28" spans="1:10" ht="6.75" customHeight="1" x14ac:dyDescent="0.25">
      <c r="A28" s="115"/>
      <c r="B28" s="116"/>
      <c r="C28" s="114"/>
      <c r="D28" s="117"/>
      <c r="E28" s="118"/>
      <c r="F28" s="118"/>
      <c r="G28" s="118"/>
      <c r="H28" s="17"/>
      <c r="I28" s="17"/>
      <c r="J28" s="17"/>
    </row>
    <row r="29" spans="1:10" ht="6.75" customHeight="1" x14ac:dyDescent="0.25">
      <c r="A29" s="115"/>
      <c r="B29" s="116"/>
      <c r="C29" s="114"/>
      <c r="D29" s="117"/>
      <c r="E29" s="118"/>
      <c r="F29" s="118"/>
      <c r="G29" s="118"/>
      <c r="H29" s="17"/>
      <c r="I29" s="17"/>
      <c r="J29" s="17"/>
    </row>
    <row r="30" spans="1:10" ht="15.75" thickBot="1" x14ac:dyDescent="0.3">
      <c r="A30" s="115"/>
      <c r="B30" s="119"/>
      <c r="C30" s="114"/>
      <c r="D30" s="117"/>
      <c r="E30" s="118"/>
      <c r="F30" s="118"/>
      <c r="G30" s="118"/>
      <c r="H30" s="17"/>
      <c r="I30" s="17"/>
      <c r="J30" s="17"/>
    </row>
    <row r="31" spans="1:10" ht="15.75" thickBot="1" x14ac:dyDescent="0.3">
      <c r="A31" s="236" t="s">
        <v>86</v>
      </c>
      <c r="B31" s="237"/>
      <c r="C31" s="186">
        <f t="shared" ref="C31:I31" si="1">+C32+C41+C42+C43+C44+C45</f>
        <v>0</v>
      </c>
      <c r="D31" s="186">
        <f t="shared" si="1"/>
        <v>0</v>
      </c>
      <c r="E31" s="186">
        <f t="shared" si="1"/>
        <v>0</v>
      </c>
      <c r="F31" s="186">
        <f t="shared" si="1"/>
        <v>811600.21</v>
      </c>
      <c r="G31" s="186">
        <f t="shared" si="1"/>
        <v>0</v>
      </c>
      <c r="H31" s="120">
        <f t="shared" si="1"/>
        <v>0</v>
      </c>
      <c r="I31" s="120">
        <f t="shared" si="1"/>
        <v>0</v>
      </c>
      <c r="J31" s="120"/>
    </row>
    <row r="32" spans="1:10" x14ac:dyDescent="0.25">
      <c r="A32" s="179">
        <v>51</v>
      </c>
      <c r="B32" s="180" t="s">
        <v>87</v>
      </c>
      <c r="C32" s="187"/>
      <c r="D32" s="185">
        <f>D33+D34+D35+D36+D37+D38+D39+D40</f>
        <v>0</v>
      </c>
      <c r="E32" s="185">
        <f>E33+E34+E35+E36+E37+E38+E39+E40</f>
        <v>0</v>
      </c>
      <c r="F32" s="185">
        <f>F33+F34+F35+F36+F37+F38+F39+F40</f>
        <v>658380.47</v>
      </c>
      <c r="G32" s="185">
        <f>G33+G34+G35+G36+G37+G38+G39+G40</f>
        <v>0</v>
      </c>
      <c r="H32" s="133"/>
      <c r="I32" s="133"/>
      <c r="J32" s="17"/>
    </row>
    <row r="33" spans="1:10" x14ac:dyDescent="0.25">
      <c r="A33" s="166">
        <v>5101</v>
      </c>
      <c r="B33" s="167" t="s">
        <v>88</v>
      </c>
      <c r="C33" s="187"/>
      <c r="D33" s="188"/>
      <c r="E33" s="185"/>
      <c r="F33" s="185">
        <v>485690.4</v>
      </c>
      <c r="G33" s="185"/>
      <c r="H33" s="133"/>
      <c r="I33" s="133"/>
      <c r="J33" s="17"/>
    </row>
    <row r="34" spans="1:10" x14ac:dyDescent="0.25">
      <c r="A34" s="166">
        <v>5102</v>
      </c>
      <c r="B34" s="167" t="s">
        <v>89</v>
      </c>
      <c r="C34" s="187"/>
      <c r="D34" s="188"/>
      <c r="E34" s="185"/>
      <c r="F34" s="185">
        <v>59738.239999999998</v>
      </c>
      <c r="G34" s="185"/>
      <c r="H34" s="133"/>
      <c r="I34" s="133"/>
      <c r="J34" s="17"/>
    </row>
    <row r="35" spans="1:10" x14ac:dyDescent="0.25">
      <c r="A35" s="166">
        <v>5103</v>
      </c>
      <c r="B35" s="167" t="s">
        <v>90</v>
      </c>
      <c r="C35" s="187"/>
      <c r="D35" s="188"/>
      <c r="E35" s="185"/>
      <c r="F35" s="185"/>
      <c r="G35" s="185"/>
      <c r="H35" s="133"/>
      <c r="I35" s="133"/>
      <c r="J35" s="17"/>
    </row>
    <row r="36" spans="1:10" x14ac:dyDescent="0.25">
      <c r="A36" s="166">
        <v>5104</v>
      </c>
      <c r="B36" s="167" t="s">
        <v>91</v>
      </c>
      <c r="C36" s="187"/>
      <c r="D36" s="188"/>
      <c r="E36" s="185"/>
      <c r="F36" s="185"/>
      <c r="G36" s="185"/>
      <c r="H36" s="133"/>
      <c r="I36" s="133"/>
      <c r="J36" s="17"/>
    </row>
    <row r="37" spans="1:10" x14ac:dyDescent="0.25">
      <c r="A37" s="166">
        <v>5105</v>
      </c>
      <c r="B37" s="167" t="s">
        <v>92</v>
      </c>
      <c r="C37" s="187"/>
      <c r="D37" s="188"/>
      <c r="E37" s="185"/>
      <c r="F37" s="185">
        <v>819.08</v>
      </c>
      <c r="G37" s="185"/>
      <c r="H37" s="133"/>
      <c r="I37" s="133"/>
      <c r="J37" s="17"/>
    </row>
    <row r="38" spans="1:10" x14ac:dyDescent="0.25">
      <c r="A38" s="166">
        <v>5106</v>
      </c>
      <c r="B38" s="167" t="s">
        <v>93</v>
      </c>
      <c r="C38" s="187"/>
      <c r="D38" s="188"/>
      <c r="E38" s="185"/>
      <c r="F38" s="185">
        <v>96299.29</v>
      </c>
      <c r="G38" s="185"/>
      <c r="H38" s="133"/>
      <c r="I38" s="133"/>
      <c r="J38" s="17"/>
    </row>
    <row r="39" spans="1:10" x14ac:dyDescent="0.25">
      <c r="A39" s="166">
        <v>5107</v>
      </c>
      <c r="B39" s="167" t="s">
        <v>94</v>
      </c>
      <c r="C39" s="187"/>
      <c r="D39" s="188"/>
      <c r="E39" s="185"/>
      <c r="F39" s="185">
        <v>15833.46</v>
      </c>
      <c r="G39" s="185"/>
      <c r="H39" s="133"/>
      <c r="I39" s="133"/>
      <c r="J39" s="17"/>
    </row>
    <row r="40" spans="1:10" x14ac:dyDescent="0.25">
      <c r="A40" s="166">
        <v>5199</v>
      </c>
      <c r="B40" s="167" t="s">
        <v>95</v>
      </c>
      <c r="C40" s="187"/>
      <c r="D40" s="188"/>
      <c r="E40" s="185"/>
      <c r="F40" s="185"/>
      <c r="G40" s="185"/>
      <c r="H40" s="133"/>
      <c r="I40" s="133"/>
      <c r="J40" s="17"/>
    </row>
    <row r="41" spans="1:10" x14ac:dyDescent="0.25">
      <c r="A41" s="179">
        <v>53</v>
      </c>
      <c r="B41" s="189" t="s">
        <v>96</v>
      </c>
      <c r="C41" s="187"/>
      <c r="D41" s="188"/>
      <c r="E41" s="185"/>
      <c r="F41" s="185">
        <v>105839.65</v>
      </c>
      <c r="G41" s="185"/>
      <c r="H41" s="133"/>
      <c r="I41" s="133"/>
      <c r="J41" s="17"/>
    </row>
    <row r="42" spans="1:10" x14ac:dyDescent="0.25">
      <c r="A42" s="179">
        <v>56</v>
      </c>
      <c r="B42" s="189" t="s">
        <v>97</v>
      </c>
      <c r="C42" s="187"/>
      <c r="D42" s="188"/>
      <c r="E42" s="185"/>
      <c r="F42" s="185">
        <v>17379.330000000002</v>
      </c>
      <c r="G42" s="185"/>
      <c r="H42" s="133"/>
      <c r="I42" s="133"/>
      <c r="J42" s="17"/>
    </row>
    <row r="43" spans="1:10" x14ac:dyDescent="0.25">
      <c r="A43" s="179">
        <v>57</v>
      </c>
      <c r="B43" s="189" t="s">
        <v>98</v>
      </c>
      <c r="C43" s="187"/>
      <c r="D43" s="188"/>
      <c r="E43" s="185"/>
      <c r="F43" s="185">
        <v>2012.78</v>
      </c>
      <c r="G43" s="185"/>
      <c r="H43" s="133"/>
      <c r="I43" s="133"/>
      <c r="J43" s="17"/>
    </row>
    <row r="44" spans="1:10" x14ac:dyDescent="0.25">
      <c r="A44" s="179">
        <v>58</v>
      </c>
      <c r="B44" s="189" t="s">
        <v>99</v>
      </c>
      <c r="C44" s="187"/>
      <c r="D44" s="188"/>
      <c r="E44" s="185"/>
      <c r="F44" s="185">
        <v>27987.98</v>
      </c>
      <c r="G44" s="185"/>
      <c r="H44" s="133"/>
      <c r="I44" s="133"/>
      <c r="J44" s="17"/>
    </row>
    <row r="45" spans="1:10" ht="15.75" thickBot="1" x14ac:dyDescent="0.3">
      <c r="A45" s="179">
        <v>59</v>
      </c>
      <c r="B45" s="190" t="s">
        <v>100</v>
      </c>
      <c r="C45" s="187"/>
      <c r="D45" s="188"/>
      <c r="E45" s="185"/>
      <c r="F45" s="185"/>
      <c r="G45" s="185"/>
      <c r="H45" s="133"/>
      <c r="I45" s="133"/>
      <c r="J45" s="17"/>
    </row>
    <row r="46" spans="1:10" x14ac:dyDescent="0.25">
      <c r="A46" s="222" t="s">
        <v>101</v>
      </c>
      <c r="B46" s="223"/>
      <c r="C46" s="191">
        <f t="shared" ref="C46:I46" si="2">+C9-C31</f>
        <v>0</v>
      </c>
      <c r="D46" s="192">
        <f t="shared" si="2"/>
        <v>0</v>
      </c>
      <c r="E46" s="192">
        <f t="shared" si="2"/>
        <v>0</v>
      </c>
      <c r="F46" s="192">
        <f t="shared" si="2"/>
        <v>58164.320000000065</v>
      </c>
      <c r="G46" s="192">
        <f t="shared" si="2"/>
        <v>845281.02</v>
      </c>
      <c r="H46" s="19">
        <f t="shared" si="2"/>
        <v>0</v>
      </c>
      <c r="I46" s="19">
        <f t="shared" si="2"/>
        <v>0</v>
      </c>
      <c r="J46" s="19"/>
    </row>
    <row r="47" spans="1:10" x14ac:dyDescent="0.25">
      <c r="A47" s="236" t="s">
        <v>102</v>
      </c>
      <c r="B47" s="238"/>
      <c r="C47" s="186"/>
      <c r="D47" s="193"/>
      <c r="E47" s="194">
        <f>E48+E49</f>
        <v>0</v>
      </c>
      <c r="F47" s="194">
        <f>F48+F49</f>
        <v>0</v>
      </c>
      <c r="G47" s="194">
        <f>G48+G49</f>
        <v>0</v>
      </c>
      <c r="H47" s="20"/>
      <c r="I47" s="20"/>
      <c r="J47" s="20"/>
    </row>
    <row r="48" spans="1:10" x14ac:dyDescent="0.25">
      <c r="A48" s="195">
        <v>24</v>
      </c>
      <c r="B48" s="196" t="s">
        <v>103</v>
      </c>
      <c r="C48" s="181"/>
      <c r="D48" s="183"/>
      <c r="E48" s="184"/>
      <c r="F48" s="184"/>
      <c r="G48" s="184"/>
      <c r="H48" s="17"/>
      <c r="I48" s="17"/>
      <c r="J48" s="17"/>
    </row>
    <row r="49" spans="1:10" x14ac:dyDescent="0.25">
      <c r="A49" s="195">
        <v>28</v>
      </c>
      <c r="B49" s="196" t="s">
        <v>104</v>
      </c>
      <c r="C49" s="181"/>
      <c r="D49" s="183"/>
      <c r="E49" s="184"/>
      <c r="F49" s="184"/>
      <c r="G49" s="184"/>
      <c r="H49" s="17"/>
      <c r="I49" s="17"/>
      <c r="J49" s="17"/>
    </row>
    <row r="50" spans="1:10" ht="15.75" thickBot="1" x14ac:dyDescent="0.3">
      <c r="A50" s="236" t="s">
        <v>105</v>
      </c>
      <c r="B50" s="239"/>
      <c r="C50" s="186"/>
      <c r="D50" s="194">
        <f>SUM(D52:D74)</f>
        <v>0</v>
      </c>
      <c r="E50" s="194">
        <f>SUM(E52:E74)</f>
        <v>0</v>
      </c>
      <c r="F50" s="197">
        <f>SUM(F52:F74)</f>
        <v>223946.33</v>
      </c>
      <c r="G50" s="194">
        <f>SUM(G52:G74)</f>
        <v>0</v>
      </c>
      <c r="H50" s="20"/>
      <c r="I50" s="20"/>
      <c r="J50" s="20"/>
    </row>
    <row r="51" spans="1:10" x14ac:dyDescent="0.25">
      <c r="A51" s="179" t="s">
        <v>106</v>
      </c>
      <c r="B51" s="180" t="s">
        <v>107</v>
      </c>
      <c r="C51" s="181"/>
      <c r="D51" s="183"/>
      <c r="E51" s="184"/>
      <c r="F51" s="184"/>
      <c r="G51" s="184"/>
      <c r="H51" s="17"/>
      <c r="I51" s="17"/>
      <c r="J51" s="17"/>
    </row>
    <row r="52" spans="1:10" x14ac:dyDescent="0.25">
      <c r="A52" s="179" t="s">
        <v>108</v>
      </c>
      <c r="B52" s="189" t="s">
        <v>109</v>
      </c>
      <c r="C52" s="181"/>
      <c r="D52" s="183"/>
      <c r="E52" s="184"/>
      <c r="F52" s="184"/>
      <c r="G52" s="184"/>
      <c r="H52" s="17"/>
      <c r="I52" s="17"/>
      <c r="J52" s="17"/>
    </row>
    <row r="53" spans="1:10" x14ac:dyDescent="0.25">
      <c r="A53" s="179" t="s">
        <v>110</v>
      </c>
      <c r="B53" s="189" t="s">
        <v>111</v>
      </c>
      <c r="C53" s="181"/>
      <c r="D53" s="183"/>
      <c r="E53" s="184"/>
      <c r="F53" s="184"/>
      <c r="G53" s="184"/>
      <c r="H53" s="17"/>
      <c r="I53" s="17"/>
      <c r="J53" s="17"/>
    </row>
    <row r="54" spans="1:10" x14ac:dyDescent="0.25">
      <c r="A54" s="179">
        <v>71</v>
      </c>
      <c r="B54" s="189" t="s">
        <v>112</v>
      </c>
      <c r="C54" s="181"/>
      <c r="D54" s="183"/>
      <c r="E54" s="184"/>
      <c r="F54" s="184"/>
      <c r="G54" s="184"/>
      <c r="H54" s="17"/>
      <c r="I54" s="17"/>
      <c r="J54" s="17"/>
    </row>
    <row r="55" spans="1:10" x14ac:dyDescent="0.25">
      <c r="A55" s="166">
        <v>7101</v>
      </c>
      <c r="B55" s="167" t="s">
        <v>88</v>
      </c>
      <c r="C55" s="181"/>
      <c r="D55" s="183"/>
      <c r="E55" s="184"/>
      <c r="F55" s="184"/>
      <c r="G55" s="184"/>
      <c r="H55" s="17"/>
      <c r="I55" s="17"/>
      <c r="J55" s="17"/>
    </row>
    <row r="56" spans="1:10" x14ac:dyDescent="0.25">
      <c r="A56" s="166">
        <v>7102</v>
      </c>
      <c r="B56" s="167" t="s">
        <v>89</v>
      </c>
      <c r="C56" s="181"/>
      <c r="D56" s="183"/>
      <c r="E56" s="184"/>
      <c r="F56" s="184"/>
      <c r="G56" s="184"/>
      <c r="H56" s="17"/>
      <c r="I56" s="17"/>
      <c r="J56" s="17"/>
    </row>
    <row r="57" spans="1:10" x14ac:dyDescent="0.25">
      <c r="A57" s="166">
        <v>7103</v>
      </c>
      <c r="B57" s="167" t="s">
        <v>90</v>
      </c>
      <c r="C57" s="181"/>
      <c r="D57" s="183"/>
      <c r="E57" s="184"/>
      <c r="F57" s="184"/>
      <c r="G57" s="184"/>
      <c r="H57" s="17"/>
      <c r="I57" s="17"/>
      <c r="J57" s="17"/>
    </row>
    <row r="58" spans="1:10" x14ac:dyDescent="0.25">
      <c r="A58" s="166">
        <v>7104</v>
      </c>
      <c r="B58" s="167" t="s">
        <v>91</v>
      </c>
      <c r="C58" s="181"/>
      <c r="D58" s="183"/>
      <c r="E58" s="184"/>
      <c r="F58" s="184"/>
      <c r="G58" s="184"/>
      <c r="H58" s="17"/>
      <c r="I58" s="17"/>
      <c r="J58" s="17"/>
    </row>
    <row r="59" spans="1:10" x14ac:dyDescent="0.25">
      <c r="A59" s="166">
        <v>7105</v>
      </c>
      <c r="B59" s="167" t="s">
        <v>92</v>
      </c>
      <c r="C59" s="181"/>
      <c r="D59" s="183"/>
      <c r="E59" s="184"/>
      <c r="F59" s="184"/>
      <c r="G59" s="184"/>
      <c r="H59" s="17"/>
      <c r="I59" s="17"/>
      <c r="J59" s="17"/>
    </row>
    <row r="60" spans="1:10" x14ac:dyDescent="0.25">
      <c r="A60" s="166">
        <v>7106</v>
      </c>
      <c r="B60" s="167" t="s">
        <v>93</v>
      </c>
      <c r="C60" s="181"/>
      <c r="D60" s="183"/>
      <c r="E60" s="184"/>
      <c r="F60" s="184"/>
      <c r="G60" s="184"/>
      <c r="H60" s="17"/>
      <c r="I60" s="17"/>
      <c r="J60" s="17"/>
    </row>
    <row r="61" spans="1:10" x14ac:dyDescent="0.25">
      <c r="A61" s="166">
        <v>7107</v>
      </c>
      <c r="B61" s="167" t="s">
        <v>94</v>
      </c>
      <c r="C61" s="181"/>
      <c r="D61" s="183"/>
      <c r="E61" s="184"/>
      <c r="F61" s="184"/>
      <c r="G61" s="184"/>
      <c r="H61" s="17"/>
      <c r="I61" s="17"/>
      <c r="J61" s="17"/>
    </row>
    <row r="62" spans="1:10" x14ac:dyDescent="0.25">
      <c r="A62" s="166">
        <v>7199</v>
      </c>
      <c r="B62" s="167" t="s">
        <v>95</v>
      </c>
      <c r="C62" s="181"/>
      <c r="D62" s="183"/>
      <c r="E62" s="184"/>
      <c r="F62" s="184"/>
      <c r="G62" s="184"/>
      <c r="H62" s="17"/>
      <c r="I62" s="17"/>
      <c r="J62" s="17"/>
    </row>
    <row r="63" spans="1:10" x14ac:dyDescent="0.25">
      <c r="A63" s="179">
        <v>73</v>
      </c>
      <c r="B63" s="189" t="s">
        <v>113</v>
      </c>
      <c r="C63" s="181"/>
      <c r="D63" s="183"/>
      <c r="E63" s="184"/>
      <c r="F63" s="184">
        <v>223946.33</v>
      </c>
      <c r="G63" s="184"/>
      <c r="H63" s="17"/>
      <c r="I63" s="17"/>
      <c r="J63" s="17"/>
    </row>
    <row r="64" spans="1:10" x14ac:dyDescent="0.25">
      <c r="A64" s="179">
        <v>75</v>
      </c>
      <c r="B64" s="189" t="s">
        <v>114</v>
      </c>
      <c r="C64" s="181"/>
      <c r="D64" s="183"/>
      <c r="E64" s="184"/>
      <c r="F64" s="184"/>
      <c r="G64" s="184"/>
      <c r="H64" s="17"/>
      <c r="I64" s="17"/>
      <c r="J64" s="17"/>
    </row>
    <row r="65" spans="1:10" x14ac:dyDescent="0.25">
      <c r="A65" s="166">
        <v>7501</v>
      </c>
      <c r="B65" s="167" t="s">
        <v>115</v>
      </c>
      <c r="C65" s="181"/>
      <c r="D65" s="183"/>
      <c r="E65" s="184"/>
      <c r="F65" s="184"/>
      <c r="G65" s="184"/>
      <c r="H65" s="17"/>
      <c r="I65" s="17"/>
      <c r="J65" s="17"/>
    </row>
    <row r="66" spans="1:10" x14ac:dyDescent="0.25">
      <c r="A66" s="166">
        <v>7502</v>
      </c>
      <c r="B66" s="167" t="s">
        <v>116</v>
      </c>
      <c r="C66" s="181"/>
      <c r="D66" s="183"/>
      <c r="E66" s="184"/>
      <c r="F66" s="184"/>
      <c r="G66" s="184"/>
      <c r="H66" s="17"/>
      <c r="I66" s="17"/>
      <c r="J66" s="17"/>
    </row>
    <row r="67" spans="1:10" x14ac:dyDescent="0.25">
      <c r="A67" s="166">
        <v>7503</v>
      </c>
      <c r="B67" s="167" t="s">
        <v>117</v>
      </c>
      <c r="C67" s="181"/>
      <c r="D67" s="183"/>
      <c r="E67" s="184"/>
      <c r="F67" s="184"/>
      <c r="G67" s="184"/>
      <c r="H67" s="17"/>
      <c r="I67" s="17"/>
      <c r="J67" s="17"/>
    </row>
    <row r="68" spans="1:10" x14ac:dyDescent="0.25">
      <c r="A68" s="166">
        <v>7504</v>
      </c>
      <c r="B68" s="167" t="s">
        <v>118</v>
      </c>
      <c r="C68" s="181"/>
      <c r="D68" s="183"/>
      <c r="E68" s="184"/>
      <c r="F68" s="184"/>
      <c r="G68" s="184"/>
      <c r="H68" s="17"/>
      <c r="I68" s="17"/>
      <c r="J68" s="17"/>
    </row>
    <row r="69" spans="1:10" x14ac:dyDescent="0.25">
      <c r="A69" s="166">
        <v>7505</v>
      </c>
      <c r="B69" s="167" t="s">
        <v>119</v>
      </c>
      <c r="C69" s="181"/>
      <c r="D69" s="183"/>
      <c r="E69" s="184"/>
      <c r="F69" s="184"/>
      <c r="G69" s="184"/>
      <c r="H69" s="17"/>
      <c r="I69" s="17"/>
      <c r="J69" s="17"/>
    </row>
    <row r="70" spans="1:10" x14ac:dyDescent="0.25">
      <c r="A70" s="166">
        <v>7599</v>
      </c>
      <c r="B70" s="167" t="s">
        <v>95</v>
      </c>
      <c r="C70" s="181"/>
      <c r="D70" s="183"/>
      <c r="E70" s="184"/>
      <c r="F70" s="184"/>
      <c r="G70" s="184"/>
      <c r="H70" s="17"/>
      <c r="I70" s="17"/>
      <c r="J70" s="17"/>
    </row>
    <row r="71" spans="1:10" x14ac:dyDescent="0.25">
      <c r="A71" s="179">
        <v>77</v>
      </c>
      <c r="B71" s="198" t="s">
        <v>120</v>
      </c>
      <c r="C71" s="181"/>
      <c r="D71" s="183"/>
      <c r="E71" s="184"/>
      <c r="F71" s="184"/>
      <c r="G71" s="184"/>
      <c r="H71" s="17"/>
      <c r="I71" s="17"/>
      <c r="J71" s="17"/>
    </row>
    <row r="72" spans="1:10" x14ac:dyDescent="0.25">
      <c r="A72" s="179">
        <v>78</v>
      </c>
      <c r="B72" s="189" t="s">
        <v>121</v>
      </c>
      <c r="C72" s="181"/>
      <c r="D72" s="183"/>
      <c r="E72" s="184"/>
      <c r="F72" s="184"/>
      <c r="G72" s="184"/>
      <c r="H72" s="17"/>
      <c r="I72" s="17"/>
      <c r="J72" s="17"/>
    </row>
    <row r="73" spans="1:10" x14ac:dyDescent="0.25">
      <c r="A73" s="179">
        <v>84</v>
      </c>
      <c r="B73" s="189" t="s">
        <v>122</v>
      </c>
      <c r="C73" s="181"/>
      <c r="D73" s="183"/>
      <c r="E73" s="184"/>
      <c r="F73" s="184"/>
      <c r="G73" s="184"/>
      <c r="H73" s="17"/>
      <c r="I73" s="17"/>
      <c r="J73" s="17"/>
    </row>
    <row r="74" spans="1:10" ht="15.75" thickBot="1" x14ac:dyDescent="0.3">
      <c r="A74" s="179">
        <v>88</v>
      </c>
      <c r="B74" s="190" t="s">
        <v>123</v>
      </c>
      <c r="C74" s="199"/>
      <c r="D74" s="183"/>
      <c r="E74" s="184"/>
      <c r="F74" s="184"/>
      <c r="G74" s="184"/>
      <c r="H74" s="17"/>
      <c r="I74" s="17"/>
      <c r="J74" s="17"/>
    </row>
    <row r="75" spans="1:10" x14ac:dyDescent="0.25">
      <c r="A75" s="222" t="s">
        <v>124</v>
      </c>
      <c r="B75" s="223"/>
      <c r="C75" s="200"/>
      <c r="D75" s="201">
        <f>D47-D50</f>
        <v>0</v>
      </c>
      <c r="E75" s="201">
        <f>E47-E50</f>
        <v>0</v>
      </c>
      <c r="F75" s="201">
        <f>F47-F50</f>
        <v>-223946.33</v>
      </c>
      <c r="G75" s="201">
        <f>G47-G50</f>
        <v>0</v>
      </c>
      <c r="H75" s="23"/>
      <c r="I75" s="23"/>
      <c r="J75" s="23"/>
    </row>
    <row r="76" spans="1:10" x14ac:dyDescent="0.25">
      <c r="A76" s="224" t="s">
        <v>125</v>
      </c>
      <c r="B76" s="225"/>
      <c r="C76" s="202">
        <f>+C46+C75</f>
        <v>0</v>
      </c>
      <c r="D76" s="203">
        <f>D46+D75</f>
        <v>0</v>
      </c>
      <c r="E76" s="203">
        <f>E46+E75</f>
        <v>0</v>
      </c>
      <c r="F76" s="203">
        <f>F46+F75</f>
        <v>-165782.00999999992</v>
      </c>
      <c r="G76" s="203">
        <f>G46+G75</f>
        <v>845281.02</v>
      </c>
      <c r="H76" s="24">
        <f>+H46+H75</f>
        <v>0</v>
      </c>
      <c r="I76" s="24">
        <f>+I46+I75</f>
        <v>0</v>
      </c>
      <c r="J76" s="24"/>
    </row>
    <row r="77" spans="1:10" x14ac:dyDescent="0.25">
      <c r="A77" s="226" t="s">
        <v>126</v>
      </c>
      <c r="B77" s="227"/>
      <c r="C77" s="120"/>
      <c r="D77" s="121">
        <f>D78+D79+D80+D81</f>
        <v>0</v>
      </c>
      <c r="E77" s="121">
        <f>E78+E79+E80+E81</f>
        <v>0</v>
      </c>
      <c r="F77" s="121">
        <f>F78+F79+F80+F81</f>
        <v>0</v>
      </c>
      <c r="G77" s="121">
        <f>G78+G79+G80+G81</f>
        <v>0</v>
      </c>
      <c r="H77" s="20"/>
      <c r="I77" s="20"/>
      <c r="J77" s="20"/>
    </row>
    <row r="78" spans="1:10" x14ac:dyDescent="0.25">
      <c r="A78" s="25">
        <v>27</v>
      </c>
      <c r="B78" s="22" t="s">
        <v>127</v>
      </c>
      <c r="C78" s="114"/>
      <c r="D78" s="117"/>
      <c r="E78" s="118"/>
      <c r="F78" s="118"/>
      <c r="G78" s="118"/>
      <c r="H78" s="17"/>
      <c r="I78" s="17"/>
      <c r="J78" s="17"/>
    </row>
    <row r="79" spans="1:10" x14ac:dyDescent="0.25">
      <c r="A79" s="26">
        <v>36</v>
      </c>
      <c r="B79" s="27" t="s">
        <v>128</v>
      </c>
      <c r="C79" s="114"/>
      <c r="D79" s="117"/>
      <c r="E79" s="118"/>
      <c r="F79" s="118"/>
      <c r="G79" s="118"/>
      <c r="H79" s="17"/>
      <c r="I79" s="17"/>
      <c r="J79" s="17"/>
    </row>
    <row r="80" spans="1:10" x14ac:dyDescent="0.25">
      <c r="A80" s="21">
        <v>37</v>
      </c>
      <c r="B80" s="22" t="s">
        <v>129</v>
      </c>
      <c r="C80" s="114"/>
      <c r="D80" s="117"/>
      <c r="E80" s="118"/>
      <c r="F80" s="118"/>
      <c r="G80" s="118"/>
      <c r="H80" s="17"/>
      <c r="I80" s="17"/>
      <c r="J80" s="17"/>
    </row>
    <row r="81" spans="1:10" x14ac:dyDescent="0.25">
      <c r="A81" s="21">
        <v>38</v>
      </c>
      <c r="B81" s="22" t="s">
        <v>130</v>
      </c>
      <c r="C81" s="114"/>
      <c r="D81" s="117"/>
      <c r="E81" s="118"/>
      <c r="F81" s="118"/>
      <c r="G81" s="118"/>
      <c r="H81" s="17"/>
      <c r="I81" s="17"/>
      <c r="J81" s="17"/>
    </row>
    <row r="82" spans="1:10" x14ac:dyDescent="0.25">
      <c r="A82" s="228" t="s">
        <v>131</v>
      </c>
      <c r="B82" s="229"/>
      <c r="C82" s="120"/>
      <c r="D82" s="121">
        <f>D83+D84+D85+D86</f>
        <v>0</v>
      </c>
      <c r="E82" s="121">
        <f>E83+E84+E85+E86</f>
        <v>0</v>
      </c>
      <c r="F82" s="121">
        <f>F83+F84+F85+F86</f>
        <v>0</v>
      </c>
      <c r="G82" s="121">
        <f>G83+G84+G85+G86</f>
        <v>0</v>
      </c>
      <c r="H82" s="20"/>
      <c r="I82" s="20"/>
      <c r="J82" s="20"/>
    </row>
    <row r="83" spans="1:10" x14ac:dyDescent="0.25">
      <c r="A83" s="21">
        <v>87</v>
      </c>
      <c r="B83" s="22" t="s">
        <v>132</v>
      </c>
      <c r="C83" s="114"/>
      <c r="D83" s="117"/>
      <c r="E83" s="118"/>
      <c r="F83" s="118"/>
      <c r="G83" s="118"/>
      <c r="H83" s="17"/>
      <c r="I83" s="17"/>
      <c r="J83" s="17"/>
    </row>
    <row r="84" spans="1:10" x14ac:dyDescent="0.25">
      <c r="A84" s="21">
        <v>96</v>
      </c>
      <c r="B84" s="22" t="s">
        <v>133</v>
      </c>
      <c r="C84" s="114"/>
      <c r="D84" s="117"/>
      <c r="E84" s="118"/>
      <c r="F84" s="118"/>
      <c r="G84" s="118"/>
      <c r="H84" s="17"/>
      <c r="I84" s="17"/>
      <c r="J84" s="17"/>
    </row>
    <row r="85" spans="1:10" x14ac:dyDescent="0.25">
      <c r="A85" s="21">
        <v>97</v>
      </c>
      <c r="B85" s="22" t="s">
        <v>134</v>
      </c>
      <c r="C85" s="114"/>
      <c r="D85" s="117"/>
      <c r="E85" s="118"/>
      <c r="F85" s="118"/>
      <c r="G85" s="118"/>
      <c r="H85" s="17"/>
      <c r="I85" s="17"/>
      <c r="J85" s="17"/>
    </row>
    <row r="86" spans="1:10" ht="15.75" thickBot="1" x14ac:dyDescent="0.3">
      <c r="A86" s="28">
        <v>99</v>
      </c>
      <c r="B86" s="29" t="s">
        <v>135</v>
      </c>
      <c r="C86" s="114"/>
      <c r="D86" s="117"/>
      <c r="E86" s="118"/>
      <c r="F86" s="118"/>
      <c r="G86" s="118"/>
      <c r="H86" s="17"/>
      <c r="I86" s="17"/>
      <c r="J86" s="17"/>
    </row>
    <row r="87" spans="1:10" ht="15.75" thickBot="1" x14ac:dyDescent="0.3">
      <c r="A87" s="230" t="s">
        <v>136</v>
      </c>
      <c r="B87" s="231"/>
      <c r="C87" s="30">
        <f t="shared" ref="C87:I87" si="3">+C77-C82</f>
        <v>0</v>
      </c>
      <c r="D87" s="30">
        <f t="shared" si="3"/>
        <v>0</v>
      </c>
      <c r="E87" s="30">
        <f t="shared" si="3"/>
        <v>0</v>
      </c>
      <c r="F87" s="30">
        <f t="shared" si="3"/>
        <v>0</v>
      </c>
      <c r="G87" s="30">
        <f t="shared" si="3"/>
        <v>0</v>
      </c>
      <c r="H87" s="30">
        <f t="shared" si="3"/>
        <v>0</v>
      </c>
      <c r="I87" s="30">
        <f t="shared" si="3"/>
        <v>0</v>
      </c>
      <c r="J87" s="30"/>
    </row>
    <row r="88" spans="1:10" s="33" customFormat="1" x14ac:dyDescent="0.25">
      <c r="A88" s="31"/>
      <c r="B88" s="31"/>
      <c r="C88" s="32"/>
      <c r="D88" s="32"/>
      <c r="E88" s="32"/>
      <c r="F88" s="32"/>
      <c r="G88" s="32"/>
      <c r="H88" s="32"/>
    </row>
    <row r="89" spans="1:10" s="33" customFormat="1" ht="15.75" thickBot="1" x14ac:dyDescent="0.3">
      <c r="A89" s="84" t="s">
        <v>137</v>
      </c>
      <c r="B89" s="85"/>
      <c r="C89" s="85"/>
      <c r="D89" s="85"/>
      <c r="E89" s="91"/>
      <c r="F89" s="85"/>
      <c r="G89" s="85"/>
      <c r="H89" s="85"/>
      <c r="I89" s="85"/>
    </row>
    <row r="90" spans="1:10" s="33" customFormat="1" x14ac:dyDescent="0.25">
      <c r="A90" s="34"/>
      <c r="B90" s="35"/>
      <c r="C90" s="35"/>
      <c r="D90" s="35"/>
      <c r="E90" s="35"/>
      <c r="F90" s="35"/>
      <c r="G90" s="35"/>
      <c r="H90" s="35"/>
      <c r="I90" s="36"/>
    </row>
    <row r="91" spans="1:10" s="33" customFormat="1" ht="15.75" thickBot="1" x14ac:dyDescent="0.3">
      <c r="A91" s="37"/>
      <c r="B91" s="38"/>
      <c r="C91" s="39"/>
      <c r="D91" s="39"/>
      <c r="E91" s="39"/>
      <c r="F91" s="39"/>
      <c r="G91" s="39"/>
      <c r="H91" s="39"/>
      <c r="I91" s="40"/>
    </row>
    <row r="92" spans="1:10" s="136" customFormat="1" x14ac:dyDescent="0.25">
      <c r="A92" s="134" t="s">
        <v>73</v>
      </c>
      <c r="B92" s="134" t="s">
        <v>258</v>
      </c>
      <c r="C92" s="135"/>
      <c r="D92" s="135"/>
      <c r="E92" s="135"/>
      <c r="F92" s="135"/>
      <c r="G92" s="135"/>
      <c r="H92" s="135"/>
    </row>
    <row r="93" spans="1:10" x14ac:dyDescent="0.25">
      <c r="A93" s="122" t="s">
        <v>138</v>
      </c>
    </row>
    <row r="94" spans="1:10" x14ac:dyDescent="0.25">
      <c r="A94" s="122" t="s">
        <v>139</v>
      </c>
    </row>
    <row r="95" spans="1:10" x14ac:dyDescent="0.25">
      <c r="A95" s="122" t="s">
        <v>140</v>
      </c>
    </row>
    <row r="96" spans="1:10" x14ac:dyDescent="0.25">
      <c r="A96" s="122" t="s">
        <v>35</v>
      </c>
    </row>
    <row r="101" spans="1:7" x14ac:dyDescent="0.25">
      <c r="A101" s="221" t="s">
        <v>275</v>
      </c>
      <c r="B101" s="221"/>
      <c r="C101" s="209" t="s">
        <v>276</v>
      </c>
      <c r="D101" s="209"/>
      <c r="E101" s="209"/>
      <c r="F101" s="209"/>
      <c r="G101" s="209"/>
    </row>
    <row r="102" spans="1:7" x14ac:dyDescent="0.25">
      <c r="A102" s="220" t="s">
        <v>273</v>
      </c>
      <c r="B102" s="220"/>
      <c r="C102" s="220" t="s">
        <v>277</v>
      </c>
      <c r="D102" s="220"/>
      <c r="E102" s="220"/>
      <c r="F102" s="220"/>
      <c r="G102" s="220"/>
    </row>
    <row r="103" spans="1:7" x14ac:dyDescent="0.25">
      <c r="A103" s="220" t="s">
        <v>274</v>
      </c>
      <c r="B103" s="220"/>
      <c r="C103" s="46"/>
      <c r="D103" s="2"/>
    </row>
    <row r="104" spans="1:7" x14ac:dyDescent="0.25">
      <c r="A104" s="220" t="s">
        <v>36</v>
      </c>
      <c r="B104" s="220"/>
      <c r="C104" s="46"/>
      <c r="D104" s="2"/>
    </row>
  </sheetData>
  <mergeCells count="24">
    <mergeCell ref="A50:B50"/>
    <mergeCell ref="A1:H1"/>
    <mergeCell ref="A2:H2"/>
    <mergeCell ref="A4:H4"/>
    <mergeCell ref="A5:H5"/>
    <mergeCell ref="A6:B7"/>
    <mergeCell ref="C6:E7"/>
    <mergeCell ref="F6:I7"/>
    <mergeCell ref="J6:J8"/>
    <mergeCell ref="A9:B9"/>
    <mergeCell ref="A31:B31"/>
    <mergeCell ref="A46:B46"/>
    <mergeCell ref="A47:B47"/>
    <mergeCell ref="A75:B75"/>
    <mergeCell ref="A76:B76"/>
    <mergeCell ref="A77:B77"/>
    <mergeCell ref="A82:B82"/>
    <mergeCell ref="A87:B87"/>
    <mergeCell ref="C102:G102"/>
    <mergeCell ref="A101:B101"/>
    <mergeCell ref="A102:B102"/>
    <mergeCell ref="A103:B103"/>
    <mergeCell ref="A104:B104"/>
    <mergeCell ref="C101:G101"/>
  </mergeCells>
  <printOptions horizontalCentered="1"/>
  <pageMargins left="0" right="0" top="0.74803149606299213" bottom="0.74803149606299213" header="0.31496062992125984" footer="0.31496062992125984"/>
  <pageSetup paperSize="9" scale="5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FORMULARIO 2 (2)</vt:lpstr>
      <vt:lpstr>FORMULARIO 1 (2) </vt:lpstr>
      <vt:lpstr>FORMULARIO 3 (2)</vt:lpstr>
      <vt:lpstr>FORMULARIO 4 (2)</vt:lpstr>
      <vt:lpstr>'FORMULARIO 1 (2) '!Área_de_impresión</vt:lpstr>
      <vt:lpstr>'FORMULARIO 2 (2)'!Área_de_impresión</vt:lpstr>
    </vt:vector>
  </TitlesOfParts>
  <Company>C.A.C.S.M.Bancos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Vicente</dc:creator>
  <cp:lastModifiedBy>Usuario</cp:lastModifiedBy>
  <cp:revision/>
  <cp:lastPrinted>2016-08-08T21:51:05Z</cp:lastPrinted>
  <dcterms:created xsi:type="dcterms:W3CDTF">2001-11-14T15:50:59Z</dcterms:created>
  <dcterms:modified xsi:type="dcterms:W3CDTF">2016-08-08T22:25:23Z</dcterms:modified>
</cp:coreProperties>
</file>