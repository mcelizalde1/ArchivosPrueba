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dwin Duque\Documents\PAP Inicial 2023\"/>
    </mc:Choice>
  </mc:AlternateContent>
  <bookViews>
    <workbookView xWindow="5850" yWindow="0" windowWidth="15345" windowHeight="5925" tabRatio="614"/>
  </bookViews>
  <sheets>
    <sheet name="PAP 2023" sheetId="12" r:id="rId1"/>
    <sheet name="TABLAS" sheetId="16" state="hidden" r:id="rId2"/>
    <sheet name="Act_Homologadas" sheetId="20" r:id="rId3"/>
    <sheet name="clacificaror presupuestario" sheetId="19" state="hidden" r:id="rId4"/>
  </sheets>
  <definedNames>
    <definedName name="_xlnm._FilterDatabase" localSheetId="3" hidden="1">'clacificaror presupuestario'!$K$2:$L$11</definedName>
    <definedName name="_xlnm._FilterDatabase" localSheetId="0" hidden="1">'PAP 2023'!$A$7:$AW$353</definedName>
    <definedName name="_xlnm._FilterDatabase" localSheetId="1" hidden="1">TABLAS!$N$9:$P$17</definedName>
    <definedName name="ACT_INS" localSheetId="0">#REF!</definedName>
    <definedName name="ACT_INS">#REF!</definedName>
    <definedName name="Amortización_de_la_deuda_pública">#REF!</definedName>
    <definedName name="Bienes_de_larga_duración_propiedades_planta_y_equipo">Tabla86[84]</definedName>
    <definedName name="Bienes_y_servicios_de_consumo">Tabla74[53]</definedName>
    <definedName name="Bienes_y_servicios_para_inversión">Tabla82[73]</definedName>
    <definedName name="Bienes_y_servicios_para_la_producción">#REF!</definedName>
    <definedName name="Coordinación_de_Inteligencia_de_Información_y_Estudios_del_Trabajo">Tabla13[Coordinación_de_Inteligencia_de_Información_y_Estudios_del_Trabajo]</definedName>
    <definedName name="Coordinación_General_Administrativa_Financiera">Tabla4[Coordinación_General_Administrativa_Financiera]</definedName>
    <definedName name="Coordinación_General_de_Planificación_y_Gestión_Estratégica">Tabla20[Coordinación_General_de_Planificación_y_Gestión_Estratégica]</definedName>
    <definedName name="Cuentas_pendientes_por_cobrar">#REF!</definedName>
    <definedName name="Despacho_Ministerial">Tabla14[Despacho_Ministerial]</definedName>
    <definedName name="Despacho_Ministerial.">Tabla21[Despacho_Ministerial.]</definedName>
    <definedName name="Despacho_Ministerial_MDT">Tabla21[Despacho_Ministerial.]</definedName>
    <definedName name="Direcciones_Regionales_de_Trabajo_y_Servicio_Público">Tabla22[Direcciones_Regionales_de_Trabajo_y_Servicio_Público]</definedName>
    <definedName name="Egresos_en_personal">Tabla72[51]</definedName>
    <definedName name="Egresos_en_personal_para_inversión">Tabla81[71]</definedName>
    <definedName name="Egresos_en_personal_para_la_producción">#REF!</definedName>
    <definedName name="Egresos_financieros">#REF!</definedName>
    <definedName name="FERIADOS_2022" localSheetId="0">#REF!</definedName>
    <definedName name="FERIADOS_2022">#REF!</definedName>
    <definedName name="Financiamiento_público">#REF!</definedName>
    <definedName name="Impuestos">#REF!</definedName>
    <definedName name="Inversiones_financieras">#REF!</definedName>
    <definedName name="jose_perez">#REF!</definedName>
    <definedName name="Obligaciones_por_Ventas_Anticipadas_de_Petróleo_Derivados_y_por_Convenios_con_Entidades_del_Sector_Público_No_Financiero">#REF!</definedName>
    <definedName name="Obras_públicas">#REF!</definedName>
    <definedName name="Otros_egresos_corrientes">Tabla76[57]</definedName>
    <definedName name="Otros_egresos_de_inversión">Tabla84[77]</definedName>
    <definedName name="Otros_egresos_de_producción">#REF!</definedName>
    <definedName name="Otros_ingresos">#REF!</definedName>
    <definedName name="Otros_pasivos">Tabla92[99]</definedName>
    <definedName name="PAP" localSheetId="0">#REF!</definedName>
    <definedName name="PAP">#REF!</definedName>
    <definedName name="Pasivo_circulante">#REF!</definedName>
    <definedName name="Prestaciones_de_la_seguridad_social">#REF!</definedName>
    <definedName name="PRG_PRY" localSheetId="0">#REF!</definedName>
    <definedName name="PRG_PRY">#REF!</definedName>
    <definedName name="Recuperación_de_inversiones_y_de_recursos_públicos">#REF!</definedName>
    <definedName name="Rentas_de_inversiones_y_multas">#REF!</definedName>
    <definedName name="Saldos_disponibles">#REF!</definedName>
    <definedName name="Seguridad_social">#REF!</definedName>
    <definedName name="Subsecretaría_de_Calidad_en_el_Servicio_Público">Tabla9[Subsecretaría_de_Calidad_en_el_Servicio_Público]</definedName>
    <definedName name="Subsecretaría_de_Cualificaciones_Profesionales">Tabla15[Subsecretaría_de_Cualificaciones_Profesionales]</definedName>
    <definedName name="Subsecretaría_de_Empleo_y_Salarios">Tabla6[Subsecretaría_de_Empleo_y_Salarios]</definedName>
    <definedName name="Subsecretaría_de_Evaluación_y_Control_del_Servicio_Público">Tabla10[Subsecretaría_de_Evaluación_y_Control_del_Servicio_Público]</definedName>
    <definedName name="Subsecretaría_de_Fortalecimiento_del_Servicio_Público">Tabla11[Subsecretaría_de_Fortalecimiento_del_Servicio_Público]</definedName>
    <definedName name="Subsecretaría_de_Meritocracia_y_Desarrollo_del_Talento_Humano">Tabla12[Subsecretaría_de_Meritocracia_y_Desarrollo_del_Talento_Humano]</definedName>
    <definedName name="Subsecretaría_de_Políticas_y_Normas">Tabla16[Subsecretaría_de_Políticas_y_Normas]</definedName>
    <definedName name="Subsecretaría_de_Trabajo">Tabla7[Subsecretaría_de_Trabajo]</definedName>
    <definedName name="Subsecretaría_Interinstitucional_de_Servicio_Público_Trabajo_y_Empleo">Tabla17[Subsecretaría_Interinstitucional_de_Servicio_Público_Trabajo_y_Empleo]</definedName>
    <definedName name="Tasas_y_contribuciones">#REF!</definedName>
    <definedName name="Transferencias_o_donaciones_corrientes">#REF!</definedName>
    <definedName name="Transferencias_o_donaciones_de_capital">#REF!</definedName>
    <definedName name="Transferencias_o_donaciones_de_capital_e_inversión">#REF!</definedName>
    <definedName name="Transferencias_o_donaciones_para_inversion">Tabla85[78]</definedName>
    <definedName name="UNIDAD">Tabla1[UNIDADES_N2]</definedName>
    <definedName name="Venta_de_activos_no_financieros">#REF!</definedName>
    <definedName name="Ventas_anticipadas_de_petróleo_derivados_y_por_convenios_con_entidades_del_sector_público_no_financiero">#REF!</definedName>
    <definedName name="Ventas_de_bienes_y_servicios_de_entidades_e_ingresos_operativos_de_empresas_públicas">#REF!</definedName>
    <definedName name="Viceministerio">Tabla5[Viceministerio_del_Trabajo_y_Empleo]</definedName>
    <definedName name="Viceministerio_del_Servicio_Público">Tabla8[Viceministerio_del_Servicio_Público]</definedName>
    <definedName name="Viceministerio_del_Trabajo_y_Empleo">Tabla5[Viceministerio_del_Trabajo_y_Empleo]</definedName>
    <definedName name="Vicemisnisterio_del_Trabajo_y_Empleo">Tabla5[Viceministerio_del_Trabajo_y_Empleo]</definedName>
    <definedName name="Z_0049207D_07E8_40B2_B82D_CDDC48096CBE_.wvu.FilterData" localSheetId="0" hidden="1">'PAP 2023'!$A$7:$AW$352</definedName>
    <definedName name="Z_0064838B_0650_4344_9FF9_F8B2B26302E5_.wvu.FilterData" localSheetId="0" hidden="1">'PAP 2023'!$A$7:$AW$352</definedName>
    <definedName name="Z_0436D60C_2884_4926_8655_FF1EA1170C5E_.wvu.FilterData" localSheetId="0" hidden="1">'PAP 2023'!$A$7:$AW$352</definedName>
    <definedName name="Z_05A5C336_8D92_4FEF_B9CA_A0B80F78739D_.wvu.FilterData" localSheetId="0" hidden="1">'PAP 2023'!$A$7:$AW$352</definedName>
    <definedName name="Z_0B3A504B_FE50_4041_939C_C065E8847165_.wvu.FilterData" localSheetId="0" hidden="1">'PAP 2023'!$A$6:$AV$348</definedName>
    <definedName name="Z_10402FA3_3488_4C36_8A1C_B11756495AF9_.wvu.FilterData" localSheetId="0" hidden="1">'PAP 2023'!$A$7:$AW$353</definedName>
    <definedName name="Z_1160EB90_AB9D_4462_8D57_91A9DE804835_.wvu.FilterData" localSheetId="0" hidden="1">'PAP 2023'!$A$7:$AW$352</definedName>
    <definedName name="Z_1D7FACAF_F9E9_48DC_AC7F_7E032EC009CF_.wvu.FilterData" localSheetId="0" hidden="1">'PAP 2023'!$A$7:$AW$352</definedName>
    <definedName name="Z_1E3EB81C_064D_4EC4_AFDE_37C3C4ADC0FA_.wvu.FilterData" localSheetId="0" hidden="1">'PAP 2023'!$A$6:$AV$248</definedName>
    <definedName name="Z_2965005F_49BB_454F_A708_179F9AB455AE_.wvu.FilterData" localSheetId="0" hidden="1">'PAP 2023'!$A$7:$AW$353</definedName>
    <definedName name="Z_311FCFE7_5768_43A0_B748_68663DECF653_.wvu.FilterData" localSheetId="0" hidden="1">'PAP 2023'!$A$7:$AW$352</definedName>
    <definedName name="Z_34486DD3_D703_4E6E_B76B_DB38C3340D00_.wvu.FilterData" localSheetId="0" hidden="1">'PAP 2023'!$A$7:$AW$353</definedName>
    <definedName name="Z_44A493EC_7B4D_4510_BA3A_3190AD89482D_.wvu.FilterData" localSheetId="0" hidden="1">'PAP 2023'!$A$6:$AV$321</definedName>
    <definedName name="Z_471E951A_EB51_4DE6_A385_522F2483C750_.wvu.FilterData" localSheetId="0" hidden="1">'PAP 2023'!$A$7:$AW$352</definedName>
    <definedName name="Z_49468195_51BD_4DE9_A5ED_6013A546C557_.wvu.FilterData" localSheetId="0" hidden="1">'PAP 2023'!$A$7:$AW$352</definedName>
    <definedName name="Z_4CE9378E_3B9F_4B14_AA62_6349214BBB9C_.wvu.FilterData" localSheetId="0" hidden="1">'PAP 2023'!$A$7:$AW$352</definedName>
    <definedName name="Z_60B77CD6_99C8_44BB_8AA6_63098C88D304_.wvu.FilterData" localSheetId="0" hidden="1">'PAP 2023'!$A$7:$AW$352</definedName>
    <definedName name="Z_624CB0E6_69E0_4234_AD04_880D9F3AF287_.wvu.FilterData" localSheetId="0" hidden="1">'PAP 2023'!$A$7:$AW$348</definedName>
    <definedName name="Z_74F17276_5E50_4E29_9499_FD276D3C7E24_.wvu.FilterData" localSheetId="0" hidden="1">'PAP 2023'!$A$7:$AW$352</definedName>
    <definedName name="Z_837F73FE_E0AB_4F44_AE6B_A1ADB38E1830_.wvu.FilterData" localSheetId="0" hidden="1">'PAP 2023'!$A$7:$AW$353</definedName>
    <definedName name="Z_8FD3B600_839B_4A20_BB6B_21332AD3BE10_.wvu.FilterData" localSheetId="0" hidden="1">'PAP 2023'!$A$7:$AW$353</definedName>
    <definedName name="Z_9A52B1F8_5D1A_43EE_9C5E_2108DAB0F33E_.wvu.FilterData" localSheetId="0" hidden="1">'PAP 2023'!$A$7:$AW$352</definedName>
    <definedName name="Z_AAE020A9_EF9E_4E98_B3A8_ED48DF758A97_.wvu.FilterData" localSheetId="0" hidden="1">'PAP 2023'!$A$7:$AW$352</definedName>
    <definedName name="Z_B41FFCDB_42A8_4B35_A569_36A53D5A29B3_.wvu.FilterData" localSheetId="0" hidden="1">'PAP 2023'!$A$7:$AW$352</definedName>
    <definedName name="Z_E3331B3C_AE1D_4357_97CD_335D5B97AC86_.wvu.FilterData" localSheetId="0" hidden="1">'PAP 2023'!$A$7:$AW$348</definedName>
    <definedName name="Z_E6D3CF50_5517_407E_B1F9_6D54801D8CE1_.wvu.FilterData" localSheetId="0" hidden="1">'PAP 2023'!$A$7:$AW$352</definedName>
    <definedName name="Z_E7EDA440_D6AA_4293_9E7B_FAC288591429_.wvu.FilterData" localSheetId="0" hidden="1">'PAP 2023'!$A$7:$AW$352</definedName>
    <definedName name="Z_ECDA6AF3_5878_4FAD_8637_A60C544F852E_.wvu.FilterData" localSheetId="0" hidden="1">'PAP 2023'!$A$7:$AW$351</definedName>
    <definedName name="Z_FA0C3A14_AAB8_4917_8A9E_B50C9E191AA5_.wvu.FilterData" localSheetId="0" hidden="1">'PAP 2023'!$A$7:$AW$352</definedName>
  </definedNames>
  <calcPr calcId="152511"/>
  <customWorkbookViews>
    <customWorkbookView name="Filtro 17" guid="{74F17276-5E50-4E29-9499-FD276D3C7E24}" maximized="1" windowWidth="0" windowHeight="0" activeSheetId="0"/>
    <customWorkbookView name="Filtro 18" guid="{0049207D-07E8-40B2-B82D-CDDC48096CBE}" maximized="1" windowWidth="0" windowHeight="0" activeSheetId="0"/>
    <customWorkbookView name="Filtro 15" guid="{FA0C3A14-AAB8-4917-8A9E-B50C9E191AA5}" maximized="1" windowWidth="0" windowHeight="0" activeSheetId="0"/>
    <customWorkbookView name="Filtro 16" guid="{2965005F-49BB-454F-A708-179F9AB455AE}" maximized="1" windowWidth="0" windowHeight="0" activeSheetId="0"/>
    <customWorkbookView name="Filtro 13" guid="{E7EDA440-D6AA-4293-9E7B-FAC288591429}" maximized="1" windowWidth="0" windowHeight="0" activeSheetId="0"/>
    <customWorkbookView name="Filtro 14" guid="{311FCFE7-5768-43A0-B748-68663DECF653}" maximized="1" windowWidth="0" windowHeight="0" activeSheetId="0"/>
    <customWorkbookView name="Filtro 11" guid="{0B3A504B-FE50-4041-939C-C065E8847165}" maximized="1" windowWidth="0" windowHeight="0" activeSheetId="0"/>
    <customWorkbookView name="Filtro 12" guid="{60B77CD6-99C8-44BB-8AA6-63098C88D304}" maximized="1" windowWidth="0" windowHeight="0" activeSheetId="0"/>
    <customWorkbookView name="Filtro 10" guid="{AAE020A9-EF9E-4E98-B3A8-ED48DF758A97}" maximized="1" windowWidth="0" windowHeight="0" activeSheetId="0"/>
    <customWorkbookView name="Filtro 4" guid="{10402FA3-3488-4C36-8A1C-B11756495AF9}" maximized="1" windowWidth="0" windowHeight="0" activeSheetId="0"/>
    <customWorkbookView name="Filtro 5" guid="{34486DD3-D703-4E6E-B76B-DB38C3340D00}" maximized="1" windowWidth="0" windowHeight="0" activeSheetId="0"/>
    <customWorkbookView name="Filtro 6" guid="{624CB0E6-69E0-4234-AD04-880D9F3AF287}" maximized="1" windowWidth="0" windowHeight="0" activeSheetId="0"/>
    <customWorkbookView name="Filtro 7" guid="{E3331B3C-AE1D-4357-97CD-335D5B97AC86}" maximized="1" windowWidth="0" windowHeight="0" activeSheetId="0"/>
    <customWorkbookView name="Filtro 1" guid="{ECDA6AF3-5878-4FAD-8637-A60C544F852E}" maximized="1" windowWidth="0" windowHeight="0" activeSheetId="0"/>
    <customWorkbookView name="Filtro 2" guid="{8FD3B600-839B-4A20-BB6B-21332AD3BE10}" maximized="1" windowWidth="0" windowHeight="0" activeSheetId="0"/>
    <customWorkbookView name="Filtro 3" guid="{837F73FE-E0AB-4F44-AE6B-A1ADB38E1830}" maximized="1" windowWidth="0" windowHeight="0" activeSheetId="0"/>
    <customWorkbookView name="Filtro 28" guid="{1D7FACAF-F9E9-48DC-AC7F-7E032EC009CF}" maximized="1" windowWidth="0" windowHeight="0" activeSheetId="0"/>
    <customWorkbookView name="Filtro 29" guid="{471E951A-EB51-4DE6-A385-522F2483C750}" maximized="1" windowWidth="0" windowHeight="0" activeSheetId="0"/>
    <customWorkbookView name="Filtro 26" guid="{05A5C336-8D92-4FEF-B9CA-A0B80F78739D}" maximized="1" windowWidth="0" windowHeight="0" activeSheetId="0"/>
    <customWorkbookView name="Filtro 27" guid="{9A52B1F8-5D1A-43EE-9C5E-2108DAB0F33E}" maximized="1" windowWidth="0" windowHeight="0" activeSheetId="0"/>
    <customWorkbookView name="Filtro 24" guid="{E6D3CF50-5517-407E-B1F9-6D54801D8CE1}" maximized="1" windowWidth="0" windowHeight="0" activeSheetId="0"/>
    <customWorkbookView name="Filtro 8" guid="{4CE9378E-3B9F-4B14-AA62-6349214BBB9C}" maximized="1" windowWidth="0" windowHeight="0" activeSheetId="0"/>
    <customWorkbookView name="Filtro 25" guid="{0064838B-0650-4344-9FF9-F8B2B26302E5}" maximized="1" windowWidth="0" windowHeight="0" activeSheetId="0"/>
    <customWorkbookView name="Filtro 9" guid="{B41FFCDB-42A8-4B35-A569-36A53D5A29B3}" maximized="1" windowWidth="0" windowHeight="0" activeSheetId="0"/>
    <customWorkbookView name="Filtro 22" guid="{44A493EC-7B4D-4510-BA3A-3190AD89482D}" maximized="1" windowWidth="0" windowHeight="0" activeSheetId="0"/>
    <customWorkbookView name="Filtro 23" guid="{1160EB90-AB9D-4462-8D57-91A9DE804835}" maximized="1" windowWidth="0" windowHeight="0" activeSheetId="0"/>
    <customWorkbookView name="Filtro 20" guid="{49468195-51BD-4DE9-A5ED-6013A546C557}" maximized="1" windowWidth="0" windowHeight="0" activeSheetId="0"/>
    <customWorkbookView name="Filtro 21" guid="{0436D60C-2884-4926-8655-FF1EA1170C5E}" maximized="1" windowWidth="0" windowHeight="0" activeSheetId="0"/>
    <customWorkbookView name="Filtro 19" guid="{1E3EB81C-064D-4EC4-AFDE-37C3C4ADC0F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8" i="12" l="1"/>
  <c r="E10" i="12" l="1"/>
  <c r="M10" i="12"/>
  <c r="Y10" i="12"/>
  <c r="AA10" i="12"/>
  <c r="AC10" i="12"/>
  <c r="AG10" i="12"/>
  <c r="AT10" i="12"/>
  <c r="AU10" i="12"/>
  <c r="AV10" i="12"/>
  <c r="E11" i="12"/>
  <c r="M11" i="12"/>
  <c r="Y11" i="12"/>
  <c r="AA11" i="12"/>
  <c r="AC11" i="12"/>
  <c r="AG11" i="12"/>
  <c r="AT11" i="12"/>
  <c r="AU11" i="12" s="1"/>
  <c r="AV11" i="12"/>
  <c r="E12" i="12"/>
  <c r="M12" i="12"/>
  <c r="Y12" i="12"/>
  <c r="AA12" i="12"/>
  <c r="AC12" i="12"/>
  <c r="AG12" i="12"/>
  <c r="AT12" i="12"/>
  <c r="AU12" i="12" s="1"/>
  <c r="AV12" i="12"/>
  <c r="E13" i="12"/>
  <c r="M13" i="12"/>
  <c r="Y13" i="12"/>
  <c r="AA13" i="12"/>
  <c r="AC13" i="12"/>
  <c r="AG13" i="12"/>
  <c r="AT13" i="12"/>
  <c r="AU13" i="12" s="1"/>
  <c r="AV13" i="12"/>
  <c r="E14" i="12"/>
  <c r="M14" i="12"/>
  <c r="Y14" i="12"/>
  <c r="AA14" i="12"/>
  <c r="AC14" i="12"/>
  <c r="AG14" i="12"/>
  <c r="AT14" i="12"/>
  <c r="AU14" i="12"/>
  <c r="AV14" i="12"/>
  <c r="E15" i="12"/>
  <c r="M15" i="12"/>
  <c r="Y15" i="12"/>
  <c r="AA15" i="12"/>
  <c r="AC15" i="12"/>
  <c r="AG15" i="12"/>
  <c r="AT15" i="12"/>
  <c r="AU15" i="12"/>
  <c r="AV15" i="12"/>
  <c r="E16" i="12"/>
  <c r="M16" i="12"/>
  <c r="Y16" i="12"/>
  <c r="AA16" i="12"/>
  <c r="AC16" i="12"/>
  <c r="AG16" i="12"/>
  <c r="AT16" i="12"/>
  <c r="AU16" i="12"/>
  <c r="AV16" i="12"/>
  <c r="E17" i="12"/>
  <c r="M17" i="12"/>
  <c r="Y17" i="12"/>
  <c r="AA17" i="12"/>
  <c r="AC17" i="12"/>
  <c r="AG17" i="12"/>
  <c r="AT17" i="12"/>
  <c r="AU17" i="12" s="1"/>
  <c r="AV17" i="12"/>
  <c r="E18" i="12"/>
  <c r="M18" i="12"/>
  <c r="Y18" i="12"/>
  <c r="AA18" i="12"/>
  <c r="AC18" i="12"/>
  <c r="AG18" i="12"/>
  <c r="AT18" i="12"/>
  <c r="AU18" i="12"/>
  <c r="AV18" i="12"/>
  <c r="E19" i="12"/>
  <c r="M19" i="12"/>
  <c r="Y19" i="12"/>
  <c r="AA19" i="12"/>
  <c r="AC19" i="12"/>
  <c r="AG19" i="12"/>
  <c r="AT19" i="12"/>
  <c r="AU19" i="12" s="1"/>
  <c r="AV19" i="12"/>
  <c r="E20" i="12"/>
  <c r="M20" i="12"/>
  <c r="Y20" i="12"/>
  <c r="AA20" i="12"/>
  <c r="AC20" i="12"/>
  <c r="AG20" i="12"/>
  <c r="AT20" i="12"/>
  <c r="AU20" i="12" s="1"/>
  <c r="AV20" i="12"/>
  <c r="E21" i="12"/>
  <c r="M21" i="12"/>
  <c r="Y21" i="12"/>
  <c r="AA21" i="12"/>
  <c r="AC21" i="12"/>
  <c r="AG21" i="12"/>
  <c r="AT21" i="12"/>
  <c r="AU21" i="12" s="1"/>
  <c r="AV21" i="12"/>
  <c r="E22" i="12"/>
  <c r="M22" i="12"/>
  <c r="Y22" i="12"/>
  <c r="AA22" i="12"/>
  <c r="AC22" i="12"/>
  <c r="AG22" i="12"/>
  <c r="AT22" i="12"/>
  <c r="AU22" i="12"/>
  <c r="AV22" i="12"/>
  <c r="E23" i="12"/>
  <c r="M23" i="12"/>
  <c r="Y23" i="12"/>
  <c r="AA23" i="12"/>
  <c r="AC23" i="12"/>
  <c r="AG23" i="12"/>
  <c r="AT23" i="12"/>
  <c r="AU23" i="12"/>
  <c r="AV23" i="12"/>
  <c r="E24" i="12"/>
  <c r="M24" i="12"/>
  <c r="Y24" i="12"/>
  <c r="AA24" i="12"/>
  <c r="AC24" i="12"/>
  <c r="AG24" i="12"/>
  <c r="AT24" i="12"/>
  <c r="AU24" i="12"/>
  <c r="AV24" i="12"/>
  <c r="E25" i="12"/>
  <c r="M25" i="12"/>
  <c r="Y25" i="12"/>
  <c r="AA25" i="12"/>
  <c r="AC25" i="12"/>
  <c r="AG25" i="12"/>
  <c r="AT25" i="12"/>
  <c r="AU25" i="12" s="1"/>
  <c r="AV25" i="12"/>
  <c r="E26" i="12"/>
  <c r="M26" i="12"/>
  <c r="Y26" i="12"/>
  <c r="AA26" i="12"/>
  <c r="AC26" i="12"/>
  <c r="AG26" i="12"/>
  <c r="AT26" i="12"/>
  <c r="AU26" i="12"/>
  <c r="AV26" i="12"/>
  <c r="E27" i="12"/>
  <c r="M27" i="12"/>
  <c r="Y27" i="12"/>
  <c r="AA27" i="12"/>
  <c r="AC27" i="12"/>
  <c r="AG27" i="12"/>
  <c r="AT27" i="12"/>
  <c r="AU27" i="12" s="1"/>
  <c r="AV27" i="12"/>
  <c r="E28" i="12"/>
  <c r="M28" i="12"/>
  <c r="Y28" i="12"/>
  <c r="AA28" i="12"/>
  <c r="AC28" i="12"/>
  <c r="AG28" i="12"/>
  <c r="AT28" i="12"/>
  <c r="AU28" i="12" s="1"/>
  <c r="AV28" i="12"/>
  <c r="E29" i="12"/>
  <c r="M29" i="12"/>
  <c r="Y29" i="12"/>
  <c r="AA29" i="12"/>
  <c r="AC29" i="12"/>
  <c r="AG29" i="12"/>
  <c r="AT29" i="12"/>
  <c r="AU29" i="12" s="1"/>
  <c r="AV29" i="12"/>
  <c r="E30" i="12"/>
  <c r="M30" i="12"/>
  <c r="Y30" i="12"/>
  <c r="AA30" i="12"/>
  <c r="AC30" i="12"/>
  <c r="AG30" i="12"/>
  <c r="AT30" i="12"/>
  <c r="AU30" i="12"/>
  <c r="AV30" i="12"/>
  <c r="AC9" i="12"/>
  <c r="E9" i="12"/>
  <c r="M9" i="12"/>
  <c r="Y9" i="12"/>
  <c r="AA9" i="12"/>
  <c r="AG9" i="12"/>
  <c r="AT9" i="12"/>
  <c r="AU9" i="12"/>
  <c r="AV9" i="12"/>
  <c r="AE3" i="12" l="1"/>
  <c r="AF3" i="12"/>
  <c r="AG3" i="12"/>
  <c r="AG8" i="12"/>
  <c r="Y8" i="12"/>
  <c r="M8" i="12"/>
  <c r="AV8" i="12" l="1"/>
  <c r="AT8" i="12"/>
  <c r="AU8" i="12" s="1"/>
  <c r="E8" i="12"/>
  <c r="AA8" i="12"/>
  <c r="AD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T3" i="12" l="1"/>
</calcChain>
</file>

<file path=xl/comments1.xml><?xml version="1.0" encoding="utf-8"?>
<comments xmlns="http://schemas.openxmlformats.org/spreadsheetml/2006/main">
  <authors>
    <author>USER</author>
    <author/>
  </authors>
  <commentList>
    <comment ref="F8" authorId="0" shapeId="0">
      <text>
        <r>
          <rPr>
            <b/>
            <sz val="9"/>
            <color indexed="81"/>
            <rFont val="Tahoma"/>
            <family val="2"/>
          </rPr>
          <t xml:space="preserve">En lo referente a las actividades de: servicios básicos, vigilancia, viáticos, combustibles, materiales de oficina, pasajes, limpieza, mantenimiento de vehículos , correos y viaticos se debe verificar el nombre homologado en la pestaña Act_homologadas </t>
        </r>
      </text>
    </comment>
    <comment ref="AS223" authorId="1" shapeId="0">
      <text>
        <r>
          <rPr>
            <sz val="11"/>
            <color theme="1"/>
            <rFont val="Calibri"/>
            <family val="2"/>
            <scheme val="minor"/>
          </rPr>
          <t>reforma planteada pendiente
	-IVONNE HERRERA</t>
        </r>
      </text>
    </comment>
  </commentList>
</comments>
</file>

<file path=xl/sharedStrings.xml><?xml version="1.0" encoding="utf-8"?>
<sst xmlns="http://schemas.openxmlformats.org/spreadsheetml/2006/main" count="1135" uniqueCount="602">
  <si>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</si>
  <si>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</si>
  <si>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</si>
  <si>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</si>
  <si>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</si>
  <si>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</si>
  <si>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</si>
  <si>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</si>
  <si>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</si>
  <si>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</si>
  <si>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</si>
  <si>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</si>
  <si>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OBJETIVO NACIONAL DE DESARROLLO - O.N.D.</t>
  </si>
  <si>
    <t>OBJETIVO ESTRATÉGICO INSTITUCIONAL - O.E.I.</t>
  </si>
  <si>
    <t>OBJETIVO ESPECÍFICO</t>
  </si>
  <si>
    <t>GEOGRÁFICO</t>
  </si>
  <si>
    <t>DESCRIPCIÓN DE LA ACTIVIDAD</t>
  </si>
  <si>
    <t>GRUPO GASTO</t>
  </si>
  <si>
    <t>METAS</t>
  </si>
  <si>
    <t>INDICADORES</t>
  </si>
  <si>
    <t>DESCRIPCIÓN GRUPO DE GASTO</t>
  </si>
  <si>
    <t>FUENTE</t>
  </si>
  <si>
    <t>COD. ORG</t>
  </si>
  <si>
    <t>COD. CORRE.</t>
  </si>
  <si>
    <t>ITEM</t>
  </si>
  <si>
    <t>DESCRIPCIÓN ITEM</t>
  </si>
  <si>
    <t>RESPONSABLE DE ANÁLISIS</t>
  </si>
  <si>
    <t>Fortalecer las capacidades del Estado con énfasis en la administración de justicia y eficiencia en los procesos de regulación y control, con independencia y autonomía.</t>
  </si>
  <si>
    <t>Fortalecer las capacidades institucionales</t>
  </si>
  <si>
    <t>Establecer un plan de desarrollo profesional para potenciar habilidades, competencias y destrezas del personal</t>
  </si>
  <si>
    <t>Remuneraciones Unificadas</t>
  </si>
  <si>
    <t>Salarios Unificados</t>
  </si>
  <si>
    <t>Decimo Tercer Sueldo</t>
  </si>
  <si>
    <t>Decimo Cuarto Sueldo</t>
  </si>
  <si>
    <t>Compensación por Transporte</t>
  </si>
  <si>
    <t>Alimentación</t>
  </si>
  <si>
    <t>Por Cargas Familiares</t>
  </si>
  <si>
    <t>Horas Extraordinarias y Suplementarias</t>
  </si>
  <si>
    <t>Servicios Personales por Contrato</t>
  </si>
  <si>
    <t>Subrogación</t>
  </si>
  <si>
    <t>Encargos</t>
  </si>
  <si>
    <t>Aporte Patronal</t>
  </si>
  <si>
    <t>Compensación por Desahucio</t>
  </si>
  <si>
    <t>Fondo de Reserva</t>
  </si>
  <si>
    <t>Readecuar espacios físicos aprovechando la capacidad instalada con enfoque de accesibilidad</t>
  </si>
  <si>
    <t>Incrementar el nivel de desempeño de los servidores de la institución</t>
  </si>
  <si>
    <t>Incrementar el nivel de servicio de Tecnologías de Información y Telecomunicaciones</t>
  </si>
  <si>
    <t>Incrementar la calidad del gasto corriente e inversión</t>
  </si>
  <si>
    <t>Desarrollo, Actualización, Asistencia Técnica y Soporte de Sistemas Informáticos</t>
  </si>
  <si>
    <t>Edificios, Locales, Residencias y Cableado Estructurado (Instalación, Mantenimiento y Reparación)</t>
  </si>
  <si>
    <t>Combustibles y Lubricantes</t>
  </si>
  <si>
    <t>Incrementar la excelencia y calidad de los servicios públicos en la gestión de las Entidades del Estado.</t>
  </si>
  <si>
    <t>Difusión, Información y Publicidad</t>
  </si>
  <si>
    <t>Incrementar y fomentar, de manera inclusiva, las oportunidades de empleo y las condiciones laborales.</t>
  </si>
  <si>
    <t>Incrementar el cumplimiento de los derechos y obligaciones de la ciudadanía labora</t>
  </si>
  <si>
    <t>Arrendamiento y Licencias de Uso de Paquetes Informáticos</t>
  </si>
  <si>
    <t>Repuestos y Accesorios</t>
  </si>
  <si>
    <t>Viáticos y Subsistencias en el Interior</t>
  </si>
  <si>
    <t>Alimentos y Bebidas</t>
  </si>
  <si>
    <t>Servicio de Correo</t>
  </si>
  <si>
    <t>Pasajes al Interior</t>
  </si>
  <si>
    <t>Maquinarias y Equipos (Instalación, Mantenimiento y Reparación)</t>
  </si>
  <si>
    <t>Materiales de Oficina</t>
  </si>
  <si>
    <t>Eventos Públicos Promocionales</t>
  </si>
  <si>
    <t>Edificios, Locales y Residencias, Parqueaderos, Casilleros Judiciales y Bancarios (Arrendamiento)</t>
  </si>
  <si>
    <t>Comisiones Bancarias</t>
  </si>
  <si>
    <t>Mejorar los servicios institucionales, procesos y procedimientos internos.</t>
  </si>
  <si>
    <t>Al Sector Privado no Financiero</t>
  </si>
  <si>
    <t>Materiales de Aseo</t>
  </si>
  <si>
    <t>Tasas Generales, Impuestos, Contribuciones, Permisos, Licencias y Patentes.</t>
  </si>
  <si>
    <t>Viáticos y Subsistencias en el Exterior</t>
  </si>
  <si>
    <t>Línea PAP</t>
  </si>
  <si>
    <t>VINCULACIÓN A LA PLANIFICACIÓN</t>
  </si>
  <si>
    <t>ESTRUCTURA ORGANICA</t>
  </si>
  <si>
    <t>COMPONENTE DEL PROYECTO</t>
  </si>
  <si>
    <t>DESCRIPCIONES DE LA ACTIVIDAD</t>
  </si>
  <si>
    <t>IDENTIDAD OPERATIVA DESCONCENTRADA(EOD)</t>
  </si>
  <si>
    <t>PROGRAMA INSTITUCIONAL</t>
  </si>
  <si>
    <t>PROYECTO</t>
  </si>
  <si>
    <t>ACTIVIDAD INSTITUCIONAL</t>
  </si>
  <si>
    <t>CÓDIGO UNICO DE PROYECTO(CUP)</t>
  </si>
  <si>
    <t>POLÍTICA DE IGUALDAD</t>
  </si>
  <si>
    <t>NATURALEZA DEL GASTO</t>
  </si>
  <si>
    <t>OBSERVACIONES</t>
  </si>
  <si>
    <t>VINCULACIÓN CLASIFICACIÓN Y PLANIFICACIÓN DEL PRESUPUESTO</t>
  </si>
  <si>
    <t>Haber Militar y Policial</t>
  </si>
  <si>
    <t>Remuneración Mensual Unificada de Docentes del Magisterio y Docentes e Investigadores Universitarios</t>
  </si>
  <si>
    <t>Remuneración Mensual Unificada en el Exterior</t>
  </si>
  <si>
    <t>Egresos de Representación</t>
  </si>
  <si>
    <t>Bonificación para Educadores Comunitarios, Alfabetizadores</t>
  </si>
  <si>
    <t>Egresos por Residencia</t>
  </si>
  <si>
    <t>Bonificación Geográfica</t>
  </si>
  <si>
    <t>Compensación en el Exterior</t>
  </si>
  <si>
    <t>Comisariato</t>
  </si>
  <si>
    <t>Compensación por Cesación de Funciones</t>
  </si>
  <si>
    <t>Beneficios Sociales</t>
  </si>
  <si>
    <t>Remuneración Unificada para Pasantes e Internos Rotativos de Salud</t>
  </si>
  <si>
    <t>Licencia Remunerada</t>
  </si>
  <si>
    <t>Honorarios</t>
  </si>
  <si>
    <t>Contratos de Servicios Ocasionales en el Exterior</t>
  </si>
  <si>
    <t>Contratos Ocasionales para el Cumplimiento del Servicio Rural</t>
  </si>
  <si>
    <t>Contratos Ocasionales para el Cumplimiento de la Devengación de Becas</t>
  </si>
  <si>
    <t>Asignación Global de Jubilación Patronal para Trabajadores Amparados por el Código de Trabajo</t>
  </si>
  <si>
    <t>Supresión de Puesto</t>
  </si>
  <si>
    <t>Despido Intempestivo</t>
  </si>
  <si>
    <t>Restitución de Puesto</t>
  </si>
  <si>
    <t>Beneficio por Jubilación</t>
  </si>
  <si>
    <t>Por Accidente de Trabajo o Enfermedad</t>
  </si>
  <si>
    <t>Por Renuncia Voluntaria</t>
  </si>
  <si>
    <t>Por Compra de Renuncia</t>
  </si>
  <si>
    <t>Indemnizaciones Laborales</t>
  </si>
  <si>
    <t>Incentivo Excepcional para la Jubilación (Trabajadores del IESS)</t>
  </si>
  <si>
    <t>Agua Potable</t>
  </si>
  <si>
    <t>Agua de Riego</t>
  </si>
  <si>
    <t>Energía Eléctrica</t>
  </si>
  <si>
    <t>Telecomunicaciones</t>
  </si>
  <si>
    <t>Transporte de Personal</t>
  </si>
  <si>
    <t>Fletes y Maniobras</t>
  </si>
  <si>
    <t>Almacenamiento, Embalaje, Desembalaje, Envase, Desenvase y Recarga de Extintores</t>
  </si>
  <si>
    <t>Espectáculos Culturales y Sociales</t>
  </si>
  <si>
    <t>Servicio de Seguridad y Vigilancia</t>
  </si>
  <si>
    <t>Servicio de Guardería</t>
  </si>
  <si>
    <t>Servicios especiales para Inteligencia y Contrainteligencia</t>
  </si>
  <si>
    <t>Servicios de Voluntariado</t>
  </si>
  <si>
    <t>Servicios Personales Eventuales sin Relación de Dependencia</t>
  </si>
  <si>
    <t>Servicios y Derechos en Producción y Programación de Radio y Televisión</t>
  </si>
  <si>
    <t>Servicio de Implementación y Administración de Bancos de Información</t>
  </si>
  <si>
    <t>Servicios Médicos Hospitalarios y Complementarios</t>
  </si>
  <si>
    <t>Servicios de Repatriación de Cadáveres de Ecuatorianos Fallecidos en el Exterior</t>
  </si>
  <si>
    <t>Servicios de Provisión de Dispositivos Electrónicos y Certificación para Registro de Firmas Digitales</t>
  </si>
  <si>
    <t>Soporte al Usuario a través de Centros de Servicios y Operadores Telefónicos</t>
  </si>
  <si>
    <t>Digitalización de Información y Datos Públicos</t>
  </si>
  <si>
    <t>Servicios de Protección y Asistencia Técnica a Víctimas, Testigos y Otros Participantes en Procesos Penales</t>
  </si>
  <si>
    <t>Barrido Predial para la Modernización del Sistema de Información</t>
  </si>
  <si>
    <t>Servicios en Actividades Mineras e Hidrocarburíferas</t>
  </si>
  <si>
    <t>Comisiones por la Venta de Productos, Servicios Postales y Financieros</t>
  </si>
  <si>
    <t>Servicio de Alimentación</t>
  </si>
  <si>
    <t>Servicios en Plantaciones Forestales</t>
  </si>
  <si>
    <t>Remediación, Restauración y Descontaminación de Cuerpos de Agua</t>
  </si>
  <si>
    <t>Servicio de Administración de Patio de Contenedores</t>
  </si>
  <si>
    <t>Membrecías</t>
  </si>
  <si>
    <t>Servicios Exequiales</t>
  </si>
  <si>
    <t>Servicio de Monitoreo de la Información en Televisión, Radio, Prensa, Medios On-Line y Otros</t>
  </si>
  <si>
    <t>Garantía Extendida de Bienes</t>
  </si>
  <si>
    <t>Servicio de Confección de Menaje de Hogar y/o Prendas de Protección</t>
  </si>
  <si>
    <t>Servicios relacionados a la exhumación e inhumación de cadáveres</t>
  </si>
  <si>
    <t>Servicios de Identificación, Marcación, Autentificación, Rastreo, Monitoreo, Seguimiento y/o Trazabilidad</t>
  </si>
  <si>
    <t>Servicio de Educación en el Exterior para hijos/as del personal diplomático y auxiliar del servicio exterior</t>
  </si>
  <si>
    <t>Eventos Oficiales</t>
  </si>
  <si>
    <t>Egresos para Migrantes en Procesos de Deportación o en Estados de Vulnerabilidad</t>
  </si>
  <si>
    <t>Procesos de Deportación de Inmigrantes, Control Migratorio y de Residencia en la provincia de Galápagos</t>
  </si>
  <si>
    <t>Licencias y Derechos No Exclusivos de Obras y Productos Culturales</t>
  </si>
  <si>
    <t>Servicios Generales para Subastas, Arriendos y Remates</t>
  </si>
  <si>
    <t>Pasajes al Exterior</t>
  </si>
  <si>
    <t>Mudanzas e Instalaciones</t>
  </si>
  <si>
    <t>Viáticos por Gastos de Residencia</t>
  </si>
  <si>
    <t>Atención a Delegados Extranjeros y Nacionales, Deportistas, Entrenadores y Cuerpo Técnico que Representen al País</t>
  </si>
  <si>
    <t>Recargos por cambios en pasajes al interior y al exterior del país</t>
  </si>
  <si>
    <t>Gastos de Representación en el Exterior</t>
  </si>
  <si>
    <t>Terrenos (Mantenimiento)</t>
  </si>
  <si>
    <t>Mobiliarios  (Instalación, Mantenimiento y Reparación)</t>
  </si>
  <si>
    <t>Vehículos (Servicio para Mantenimiento y Reparación)</t>
  </si>
  <si>
    <t>Herramientas (Mantenimiento y Reparación)</t>
  </si>
  <si>
    <t>Bienes Artísticos y Culturales.</t>
  </si>
  <si>
    <t>Libros y Colecciones</t>
  </si>
  <si>
    <t>Bienes de Uso Bélico y de Seguridad Pública</t>
  </si>
  <si>
    <t>Bienes Biológicos</t>
  </si>
  <si>
    <t>Infraestructura</t>
  </si>
  <si>
    <t>Mantenimiento de Áreas Verdes y Arreglo de Vías Internas</t>
  </si>
  <si>
    <t>Bienes Deportivos (Instalación, Mantenimiento y Reparación)</t>
  </si>
  <si>
    <t>Instalación, Readecuación, Montaje de Exposiciones, Mantenimiento y Reparación de Espacios y Bienes Culturales</t>
  </si>
  <si>
    <t>Demoliciones de Edificios, Locales, Residencias y Otros</t>
  </si>
  <si>
    <t>Terrenos (Arrendamiento)</t>
  </si>
  <si>
    <t>Mobiliario (Arrendamiento)</t>
  </si>
  <si>
    <t>Maquinarias y Equipos (Arrendamiento)</t>
  </si>
  <si>
    <t>Vehículos (Arrendamiento)</t>
  </si>
  <si>
    <t>Herramientas (Arrendamiento)</t>
  </si>
  <si>
    <t>Bienes Biológicos (Alquiler)</t>
  </si>
  <si>
    <t>Consultoría, Asesoría e Investigación Especializada</t>
  </si>
  <si>
    <t>Servicio de Auditoría</t>
  </si>
  <si>
    <t>Fiscalización e Inspecciones Técnicas</t>
  </si>
  <si>
    <t>Estudio y Diseño de Proyectos</t>
  </si>
  <si>
    <t>Honorarios por Contratos Civiles de Servicios</t>
  </si>
  <si>
    <t>Servicios Técnicos Especializados</t>
  </si>
  <si>
    <t>Registro, Inscripción y Otros Egresos Previos a la Aceptación para Capacitación en el Exterior</t>
  </si>
  <si>
    <t>Investigaciones Profesionales y Análisis de Laboratorio</t>
  </si>
  <si>
    <t>Servicios de Cartografía</t>
  </si>
  <si>
    <t>Capacitación a Servidores Públicos</t>
  </si>
  <si>
    <t>Capacitación para la Ciudadanía en General</t>
  </si>
  <si>
    <t>Arrendamiento de Equipos Informáticos</t>
  </si>
  <si>
    <t>Mantenimiento y Reparación de Equipos y Sistemas Informáticos</t>
  </si>
  <si>
    <t>Materiales de Impresión, Fotografía, Reproducción y Publicaciones</t>
  </si>
  <si>
    <t>Instrumental Médico Quirúrgico</t>
  </si>
  <si>
    <t>Dispositivos Médicos para Laboratorio Clínico y de Patología</t>
  </si>
  <si>
    <t>Suministros para Actividades Agropecuarias, Pesca y Caza</t>
  </si>
  <si>
    <t>Acuñación de Monedas</t>
  </si>
  <si>
    <t>Derivados de Hidrocarburos para la Comercialización Interna</t>
  </si>
  <si>
    <t>Productos Agrícolas</t>
  </si>
  <si>
    <t>Accesorios e Insumos Químicos y Orgánicos</t>
  </si>
  <si>
    <t>Egresos para Situaciones de Emergencia</t>
  </si>
  <si>
    <t>Egresos para Sanidad Agropecuaria</t>
  </si>
  <si>
    <t>Insumos y Accesorios para Compensar Discapacidades</t>
  </si>
  <si>
    <t>Dispositivos Médicos de Uso General</t>
  </si>
  <si>
    <t>Uniformes Deportivos</t>
  </si>
  <si>
    <t>Materiales de Peluquería</t>
  </si>
  <si>
    <t>Insumos, Materiales, Suministros y Bienes para Investigación</t>
  </si>
  <si>
    <t>Dispositivos Médicos para Imagen</t>
  </si>
  <si>
    <t>Muestras de Productos para Ferias, Exposiciones y Negociaciones Nacionales e Internacionales</t>
  </si>
  <si>
    <t>Productos Homeopáticos</t>
  </si>
  <si>
    <t>Insumos para Medicina Alternativa</t>
  </si>
  <si>
    <t>Logística</t>
  </si>
  <si>
    <t>Suministros para la Defensa y Seguridad Pública</t>
  </si>
  <si>
    <t>Mobiliario</t>
  </si>
  <si>
    <t>Maquinarias y Equipos</t>
  </si>
  <si>
    <t>Equipos, Sistemas y Paquetes Informáticos</t>
  </si>
  <si>
    <t>Bienes Artísticos, Culturales, Deportivos y Símbolos Patrios</t>
  </si>
  <si>
    <t>Partes y Repuestos</t>
  </si>
  <si>
    <t>Semovientes</t>
  </si>
  <si>
    <t>Acuáticos</t>
  </si>
  <si>
    <t>Plantas</t>
  </si>
  <si>
    <t>Fondos Rotativos</t>
  </si>
  <si>
    <t>A Organismos Multilaterales</t>
  </si>
  <si>
    <t>A Gobiernos y Organismos Gubernamentales</t>
  </si>
  <si>
    <t>Al Sector Privado Financiero</t>
  </si>
  <si>
    <t>Tasas Portuarias y Aeroportuarias</t>
  </si>
  <si>
    <t>Contribuciones Especiales y de Mejora</t>
  </si>
  <si>
    <t>Otros Impuestos, Tasas y Contribuciones</t>
  </si>
  <si>
    <t>Seguros</t>
  </si>
  <si>
    <t>Reajustes de Inversiones</t>
  </si>
  <si>
    <t>Diferencial Cambiario</t>
  </si>
  <si>
    <t>Costas Judiciales, Trámites Notariales, Legalización de Documentos y Arreglos Extrajudiciales</t>
  </si>
  <si>
    <t>Comisiones y Participaciones por Denuncias</t>
  </si>
  <si>
    <t>Prima de Riesgo de Instituciones Financieras</t>
  </si>
  <si>
    <t>Indemnizaciones por Sentencias Judiciales</t>
  </si>
  <si>
    <t>Obligaciones con el IESS por Responsabilidad Patronal</t>
  </si>
  <si>
    <t>Obligaciones por Coactivas Interpuestas por el IESS</t>
  </si>
  <si>
    <t>Intereses por Mora Patronal al IESS</t>
  </si>
  <si>
    <t>Devoluciones</t>
  </si>
  <si>
    <t>Dietas</t>
  </si>
  <si>
    <t>A Entidades del Presupuesto General del Estado</t>
  </si>
  <si>
    <t>A Empresas Públicas</t>
  </si>
  <si>
    <t>A Gobiernos Autónomos Descentralizados</t>
  </si>
  <si>
    <t>A Entidades Financieras Públicas</t>
  </si>
  <si>
    <t>A la Cuenta de Financiamiento de Derivados Deficitarios</t>
  </si>
  <si>
    <t>Indemnizaciones por Afectaciones a los Derechos Humanos</t>
  </si>
  <si>
    <t>Becas y Ayudas Económicas</t>
  </si>
  <si>
    <t>A Jubilados Patronales</t>
  </si>
  <si>
    <t>A Pensionistas Vitalicios</t>
  </si>
  <si>
    <t>Contribución 0.5% de las Planillas de Pago al IESS</t>
  </si>
  <si>
    <t>Por Aplicación de Fondos Ajenos</t>
  </si>
  <si>
    <t>Por Aplicación de Cuentas y Fondos Especiales</t>
  </si>
  <si>
    <t>Entrega de Depósitos Inmovilizados</t>
  </si>
  <si>
    <t>De Precios y Tarifas a Entes Públicos</t>
  </si>
  <si>
    <t>De Precios y Tarifas a Entes Privados</t>
  </si>
  <si>
    <t>De Tarifas a Entes Privados</t>
  </si>
  <si>
    <t>Subsidio a la Vivienda</t>
  </si>
  <si>
    <t>Bono de Desarrollo Humano</t>
  </si>
  <si>
    <t>Adquisición de Insumos Agroquímicos</t>
  </si>
  <si>
    <t>Subsidio Consumo Interno de Derivados de Petróleo</t>
  </si>
  <si>
    <t>Bono Desnutrición Cero</t>
  </si>
  <si>
    <t>Pensión de Adultos Mayores</t>
  </si>
  <si>
    <t>Pensión para Personas con Capacidades Especiales</t>
  </si>
  <si>
    <t>Bono por Discapacidad</t>
  </si>
  <si>
    <t>Bono por Emergencia</t>
  </si>
  <si>
    <t>Bono Joaquín Gallegos Lara</t>
  </si>
  <si>
    <t>Bono de Adherencia a la Tuberculosis</t>
  </si>
  <si>
    <t>Bono para Niños, Niñas y Adolescentes en Situación de Orfandad por Femicidio</t>
  </si>
  <si>
    <t>A Gobiernos Autónomos Descentralizados Parroquiales Rurales por la aplicación del Modelo de Equidad Territorial</t>
  </si>
  <si>
    <t>A Gobiernos Autónomos Descentralizados Provinciales por asumir la Competencia de Riego y Drenaje</t>
  </si>
  <si>
    <t>Contribuciones 40% Pensiones Pagadas por el Seguro General</t>
  </si>
  <si>
    <t>Contribución 40% Pensiones Riesgos del Trabajo</t>
  </si>
  <si>
    <t>Financiamiento Seguro Social Campesino 30% del 1% de Sueldos y Salarios</t>
  </si>
  <si>
    <t>Contribuciones 40% Pensiones Seguro Social Campesino</t>
  </si>
  <si>
    <t>Aporte Anual Seguro Social Campesino</t>
  </si>
  <si>
    <t>Reservas Matemáticas</t>
  </si>
  <si>
    <t>Asignaciones del Estado para el pago de Pensiones del ISSFA</t>
  </si>
  <si>
    <t>Pensiones a Cargo del Estado Pagadas por el ISSFA</t>
  </si>
  <si>
    <t>Asignaciones del Estado para el pago de Pensiones del ISSPOL</t>
  </si>
  <si>
    <t>Reconocimiento de Pago de Pensiones a Héroes y Heroínas Nacionales</t>
  </si>
  <si>
    <t>Pensiones del Seguro Adicional del  Magisterio Fiscal</t>
  </si>
  <si>
    <t>A la Seguridad Social como Aporte del Estado por el Trabajo Juvenil</t>
  </si>
  <si>
    <t>Convenios Internacionales para la Seguridad Social</t>
  </si>
  <si>
    <t>A Usuarios con Enfermedades Catastróficas Beneficiarios de Cobertura Internacional</t>
  </si>
  <si>
    <t>Convenio de Cooperación Técnica Internacional</t>
  </si>
  <si>
    <t>Asignación a Distribuir para Transferencias y Donaciones Corrientes</t>
  </si>
  <si>
    <t>Subsidios por Antigüedad</t>
  </si>
  <si>
    <t>Servicio de Implementación de Bancos de Información</t>
  </si>
  <si>
    <t>Edificios, Locales, Residencias y Cableado Estructurado (Mantenimiento, Reparación e Instalación)</t>
  </si>
  <si>
    <t>Mobiliarios (Instalación, Mantenimiento y Reparación)</t>
  </si>
  <si>
    <t>Instalación, Mantenimiento y Reparación de Bienes Deportivos</t>
  </si>
  <si>
    <t>Edificios, Locales, Residencias, Parqueaderos, Casilleros Judiciales y Bancarios (Arrendamiento)</t>
  </si>
  <si>
    <t>Bienes Bilógicos (Alquiler)</t>
  </si>
  <si>
    <t>Registro, Inscripción y Otros egresos previos a la aceptación para una Capacitación en el Exterior</t>
  </si>
  <si>
    <t>Ayudas Técnicas para Compensar Discapacidades</t>
  </si>
  <si>
    <t>Suministros para la defensa y seguridad pública</t>
  </si>
  <si>
    <t>Bienes Artísticos, Culturales, Bienes Deportivos y Símbolos Patrios</t>
  </si>
  <si>
    <t>Tasas Generales, Impuestos, Contribuciones, Permisos, Licencias y Patentes</t>
  </si>
  <si>
    <t>Intereses por mora Patronal al IESS</t>
  </si>
  <si>
    <t>A Entidades Descentralizadas y Autónomas (Transferencias para Inversión)</t>
  </si>
  <si>
    <t>Transferencias o Donaciones al  Sector Privado Financiero</t>
  </si>
  <si>
    <t>Transferencias o Donaciones al Sector Privado no Financiero</t>
  </si>
  <si>
    <t>Becas</t>
  </si>
  <si>
    <t>Transferencias al Sector Privado no Financiero para sustitución del gas licuado de petróleo</t>
  </si>
  <si>
    <t>Al  Exterior</t>
  </si>
  <si>
    <t>Transferencias o Donaciones de Inversión al Sector Privado no Financiero</t>
  </si>
  <si>
    <t>Bono de Desnutrición Cero</t>
  </si>
  <si>
    <t>Incentivo Económico para Actividades Agropecuarias, Caza y Pesca</t>
  </si>
  <si>
    <t>Vehículos</t>
  </si>
  <si>
    <t>Bienes Artísticos y Culturales</t>
  </si>
  <si>
    <t>Bienes de Seguridad Nacional Estratégica</t>
  </si>
  <si>
    <t>Terrenos (Inmuebles)</t>
  </si>
  <si>
    <t>Edificios, Locales y Residencias (Inmuebles)</t>
  </si>
  <si>
    <t>Bienes Prefabricados (Inmuebles)</t>
  </si>
  <si>
    <t>Terrenos (Expropiación)</t>
  </si>
  <si>
    <t>Edificios, Locales y Residencias (Expropiación)</t>
  </si>
  <si>
    <t>Patentes, Derechos de Autor, Marcas Registradas y Derecho de Llave.</t>
  </si>
  <si>
    <t>Licencias Computacionales</t>
  </si>
  <si>
    <t>Sistemas de Información</t>
  </si>
  <si>
    <t>Páginas Web</t>
  </si>
  <si>
    <t>Bosques</t>
  </si>
  <si>
    <t>Obligaciones de Ejercicios Anteriores por Egresos de Personal</t>
  </si>
  <si>
    <t>Obligaciones de Ejercicios Anteriores por Egresos en Servicios</t>
  </si>
  <si>
    <t>Obligaciones de Ejercicios Anteriores por Laudos y Sentencias Nacionales e Internacionales</t>
  </si>
  <si>
    <t>Otras Obligaciones por Ventas Anticipadas de Petróleo</t>
  </si>
  <si>
    <t>Viceministerio_del_Trabajo_y_Empleo</t>
  </si>
  <si>
    <t>Despacho_Ministerial</t>
  </si>
  <si>
    <t>Viceministerio_del_Servicio_Público</t>
  </si>
  <si>
    <t>UNIDADES_N4</t>
  </si>
  <si>
    <t>UNIDADES_N2</t>
  </si>
  <si>
    <t>UNIDAD_N3</t>
  </si>
  <si>
    <t>Subsecretaría_de_Empleo_y_Salarios</t>
  </si>
  <si>
    <t>Subsecretaría_de_Trabajo</t>
  </si>
  <si>
    <t>Coordinación_de_Empleo_y_Salarios</t>
  </si>
  <si>
    <t>Dirección_de_Control_de_Inspecciones</t>
  </si>
  <si>
    <t>Dirección_de_Análisis_Salarial</t>
  </si>
  <si>
    <t>Dirección_de_Mediacion_Laboral</t>
  </si>
  <si>
    <t>Dirección_de_Atención_a_Grupos_Prioritarios</t>
  </si>
  <si>
    <t>Dirección_de_Organizaciones_Laborales</t>
  </si>
  <si>
    <t>Dirección_de_Empleo_y_Reconversion_Laboral</t>
  </si>
  <si>
    <t>Dirección_de_Seguridad,_Salud_en_el_Trabajo_y_Gestión_Integral_de_Riesgos</t>
  </si>
  <si>
    <t>Subsecretaría_de_Calidad_en_el_Servicio_Público</t>
  </si>
  <si>
    <t>Dirección_de_Calidad_en_el_Servicio_Público</t>
  </si>
  <si>
    <t>Dirección_de_Contacto_Ciudadano</t>
  </si>
  <si>
    <t>Dirección_de_Control_y_Evaluación_de_la_Calidad_en_el_Servicio_Público</t>
  </si>
  <si>
    <t>Dirección_de_Servicios_Procesos_e_Innovación</t>
  </si>
  <si>
    <t>Subsecretaría_de_Evaluación_y_Control_del_Servicio_Público</t>
  </si>
  <si>
    <t>Dirección_de_Control_del_Servicio_Público</t>
  </si>
  <si>
    <t>Dirección_de_Control_Técnico_de_la_Gestión_del_Talento_Humano</t>
  </si>
  <si>
    <t>Subsecretaría_de_Fortalecimiento_del_Servicio_Público</t>
  </si>
  <si>
    <t>Dirección_de_Análisis_y_Diseño_Organizacional</t>
  </si>
  <si>
    <t>Dirección_de_Fortalecimiento_Institucional</t>
  </si>
  <si>
    <t>Dirección_de_Planificación_y_Apoyo_a_la_Gestión_del_Talento_Humano</t>
  </si>
  <si>
    <t>Subsecretaría_de_Meritocracia_y_Desarrollo_del_Talento_Humano</t>
  </si>
  <si>
    <t>Dirección_de_Evaluación_del_Desempeño,_Capacitación_y_Desarrollo_del_Talento_Humano</t>
  </si>
  <si>
    <t>Dirección_de_Gestión_del_Cambio_y_Cultura_Organizacional</t>
  </si>
  <si>
    <t>Dirección_de_Meritocracia_y_Vinculación_del_Talento_Humano</t>
  </si>
  <si>
    <t>Programa_de_Reforma_Institucional_de_la_Gestion_Publica</t>
  </si>
  <si>
    <t>Programa_de_Capacitacion_en_Gestion_del_Talento_Humano</t>
  </si>
  <si>
    <t>Subsecretaría_de_Cualificaciones_Profesionales</t>
  </si>
  <si>
    <t>Dirección_de_Calificación,_Reconocimiento_y_Certificación_de_Operadores</t>
  </si>
  <si>
    <t>Dirección_de_Competencias_y_Certificación</t>
  </si>
  <si>
    <t>Subsecretaría_de_Políticas_y_Normas</t>
  </si>
  <si>
    <t>Dirección_de_Políticas_y_Normas_de_Trabajo_y_Empleo</t>
  </si>
  <si>
    <t>Dirección_de_Políticas_y_Normas_del_Servicio_Público</t>
  </si>
  <si>
    <t>Subsecretaría_Interinstitucional_de_Servicio_Público_Trabajo_y_Empleo</t>
  </si>
  <si>
    <t>Dirección_Interinstitucional_de_Servicio_Público</t>
  </si>
  <si>
    <t>Dirección_Interistitucional_de_Trabajo_y_Empleo</t>
  </si>
  <si>
    <t>Coordinación_de_Inteligencia_de_Información_y_Estudios_del_Trabajo</t>
  </si>
  <si>
    <t>Dirección_de_Investigación_y_Estudios_del_Trabajo</t>
  </si>
  <si>
    <t>Coordinación_General_Administrativa_Financiera</t>
  </si>
  <si>
    <t>Dirección_Administrativa</t>
  </si>
  <si>
    <t>Dirección_de_Administración_del_Talento_Humano</t>
  </si>
  <si>
    <t>Dirección_de_Secretaría_General</t>
  </si>
  <si>
    <t>Dirección_Financiera</t>
  </si>
  <si>
    <t>Coordinación_General_de_Planificación_y_Gestión_Estratégica</t>
  </si>
  <si>
    <t>Dirección_de_Planificación_e_Inversión</t>
  </si>
  <si>
    <t>Dirección_de_Seguimiento_de_Planes_Programas_y_Proyectos</t>
  </si>
  <si>
    <t>Dirección_de_Servicios,_Procesos_y_Cambio_y_Cultura</t>
  </si>
  <si>
    <t>Dirección_de_Tecnologías_de_la_Información_y_Comunicación</t>
  </si>
  <si>
    <t>Dirección_de_Asesoría_Jurídica</t>
  </si>
  <si>
    <t>Dirección_de_Comunicación_Social</t>
  </si>
  <si>
    <t>Dirección_de_Relaciones_Internacionales</t>
  </si>
  <si>
    <t>Dirección_de_Seguimiento_de_Procesos_Coactivos</t>
  </si>
  <si>
    <t>Dirección_Regional_de_Trabajo_y_Servicio_Público_de_Ambato</t>
  </si>
  <si>
    <t>Dirección_Regional_de_Trabajo_y_Servicio_Público_de_Cuenca</t>
  </si>
  <si>
    <t>Dirección_Regional_de_Trabajo_y_Servicio_Público_de_Guayaquil</t>
  </si>
  <si>
    <t>Dirección_Regional_de_Trabajo_y_Servicio_Público_de_Ibarra</t>
  </si>
  <si>
    <t>Dirección_Regional_de_Trabajo_y_Servicio_Público_de_Loja</t>
  </si>
  <si>
    <t>Dirección_Regional_de_Trabajo_y_Servicio_Público_de_Portoviejo</t>
  </si>
  <si>
    <t>TOTALES</t>
  </si>
  <si>
    <t>CODIGO</t>
  </si>
  <si>
    <t>NOMBRE Y DESCRIPCIÓN</t>
  </si>
  <si>
    <t>TRANSFERENCIAS O DONACIONES CORRIENTES</t>
  </si>
  <si>
    <t xml:space="preserve">Pensiones a Cargo del Estado pagadas por el ISSPOL </t>
  </si>
  <si>
    <t>51</t>
  </si>
  <si>
    <t>EGRESOS EN PERSONAL</t>
  </si>
  <si>
    <t xml:space="preserve">Alimentación </t>
  </si>
  <si>
    <t>Compensación Régimen Remunerativo de Fuerzas Armadas, Policía y Cuerpos de Bomberos</t>
  </si>
  <si>
    <t xml:space="preserve">Subsidio de Antigüedad </t>
  </si>
  <si>
    <t xml:space="preserve">Compensación por Vacaciones no Gozadas por Cesación de Funciones </t>
  </si>
  <si>
    <t xml:space="preserve">Ley 2004-39 Incremento de las Pensiones Jubilares del IESS </t>
  </si>
  <si>
    <t>53</t>
  </si>
  <si>
    <t>BIENES Y SERVICIOS DE CONSUMO</t>
  </si>
  <si>
    <t xml:space="preserve">Energía Eléctrica </t>
  </si>
  <si>
    <t>Edición, Impresión, Reproducción, Publicaciones, Suscripciones, Fotocopiado, Traducción, Empastado, Enmarcación, Serigrafía, Fotografía, Carnetización, Filmación e Imágenes Satelitales.</t>
  </si>
  <si>
    <t>Servicios de Aseo, Lavado de Vestimenta de Trabajo, Fumigación, Desinfección,  Limpieza de Instalaciones, manejo de desechos contaminados, recuperación y clasificación de materiales reciclables.</t>
  </si>
  <si>
    <t xml:space="preserve">Servicios para Actividades Agropecuarias, Pesca y Caza </t>
  </si>
  <si>
    <t xml:space="preserve">Servicio de Incineración de Documentos Públicos, Sustancias Estupefacientes y Psicotrópicas, Bienes Defectuosos y/o Caducados, Productos Agropecuarios Decomisados, Desechos de Laboratorio y Otros </t>
  </si>
  <si>
    <t>Servicios de Almacenamiento, Control, Custodia, Dispensación de Medicamentos, Materiales e Insumos Médicos y Otros</t>
  </si>
  <si>
    <t xml:space="preserve">Indumentaria, Prendas de protección, Accesorios y Otros </t>
  </si>
  <si>
    <t xml:space="preserve">Servicios Técnicos Especializados </t>
  </si>
  <si>
    <t xml:space="preserve">Congresos, Seminarios y Convenciones     </t>
  </si>
  <si>
    <t xml:space="preserve">Vestuario, Lencería, Prendas de Protección y Accesorios para uniformes del personal de Protección, Vigilancia y Seguridad. </t>
  </si>
  <si>
    <t xml:space="preserve">Instrumental Médico Quirúrgico  </t>
  </si>
  <si>
    <t xml:space="preserve">Medicamentos  </t>
  </si>
  <si>
    <t xml:space="preserve">Insumos, Materiales y Suministros para Construcción, Electricidad, Plomería, Carpintería, Señalización Vial, Navegación, Contra Incendios y Placas </t>
  </si>
  <si>
    <t xml:space="preserve">Materiales Didácticos  </t>
  </si>
  <si>
    <t xml:space="preserve">Menaje y Accesorios Descartables </t>
  </si>
  <si>
    <t xml:space="preserve">Condecoraciones </t>
  </si>
  <si>
    <t>Insumos, Bienes y Materiales para Producción de Programas de Radio, Televisión, Eventos Culturales, Artísticos y Entretenimiento en General</t>
  </si>
  <si>
    <t xml:space="preserve">Dispositivos Médicos para Odontología </t>
  </si>
  <si>
    <t xml:space="preserve">Dispositivos Médicos para Imagen </t>
  </si>
  <si>
    <t xml:space="preserve">Prótesis, Endoprótesis e Implantes Corporales                        </t>
  </si>
  <si>
    <t xml:space="preserve">Herramientas y Equipos menores </t>
  </si>
  <si>
    <t xml:space="preserve">Fondos de Reposición Cajas Chicas </t>
  </si>
  <si>
    <t>57</t>
  </si>
  <si>
    <t>OTROS EGRESOS CORRIENTES</t>
  </si>
  <si>
    <t>58</t>
  </si>
  <si>
    <t xml:space="preserve">A Entidades Descentralizadas y Autónomas </t>
  </si>
  <si>
    <t xml:space="preserve">A Cuentas o Fondos Especiales </t>
  </si>
  <si>
    <t xml:space="preserve">A Jubilados Patronales </t>
  </si>
  <si>
    <t>Impulso para el emprendimiento</t>
  </si>
  <si>
    <t>Bono por Emergencia Sanitaria</t>
  </si>
  <si>
    <t>A Gobiernos Autónomos Descentralizados Provinciales y al Régimen Especial de Galápagos por la aplicación del Modelo de Equidad Territorial</t>
  </si>
  <si>
    <t>A Gobiernos Autónomos Descentralizados Distritales y Municipales por la aplicación del Modelo de Equidad Territorial</t>
  </si>
  <si>
    <t>A Gobiernos Autónomos Descentralizados Metropolitanos y Municipales por asumir la Competencia de Tránsito, Transporte Terrestre y Seguridad Vial</t>
  </si>
  <si>
    <t>A Gobiernos Autónomos Descentralizados Metropolitanos y Municipales por asumir la Competencia para Preservar el Patrimonio Arquitectónico y Cultural</t>
  </si>
  <si>
    <t xml:space="preserve">A la Seguridad Social por Subsidio del Porcentaje de la Aportación Individual de las Personas que Realizan Trabajo no Remunerado del Hogar </t>
  </si>
  <si>
    <t>Reconocimiento a los ex combatientes no remunerados, ni pensionados, que se encuentren en situación de vulnerabilidad ISSFA</t>
  </si>
  <si>
    <t xml:space="preserve">Mobiliarios </t>
  </si>
  <si>
    <t xml:space="preserve">Maquinarias y Equipos </t>
  </si>
  <si>
    <t xml:space="preserve">Herramientas y equipos menores </t>
  </si>
  <si>
    <t xml:space="preserve">Bienes Biológicos </t>
  </si>
  <si>
    <t>71</t>
  </si>
  <si>
    <t>EGRESOS EN PERSONAL PARA INVERSIÓN</t>
  </si>
  <si>
    <t xml:space="preserve">Remuneración Unificada para Pasantes </t>
  </si>
  <si>
    <t xml:space="preserve">Honorarios </t>
  </si>
  <si>
    <t>73</t>
  </si>
  <si>
    <t>BIENES Y SERVICIOS PARA INVERSIÓN</t>
  </si>
  <si>
    <t xml:space="preserve">Servicio de Incineración de Documentos Públicos, Sustancias Estupefacientes y Psicotrópicas, Bienes Defectuosos o Caducados, Productos Agropecuarios Decomisados, Desechos de Laboratorio y Otros </t>
  </si>
  <si>
    <t xml:space="preserve">Desarrollo, Actualización, Asistencia Técnica y Soporte de Sistemas Informáticos </t>
  </si>
  <si>
    <t xml:space="preserve">Medicamentos </t>
  </si>
  <si>
    <t>Insumos, Bienes y Materiales para la Producción de Programas de Radio y Televisión, Eventos Culturales, Artísticos y Entretenimiento en General</t>
  </si>
  <si>
    <t xml:space="preserve">Fondos de Reposición Cajas Chicas en Proyectos y Programas de Inversión </t>
  </si>
  <si>
    <t xml:space="preserve">Fondos Rotativos en Proyectos y Programas de Inversión  </t>
  </si>
  <si>
    <t>77</t>
  </si>
  <si>
    <t>OTROS EGRESOS DE INVERSIÓN</t>
  </si>
  <si>
    <t>78</t>
  </si>
  <si>
    <t>TRANSFERENCIAS O DONACIONES PARA INVERSION</t>
  </si>
  <si>
    <t xml:space="preserve">Bono de la Vivienda </t>
  </si>
  <si>
    <t xml:space="preserve">A Organismos Externos Partícipes del Fondo Ecuador – Venezuela para el Desarrollo </t>
  </si>
  <si>
    <t>A Gobiernos Autónomos Descentralizados Provinciales y Régimen Especial de Galápagos por el Ejercicio de Nuevas Competencias</t>
  </si>
  <si>
    <t>84</t>
  </si>
  <si>
    <t>BIENES DE LARGA DURACIÓN (PROPIEDADES PLANTA Y EQUIPO)</t>
  </si>
  <si>
    <t xml:space="preserve">Herramientas </t>
  </si>
  <si>
    <t xml:space="preserve">Equipos Médicos                     </t>
  </si>
  <si>
    <t xml:space="preserve">Equipos Odontológicos                                        </t>
  </si>
  <si>
    <t>99</t>
  </si>
  <si>
    <t>OTROS PASIVOS</t>
  </si>
  <si>
    <t>Transferencias_o_donaciones_corrientes</t>
  </si>
  <si>
    <t>Egresos_en_personal</t>
  </si>
  <si>
    <t>Bienes_y_servicios_de_consumo</t>
  </si>
  <si>
    <t>Otros_egresos_corrientes</t>
  </si>
  <si>
    <t>Egresos_en_personal_para_inversión</t>
  </si>
  <si>
    <t>Bienes_y_servicios_para_inversión</t>
  </si>
  <si>
    <t>Otros_egresos_de_inversión</t>
  </si>
  <si>
    <t>Transferencias_o_donaciones_para_inversion</t>
  </si>
  <si>
    <t>Otros_pasivos</t>
  </si>
  <si>
    <t>Bienes_de_larga_duración_propiedades_planta_y_equipo</t>
  </si>
  <si>
    <t>Dirección_de_Evaluación_y_Control_del_Servicio_Público</t>
  </si>
  <si>
    <t>Dirección_de_Recurso_y_Sumarios_Administrativos</t>
  </si>
  <si>
    <t>Direcciones_Regionales_de_Trabajo_y_Servicio_Público</t>
  </si>
  <si>
    <t>Programa</t>
  </si>
  <si>
    <t>Proyecto</t>
  </si>
  <si>
    <t>Actividad</t>
  </si>
  <si>
    <t>Nuevo</t>
  </si>
  <si>
    <t>Arrastre</t>
  </si>
  <si>
    <t>ind</t>
  </si>
  <si>
    <t>Política de Ambiente</t>
  </si>
  <si>
    <t>NOMBRE ENTIDAD</t>
  </si>
  <si>
    <t>EOD</t>
  </si>
  <si>
    <t>CUP</t>
  </si>
  <si>
    <t>MINISTERIO DEL TRABAJO REGIONAL 2 LITORAL Y GALAPAGOS</t>
  </si>
  <si>
    <t>PROGRAMADE REFORMA INSTITUCIONAL DE LA GESTIÓN PÚBLICA</t>
  </si>
  <si>
    <t>30400000.1780.7402.</t>
  </si>
  <si>
    <t>MINISTERIO DEL TRABAJO REGIONAL 3 CENTRO DE LA SIERRA Y AMAZONIA</t>
  </si>
  <si>
    <t>PROGRAMA DE CAPACITACION EN GESTION DEL TALENTO HUMANO</t>
  </si>
  <si>
    <t>113150000.0000.381389.</t>
  </si>
  <si>
    <t>MINISTERIO DEL TRABAJO DIRECCION REGIONAL DE TRABAJO Y SERVICIO PUBLICO DE CUENCA REGIONAL 6</t>
  </si>
  <si>
    <t>LOS DEMÁS</t>
  </si>
  <si>
    <t>N/A</t>
  </si>
  <si>
    <t>DIRECCION REGIONAL DE TRABAJO 1 DE IBARRA</t>
  </si>
  <si>
    <t>DIRECCION REGIONAL DEL MINISTERIO DEL TRABAJO No 7 LOJA EL ORO Y ZAMORA</t>
  </si>
  <si>
    <t>DIRECCION REGIONAL DE TRABAJO Y SERVICIO PUBLICO - DIRECCION REGIONAL MANTA</t>
  </si>
  <si>
    <t>MINISTERIO DEL TRABAJO - PLANTA CENTRAL</t>
  </si>
  <si>
    <t>2-Dirección_Regional_de_Trabajo_y_Servicio_Público_de_Guayaquil</t>
  </si>
  <si>
    <t>3-Dirección_Regional_de_Trabajo_y_Servicio_Público_de_Ambato</t>
  </si>
  <si>
    <t>4-Dirección_Regional_de_Trabajo_y_Servicio_Público_de_Cuenca</t>
  </si>
  <si>
    <t>10-Dirección_Regional_de_Trabajo_y_Servicio_Público_de_Ibarra</t>
  </si>
  <si>
    <t>11-Dirección_Regional_de_Trabajo_y_Servicio_Público_de_Loja</t>
  </si>
  <si>
    <t>13-Dirección_Regional_de_Trabajo_y_Servicio_Público_de_Portoviejo</t>
  </si>
  <si>
    <t>9999-Planta_Central</t>
  </si>
  <si>
    <t>Recursos fiscales</t>
  </si>
  <si>
    <t>Recursos fiscales generados por las instituciones</t>
  </si>
  <si>
    <t>Recursos provenientes de preasignaciones</t>
  </si>
  <si>
    <t>Recursos provenientes de la ley orgánica de solidaridad</t>
  </si>
  <si>
    <t>Colocaciones externas</t>
  </si>
  <si>
    <t>Préstamos externos</t>
  </si>
  <si>
    <t>Colocaciones internas</t>
  </si>
  <si>
    <t>Prestamos internos</t>
  </si>
  <si>
    <t>Asistencia técnica y donaciones</t>
  </si>
  <si>
    <t>Otros recursos</t>
  </si>
  <si>
    <t>Anticipos de ejercicios anteriores</t>
  </si>
  <si>
    <t>TOTAL PROFORMA 2023</t>
  </si>
  <si>
    <t>CUADRE PROFORMA 2023</t>
  </si>
  <si>
    <t>UNIDAD ADMINISTRATIVA N2 (VICEMINISTERIO / DESPACHO)</t>
  </si>
  <si>
    <t>UNIDAD ADMINISTRATIVA N3 (SUBSECRETARÍA / COORDINACIÓN)</t>
  </si>
  <si>
    <t>UNIDAD ADMINISTRATIVA N4 (DIRECCIÓN TÉCNICA)</t>
  </si>
  <si>
    <t>NUEVO-ARRASTRE</t>
  </si>
  <si>
    <t>POLÍTICA AMBIENTAL</t>
  </si>
  <si>
    <t>Política de Igualdad</t>
  </si>
  <si>
    <t>COD. ORG.</t>
  </si>
  <si>
    <t>Incrementar el empleo adecuado en el Ecuador</t>
  </si>
  <si>
    <t>001-Programa de reforma institucional de la gestión pública</t>
  </si>
  <si>
    <t>001-Administracion central</t>
  </si>
  <si>
    <t>055-Promocion de empleo verificación y control de derechos y obligaciones laborales</t>
  </si>
  <si>
    <t>000-Sin proyecto</t>
  </si>
  <si>
    <t>005-Programa de capacitación en gestión del talento humano</t>
  </si>
  <si>
    <t>001-Fortalecimiento institucional</t>
  </si>
  <si>
    <t>001-Promocion del empleo y control de los derechos y obligaciones laborales</t>
  </si>
  <si>
    <t>003-Fortalecimiento de la calidad del servicio publico</t>
  </si>
  <si>
    <t>001-Capacitación en gestión del talento humano</t>
  </si>
  <si>
    <t>01.07 Adultos Mayores</t>
  </si>
  <si>
    <t>01.06 Juventud</t>
  </si>
  <si>
    <t>01.05 Infancia Niñez y Adolescencia</t>
  </si>
  <si>
    <t>01.04 Movilidad Humana</t>
  </si>
  <si>
    <t>01.03 Interculturalidad</t>
  </si>
  <si>
    <t>01.02 Discapacidades</t>
  </si>
  <si>
    <t>01.01 Género</t>
  </si>
  <si>
    <t>02.01Cambio climático</t>
  </si>
  <si>
    <t>02.02Suelos, aguas subterráneas y superficiales</t>
  </si>
  <si>
    <t>02.03Aguas residuales</t>
  </si>
  <si>
    <t>02.04Sustancias químicas y residuos</t>
  </si>
  <si>
    <t>02.05Ruido y vibraciones</t>
  </si>
  <si>
    <t>02.06Radiaciones</t>
  </si>
  <si>
    <t>02.07Patrimonio natural y biodiversidad</t>
  </si>
  <si>
    <t>02.08Recurso agua</t>
  </si>
  <si>
    <t>02.09Recursos minerales e hidrocarburíferos</t>
  </si>
  <si>
    <t>02.10Recursos energéticos renovables</t>
  </si>
  <si>
    <t>02.11Recursos forestales</t>
  </si>
  <si>
    <t>02.12Recursos acuáticos</t>
  </si>
  <si>
    <t xml:space="preserve">02.13Investigación y desarrollo, protección </t>
  </si>
  <si>
    <t>02.14Investigación y desarrollo, gestión de recursos</t>
  </si>
  <si>
    <t>02.15Institucionalidad y política pública</t>
  </si>
  <si>
    <t>Despacho_Ministerial.</t>
  </si>
  <si>
    <t>Item</t>
  </si>
  <si>
    <t>Concepto sugerido</t>
  </si>
  <si>
    <t>Pago por el servicio de Agua Potable para  (detallar el nombre de la Dirección Regional y/o Delegación, según sea el caso)</t>
  </si>
  <si>
    <t>Contratación del servicio de Combustible para (detallar el nombre de la Dirección Regional y/o Delegación, según sea el caso)</t>
  </si>
  <si>
    <t>Edificios- Locales y Residencias- Parqueaderos- Casilleros Judiciales y Bancarios (Arrendamiento)</t>
  </si>
  <si>
    <t>Arrendamiento de un bien inmueble para las oficinas de la  (detallar el nombre de la Dirección Regional y/o Delegación, según sea el caso)</t>
  </si>
  <si>
    <t>Pago por el servicio de Energia Electrica para (detallar el nombre de la Dirección Regional y/o Delegación, según sea el caso)</t>
  </si>
  <si>
    <t>Maquinarias y Equipos (Instalación- Mantenimiento y Reparación)</t>
  </si>
  <si>
    <t>Servicio de mantenimiento (detallar conforme lanecesidad institucional el tipo de mantenimiento ya sea preventivo y/o correctivo para la Dirección Regional y/o Delegación, según sea el caso)</t>
  </si>
  <si>
    <t>Adquisición de suministros de oficina para la(detallar el nombre de la Dirección Regional y/o Delegación, según sea el caso)</t>
  </si>
  <si>
    <t>Pago de Pasajes al Exterior por comisión de servicios de funcionarios (Detallar el nombre de la Dirección Regional y/o Delegaciones, según sea el caso)</t>
  </si>
  <si>
    <t>Pago por el servicio de Pasajes al Interior por comisión de servicios de funcionarios (Detallar el nombre de la Dirección Regional y sus Delegaciones, según sea el caso)</t>
  </si>
  <si>
    <t>Contratación del servicio de correspondencia (detallar los productos o servicios esperados conforme a la necesidad institucional y detallar el nombre de la Dirección Regional y/o Delegación, según sea el caso)</t>
  </si>
  <si>
    <t>Contratación del servicio de vigilancia y seguridad privada para la ( detallar el nombre de la Dirección Regional y/o Delegación, según sea el caso)</t>
  </si>
  <si>
    <t>Servicios de Aseo -Lavado de Vestimenta de Trabajo- Fumigación -Desinfección Limpieza de Instalaciones manejo de desechos contaminados recuperación y clasificación de materiales reciclables</t>
  </si>
  <si>
    <t>Contratación del servicio de aseo y limpieza para las oficinas (detallar el nombre de la Dirección Regional y/o Delegación, según sea el caso)</t>
  </si>
  <si>
    <t>Vehiculos (Servicio para Mantenimiento y Reparación)</t>
  </si>
  <si>
    <t>Contratación del servicio de mantenimiento preventivo y/o correctivo de los vehículos (detallar el nombre de la Dirección Regional y/o Delegación, según sea el caso)</t>
  </si>
  <si>
    <t>Viaticos y Subsistencias en el Exterior</t>
  </si>
  <si>
    <t>Pago de Viaticos y Subsistencias en el Exterior por viaje de comisión de servicios a funcionarios (Detallar el nombre de la Dirección Regional y/o Delegaciones, según sea el caso)</t>
  </si>
  <si>
    <t>Viaticos y Subsistencias en el Interior</t>
  </si>
  <si>
    <t>Pago por el servicio de Viaticos y Subsistencias en el Interior por viaje de comisión de servicios a funcionarios (Detallar el nombre de la Dirección Regional y/o Delegaciones, según sea el caso)</t>
  </si>
  <si>
    <t>Descripción del Item</t>
  </si>
  <si>
    <t>ACTIVIDADES HOMOLOGADAS</t>
  </si>
  <si>
    <t>001-Mi Primer Empelo</t>
  </si>
  <si>
    <t>006-Empleo Joven</t>
  </si>
  <si>
    <t>007-Compromiso por el Empleo</t>
  </si>
  <si>
    <t>008 Proyecto de Gestión del Subsistema de Empleo en el Servicio Público</t>
  </si>
  <si>
    <t>MINISTERIO DEL TRABAJO
PAP Inicial 2023</t>
  </si>
  <si>
    <t>MODIFICACIONES PAP (+)</t>
  </si>
  <si>
    <t>MODIFICACIONES PAP (-)</t>
  </si>
  <si>
    <t>CODIFICADO</t>
  </si>
  <si>
    <t>TOTAL PAP 2023</t>
  </si>
  <si>
    <t>PLURIANUAL</t>
  </si>
  <si>
    <t>PLURI</t>
  </si>
  <si>
    <t xml:space="preserve">SI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</si>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</sst>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&quot;$&quot;\ #,##0.00"/>
    <numFmt numFmtId="165" formatCode="000"/>
  </numFmts>
  <fonts count="4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 Narrow"/>
      <family val="2"/>
    </font>
    <font>
      <b/>
      <sz val="10"/>
      <color rgb="FF333333"/>
      <name val="Arial"/>
      <family val="2"/>
    </font>
    <font>
      <b/>
      <sz val="10"/>
      <color theme="0"/>
      <name val="Arial Narrow"/>
      <family val="2"/>
    </font>
    <font>
      <b/>
      <sz val="10"/>
      <color rgb="FFFFFFFF"/>
      <name val="&quot;Arial Narrow&quot;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name val="&quot;Arial Narrow&quot;"/>
    </font>
    <font>
      <sz val="11"/>
      <color theme="1"/>
      <name val="Calibri Light"/>
      <family val="2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9"/>
      <color rgb="FFFFFFFF"/>
      <name val="Arial Narrow"/>
      <family val="2"/>
    </font>
    <font>
      <b/>
      <sz val="8"/>
      <color rgb="FFFFFFFF"/>
      <name val="Trebuchet MS"/>
      <family val="2"/>
    </font>
  </fonts>
  <fills count="19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rgb="FF244061"/>
      </patternFill>
    </fill>
    <fill>
      <patternFill patternType="solid">
        <fgColor theme="6" tint="0.39997558519241921"/>
        <bgColor rgb="FF244061"/>
      </patternFill>
    </fill>
    <fill>
      <patternFill patternType="solid">
        <fgColor theme="5" tint="0.39997558519241921"/>
        <bgColor rgb="FF244061"/>
      </patternFill>
    </fill>
    <fill>
      <patternFill patternType="solid">
        <fgColor theme="4" tint="-0.249977111117893"/>
        <bgColor rgb="FF24406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24406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24406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206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/>
  </cellStyleXfs>
  <cellXfs count="117">
    <xf numFmtId="0" fontId="0" fillId="0" borderId="0" xfId="0" applyFont="1" applyAlignment="1"/>
    <xf numFmtId="0" fontId="13" fillId="3" borderId="3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4" fontId="17" fillId="0" borderId="1" xfId="0" applyNumberFormat="1" applyFont="1" applyBorder="1" applyAlignment="1">
      <alignment horizontal="center" vertical="center"/>
    </xf>
    <xf numFmtId="43" fontId="17" fillId="0" borderId="1" xfId="0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4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43" fontId="17" fillId="5" borderId="1" xfId="0" applyNumberFormat="1" applyFont="1" applyFill="1" applyBorder="1" applyAlignment="1">
      <alignment horizontal="center" vertical="center"/>
    </xf>
    <xf numFmtId="4" fontId="17" fillId="5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2" fillId="9" borderId="6" xfId="0" applyFont="1" applyFill="1" applyBorder="1" applyAlignment="1">
      <alignment horizontal="center" vertical="center" wrapText="1"/>
    </xf>
    <xf numFmtId="0" fontId="11" fillId="0" borderId="0" xfId="0" applyFont="1" applyFill="1" applyAlignment="1"/>
    <xf numFmtId="0" fontId="22" fillId="0" borderId="5" xfId="0" applyFont="1" applyFill="1" applyBorder="1" applyAlignment="1">
      <alignment horizontal="center" vertical="center" wrapText="1"/>
    </xf>
    <xf numFmtId="4" fontId="23" fillId="11" borderId="15" xfId="0" applyNumberFormat="1" applyFont="1" applyFill="1" applyBorder="1" applyAlignment="1" applyProtection="1">
      <alignment horizontal="center" vertical="center" wrapText="1"/>
      <protection hidden="1"/>
    </xf>
    <xf numFmtId="4" fontId="24" fillId="12" borderId="7" xfId="0" applyNumberFormat="1" applyFont="1" applyFill="1" applyBorder="1" applyAlignment="1" applyProtection="1">
      <alignment horizontal="center" vertical="center"/>
      <protection hidden="1"/>
    </xf>
    <xf numFmtId="0" fontId="0" fillId="0" borderId="7" xfId="0" applyFont="1" applyBorder="1" applyAlignment="1"/>
    <xf numFmtId="0" fontId="9" fillId="0" borderId="7" xfId="0" applyFont="1" applyBorder="1" applyAlignment="1"/>
    <xf numFmtId="0" fontId="0" fillId="0" borderId="0" xfId="0" applyFont="1" applyBorder="1" applyAlignment="1"/>
    <xf numFmtId="0" fontId="9" fillId="0" borderId="0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17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43" fontId="17" fillId="0" borderId="7" xfId="0" applyNumberFormat="1" applyFont="1" applyBorder="1" applyAlignment="1">
      <alignment horizontal="center" vertical="center" wrapText="1"/>
    </xf>
    <xf numFmtId="4" fontId="17" fillId="0" borderId="7" xfId="0" applyNumberFormat="1" applyFont="1" applyBorder="1" applyAlignment="1">
      <alignment horizontal="center" vertical="center" wrapText="1"/>
    </xf>
    <xf numFmtId="164" fontId="14" fillId="9" borderId="6" xfId="0" applyNumberFormat="1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vertical="center" wrapText="1"/>
    </xf>
    <xf numFmtId="165" fontId="17" fillId="0" borderId="7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0" fillId="0" borderId="0" xfId="0" applyFill="1" applyAlignment="1"/>
    <xf numFmtId="0" fontId="10" fillId="0" borderId="0" xfId="0" applyFont="1" applyFill="1" applyAlignment="1"/>
    <xf numFmtId="0" fontId="19" fillId="0" borderId="0" xfId="0" applyFont="1" applyFill="1" applyAlignment="1">
      <alignment horizontal="center"/>
    </xf>
    <xf numFmtId="0" fontId="19" fillId="0" borderId="0" xfId="0" applyFont="1" applyFill="1" applyAlignment="1"/>
    <xf numFmtId="0" fontId="10" fillId="0" borderId="9" xfId="0" applyFont="1" applyFill="1" applyBorder="1" applyAlignment="1"/>
    <xf numFmtId="0" fontId="10" fillId="0" borderId="0" xfId="0" applyFont="1" applyFill="1" applyBorder="1" applyAlignment="1"/>
    <xf numFmtId="0" fontId="0" fillId="0" borderId="12" xfId="0" applyFill="1" applyBorder="1" applyAlignment="1"/>
    <xf numFmtId="0" fontId="10" fillId="0" borderId="7" xfId="0" applyFont="1" applyFill="1" applyBorder="1" applyAlignment="1"/>
    <xf numFmtId="0" fontId="0" fillId="0" borderId="7" xfId="0" applyFill="1" applyBorder="1" applyAlignment="1"/>
    <xf numFmtId="0" fontId="0" fillId="0" borderId="11" xfId="0" applyFill="1" applyBorder="1" applyAlignment="1"/>
    <xf numFmtId="0" fontId="0" fillId="0" borderId="0" xfId="0" applyFont="1" applyFill="1" applyAlignment="1"/>
    <xf numFmtId="0" fontId="10" fillId="0" borderId="10" xfId="0" applyFont="1" applyFill="1" applyBorder="1" applyAlignment="1"/>
    <xf numFmtId="0" fontId="0" fillId="0" borderId="0" xfId="0" applyFill="1" applyBorder="1" applyAlignment="1"/>
    <xf numFmtId="0" fontId="0" fillId="0" borderId="13" xfId="0" applyFill="1" applyBorder="1" applyAlignment="1"/>
    <xf numFmtId="0" fontId="25" fillId="0" borderId="16" xfId="0" applyFont="1" applyFill="1" applyBorder="1" applyAlignment="1"/>
    <xf numFmtId="0" fontId="26" fillId="13" borderId="7" xfId="0" applyFont="1" applyFill="1" applyBorder="1" applyAlignment="1">
      <alignment vertical="center"/>
    </xf>
    <xf numFmtId="0" fontId="25" fillId="0" borderId="0" xfId="0" applyFont="1" applyFill="1" applyAlignment="1"/>
    <xf numFmtId="0" fontId="9" fillId="13" borderId="7" xfId="0" applyFont="1" applyFill="1" applyBorder="1" applyAlignment="1"/>
    <xf numFmtId="0" fontId="6" fillId="0" borderId="0" xfId="0" applyFont="1" applyFill="1" applyAlignment="1"/>
    <xf numFmtId="0" fontId="9" fillId="0" borderId="0" xfId="0" applyFont="1" applyFill="1" applyAlignment="1"/>
    <xf numFmtId="0" fontId="9" fillId="10" borderId="14" xfId="0" applyFont="1" applyFill="1" applyBorder="1" applyAlignment="1"/>
    <xf numFmtId="0" fontId="27" fillId="13" borderId="7" xfId="0" applyFont="1" applyFill="1" applyBorder="1" applyAlignment="1"/>
    <xf numFmtId="0" fontId="28" fillId="14" borderId="7" xfId="0" applyFont="1" applyFill="1" applyBorder="1" applyAlignment="1">
      <alignment horizontal="center" vertical="center"/>
    </xf>
    <xf numFmtId="0" fontId="29" fillId="14" borderId="7" xfId="0" applyFont="1" applyFill="1" applyBorder="1" applyAlignment="1">
      <alignment horizontal="center" vertical="center"/>
    </xf>
    <xf numFmtId="165" fontId="27" fillId="13" borderId="7" xfId="0" applyNumberFormat="1" applyFont="1" applyFill="1" applyBorder="1" applyAlignment="1"/>
    <xf numFmtId="165" fontId="0" fillId="0" borderId="0" xfId="0" applyNumberFormat="1" applyFont="1" applyFill="1" applyAlignment="1"/>
    <xf numFmtId="0" fontId="0" fillId="13" borderId="7" xfId="0" applyFont="1" applyFill="1" applyBorder="1" applyAlignment="1"/>
    <xf numFmtId="0" fontId="26" fillId="13" borderId="7" xfId="0" applyFont="1" applyFill="1" applyBorder="1" applyAlignment="1"/>
    <xf numFmtId="165" fontId="7" fillId="0" borderId="0" xfId="0" applyNumberFormat="1" applyFont="1" applyAlignment="1">
      <alignment vertical="center"/>
    </xf>
    <xf numFmtId="0" fontId="19" fillId="15" borderId="0" xfId="0" applyFont="1" applyFill="1" applyAlignment="1">
      <alignment horizontal="center"/>
    </xf>
    <xf numFmtId="0" fontId="19" fillId="16" borderId="0" xfId="0" applyFont="1" applyFill="1" applyAlignment="1">
      <alignment horizontal="center"/>
    </xf>
    <xf numFmtId="0" fontId="19" fillId="16" borderId="0" xfId="1" applyFont="1" applyFill="1" applyAlignment="1">
      <alignment horizontal="center"/>
    </xf>
    <xf numFmtId="0" fontId="0" fillId="15" borderId="0" xfId="0" applyFill="1" applyAlignment="1">
      <alignment horizontal="left" vertical="center"/>
    </xf>
    <xf numFmtId="0" fontId="8" fillId="16" borderId="0" xfId="0" applyFont="1" applyFill="1" applyAlignment="1">
      <alignment horizontal="left" vertical="center"/>
    </xf>
    <xf numFmtId="0" fontId="30" fillId="15" borderId="0" xfId="0" applyFont="1" applyFill="1" applyBorder="1" applyAlignment="1">
      <alignment horizontal="left" vertical="center"/>
    </xf>
    <xf numFmtId="3" fontId="30" fillId="15" borderId="0" xfId="0" applyNumberFormat="1" applyFont="1" applyFill="1" applyBorder="1" applyAlignment="1">
      <alignment horizontal="left" vertical="center"/>
    </xf>
    <xf numFmtId="0" fontId="0" fillId="15" borderId="0" xfId="0" applyFill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Fill="1" applyAlignment="1"/>
    <xf numFmtId="0" fontId="5" fillId="0" borderId="0" xfId="0" applyFont="1" applyFill="1" applyAlignment="1"/>
    <xf numFmtId="0" fontId="0" fillId="15" borderId="0" xfId="0" applyFont="1" applyFill="1" applyAlignment="1">
      <alignment horizontal="left" vertical="center"/>
    </xf>
    <xf numFmtId="0" fontId="0" fillId="0" borderId="7" xfId="0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4" fillId="0" borderId="7" xfId="0" applyFont="1" applyFill="1" applyBorder="1" applyAlignment="1">
      <alignment horizontal="center" vertical="center" wrapText="1"/>
    </xf>
    <xf numFmtId="0" fontId="35" fillId="0" borderId="0" xfId="0" applyFont="1" applyAlignment="1"/>
    <xf numFmtId="0" fontId="4" fillId="0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2" fillId="13" borderId="7" xfId="0" applyFont="1" applyFill="1" applyBorder="1" applyAlignment="1">
      <alignment vertical="center"/>
    </xf>
    <xf numFmtId="0" fontId="2" fillId="13" borderId="7" xfId="0" applyFont="1" applyFill="1" applyBorder="1" applyAlignment="1"/>
    <xf numFmtId="0" fontId="0" fillId="0" borderId="0" xfId="0"/>
    <xf numFmtId="0" fontId="36" fillId="16" borderId="0" xfId="0" applyFont="1" applyFill="1" applyAlignment="1">
      <alignment horizontal="left" vertical="center"/>
    </xf>
    <xf numFmtId="0" fontId="37" fillId="16" borderId="0" xfId="0" applyFont="1" applyFill="1" applyAlignment="1">
      <alignment horizontal="left" vertical="center"/>
    </xf>
    <xf numFmtId="0" fontId="38" fillId="16" borderId="0" xfId="0" applyFont="1" applyFill="1" applyAlignment="1">
      <alignment horizontal="left" vertical="center"/>
    </xf>
    <xf numFmtId="0" fontId="39" fillId="16" borderId="0" xfId="0" applyFont="1" applyFill="1" applyAlignment="1">
      <alignment horizontal="left" vertical="center"/>
    </xf>
    <xf numFmtId="0" fontId="40" fillId="16" borderId="0" xfId="0" applyFont="1" applyFill="1" applyAlignment="1">
      <alignment horizontal="left" vertical="center"/>
    </xf>
    <xf numFmtId="0" fontId="41" fillId="16" borderId="0" xfId="0" applyFont="1" applyFill="1" applyAlignment="1">
      <alignment horizontal="left" vertical="center"/>
    </xf>
    <xf numFmtId="0" fontId="42" fillId="17" borderId="18" xfId="0" applyFont="1" applyFill="1" applyBorder="1" applyAlignment="1">
      <alignment horizontal="center" vertical="center" wrapText="1"/>
    </xf>
    <xf numFmtId="0" fontId="43" fillId="18" borderId="19" xfId="0" applyFont="1" applyFill="1" applyBorder="1" applyAlignment="1">
      <alignment horizontal="center" vertical="center" wrapText="1"/>
    </xf>
    <xf numFmtId="0" fontId="43" fillId="18" borderId="20" xfId="0" applyFont="1" applyFill="1" applyBorder="1" applyAlignment="1">
      <alignment horizontal="center" vertical="center" wrapText="1"/>
    </xf>
    <xf numFmtId="0" fontId="1" fillId="0" borderId="0" xfId="0" applyFont="1" applyFill="1" applyAlignment="1"/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center"/>
    </xf>
  </cellXfs>
  <cellStyles count="2">
    <cellStyle name="Normal" xfId="0" builtinId="0"/>
    <cellStyle name="Normal 2" xfId="1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bgColor auto="1"/>
        </patternFill>
      </fill>
      <alignment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ill>
        <patternFill patternType="none">
          <bgColor auto="1"/>
        </patternFill>
      </fill>
      <alignment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textRotation="0" wrapText="0" indent="0" justifyLastLine="0" shrinkToFit="0" readingOrder="0"/>
    </dxf>
    <dxf>
      <fill>
        <patternFill patternType="none">
          <bgColor auto="1"/>
        </patternFill>
      </fill>
      <alignment textRotation="0" wrapText="0" indent="0" justifyLastLine="0" shrinkToFit="0" readingOrder="0"/>
    </dxf>
    <dxf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16626</xdr:colOff>
      <xdr:row>0</xdr:row>
      <xdr:rowOff>2</xdr:rowOff>
    </xdr:from>
    <xdr:to>
      <xdr:col>2</xdr:col>
      <xdr:colOff>1758</xdr:colOff>
      <xdr:row>3</xdr:row>
      <xdr:rowOff>139248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768" y="2"/>
          <a:ext cx="2818013" cy="7128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2:A5" totalsRowShown="0" headerRowDxfId="63" dataDxfId="62">
  <autoFilter ref="A2:A5"/>
  <tableColumns count="1">
    <tableColumn id="1" name="UNIDADES_N2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a5" displayName="Tabla5" ref="C2:C4" totalsRowShown="0" headerRowDxfId="60" dataDxfId="58" headerRowBorderDxfId="59" tableBorderDxfId="57" totalsRowBorderDxfId="56">
  <autoFilter ref="C2:C4"/>
  <tableColumns count="1">
    <tableColumn id="1" name="Viceministerio_del_Trabajo_y_Empleo" dataDxfId="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a6" displayName="Tabla6" ref="E2:E6" totalsRowShown="0" headerRowDxfId="54" dataDxfId="52" headerRowBorderDxfId="53" tableBorderDxfId="51" totalsRowBorderDxfId="50">
  <autoFilter ref="E2:E6"/>
  <tableColumns count="1">
    <tableColumn id="1" name="Subsecretaría_de_Empleo_y_Salarios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Tabla7" displayName="Tabla7" ref="E8:E12" totalsRowShown="0" headerRowDxfId="48" dataDxfId="46" headerRowBorderDxfId="47" tableBorderDxfId="45">
  <autoFilter ref="E8:E12"/>
  <tableColumns count="1">
    <tableColumn id="1" name="Subsecretaría_de_Trabajo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Tabla8" displayName="Tabla8" ref="C6:C10" totalsRowShown="0" headerRowDxfId="43" dataDxfId="41" headerRowBorderDxfId="42" tableBorderDxfId="40">
  <autoFilter ref="C6:C10"/>
  <tableColumns count="1">
    <tableColumn id="1" name="Viceministerio_del_Servicio_Público" dataDxfId="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9" name="Tabla9" displayName="Tabla9" ref="E14:E18" totalsRowShown="0" headerRowDxfId="38" dataDxfId="37">
  <autoFilter ref="E14:E18"/>
  <tableColumns count="1">
    <tableColumn id="1" name="Subsecretaría_de_Calidad_en_el_Servicio_Público" dataDxfId="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0" name="Tabla10" displayName="Tabla10" ref="E20:E24" totalsRowShown="0" headerRowDxfId="35" dataDxfId="34">
  <autoFilter ref="E20:E24"/>
  <tableColumns count="1">
    <tableColumn id="1" name="Subsecretaría_de_Evaluación_y_Control_del_Servicio_Público" dataDxfId="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1" name="Tabla11" displayName="Tabla11" ref="E26:E30" totalsRowShown="0" headerRowDxfId="32" dataDxfId="31">
  <autoFilter ref="E26:E30"/>
  <tableColumns count="1">
    <tableColumn id="1" name="Subsecretaría_de_Fortalecimiento_del_Servicio_Público" dataDxfId="3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Tabla12" displayName="Tabla12" ref="E32:E36" totalsRowShown="0" headerRowDxfId="29" dataDxfId="28">
  <autoFilter ref="E32:E36"/>
  <tableColumns count="1">
    <tableColumn id="1" name="Subsecretaría_de_Meritocracia_y_Desarrollo_del_Talento_Humano" dataDxfId="2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4" name="Tabla14" displayName="Tabla14" ref="C12:C21" totalsRowShown="0" headerRowDxfId="26" dataDxfId="25">
  <autoFilter ref="C12:C21"/>
  <tableColumns count="1">
    <tableColumn id="1" name="Despacho_Ministerial" data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5" name="Tabla15" displayName="Tabla15" ref="E38:E40" totalsRowShown="0" headerRowDxfId="23" dataDxfId="22">
  <autoFilter ref="E38:E40"/>
  <tableColumns count="1">
    <tableColumn id="1" name="Subsecretaría_de_Cualificaciones_Profesionales" dataDxfId="2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6" name="Tabla16" displayName="Tabla16" ref="E42:E44" totalsRowShown="0" headerRowDxfId="20" dataDxfId="19">
  <autoFilter ref="E42:E44"/>
  <tableColumns count="1">
    <tableColumn id="1" name="Subsecretaría_de_Políticas_y_Norma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7" name="Tabla17" displayName="Tabla17" ref="E46:E48" totalsRowShown="0" headerRowDxfId="17" dataDxfId="16">
  <autoFilter ref="E46:E48"/>
  <tableColumns count="1">
    <tableColumn id="1" name="Subsecretaría_Interinstitucional_de_Servicio_Público_Trabajo_y_Empleo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20" name="Tabla20" displayName="Tabla20" ref="E50:E54" totalsRowShown="0" headerRowDxfId="14" dataDxfId="13">
  <autoFilter ref="E50:E54"/>
  <tableColumns count="1">
    <tableColumn id="1" name="Coordinación_General_de_Planificación_y_Gestión_Estratégica" dataDxfId="1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21" name="Tabla21" displayName="Tabla21" ref="E56:E60" totalsRowShown="0" headerRowDxfId="11" dataDxfId="10">
  <autoFilter ref="E56:E60"/>
  <tableColumns count="1">
    <tableColumn id="1" name="Despacho_Ministerial." dataDxfId="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2" name="Tabla22" displayName="Tabla22" ref="E62:E68" totalsRowShown="0" headerRowDxfId="8" dataDxfId="7">
  <autoFilter ref="E62:E68"/>
  <tableColumns count="1">
    <tableColumn id="1" name="Direcciones_Regionales_de_Trabajo_y_Servicio_Público" dataDxfId="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4" name="Tabla4" displayName="Tabla4" ref="E70:E74" totalsRowShown="0" headerRowDxfId="5" dataDxfId="4">
  <autoFilter ref="E70:E74"/>
  <tableColumns count="1">
    <tableColumn id="1" name="Coordinación_General_Administrativa_Financiera" dataDxfId="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3" name="Tabla13" displayName="Tabla13" ref="E76:E77" totalsRowShown="0" headerRowDxfId="2" dataDxfId="1">
  <autoFilter ref="E76:E77"/>
  <tableColumns count="1">
    <tableColumn id="1" name="Coordinación_de_Inteligencia_de_Información_y_Estudios_del_Trabajo" dataDxfId="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72" name="Tabla72" displayName="Tabla72" ref="A3:A47" totalsRowShown="0">
  <autoFilter ref="A3:A47"/>
  <tableColumns count="1">
    <tableColumn id="1" name="5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74" name="Tabla74" displayName="Tabla74" ref="A50:A194" totalsRowShown="0">
  <autoFilter ref="A50:A194"/>
  <tableColumns count="1">
    <tableColumn id="1" name="5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76" name="Tabla76" displayName="Tabla76" ref="A197:A214" totalsRowShown="0">
  <autoFilter ref="A197:A214"/>
  <tableColumns count="1">
    <tableColumn id="1" name="5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77" name="Tabla77" displayName="Tabla77" ref="A216:A279" totalsRowShown="0">
  <autoFilter ref="A216:A279"/>
  <tableColumns count="1">
    <tableColumn id="1" name="5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81" name="Tabla81" displayName="Tabla81" ref="A282:A310" totalsRowShown="0">
  <autoFilter ref="A282:A310"/>
  <tableColumns count="1">
    <tableColumn id="1" name="7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82" name="Tabla82" displayName="Tabla82" ref="A312:A431" totalsRowShown="0">
  <autoFilter ref="A312:A431"/>
  <tableColumns count="1">
    <tableColumn id="1" name="7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84" name="Tabla84" displayName="Tabla84" ref="A434:A445" totalsRowShown="0">
  <autoFilter ref="A434:A445"/>
  <tableColumns count="1">
    <tableColumn id="1" name="7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85" name="Tabla85" displayName="Tabla85" ref="A447:A472" totalsRowShown="0">
  <autoFilter ref="A447:A472"/>
  <tableColumns count="1">
    <tableColumn id="1" name="7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86" name="Tabla86" displayName="Tabla86" ref="A475:A499" totalsRowShown="0">
  <autoFilter ref="A475:A499"/>
  <tableColumns count="1">
    <tableColumn id="1" name="8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92" name="Tabla92" displayName="Tabla92" ref="A502:A506" totalsRowShown="0">
  <autoFilter ref="A502:A506"/>
  <tableColumns count="1">
    <tableColumn id="1" name="9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10" Type="http://schemas.openxmlformats.org/officeDocument/2006/relationships/table" Target="../tables/table28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813"/>
  <sheetViews>
    <sheetView tabSelected="1" zoomScale="106" zoomScaleNormal="106" workbookViewId="0">
      <pane xSplit="1" topLeftCell="T1" activePane="topRight" state="frozen"/>
      <selection activeCell="A4" sqref="A4"/>
      <selection pane="topRight" activeCell="AC28" sqref="AC28"/>
    </sheetView>
  </sheetViews>
  <sheetFormatPr baseColWidth="10" defaultColWidth="14.42578125" defaultRowHeight="15" customHeight="1"/>
  <cols>
    <col min="1" max="1" width="8.28515625" customWidth="1"/>
    <col min="2" max="2" width="40.140625" customWidth="1"/>
    <col min="3" max="3" width="39.7109375" customWidth="1"/>
    <col min="4" max="4" width="33.140625" customWidth="1"/>
    <col min="5" max="5" width="30" customWidth="1"/>
    <col min="6" max="8" width="36.5703125" customWidth="1"/>
    <col min="9" max="9" width="20.7109375" customWidth="1"/>
    <col min="10" max="10" width="21.140625" customWidth="1"/>
    <col min="11" max="11" width="17.7109375" customWidth="1"/>
    <col min="12" max="12" width="26.28515625" customWidth="1"/>
    <col min="13" max="16" width="19.28515625" customWidth="1"/>
    <col min="17" max="18" width="18" customWidth="1"/>
    <col min="19" max="21" width="22.28515625" customWidth="1"/>
    <col min="22" max="22" width="10.7109375" bestFit="1" customWidth="1"/>
    <col min="23" max="23" width="10.28515625" customWidth="1"/>
    <col min="24" max="24" width="13.28515625" customWidth="1"/>
    <col min="25" max="25" width="22.28515625" customWidth="1"/>
    <col min="26" max="26" width="12.5703125" customWidth="1"/>
    <col min="27" max="27" width="20.28515625" customWidth="1"/>
    <col min="28" max="28" width="8.5703125" customWidth="1"/>
    <col min="29" max="29" width="21.28515625" customWidth="1"/>
    <col min="30" max="33" width="22.42578125" customWidth="1"/>
    <col min="34" max="41" width="13.7109375" customWidth="1"/>
    <col min="42" max="42" width="17.7109375" customWidth="1"/>
    <col min="43" max="43" width="13.7109375" customWidth="1"/>
    <col min="44" max="45" width="15.28515625" customWidth="1"/>
    <col min="46" max="46" width="16.7109375" customWidth="1"/>
    <col min="47" max="47" width="15.5703125" customWidth="1"/>
    <col min="48" max="48" width="20.5703125" customWidth="1"/>
    <col min="49" max="49" width="18.42578125" hidden="1" customWidth="1"/>
  </cols>
  <sheetData>
    <row r="1" spans="1:49" ht="15" customHeight="1">
      <c r="B1" s="112" t="s">
        <v>593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</row>
    <row r="2" spans="1:49" ht="15" customHeight="1"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</row>
    <row r="3" spans="1:49" ht="15" customHeight="1"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27" t="s">
        <v>389</v>
      </c>
      <c r="AD3" s="28">
        <f t="shared" ref="AD3:AT3" si="0">SUBTOTAL(9,AD8:AD5551)</f>
        <v>46253</v>
      </c>
      <c r="AE3" s="28">
        <f t="shared" si="0"/>
        <v>0</v>
      </c>
      <c r="AF3" s="28">
        <f t="shared" si="0"/>
        <v>0</v>
      </c>
      <c r="AG3" s="28">
        <f t="shared" si="0"/>
        <v>46253</v>
      </c>
      <c r="AH3" s="28">
        <f t="shared" si="0"/>
        <v>2300</v>
      </c>
      <c r="AI3" s="28">
        <f t="shared" si="0"/>
        <v>2300</v>
      </c>
      <c r="AJ3" s="28">
        <f t="shared" si="0"/>
        <v>2300</v>
      </c>
      <c r="AK3" s="28">
        <f t="shared" si="0"/>
        <v>2300</v>
      </c>
      <c r="AL3" s="28">
        <f t="shared" si="0"/>
        <v>2300</v>
      </c>
      <c r="AM3" s="28">
        <f t="shared" si="0"/>
        <v>2300</v>
      </c>
      <c r="AN3" s="28">
        <f t="shared" si="0"/>
        <v>2300</v>
      </c>
      <c r="AO3" s="28">
        <f t="shared" si="0"/>
        <v>2300</v>
      </c>
      <c r="AP3" s="28">
        <f t="shared" si="0"/>
        <v>2300</v>
      </c>
      <c r="AQ3" s="28">
        <f t="shared" si="0"/>
        <v>2300</v>
      </c>
      <c r="AR3" s="28">
        <f t="shared" si="0"/>
        <v>2300</v>
      </c>
      <c r="AS3" s="28">
        <f t="shared" si="0"/>
        <v>2300</v>
      </c>
      <c r="AT3" s="27">
        <f t="shared" si="0"/>
        <v>27600</v>
      </c>
    </row>
    <row r="4" spans="1:49" ht="15" customHeight="1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</row>
    <row r="5" spans="1:49" ht="15" customHeight="1"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</row>
    <row r="6" spans="1:49" s="25" customFormat="1" ht="22.7" customHeight="1" thickBot="1">
      <c r="B6" s="115" t="s">
        <v>73</v>
      </c>
      <c r="C6" s="115"/>
      <c r="D6" s="115"/>
      <c r="E6" s="115" t="s">
        <v>75</v>
      </c>
      <c r="F6" s="115"/>
      <c r="G6" s="115"/>
      <c r="H6" s="115"/>
      <c r="I6" s="115" t="s">
        <v>72</v>
      </c>
      <c r="J6" s="115"/>
      <c r="K6" s="115"/>
      <c r="L6" s="115" t="s">
        <v>84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26"/>
    </row>
    <row r="7" spans="1:49" ht="83.25" customHeight="1" thickTop="1" thickBot="1">
      <c r="A7" s="47" t="s">
        <v>71</v>
      </c>
      <c r="B7" s="34" t="s">
        <v>525</v>
      </c>
      <c r="C7" s="34" t="s">
        <v>526</v>
      </c>
      <c r="D7" s="35" t="s">
        <v>527</v>
      </c>
      <c r="E7" s="36" t="s">
        <v>74</v>
      </c>
      <c r="F7" s="36" t="s">
        <v>16</v>
      </c>
      <c r="G7" s="36" t="s">
        <v>18</v>
      </c>
      <c r="H7" s="36" t="s">
        <v>19</v>
      </c>
      <c r="I7" s="37" t="s">
        <v>12</v>
      </c>
      <c r="J7" s="37" t="s">
        <v>13</v>
      </c>
      <c r="K7" s="37" t="s">
        <v>14</v>
      </c>
      <c r="L7" s="24" t="s">
        <v>76</v>
      </c>
      <c r="M7" s="38" t="s">
        <v>15</v>
      </c>
      <c r="N7" s="38" t="s">
        <v>77</v>
      </c>
      <c r="O7" s="38" t="s">
        <v>78</v>
      </c>
      <c r="P7" s="38" t="s">
        <v>79</v>
      </c>
      <c r="Q7" s="24" t="s">
        <v>528</v>
      </c>
      <c r="R7" s="24" t="s">
        <v>598</v>
      </c>
      <c r="S7" s="24" t="s">
        <v>80</v>
      </c>
      <c r="T7" s="24" t="s">
        <v>529</v>
      </c>
      <c r="U7" s="24" t="s">
        <v>81</v>
      </c>
      <c r="V7" s="24" t="s">
        <v>21</v>
      </c>
      <c r="W7" s="39" t="s">
        <v>531</v>
      </c>
      <c r="X7" s="39" t="s">
        <v>23</v>
      </c>
      <c r="Y7" s="39" t="s">
        <v>82</v>
      </c>
      <c r="Z7" s="38" t="s">
        <v>17</v>
      </c>
      <c r="AA7" s="38" t="s">
        <v>20</v>
      </c>
      <c r="AB7" s="24" t="s">
        <v>24</v>
      </c>
      <c r="AC7" s="24" t="s">
        <v>25</v>
      </c>
      <c r="AD7" s="108" t="s">
        <v>597</v>
      </c>
      <c r="AE7" s="109" t="s">
        <v>594</v>
      </c>
      <c r="AF7" s="109" t="s">
        <v>595</v>
      </c>
      <c r="AG7" s="110" t="s">
        <v>596</v>
      </c>
      <c r="AH7" s="41" t="s">
        <v>0</v>
      </c>
      <c r="AI7" s="41" t="s">
        <v>1</v>
      </c>
      <c r="AJ7" s="41" t="s">
        <v>2</v>
      </c>
      <c r="AK7" s="41" t="s">
        <v>3</v>
      </c>
      <c r="AL7" s="41" t="s">
        <v>4</v>
      </c>
      <c r="AM7" s="41" t="s">
        <v>5</v>
      </c>
      <c r="AN7" s="41" t="s">
        <v>6</v>
      </c>
      <c r="AO7" s="41" t="s">
        <v>7</v>
      </c>
      <c r="AP7" s="41" t="s">
        <v>8</v>
      </c>
      <c r="AQ7" s="41" t="s">
        <v>9</v>
      </c>
      <c r="AR7" s="41" t="s">
        <v>10</v>
      </c>
      <c r="AS7" s="41" t="s">
        <v>11</v>
      </c>
      <c r="AT7" s="46" t="s">
        <v>523</v>
      </c>
      <c r="AU7" s="38" t="s">
        <v>524</v>
      </c>
      <c r="AV7" s="40" t="s">
        <v>83</v>
      </c>
      <c r="AW7" s="1" t="s">
        <v>26</v>
      </c>
    </row>
    <row r="8" spans="1:49" s="94" customFormat="1" ht="114.75">
      <c r="A8" s="93">
        <v>1</v>
      </c>
      <c r="B8" s="93" t="s">
        <v>325</v>
      </c>
      <c r="C8" s="93" t="s">
        <v>374</v>
      </c>
      <c r="D8" s="43" t="s">
        <v>377</v>
      </c>
      <c r="E8" s="43" t="str">
        <f>IF(D8="Programa_de_Reforma_Institucional_de_la_Gestion_Publica","Fortalecimiento del marco Institucional para la Reforma",IF(D8="Programa_de_Capacitacion_en_Gestion_del_Talento_Humano","Implimentar un Programa de Capacitación en Gestión del Talento Humano", "N/A"))</f>
        <v>N/A</v>
      </c>
      <c r="F8" s="43"/>
      <c r="G8" s="43"/>
      <c r="H8" s="43"/>
      <c r="I8" s="43" t="s">
        <v>27</v>
      </c>
      <c r="J8" s="43" t="s">
        <v>28</v>
      </c>
      <c r="K8" s="43" t="s">
        <v>51</v>
      </c>
      <c r="L8" s="93" t="s">
        <v>507</v>
      </c>
      <c r="M8" s="43" t="str">
        <f>IF(L8="2-Dirección_Regional_de_Trabajo_y_Servicio_Público_de_Guayaquil","901",IF(L8="3-Dirección_Regional_de_Trabajo_y_Servicio_Público_de_Ambato","1801",IF(L8="4-Dirección_Regional_de_Trabajo_y_Servicio_Público_de_Cuenca","101",IF(L8="10-Dirección_Regional_de_Trabajo_y_Servicio_Público_de_Ibarra","1001",IF(L8="11-Dirección_Regional_de_Trabajo_y_Servicio_Público_de_Loja","1101",IF(L8="13-Dirección_Regional_de_Trabajo_y_Servicio_Público_de_Portoviejo","1301","1701"))))))</f>
        <v>101</v>
      </c>
      <c r="N8" s="43" t="s">
        <v>534</v>
      </c>
      <c r="O8" s="43" t="s">
        <v>536</v>
      </c>
      <c r="P8" s="43" t="s">
        <v>538</v>
      </c>
      <c r="Q8" s="43" t="s">
        <v>485</v>
      </c>
      <c r="R8" s="43" t="s">
        <v>600</v>
      </c>
      <c r="S8" s="43" t="s">
        <v>500</v>
      </c>
      <c r="T8" s="43" t="s">
        <v>500</v>
      </c>
      <c r="U8" s="49" t="s">
        <v>500</v>
      </c>
      <c r="V8" s="48">
        <v>202</v>
      </c>
      <c r="W8" s="48">
        <v>0</v>
      </c>
      <c r="X8" s="48">
        <v>0</v>
      </c>
      <c r="Y8" s="43" t="str">
        <f>IF(V8=1,"Recursos fiscales",IF(V8=2,"Recursos fiscales generados por las instituciones",IF(V8=202,"Préstamos externos")))</f>
        <v>Préstamos externos</v>
      </c>
      <c r="Z8" s="43">
        <v>71</v>
      </c>
      <c r="AA8" s="43" t="str">
        <f>VLOOKUP($Z8,'clacificaror presupuestario'!$K$2:$L$11,2,FALSE)</f>
        <v>Egresos_en_personal_para_inversión</v>
      </c>
      <c r="AB8" s="43">
        <v>570102</v>
      </c>
      <c r="AC8" s="43" t="str">
        <f>VLOOKUP($AB8,'clacificaror presupuestario'!$A$2:$C$506,3,FALSE)</f>
        <v>Tasas Generales, Impuestos, Contribuciones, Permisos, Licencias y Patentes.</v>
      </c>
      <c r="AD8" s="44">
        <v>2000</v>
      </c>
      <c r="AE8" s="44"/>
      <c r="AF8" s="44"/>
      <c r="AG8" s="44">
        <f>+AD8+AE8-AF8</f>
        <v>2000</v>
      </c>
      <c r="AH8" s="44">
        <v>100</v>
      </c>
      <c r="AI8" s="44">
        <v>100</v>
      </c>
      <c r="AJ8" s="44">
        <v>100</v>
      </c>
      <c r="AK8" s="44">
        <v>100</v>
      </c>
      <c r="AL8" s="44">
        <v>100</v>
      </c>
      <c r="AM8" s="44">
        <v>100</v>
      </c>
      <c r="AN8" s="44">
        <v>100</v>
      </c>
      <c r="AO8" s="44">
        <v>100</v>
      </c>
      <c r="AP8" s="44">
        <v>100</v>
      </c>
      <c r="AQ8" s="44">
        <v>100</v>
      </c>
      <c r="AR8" s="44">
        <v>100</v>
      </c>
      <c r="AS8" s="44">
        <v>100</v>
      </c>
      <c r="AT8" s="44">
        <f>SUM(AH8:AS8)</f>
        <v>1200</v>
      </c>
      <c r="AU8" s="44">
        <f>+AD8-AT8</f>
        <v>800</v>
      </c>
      <c r="AV8" s="45" t="str">
        <f>IF(B8&lt;&gt;"",IF(B8="","Escoger UNIDAD ADMINISTRATIVA N2 (VICEMINISTERIO / DESPACHO);",)&amp;" "&amp;(IF(C8="","Escoger UNIDAD ADMINISTRATIVA N3 (SUBSECRETARÍA / COORDINACIÓN);",)&amp;" "&amp;(IF(D8="","Escoger UNIDAD ADMINISTRATIVA N4 (DIRECCIÓN TÉCNICA);",)&amp;" "&amp;(IF(F8="","Colocar DESCRIPCIÓN DE LA ACTIVIDAD;",)&amp;" "&amp;(IF(G8="","Colocar METAS;",)&amp;" "&amp;(IF(H8="","Colocar INDICADORES;",)&amp;" "&amp;(IF(I8="","Escoger OBJETIVO NACIONAL DE DESARROLLO - O.N.D.;",)&amp;" "&amp;(IF(J8="","Escoger OBJETIVO ESTRATÉGICO INSTITUCIONAL - O.E.I.;",)&amp;" "&amp;(IF(K8="","Escoger OBJETIVO ESPECÍFICO;",)&amp;" "&amp;(IF(L8="","Escoger IDENTIDAD OPERATIVA DESCONCENTRADA(EOD);",)&amp;" "&amp;(IF(N8="","Escoger PROGRAMA INSTITUCIONAL;",)&amp;" "&amp;(IF(O8="","Escoger PROYECTO;",)&amp;" "&amp;(IF(P8="","Escoger ACTIVIDAD INSTITUCIONAL;",)&amp;" "&amp;(IF(Q8="","Escoger NUEVO-ARRASTRE;",)&amp;" "&amp;(IF(S8="","Escoger CÓDIGO UNICO DE PROYECTO(CUP);",)&amp;" "&amp;(IF(V8="","Escoger FUENTE;",)&amp;" "&amp;(IF(W8=""," Escoger COD. ORG.;",)&amp;" "&amp;(IF(X8="","Escoger COD. CORRE.;",)&amp;" "&amp;(IF(Z8="","Escoger GRUPO GASTO;",)&amp;" "&amp;(IF(AB8="","Escoger ITEM;",)&amp;" "&amp;(IF(AD8="","Colocar TOTAL PROFORMA 2023;",)))))))))))))))))))))," ")</f>
        <v xml:space="preserve">   Colocar DESCRIPCIÓN DE LA ACTIVIDAD; Colocar METAS; Colocar INDICADORES;               </v>
      </c>
      <c r="AW8" s="33"/>
    </row>
    <row r="9" spans="1:49" ht="18.95" customHeight="1">
      <c r="A9" s="42"/>
      <c r="B9" s="93" t="s">
        <v>325</v>
      </c>
      <c r="C9" s="93" t="s">
        <v>374</v>
      </c>
      <c r="D9" s="43" t="s">
        <v>377</v>
      </c>
      <c r="E9" s="43" t="str">
        <f>IF(D9="Programa_de_Reforma_Institucional_de_la_Gestion_Publica","Fortalecimiento del marco Institucional para la Reforma",IF(D9="Programa_de_Capacitacion_en_Gestion_del_Talento_Humano","Implimentar un Programa de Capacitación en Gestión del Talento Humano", "N/A"))</f>
        <v>N/A</v>
      </c>
      <c r="F9" s="43"/>
      <c r="G9" s="43"/>
      <c r="H9" s="43"/>
      <c r="I9" s="43" t="s">
        <v>27</v>
      </c>
      <c r="J9" s="43" t="s">
        <v>28</v>
      </c>
      <c r="K9" s="43" t="s">
        <v>51</v>
      </c>
      <c r="L9" s="93" t="s">
        <v>507</v>
      </c>
      <c r="M9" s="43" t="str">
        <f>IF(L9="2-Dirección_Regional_de_Trabajo_y_Servicio_Público_de_Guayaquil","901",IF(L9="3-Dirección_Regional_de_Trabajo_y_Servicio_Público_de_Ambato","1801",IF(L9="4-Dirección_Regional_de_Trabajo_y_Servicio_Público_de_Cuenca","101",IF(L9="10-Dirección_Regional_de_Trabajo_y_Servicio_Público_de_Ibarra","1001",IF(L9="11-Dirección_Regional_de_Trabajo_y_Servicio_Público_de_Loja","1101",IF(L9="13-Dirección_Regional_de_Trabajo_y_Servicio_Público_de_Portoviejo","1301","1701"))))))</f>
        <v>101</v>
      </c>
      <c r="N9" s="43" t="s">
        <v>534</v>
      </c>
      <c r="O9" s="43" t="s">
        <v>536</v>
      </c>
      <c r="P9" s="43" t="s">
        <v>538</v>
      </c>
      <c r="Q9" s="43" t="s">
        <v>485</v>
      </c>
      <c r="R9" s="43" t="s">
        <v>600</v>
      </c>
      <c r="S9" s="43" t="s">
        <v>500</v>
      </c>
      <c r="T9" s="43" t="s">
        <v>500</v>
      </c>
      <c r="U9" s="49" t="s">
        <v>500</v>
      </c>
      <c r="V9" s="48">
        <v>202</v>
      </c>
      <c r="W9" s="48">
        <v>0</v>
      </c>
      <c r="X9" s="48">
        <v>0</v>
      </c>
      <c r="Y9" s="43" t="str">
        <f>IF(V9=1,"Recursos fiscales",IF(V9=2,"Recursos fiscales generados por las instituciones",IF(V9=202,"Préstamos externos")))</f>
        <v>Préstamos externos</v>
      </c>
      <c r="Z9" s="43">
        <v>71</v>
      </c>
      <c r="AA9" s="43" t="str">
        <f>VLOOKUP($Z9,'clacificaror presupuestario'!$K$2:$L$11,2,FALSE)</f>
        <v>Egresos_en_personal_para_inversión</v>
      </c>
      <c r="AB9" s="43">
        <v>710203</v>
      </c>
      <c r="AC9" s="43" t="str">
        <f>VLOOKUP($AB9,'clacificaror presupuestario'!$A$2:$C$506,3,FALSE)</f>
        <v>Decimo Tercer Sueldo</v>
      </c>
      <c r="AD9" s="44">
        <v>2001</v>
      </c>
      <c r="AE9" s="44"/>
      <c r="AF9" s="44"/>
      <c r="AG9" s="44">
        <f>+AD9+AE9-AF9</f>
        <v>2001</v>
      </c>
      <c r="AH9" s="44">
        <v>100</v>
      </c>
      <c r="AI9" s="44">
        <v>100</v>
      </c>
      <c r="AJ9" s="44">
        <v>100</v>
      </c>
      <c r="AK9" s="44">
        <v>100</v>
      </c>
      <c r="AL9" s="44">
        <v>100</v>
      </c>
      <c r="AM9" s="44">
        <v>100</v>
      </c>
      <c r="AN9" s="44">
        <v>100</v>
      </c>
      <c r="AO9" s="44">
        <v>100</v>
      </c>
      <c r="AP9" s="44">
        <v>100</v>
      </c>
      <c r="AQ9" s="44">
        <v>100</v>
      </c>
      <c r="AR9" s="44">
        <v>100</v>
      </c>
      <c r="AS9" s="44">
        <v>100</v>
      </c>
      <c r="AT9" s="44">
        <f>SUM(AH9:AS9)</f>
        <v>1200</v>
      </c>
      <c r="AU9" s="44">
        <f>+AD9-AT9</f>
        <v>801</v>
      </c>
      <c r="AV9" s="45" t="str">
        <f>IF(B9&lt;&gt;"",IF(B9="","Escoger UNIDAD ADMINISTRATIVA N2 (VICEMINISTERIO / DESPACHO);",)&amp;" "&amp;(IF(C9="","Escoger UNIDAD ADMINISTRATIVA N3 (SUBSECRETARÍA / COORDINACIÓN);",)&amp;" "&amp;(IF(D9="","Escoger UNIDAD ADMINISTRATIVA N4 (DIRECCIÓN TÉCNICA);",)&amp;" "&amp;(IF(F9="","Colocar DESCRIPCIÓN DE LA ACTIVIDAD;",)&amp;" "&amp;(IF(G9="","Colocar METAS;",)&amp;" "&amp;(IF(H9="","Colocar INDICADORES;",)&amp;" "&amp;(IF(I9="","Escoger OBJETIVO NACIONAL DE DESARROLLO - O.N.D.;",)&amp;" "&amp;(IF(J9="","Escoger OBJETIVO ESTRATÉGICO INSTITUCIONAL - O.E.I.;",)&amp;" "&amp;(IF(K9="","Escoger OBJETIVO ESPECÍFICO;",)&amp;" "&amp;(IF(L9="","Escoger IDENTIDAD OPERATIVA DESCONCENTRADA(EOD);",)&amp;" "&amp;(IF(N9="","Escoger PROGRAMA INSTITUCIONAL;",)&amp;" "&amp;(IF(O9="","Escoger PROYECTO;",)&amp;" "&amp;(IF(P9="","Escoger ACTIVIDAD INSTITUCIONAL;",)&amp;" "&amp;(IF(Q9="","Escoger NUEVO-ARRASTRE;",)&amp;" "&amp;(IF(S9="","Escoger CÓDIGO UNICO DE PROYECTO(CUP);",)&amp;" "&amp;(IF(V9="","Escoger FUENTE;",)&amp;" "&amp;(IF(W9=""," Escoger COD. ORG.;",)&amp;" "&amp;(IF(X9="","Escoger COD. CORRE.;",)&amp;" "&amp;(IF(Z9="","Escoger GRUPO GASTO;",)&amp;" "&amp;(IF(AB9="","Escoger ITEM;",)&amp;" "&amp;(IF(AD9="","Colocar TOTAL PROFORMA 2023;",)))))))))))))))))))))," ")</f>
        <v xml:space="preserve">   Colocar DESCRIPCIÓN DE LA ACTIVIDAD; Colocar METAS; Colocar INDICADORES;               </v>
      </c>
      <c r="AW9" s="8"/>
    </row>
    <row r="10" spans="1:49" ht="18.95" customHeight="1">
      <c r="A10" s="2"/>
      <c r="B10" s="93" t="s">
        <v>325</v>
      </c>
      <c r="C10" s="93" t="s">
        <v>374</v>
      </c>
      <c r="D10" s="43" t="s">
        <v>377</v>
      </c>
      <c r="E10" s="43" t="str">
        <f t="shared" ref="E10:E30" si="1">IF(D10="Programa_de_Reforma_Institucional_de_la_Gestion_Publica","Fortalecimiento del marco Institucional para la Reforma",IF(D10="Programa_de_Capacitacion_en_Gestion_del_Talento_Humano","Implimentar un Programa de Capacitación en Gestión del Talento Humano", "N/A"))</f>
        <v>N/A</v>
      </c>
      <c r="F10" s="43"/>
      <c r="G10" s="43"/>
      <c r="H10" s="43"/>
      <c r="I10" s="43" t="s">
        <v>27</v>
      </c>
      <c r="J10" s="43" t="s">
        <v>28</v>
      </c>
      <c r="K10" s="43" t="s">
        <v>51</v>
      </c>
      <c r="L10" s="93" t="s">
        <v>507</v>
      </c>
      <c r="M10" s="43" t="str">
        <f t="shared" ref="M10:M30" si="2">IF(L10="2-Dirección_Regional_de_Trabajo_y_Servicio_Público_de_Guayaquil","901",IF(L10="3-Dirección_Regional_de_Trabajo_y_Servicio_Público_de_Ambato","1801",IF(L10="4-Dirección_Regional_de_Trabajo_y_Servicio_Público_de_Cuenca","101",IF(L10="10-Dirección_Regional_de_Trabajo_y_Servicio_Público_de_Ibarra","1001",IF(L10="11-Dirección_Regional_de_Trabajo_y_Servicio_Público_de_Loja","1101",IF(L10="13-Dirección_Regional_de_Trabajo_y_Servicio_Público_de_Portoviejo","1301","1701"))))))</f>
        <v>101</v>
      </c>
      <c r="N10" s="43" t="s">
        <v>534</v>
      </c>
      <c r="O10" s="43" t="s">
        <v>536</v>
      </c>
      <c r="P10" s="43" t="s">
        <v>538</v>
      </c>
      <c r="Q10" s="43" t="s">
        <v>485</v>
      </c>
      <c r="R10" s="43" t="s">
        <v>600</v>
      </c>
      <c r="S10" s="43" t="s">
        <v>500</v>
      </c>
      <c r="T10" s="43" t="s">
        <v>500</v>
      </c>
      <c r="U10" s="49" t="s">
        <v>500</v>
      </c>
      <c r="V10" s="48">
        <v>202</v>
      </c>
      <c r="W10" s="48">
        <v>0</v>
      </c>
      <c r="X10" s="48">
        <v>0</v>
      </c>
      <c r="Y10" s="43" t="str">
        <f t="shared" ref="Y10:Y30" si="3">IF(V10=1,"Recursos fiscales",IF(V10=2,"Recursos fiscales generados por las instituciones",IF(V10=202,"Préstamos externos")))</f>
        <v>Préstamos externos</v>
      </c>
      <c r="Z10" s="43">
        <v>99</v>
      </c>
      <c r="AA10" s="43" t="str">
        <f>VLOOKUP($Z10,'clacificaror presupuestario'!$K$2:$L$11,2,FALSE)</f>
        <v>Otros_pasivos</v>
      </c>
      <c r="AB10" s="43">
        <v>570102</v>
      </c>
      <c r="AC10" s="43" t="str">
        <f>VLOOKUP($AB10,'clacificaror presupuestario'!$A$2:$C$506,3,FALSE)</f>
        <v>Tasas Generales, Impuestos, Contribuciones, Permisos, Licencias y Patentes.</v>
      </c>
      <c r="AD10" s="44">
        <v>2002</v>
      </c>
      <c r="AE10" s="44"/>
      <c r="AF10" s="44"/>
      <c r="AG10" s="44">
        <f t="shared" ref="AG10:AG30" si="4">+AD10+AE10-AF10</f>
        <v>2002</v>
      </c>
      <c r="AH10" s="44">
        <v>100</v>
      </c>
      <c r="AI10" s="44">
        <v>100</v>
      </c>
      <c r="AJ10" s="44">
        <v>100</v>
      </c>
      <c r="AK10" s="44">
        <v>100</v>
      </c>
      <c r="AL10" s="44">
        <v>100</v>
      </c>
      <c r="AM10" s="44">
        <v>100</v>
      </c>
      <c r="AN10" s="44">
        <v>100</v>
      </c>
      <c r="AO10" s="44">
        <v>100</v>
      </c>
      <c r="AP10" s="44">
        <v>100</v>
      </c>
      <c r="AQ10" s="44">
        <v>100</v>
      </c>
      <c r="AR10" s="44">
        <v>100</v>
      </c>
      <c r="AS10" s="44">
        <v>100</v>
      </c>
      <c r="AT10" s="44">
        <f t="shared" ref="AT10:AT30" si="5">SUM(AH10:AS10)</f>
        <v>1200</v>
      </c>
      <c r="AU10" s="44">
        <f t="shared" ref="AU10:AU30" si="6">+AD10-AT10</f>
        <v>802</v>
      </c>
      <c r="AV10" s="45" t="str">
        <f t="shared" ref="AV10:AV30" si="7">IF(B10&lt;&gt;"",IF(B10="","Escoger UNIDAD ADMINISTRATIVA N2 (VICEMINISTERIO / DESPACHO);",)&amp;" "&amp;(IF(C10="","Escoger UNIDAD ADMINISTRATIVA N3 (SUBSECRETARÍA / COORDINACIÓN);",)&amp;" "&amp;(IF(D10="","Escoger UNIDAD ADMINISTRATIVA N4 (DIRECCIÓN TÉCNICA);",)&amp;" "&amp;(IF(F10="","Colocar DESCRIPCIÓN DE LA ACTIVIDAD;",)&amp;" "&amp;(IF(G10="","Colocar METAS;",)&amp;" "&amp;(IF(H10="","Colocar INDICADORES;",)&amp;" "&amp;(IF(I10="","Escoger OBJETIVO NACIONAL DE DESARROLLO - O.N.D.;",)&amp;" "&amp;(IF(J10="","Escoger OBJETIVO ESTRATÉGICO INSTITUCIONAL - O.E.I.;",)&amp;" "&amp;(IF(K10="","Escoger OBJETIVO ESPECÍFICO;",)&amp;" "&amp;(IF(L10="","Escoger IDENTIDAD OPERATIVA DESCONCENTRADA(EOD);",)&amp;" "&amp;(IF(N10="","Escoger PROGRAMA INSTITUCIONAL;",)&amp;" "&amp;(IF(O10="","Escoger PROYECTO;",)&amp;" "&amp;(IF(P10="","Escoger ACTIVIDAD INSTITUCIONAL;",)&amp;" "&amp;(IF(Q10="","Escoger NUEVO-ARRASTRE;",)&amp;" "&amp;(IF(S10="","Escoger CÓDIGO UNICO DE PROYECTO(CUP);",)&amp;" "&amp;(IF(V10="","Escoger FUENTE;",)&amp;" "&amp;(IF(W10=""," Escoger COD. ORG.;",)&amp;" "&amp;(IF(X10="","Escoger COD. CORRE.;",)&amp;" "&amp;(IF(Z10="","Escoger GRUPO GASTO;",)&amp;" "&amp;(IF(AB10="","Escoger ITEM;",)&amp;" "&amp;(IF(AD10="","Colocar TOTAL PROFORMA 2023;",)))))))))))))))))))))," ")</f>
        <v xml:space="preserve">   Colocar DESCRIPCIÓN DE LA ACTIVIDAD; Colocar METAS; Colocar INDICADORES;               </v>
      </c>
      <c r="AW10" s="8"/>
    </row>
    <row r="11" spans="1:49" ht="18.95" customHeight="1">
      <c r="A11" s="2"/>
      <c r="B11" s="93" t="s">
        <v>325</v>
      </c>
      <c r="C11" s="93" t="s">
        <v>374</v>
      </c>
      <c r="D11" s="43" t="s">
        <v>377</v>
      </c>
      <c r="E11" s="43" t="str">
        <f t="shared" si="1"/>
        <v>N/A</v>
      </c>
      <c r="F11" s="43"/>
      <c r="G11" s="43"/>
      <c r="H11" s="43"/>
      <c r="I11" s="43" t="s">
        <v>27</v>
      </c>
      <c r="J11" s="43" t="s">
        <v>28</v>
      </c>
      <c r="K11" s="43" t="s">
        <v>51</v>
      </c>
      <c r="L11" s="93" t="s">
        <v>507</v>
      </c>
      <c r="M11" s="43" t="str">
        <f t="shared" si="2"/>
        <v>101</v>
      </c>
      <c r="N11" s="43" t="s">
        <v>534</v>
      </c>
      <c r="O11" s="43" t="s">
        <v>536</v>
      </c>
      <c r="P11" s="43" t="s">
        <v>538</v>
      </c>
      <c r="Q11" s="43" t="s">
        <v>485</v>
      </c>
      <c r="R11" s="43" t="s">
        <v>600</v>
      </c>
      <c r="S11" s="43" t="s">
        <v>500</v>
      </c>
      <c r="T11" s="43" t="s">
        <v>500</v>
      </c>
      <c r="U11" s="49" t="s">
        <v>500</v>
      </c>
      <c r="V11" s="48">
        <v>202</v>
      </c>
      <c r="W11" s="48">
        <v>0</v>
      </c>
      <c r="X11" s="48">
        <v>0</v>
      </c>
      <c r="Y11" s="43" t="str">
        <f t="shared" si="3"/>
        <v>Préstamos externos</v>
      </c>
      <c r="Z11" s="43">
        <v>99</v>
      </c>
      <c r="AA11" s="43" t="str">
        <f>VLOOKUP($Z11,'clacificaror presupuestario'!$K$2:$L$11,2,FALSE)</f>
        <v>Otros_pasivos</v>
      </c>
      <c r="AB11" s="43">
        <v>570102</v>
      </c>
      <c r="AC11" s="43" t="str">
        <f>VLOOKUP($AB11,'clacificaror presupuestario'!$A$2:$C$506,3,FALSE)</f>
        <v>Tasas Generales, Impuestos, Contribuciones, Permisos, Licencias y Patentes.</v>
      </c>
      <c r="AD11" s="44">
        <v>2003</v>
      </c>
      <c r="AE11" s="44"/>
      <c r="AF11" s="44"/>
      <c r="AG11" s="44">
        <f t="shared" si="4"/>
        <v>2003</v>
      </c>
      <c r="AH11" s="44">
        <v>100</v>
      </c>
      <c r="AI11" s="44">
        <v>100</v>
      </c>
      <c r="AJ11" s="44">
        <v>100</v>
      </c>
      <c r="AK11" s="44">
        <v>100</v>
      </c>
      <c r="AL11" s="44">
        <v>100</v>
      </c>
      <c r="AM11" s="44">
        <v>100</v>
      </c>
      <c r="AN11" s="44">
        <v>100</v>
      </c>
      <c r="AO11" s="44">
        <v>100</v>
      </c>
      <c r="AP11" s="44">
        <v>100</v>
      </c>
      <c r="AQ11" s="44">
        <v>100</v>
      </c>
      <c r="AR11" s="44">
        <v>100</v>
      </c>
      <c r="AS11" s="44">
        <v>100</v>
      </c>
      <c r="AT11" s="44">
        <f t="shared" si="5"/>
        <v>1200</v>
      </c>
      <c r="AU11" s="44">
        <f t="shared" si="6"/>
        <v>803</v>
      </c>
      <c r="AV11" s="45" t="str">
        <f t="shared" si="7"/>
        <v xml:space="preserve">   Colocar DESCRIPCIÓN DE LA ACTIVIDAD; Colocar METAS; Colocar INDICADORES;               </v>
      </c>
      <c r="AW11" s="8"/>
    </row>
    <row r="12" spans="1:49" ht="18.95" customHeight="1">
      <c r="A12" s="2"/>
      <c r="B12" s="93" t="s">
        <v>325</v>
      </c>
      <c r="C12" s="93" t="s">
        <v>374</v>
      </c>
      <c r="D12" s="43" t="s">
        <v>377</v>
      </c>
      <c r="E12" s="43" t="str">
        <f t="shared" si="1"/>
        <v>N/A</v>
      </c>
      <c r="F12" s="43"/>
      <c r="G12" s="43"/>
      <c r="H12" s="43"/>
      <c r="I12" s="43" t="s">
        <v>27</v>
      </c>
      <c r="J12" s="43" t="s">
        <v>28</v>
      </c>
      <c r="K12" s="43" t="s">
        <v>51</v>
      </c>
      <c r="L12" s="93" t="s">
        <v>507</v>
      </c>
      <c r="M12" s="43" t="str">
        <f t="shared" si="2"/>
        <v>101</v>
      </c>
      <c r="N12" s="43" t="s">
        <v>534</v>
      </c>
      <c r="O12" s="43" t="s">
        <v>536</v>
      </c>
      <c r="P12" s="43" t="s">
        <v>538</v>
      </c>
      <c r="Q12" s="43" t="s">
        <v>485</v>
      </c>
      <c r="R12" s="43" t="s">
        <v>600</v>
      </c>
      <c r="S12" s="43" t="s">
        <v>500</v>
      </c>
      <c r="T12" s="43" t="s">
        <v>500</v>
      </c>
      <c r="U12" s="49" t="s">
        <v>500</v>
      </c>
      <c r="V12" s="48">
        <v>202</v>
      </c>
      <c r="W12" s="48">
        <v>0</v>
      </c>
      <c r="X12" s="48">
        <v>0</v>
      </c>
      <c r="Y12" s="43" t="str">
        <f t="shared" si="3"/>
        <v>Préstamos externos</v>
      </c>
      <c r="Z12" s="43">
        <v>99</v>
      </c>
      <c r="AA12" s="43" t="str">
        <f>VLOOKUP($Z12,'clacificaror presupuestario'!$K$2:$L$11,2,FALSE)</f>
        <v>Otros_pasivos</v>
      </c>
      <c r="AB12" s="43">
        <v>570102</v>
      </c>
      <c r="AC12" s="43" t="str">
        <f>VLOOKUP($AB12,'clacificaror presupuestario'!$A$2:$C$506,3,FALSE)</f>
        <v>Tasas Generales, Impuestos, Contribuciones, Permisos, Licencias y Patentes.</v>
      </c>
      <c r="AD12" s="44">
        <v>2004</v>
      </c>
      <c r="AE12" s="44"/>
      <c r="AF12" s="44"/>
      <c r="AG12" s="44">
        <f t="shared" si="4"/>
        <v>2004</v>
      </c>
      <c r="AH12" s="44">
        <v>100</v>
      </c>
      <c r="AI12" s="44">
        <v>100</v>
      </c>
      <c r="AJ12" s="44">
        <v>100</v>
      </c>
      <c r="AK12" s="44">
        <v>100</v>
      </c>
      <c r="AL12" s="44">
        <v>100</v>
      </c>
      <c r="AM12" s="44">
        <v>100</v>
      </c>
      <c r="AN12" s="44">
        <v>100</v>
      </c>
      <c r="AO12" s="44">
        <v>100</v>
      </c>
      <c r="AP12" s="44">
        <v>100</v>
      </c>
      <c r="AQ12" s="44">
        <v>100</v>
      </c>
      <c r="AR12" s="44">
        <v>100</v>
      </c>
      <c r="AS12" s="44">
        <v>100</v>
      </c>
      <c r="AT12" s="44">
        <f t="shared" si="5"/>
        <v>1200</v>
      </c>
      <c r="AU12" s="44">
        <f t="shared" si="6"/>
        <v>804</v>
      </c>
      <c r="AV12" s="45" t="str">
        <f t="shared" si="7"/>
        <v xml:space="preserve">   Colocar DESCRIPCIÓN DE LA ACTIVIDAD; Colocar METAS; Colocar INDICADORES;               </v>
      </c>
      <c r="AW12" s="8"/>
    </row>
    <row r="13" spans="1:49" ht="18.95" customHeight="1">
      <c r="A13" s="2"/>
      <c r="B13" s="93" t="s">
        <v>325</v>
      </c>
      <c r="C13" s="93" t="s">
        <v>374</v>
      </c>
      <c r="D13" s="43" t="s">
        <v>377</v>
      </c>
      <c r="E13" s="43" t="str">
        <f t="shared" si="1"/>
        <v>N/A</v>
      </c>
      <c r="F13" s="43"/>
      <c r="G13" s="43"/>
      <c r="H13" s="43"/>
      <c r="I13" s="43" t="s">
        <v>27</v>
      </c>
      <c r="J13" s="43" t="s">
        <v>28</v>
      </c>
      <c r="K13" s="43" t="s">
        <v>51</v>
      </c>
      <c r="L13" s="93" t="s">
        <v>507</v>
      </c>
      <c r="M13" s="43" t="str">
        <f t="shared" si="2"/>
        <v>101</v>
      </c>
      <c r="N13" s="43" t="s">
        <v>534</v>
      </c>
      <c r="O13" s="43" t="s">
        <v>536</v>
      </c>
      <c r="P13" s="43" t="s">
        <v>538</v>
      </c>
      <c r="Q13" s="43" t="s">
        <v>485</v>
      </c>
      <c r="R13" s="43" t="s">
        <v>600</v>
      </c>
      <c r="S13" s="43" t="s">
        <v>500</v>
      </c>
      <c r="T13" s="43" t="s">
        <v>500</v>
      </c>
      <c r="U13" s="49" t="s">
        <v>500</v>
      </c>
      <c r="V13" s="48">
        <v>202</v>
      </c>
      <c r="W13" s="48">
        <v>0</v>
      </c>
      <c r="X13" s="48">
        <v>0</v>
      </c>
      <c r="Y13" s="43" t="str">
        <f t="shared" si="3"/>
        <v>Préstamos externos</v>
      </c>
      <c r="Z13" s="43">
        <v>99</v>
      </c>
      <c r="AA13" s="43" t="str">
        <f>VLOOKUP($Z13,'clacificaror presupuestario'!$K$2:$L$11,2,FALSE)</f>
        <v>Otros_pasivos</v>
      </c>
      <c r="AB13" s="43">
        <v>570102</v>
      </c>
      <c r="AC13" s="43" t="str">
        <f>VLOOKUP($AB13,'clacificaror presupuestario'!$A$2:$C$506,3,FALSE)</f>
        <v>Tasas Generales, Impuestos, Contribuciones, Permisos, Licencias y Patentes.</v>
      </c>
      <c r="AD13" s="44">
        <v>2005</v>
      </c>
      <c r="AE13" s="44"/>
      <c r="AF13" s="44"/>
      <c r="AG13" s="44">
        <f t="shared" si="4"/>
        <v>2005</v>
      </c>
      <c r="AH13" s="44">
        <v>100</v>
      </c>
      <c r="AI13" s="44">
        <v>100</v>
      </c>
      <c r="AJ13" s="44">
        <v>100</v>
      </c>
      <c r="AK13" s="44">
        <v>100</v>
      </c>
      <c r="AL13" s="44">
        <v>100</v>
      </c>
      <c r="AM13" s="44">
        <v>100</v>
      </c>
      <c r="AN13" s="44">
        <v>100</v>
      </c>
      <c r="AO13" s="44">
        <v>100</v>
      </c>
      <c r="AP13" s="44">
        <v>100</v>
      </c>
      <c r="AQ13" s="44">
        <v>100</v>
      </c>
      <c r="AR13" s="44">
        <v>100</v>
      </c>
      <c r="AS13" s="44">
        <v>100</v>
      </c>
      <c r="AT13" s="44">
        <f t="shared" si="5"/>
        <v>1200</v>
      </c>
      <c r="AU13" s="44">
        <f t="shared" si="6"/>
        <v>805</v>
      </c>
      <c r="AV13" s="45" t="str">
        <f t="shared" si="7"/>
        <v xml:space="preserve">   Colocar DESCRIPCIÓN DE LA ACTIVIDAD; Colocar METAS; Colocar INDICADORES;               </v>
      </c>
      <c r="AW13" s="8"/>
    </row>
    <row r="14" spans="1:49" ht="18.95" customHeight="1">
      <c r="A14" s="2"/>
      <c r="B14" s="93" t="s">
        <v>325</v>
      </c>
      <c r="C14" s="93" t="s">
        <v>374</v>
      </c>
      <c r="D14" s="43" t="s">
        <v>377</v>
      </c>
      <c r="E14" s="43" t="str">
        <f t="shared" si="1"/>
        <v>N/A</v>
      </c>
      <c r="F14" s="43"/>
      <c r="G14" s="43"/>
      <c r="H14" s="43"/>
      <c r="I14" s="43" t="s">
        <v>27</v>
      </c>
      <c r="J14" s="43" t="s">
        <v>28</v>
      </c>
      <c r="K14" s="43" t="s">
        <v>51</v>
      </c>
      <c r="L14" s="93" t="s">
        <v>507</v>
      </c>
      <c r="M14" s="43" t="str">
        <f t="shared" si="2"/>
        <v>101</v>
      </c>
      <c r="N14" s="43" t="s">
        <v>534</v>
      </c>
      <c r="O14" s="43" t="s">
        <v>536</v>
      </c>
      <c r="P14" s="43" t="s">
        <v>538</v>
      </c>
      <c r="Q14" s="43" t="s">
        <v>485</v>
      </c>
      <c r="R14" s="43" t="s">
        <v>600</v>
      </c>
      <c r="S14" s="43" t="s">
        <v>500</v>
      </c>
      <c r="T14" s="43" t="s">
        <v>500</v>
      </c>
      <c r="U14" s="49" t="s">
        <v>500</v>
      </c>
      <c r="V14" s="48">
        <v>202</v>
      </c>
      <c r="W14" s="48">
        <v>0</v>
      </c>
      <c r="X14" s="48">
        <v>0</v>
      </c>
      <c r="Y14" s="43" t="str">
        <f t="shared" si="3"/>
        <v>Préstamos externos</v>
      </c>
      <c r="Z14" s="43">
        <v>99</v>
      </c>
      <c r="AA14" s="43" t="str">
        <f>VLOOKUP($Z14,'clacificaror presupuestario'!$K$2:$L$11,2,FALSE)</f>
        <v>Otros_pasivos</v>
      </c>
      <c r="AB14" s="43">
        <v>570102</v>
      </c>
      <c r="AC14" s="43" t="str">
        <f>VLOOKUP($AB14,'clacificaror presupuestario'!$A$2:$C$506,3,FALSE)</f>
        <v>Tasas Generales, Impuestos, Contribuciones, Permisos, Licencias y Patentes.</v>
      </c>
      <c r="AD14" s="44">
        <v>2006</v>
      </c>
      <c r="AE14" s="44"/>
      <c r="AF14" s="44"/>
      <c r="AG14" s="44">
        <f t="shared" si="4"/>
        <v>2006</v>
      </c>
      <c r="AH14" s="44">
        <v>100</v>
      </c>
      <c r="AI14" s="44">
        <v>100</v>
      </c>
      <c r="AJ14" s="44">
        <v>100</v>
      </c>
      <c r="AK14" s="44">
        <v>100</v>
      </c>
      <c r="AL14" s="44">
        <v>100</v>
      </c>
      <c r="AM14" s="44">
        <v>100</v>
      </c>
      <c r="AN14" s="44">
        <v>100</v>
      </c>
      <c r="AO14" s="44">
        <v>100</v>
      </c>
      <c r="AP14" s="44">
        <v>100</v>
      </c>
      <c r="AQ14" s="44">
        <v>100</v>
      </c>
      <c r="AR14" s="44">
        <v>100</v>
      </c>
      <c r="AS14" s="44">
        <v>100</v>
      </c>
      <c r="AT14" s="44">
        <f t="shared" si="5"/>
        <v>1200</v>
      </c>
      <c r="AU14" s="44">
        <f t="shared" si="6"/>
        <v>806</v>
      </c>
      <c r="AV14" s="45" t="str">
        <f t="shared" si="7"/>
        <v xml:space="preserve">   Colocar DESCRIPCIÓN DE LA ACTIVIDAD; Colocar METAS; Colocar INDICADORES;               </v>
      </c>
      <c r="AW14" s="8"/>
    </row>
    <row r="15" spans="1:49" ht="18.95" customHeight="1">
      <c r="A15" s="2"/>
      <c r="B15" s="93" t="s">
        <v>325</v>
      </c>
      <c r="C15" s="93" t="s">
        <v>374</v>
      </c>
      <c r="D15" s="43" t="s">
        <v>377</v>
      </c>
      <c r="E15" s="43" t="str">
        <f t="shared" si="1"/>
        <v>N/A</v>
      </c>
      <c r="F15" s="43"/>
      <c r="G15" s="43"/>
      <c r="H15" s="43"/>
      <c r="I15" s="43" t="s">
        <v>27</v>
      </c>
      <c r="J15" s="43" t="s">
        <v>28</v>
      </c>
      <c r="K15" s="43" t="s">
        <v>51</v>
      </c>
      <c r="L15" s="93" t="s">
        <v>507</v>
      </c>
      <c r="M15" s="43" t="str">
        <f t="shared" si="2"/>
        <v>101</v>
      </c>
      <c r="N15" s="43" t="s">
        <v>534</v>
      </c>
      <c r="O15" s="43" t="s">
        <v>536</v>
      </c>
      <c r="P15" s="43" t="s">
        <v>538</v>
      </c>
      <c r="Q15" s="43" t="s">
        <v>485</v>
      </c>
      <c r="R15" s="43" t="s">
        <v>600</v>
      </c>
      <c r="S15" s="43" t="s">
        <v>500</v>
      </c>
      <c r="T15" s="43" t="s">
        <v>500</v>
      </c>
      <c r="U15" s="49" t="s">
        <v>500</v>
      </c>
      <c r="V15" s="48">
        <v>202</v>
      </c>
      <c r="W15" s="48">
        <v>0</v>
      </c>
      <c r="X15" s="48">
        <v>0</v>
      </c>
      <c r="Y15" s="43" t="str">
        <f t="shared" si="3"/>
        <v>Préstamos externos</v>
      </c>
      <c r="Z15" s="43">
        <v>99</v>
      </c>
      <c r="AA15" s="43" t="str">
        <f>VLOOKUP($Z15,'clacificaror presupuestario'!$K$2:$L$11,2,FALSE)</f>
        <v>Otros_pasivos</v>
      </c>
      <c r="AB15" s="43">
        <v>570102</v>
      </c>
      <c r="AC15" s="43" t="str">
        <f>VLOOKUP($AB15,'clacificaror presupuestario'!$A$2:$C$506,3,FALSE)</f>
        <v>Tasas Generales, Impuestos, Contribuciones, Permisos, Licencias y Patentes.</v>
      </c>
      <c r="AD15" s="44">
        <v>2007</v>
      </c>
      <c r="AE15" s="44"/>
      <c r="AF15" s="44"/>
      <c r="AG15" s="44">
        <f t="shared" si="4"/>
        <v>2007</v>
      </c>
      <c r="AH15" s="44">
        <v>100</v>
      </c>
      <c r="AI15" s="44">
        <v>100</v>
      </c>
      <c r="AJ15" s="44">
        <v>100</v>
      </c>
      <c r="AK15" s="44">
        <v>100</v>
      </c>
      <c r="AL15" s="44">
        <v>100</v>
      </c>
      <c r="AM15" s="44">
        <v>100</v>
      </c>
      <c r="AN15" s="44">
        <v>100</v>
      </c>
      <c r="AO15" s="44">
        <v>100</v>
      </c>
      <c r="AP15" s="44">
        <v>100</v>
      </c>
      <c r="AQ15" s="44">
        <v>100</v>
      </c>
      <c r="AR15" s="44">
        <v>100</v>
      </c>
      <c r="AS15" s="44">
        <v>100</v>
      </c>
      <c r="AT15" s="44">
        <f t="shared" si="5"/>
        <v>1200</v>
      </c>
      <c r="AU15" s="44">
        <f t="shared" si="6"/>
        <v>807</v>
      </c>
      <c r="AV15" s="45" t="str">
        <f t="shared" si="7"/>
        <v xml:space="preserve">   Colocar DESCRIPCIÓN DE LA ACTIVIDAD; Colocar METAS; Colocar INDICADORES;               </v>
      </c>
      <c r="AW15" s="8"/>
    </row>
    <row r="16" spans="1:49" ht="18.95" customHeight="1">
      <c r="A16" s="2"/>
      <c r="B16" s="93" t="s">
        <v>325</v>
      </c>
      <c r="C16" s="93" t="s">
        <v>374</v>
      </c>
      <c r="D16" s="43" t="s">
        <v>377</v>
      </c>
      <c r="E16" s="43" t="str">
        <f t="shared" si="1"/>
        <v>N/A</v>
      </c>
      <c r="F16" s="43"/>
      <c r="G16" s="43"/>
      <c r="H16" s="43"/>
      <c r="I16" s="43" t="s">
        <v>27</v>
      </c>
      <c r="J16" s="43" t="s">
        <v>28</v>
      </c>
      <c r="K16" s="43" t="s">
        <v>51</v>
      </c>
      <c r="L16" s="93" t="s">
        <v>507</v>
      </c>
      <c r="M16" s="43" t="str">
        <f t="shared" si="2"/>
        <v>101</v>
      </c>
      <c r="N16" s="43" t="s">
        <v>534</v>
      </c>
      <c r="O16" s="43" t="s">
        <v>536</v>
      </c>
      <c r="P16" s="43" t="s">
        <v>538</v>
      </c>
      <c r="Q16" s="43" t="s">
        <v>485</v>
      </c>
      <c r="R16" s="43" t="s">
        <v>600</v>
      </c>
      <c r="S16" s="43" t="s">
        <v>500</v>
      </c>
      <c r="T16" s="43" t="s">
        <v>500</v>
      </c>
      <c r="U16" s="49" t="s">
        <v>500</v>
      </c>
      <c r="V16" s="48">
        <v>202</v>
      </c>
      <c r="W16" s="48">
        <v>0</v>
      </c>
      <c r="X16" s="48">
        <v>0</v>
      </c>
      <c r="Y16" s="43" t="str">
        <f t="shared" si="3"/>
        <v>Préstamos externos</v>
      </c>
      <c r="Z16" s="43">
        <v>71</v>
      </c>
      <c r="AA16" s="43" t="str">
        <f>VLOOKUP($Z16,'clacificaror presupuestario'!$K$2:$L$11,2,FALSE)</f>
        <v>Egresos_en_personal_para_inversión</v>
      </c>
      <c r="AB16" s="43">
        <v>570102</v>
      </c>
      <c r="AC16" s="43" t="str">
        <f>VLOOKUP($AB16,'clacificaror presupuestario'!$A$2:$C$506,3,FALSE)</f>
        <v>Tasas Generales, Impuestos, Contribuciones, Permisos, Licencias y Patentes.</v>
      </c>
      <c r="AD16" s="44">
        <v>2008</v>
      </c>
      <c r="AE16" s="44"/>
      <c r="AF16" s="44"/>
      <c r="AG16" s="44">
        <f t="shared" si="4"/>
        <v>2008</v>
      </c>
      <c r="AH16" s="44">
        <v>100</v>
      </c>
      <c r="AI16" s="44">
        <v>100</v>
      </c>
      <c r="AJ16" s="44">
        <v>100</v>
      </c>
      <c r="AK16" s="44">
        <v>100</v>
      </c>
      <c r="AL16" s="44">
        <v>100</v>
      </c>
      <c r="AM16" s="44">
        <v>100</v>
      </c>
      <c r="AN16" s="44">
        <v>100</v>
      </c>
      <c r="AO16" s="44">
        <v>100</v>
      </c>
      <c r="AP16" s="44">
        <v>100</v>
      </c>
      <c r="AQ16" s="44">
        <v>100</v>
      </c>
      <c r="AR16" s="44">
        <v>100</v>
      </c>
      <c r="AS16" s="44">
        <v>100</v>
      </c>
      <c r="AT16" s="44">
        <f t="shared" si="5"/>
        <v>1200</v>
      </c>
      <c r="AU16" s="44">
        <f t="shared" si="6"/>
        <v>808</v>
      </c>
      <c r="AV16" s="45" t="str">
        <f t="shared" si="7"/>
        <v xml:space="preserve">   Colocar DESCRIPCIÓN DE LA ACTIVIDAD; Colocar METAS; Colocar INDICADORES;               </v>
      </c>
      <c r="AW16" s="8"/>
    </row>
    <row r="17" spans="1:49" ht="18.95" customHeight="1">
      <c r="A17" s="2"/>
      <c r="B17" s="93" t="s">
        <v>325</v>
      </c>
      <c r="C17" s="93" t="s">
        <v>374</v>
      </c>
      <c r="D17" s="43" t="s">
        <v>377</v>
      </c>
      <c r="E17" s="43" t="str">
        <f t="shared" si="1"/>
        <v>N/A</v>
      </c>
      <c r="F17" s="43"/>
      <c r="G17" s="43"/>
      <c r="H17" s="43"/>
      <c r="I17" s="43" t="s">
        <v>27</v>
      </c>
      <c r="J17" s="43" t="s">
        <v>28</v>
      </c>
      <c r="K17" s="43" t="s">
        <v>51</v>
      </c>
      <c r="L17" s="93" t="s">
        <v>507</v>
      </c>
      <c r="M17" s="43" t="str">
        <f t="shared" si="2"/>
        <v>101</v>
      </c>
      <c r="N17" s="43" t="s">
        <v>534</v>
      </c>
      <c r="O17" s="43" t="s">
        <v>536</v>
      </c>
      <c r="P17" s="43" t="s">
        <v>538</v>
      </c>
      <c r="Q17" s="43" t="s">
        <v>485</v>
      </c>
      <c r="R17" s="43" t="s">
        <v>600</v>
      </c>
      <c r="S17" s="43" t="s">
        <v>500</v>
      </c>
      <c r="T17" s="43" t="s">
        <v>500</v>
      </c>
      <c r="U17" s="49" t="s">
        <v>500</v>
      </c>
      <c r="V17" s="48">
        <v>202</v>
      </c>
      <c r="W17" s="48">
        <v>0</v>
      </c>
      <c r="X17" s="48">
        <v>0</v>
      </c>
      <c r="Y17" s="43" t="str">
        <f t="shared" si="3"/>
        <v>Préstamos externos</v>
      </c>
      <c r="Z17" s="43">
        <v>99</v>
      </c>
      <c r="AA17" s="43" t="str">
        <f>VLOOKUP($Z17,'clacificaror presupuestario'!$K$2:$L$11,2,FALSE)</f>
        <v>Otros_pasivos</v>
      </c>
      <c r="AB17" s="43">
        <v>570102</v>
      </c>
      <c r="AC17" s="43" t="str">
        <f>VLOOKUP($AB17,'clacificaror presupuestario'!$A$2:$C$506,3,FALSE)</f>
        <v>Tasas Generales, Impuestos, Contribuciones, Permisos, Licencias y Patentes.</v>
      </c>
      <c r="AD17" s="44">
        <v>2009</v>
      </c>
      <c r="AE17" s="44"/>
      <c r="AF17" s="44"/>
      <c r="AG17" s="44">
        <f t="shared" si="4"/>
        <v>2009</v>
      </c>
      <c r="AH17" s="44">
        <v>100</v>
      </c>
      <c r="AI17" s="44">
        <v>100</v>
      </c>
      <c r="AJ17" s="44">
        <v>100</v>
      </c>
      <c r="AK17" s="44">
        <v>100</v>
      </c>
      <c r="AL17" s="44">
        <v>100</v>
      </c>
      <c r="AM17" s="44">
        <v>100</v>
      </c>
      <c r="AN17" s="44">
        <v>100</v>
      </c>
      <c r="AO17" s="44">
        <v>100</v>
      </c>
      <c r="AP17" s="44">
        <v>100</v>
      </c>
      <c r="AQ17" s="44">
        <v>100</v>
      </c>
      <c r="AR17" s="44">
        <v>100</v>
      </c>
      <c r="AS17" s="44">
        <v>100</v>
      </c>
      <c r="AT17" s="44">
        <f t="shared" si="5"/>
        <v>1200</v>
      </c>
      <c r="AU17" s="44">
        <f t="shared" si="6"/>
        <v>809</v>
      </c>
      <c r="AV17" s="45" t="str">
        <f t="shared" si="7"/>
        <v xml:space="preserve">   Colocar DESCRIPCIÓN DE LA ACTIVIDAD; Colocar METAS; Colocar INDICADORES;               </v>
      </c>
      <c r="AW17" s="8"/>
    </row>
    <row r="18" spans="1:49" ht="18.95" customHeight="1">
      <c r="A18" s="2"/>
      <c r="B18" s="93" t="s">
        <v>325</v>
      </c>
      <c r="C18" s="93" t="s">
        <v>374</v>
      </c>
      <c r="D18" s="43" t="s">
        <v>377</v>
      </c>
      <c r="E18" s="43" t="str">
        <f t="shared" si="1"/>
        <v>N/A</v>
      </c>
      <c r="F18" s="43"/>
      <c r="G18" s="43"/>
      <c r="H18" s="43"/>
      <c r="I18" s="43" t="s">
        <v>27</v>
      </c>
      <c r="J18" s="43" t="s">
        <v>28</v>
      </c>
      <c r="K18" s="43" t="s">
        <v>51</v>
      </c>
      <c r="L18" s="93" t="s">
        <v>507</v>
      </c>
      <c r="M18" s="43" t="str">
        <f t="shared" si="2"/>
        <v>101</v>
      </c>
      <c r="N18" s="43" t="s">
        <v>534</v>
      </c>
      <c r="O18" s="43" t="s">
        <v>536</v>
      </c>
      <c r="P18" s="43" t="s">
        <v>538</v>
      </c>
      <c r="Q18" s="43" t="s">
        <v>485</v>
      </c>
      <c r="R18" s="43" t="s">
        <v>600</v>
      </c>
      <c r="S18" s="43" t="s">
        <v>500</v>
      </c>
      <c r="T18" s="43" t="s">
        <v>500</v>
      </c>
      <c r="U18" s="49" t="s">
        <v>500</v>
      </c>
      <c r="V18" s="48">
        <v>202</v>
      </c>
      <c r="W18" s="48">
        <v>0</v>
      </c>
      <c r="X18" s="48">
        <v>0</v>
      </c>
      <c r="Y18" s="43" t="str">
        <f t="shared" si="3"/>
        <v>Préstamos externos</v>
      </c>
      <c r="Z18" s="43">
        <v>99</v>
      </c>
      <c r="AA18" s="43" t="str">
        <f>VLOOKUP($Z18,'clacificaror presupuestario'!$K$2:$L$11,2,FALSE)</f>
        <v>Otros_pasivos</v>
      </c>
      <c r="AB18" s="43">
        <v>570102</v>
      </c>
      <c r="AC18" s="43" t="str">
        <f>VLOOKUP($AB18,'clacificaror presupuestario'!$A$2:$C$506,3,FALSE)</f>
        <v>Tasas Generales, Impuestos, Contribuciones, Permisos, Licencias y Patentes.</v>
      </c>
      <c r="AD18" s="44">
        <v>2010</v>
      </c>
      <c r="AE18" s="44"/>
      <c r="AF18" s="44"/>
      <c r="AG18" s="44">
        <f t="shared" si="4"/>
        <v>2010</v>
      </c>
      <c r="AH18" s="44">
        <v>100</v>
      </c>
      <c r="AI18" s="44">
        <v>100</v>
      </c>
      <c r="AJ18" s="44">
        <v>100</v>
      </c>
      <c r="AK18" s="44">
        <v>100</v>
      </c>
      <c r="AL18" s="44">
        <v>100</v>
      </c>
      <c r="AM18" s="44">
        <v>100</v>
      </c>
      <c r="AN18" s="44">
        <v>100</v>
      </c>
      <c r="AO18" s="44">
        <v>100</v>
      </c>
      <c r="AP18" s="44">
        <v>100</v>
      </c>
      <c r="AQ18" s="44">
        <v>100</v>
      </c>
      <c r="AR18" s="44">
        <v>100</v>
      </c>
      <c r="AS18" s="44">
        <v>100</v>
      </c>
      <c r="AT18" s="44">
        <f t="shared" si="5"/>
        <v>1200</v>
      </c>
      <c r="AU18" s="44">
        <f t="shared" si="6"/>
        <v>810</v>
      </c>
      <c r="AV18" s="45" t="str">
        <f t="shared" si="7"/>
        <v xml:space="preserve">   Colocar DESCRIPCIÓN DE LA ACTIVIDAD; Colocar METAS; Colocar INDICADORES;               </v>
      </c>
      <c r="AW18" s="8"/>
    </row>
    <row r="19" spans="1:49" ht="18.95" customHeight="1">
      <c r="A19" s="2"/>
      <c r="B19" s="93" t="s">
        <v>325</v>
      </c>
      <c r="C19" s="93" t="s">
        <v>374</v>
      </c>
      <c r="D19" s="43" t="s">
        <v>377</v>
      </c>
      <c r="E19" s="43" t="str">
        <f t="shared" si="1"/>
        <v>N/A</v>
      </c>
      <c r="F19" s="43"/>
      <c r="G19" s="43"/>
      <c r="H19" s="43"/>
      <c r="I19" s="43" t="s">
        <v>27</v>
      </c>
      <c r="J19" s="43" t="s">
        <v>28</v>
      </c>
      <c r="K19" s="43" t="s">
        <v>51</v>
      </c>
      <c r="L19" s="93" t="s">
        <v>507</v>
      </c>
      <c r="M19" s="43" t="str">
        <f t="shared" si="2"/>
        <v>101</v>
      </c>
      <c r="N19" s="43" t="s">
        <v>534</v>
      </c>
      <c r="O19" s="43" t="s">
        <v>536</v>
      </c>
      <c r="P19" s="43" t="s">
        <v>538</v>
      </c>
      <c r="Q19" s="43" t="s">
        <v>485</v>
      </c>
      <c r="R19" s="43" t="s">
        <v>600</v>
      </c>
      <c r="S19" s="43" t="s">
        <v>500</v>
      </c>
      <c r="T19" s="43" t="s">
        <v>500</v>
      </c>
      <c r="U19" s="49" t="s">
        <v>500</v>
      </c>
      <c r="V19" s="48">
        <v>202</v>
      </c>
      <c r="W19" s="48">
        <v>0</v>
      </c>
      <c r="X19" s="48">
        <v>0</v>
      </c>
      <c r="Y19" s="43" t="str">
        <f t="shared" si="3"/>
        <v>Préstamos externos</v>
      </c>
      <c r="Z19" s="43">
        <v>99</v>
      </c>
      <c r="AA19" s="43" t="str">
        <f>VLOOKUP($Z19,'clacificaror presupuestario'!$K$2:$L$11,2,FALSE)</f>
        <v>Otros_pasivos</v>
      </c>
      <c r="AB19" s="43">
        <v>570102</v>
      </c>
      <c r="AC19" s="43" t="str">
        <f>VLOOKUP($AB19,'clacificaror presupuestario'!$A$2:$C$506,3,FALSE)</f>
        <v>Tasas Generales, Impuestos, Contribuciones, Permisos, Licencias y Patentes.</v>
      </c>
      <c r="AD19" s="44">
        <v>2011</v>
      </c>
      <c r="AE19" s="44"/>
      <c r="AF19" s="44"/>
      <c r="AG19" s="44">
        <f t="shared" si="4"/>
        <v>2011</v>
      </c>
      <c r="AH19" s="44">
        <v>100</v>
      </c>
      <c r="AI19" s="44">
        <v>100</v>
      </c>
      <c r="AJ19" s="44">
        <v>100</v>
      </c>
      <c r="AK19" s="44">
        <v>100</v>
      </c>
      <c r="AL19" s="44">
        <v>100</v>
      </c>
      <c r="AM19" s="44">
        <v>100</v>
      </c>
      <c r="AN19" s="44">
        <v>100</v>
      </c>
      <c r="AO19" s="44">
        <v>100</v>
      </c>
      <c r="AP19" s="44">
        <v>100</v>
      </c>
      <c r="AQ19" s="44">
        <v>100</v>
      </c>
      <c r="AR19" s="44">
        <v>100</v>
      </c>
      <c r="AS19" s="44">
        <v>100</v>
      </c>
      <c r="AT19" s="44">
        <f t="shared" si="5"/>
        <v>1200</v>
      </c>
      <c r="AU19" s="44">
        <f t="shared" si="6"/>
        <v>811</v>
      </c>
      <c r="AV19" s="45" t="str">
        <f t="shared" si="7"/>
        <v xml:space="preserve">   Colocar DESCRIPCIÓN DE LA ACTIVIDAD; Colocar METAS; Colocar INDICADORES;               </v>
      </c>
      <c r="AW19" s="8"/>
    </row>
    <row r="20" spans="1:49" ht="18.95" customHeight="1">
      <c r="A20" s="2"/>
      <c r="B20" s="93" t="s">
        <v>325</v>
      </c>
      <c r="C20" s="93" t="s">
        <v>374</v>
      </c>
      <c r="D20" s="43" t="s">
        <v>377</v>
      </c>
      <c r="E20" s="43" t="str">
        <f t="shared" si="1"/>
        <v>N/A</v>
      </c>
      <c r="F20" s="43"/>
      <c r="G20" s="43"/>
      <c r="H20" s="43"/>
      <c r="I20" s="43" t="s">
        <v>27</v>
      </c>
      <c r="J20" s="43" t="s">
        <v>28</v>
      </c>
      <c r="K20" s="43" t="s">
        <v>51</v>
      </c>
      <c r="L20" s="93" t="s">
        <v>507</v>
      </c>
      <c r="M20" s="43" t="str">
        <f t="shared" si="2"/>
        <v>101</v>
      </c>
      <c r="N20" s="43" t="s">
        <v>534</v>
      </c>
      <c r="O20" s="43" t="s">
        <v>536</v>
      </c>
      <c r="P20" s="43" t="s">
        <v>538</v>
      </c>
      <c r="Q20" s="43" t="s">
        <v>485</v>
      </c>
      <c r="R20" s="43" t="s">
        <v>600</v>
      </c>
      <c r="S20" s="43" t="s">
        <v>500</v>
      </c>
      <c r="T20" s="43" t="s">
        <v>500</v>
      </c>
      <c r="U20" s="49" t="s">
        <v>500</v>
      </c>
      <c r="V20" s="48">
        <v>202</v>
      </c>
      <c r="W20" s="48">
        <v>0</v>
      </c>
      <c r="X20" s="48">
        <v>0</v>
      </c>
      <c r="Y20" s="43" t="str">
        <f t="shared" si="3"/>
        <v>Préstamos externos</v>
      </c>
      <c r="Z20" s="43">
        <v>99</v>
      </c>
      <c r="AA20" s="43" t="str">
        <f>VLOOKUP($Z20,'clacificaror presupuestario'!$K$2:$L$11,2,FALSE)</f>
        <v>Otros_pasivos</v>
      </c>
      <c r="AB20" s="43">
        <v>570102</v>
      </c>
      <c r="AC20" s="43" t="str">
        <f>VLOOKUP($AB20,'clacificaror presupuestario'!$A$2:$C$506,3,FALSE)</f>
        <v>Tasas Generales, Impuestos, Contribuciones, Permisos, Licencias y Patentes.</v>
      </c>
      <c r="AD20" s="44">
        <v>2012</v>
      </c>
      <c r="AE20" s="44"/>
      <c r="AF20" s="44"/>
      <c r="AG20" s="44">
        <f t="shared" si="4"/>
        <v>2012</v>
      </c>
      <c r="AH20" s="44">
        <v>100</v>
      </c>
      <c r="AI20" s="44">
        <v>100</v>
      </c>
      <c r="AJ20" s="44">
        <v>100</v>
      </c>
      <c r="AK20" s="44">
        <v>100</v>
      </c>
      <c r="AL20" s="44">
        <v>100</v>
      </c>
      <c r="AM20" s="44">
        <v>100</v>
      </c>
      <c r="AN20" s="44">
        <v>100</v>
      </c>
      <c r="AO20" s="44">
        <v>100</v>
      </c>
      <c r="AP20" s="44">
        <v>100</v>
      </c>
      <c r="AQ20" s="44">
        <v>100</v>
      </c>
      <c r="AR20" s="44">
        <v>100</v>
      </c>
      <c r="AS20" s="44">
        <v>100</v>
      </c>
      <c r="AT20" s="44">
        <f t="shared" si="5"/>
        <v>1200</v>
      </c>
      <c r="AU20" s="44">
        <f t="shared" si="6"/>
        <v>812</v>
      </c>
      <c r="AV20" s="45" t="str">
        <f t="shared" si="7"/>
        <v xml:space="preserve">   Colocar DESCRIPCIÓN DE LA ACTIVIDAD; Colocar METAS; Colocar INDICADORES;               </v>
      </c>
      <c r="AW20" s="8"/>
    </row>
    <row r="21" spans="1:49" ht="18.95" customHeight="1">
      <c r="A21" s="2"/>
      <c r="B21" s="93" t="s">
        <v>325</v>
      </c>
      <c r="C21" s="93" t="s">
        <v>374</v>
      </c>
      <c r="D21" s="43" t="s">
        <v>377</v>
      </c>
      <c r="E21" s="43" t="str">
        <f t="shared" si="1"/>
        <v>N/A</v>
      </c>
      <c r="F21" s="43"/>
      <c r="G21" s="43"/>
      <c r="H21" s="43"/>
      <c r="I21" s="43" t="s">
        <v>27</v>
      </c>
      <c r="J21" s="43" t="s">
        <v>28</v>
      </c>
      <c r="K21" s="43" t="s">
        <v>51</v>
      </c>
      <c r="L21" s="93" t="s">
        <v>507</v>
      </c>
      <c r="M21" s="43" t="str">
        <f t="shared" si="2"/>
        <v>101</v>
      </c>
      <c r="N21" s="43" t="s">
        <v>534</v>
      </c>
      <c r="O21" s="43" t="s">
        <v>536</v>
      </c>
      <c r="P21" s="43" t="s">
        <v>538</v>
      </c>
      <c r="Q21" s="43" t="s">
        <v>485</v>
      </c>
      <c r="R21" s="43" t="s">
        <v>600</v>
      </c>
      <c r="S21" s="43" t="s">
        <v>500</v>
      </c>
      <c r="T21" s="43" t="s">
        <v>500</v>
      </c>
      <c r="U21" s="49" t="s">
        <v>500</v>
      </c>
      <c r="V21" s="48">
        <v>202</v>
      </c>
      <c r="W21" s="48">
        <v>0</v>
      </c>
      <c r="X21" s="48">
        <v>0</v>
      </c>
      <c r="Y21" s="43" t="str">
        <f t="shared" si="3"/>
        <v>Préstamos externos</v>
      </c>
      <c r="Z21" s="43">
        <v>99</v>
      </c>
      <c r="AA21" s="43" t="str">
        <f>VLOOKUP($Z21,'clacificaror presupuestario'!$K$2:$L$11,2,FALSE)</f>
        <v>Otros_pasivos</v>
      </c>
      <c r="AB21" s="43">
        <v>570102</v>
      </c>
      <c r="AC21" s="43" t="str">
        <f>VLOOKUP($AB21,'clacificaror presupuestario'!$A$2:$C$506,3,FALSE)</f>
        <v>Tasas Generales, Impuestos, Contribuciones, Permisos, Licencias y Patentes.</v>
      </c>
      <c r="AD21" s="44">
        <v>2013</v>
      </c>
      <c r="AE21" s="44"/>
      <c r="AF21" s="44"/>
      <c r="AG21" s="44">
        <f t="shared" si="4"/>
        <v>2013</v>
      </c>
      <c r="AH21" s="44">
        <v>100</v>
      </c>
      <c r="AI21" s="44">
        <v>100</v>
      </c>
      <c r="AJ21" s="44">
        <v>100</v>
      </c>
      <c r="AK21" s="44">
        <v>100</v>
      </c>
      <c r="AL21" s="44">
        <v>100</v>
      </c>
      <c r="AM21" s="44">
        <v>100</v>
      </c>
      <c r="AN21" s="44">
        <v>100</v>
      </c>
      <c r="AO21" s="44">
        <v>100</v>
      </c>
      <c r="AP21" s="44">
        <v>100</v>
      </c>
      <c r="AQ21" s="44">
        <v>100</v>
      </c>
      <c r="AR21" s="44">
        <v>100</v>
      </c>
      <c r="AS21" s="44">
        <v>100</v>
      </c>
      <c r="AT21" s="44">
        <f t="shared" si="5"/>
        <v>1200</v>
      </c>
      <c r="AU21" s="44">
        <f t="shared" si="6"/>
        <v>813</v>
      </c>
      <c r="AV21" s="45" t="str">
        <f t="shared" si="7"/>
        <v xml:space="preserve">   Colocar DESCRIPCIÓN DE LA ACTIVIDAD; Colocar METAS; Colocar INDICADORES;               </v>
      </c>
      <c r="AW21" s="8"/>
    </row>
    <row r="22" spans="1:49" ht="18.95" customHeight="1">
      <c r="A22" s="2"/>
      <c r="B22" s="93" t="s">
        <v>325</v>
      </c>
      <c r="C22" s="93" t="s">
        <v>374</v>
      </c>
      <c r="D22" s="43" t="s">
        <v>377</v>
      </c>
      <c r="E22" s="43" t="str">
        <f t="shared" si="1"/>
        <v>N/A</v>
      </c>
      <c r="F22" s="43"/>
      <c r="G22" s="43"/>
      <c r="H22" s="43"/>
      <c r="I22" s="43" t="s">
        <v>27</v>
      </c>
      <c r="J22" s="43" t="s">
        <v>28</v>
      </c>
      <c r="K22" s="43" t="s">
        <v>51</v>
      </c>
      <c r="L22" s="93" t="s">
        <v>507</v>
      </c>
      <c r="M22" s="43" t="str">
        <f t="shared" si="2"/>
        <v>101</v>
      </c>
      <c r="N22" s="43" t="s">
        <v>534</v>
      </c>
      <c r="O22" s="43" t="s">
        <v>536</v>
      </c>
      <c r="P22" s="43" t="s">
        <v>538</v>
      </c>
      <c r="Q22" s="43" t="s">
        <v>485</v>
      </c>
      <c r="R22" s="43" t="s">
        <v>600</v>
      </c>
      <c r="S22" s="43" t="s">
        <v>500</v>
      </c>
      <c r="T22" s="43" t="s">
        <v>500</v>
      </c>
      <c r="U22" s="49" t="s">
        <v>500</v>
      </c>
      <c r="V22" s="48">
        <v>202</v>
      </c>
      <c r="W22" s="48">
        <v>0</v>
      </c>
      <c r="X22" s="48">
        <v>0</v>
      </c>
      <c r="Y22" s="43" t="str">
        <f t="shared" si="3"/>
        <v>Préstamos externos</v>
      </c>
      <c r="Z22" s="43">
        <v>99</v>
      </c>
      <c r="AA22" s="43" t="str">
        <f>VLOOKUP($Z22,'clacificaror presupuestario'!$K$2:$L$11,2,FALSE)</f>
        <v>Otros_pasivos</v>
      </c>
      <c r="AB22" s="43">
        <v>570102</v>
      </c>
      <c r="AC22" s="43" t="str">
        <f>VLOOKUP($AB22,'clacificaror presupuestario'!$A$2:$C$506,3,FALSE)</f>
        <v>Tasas Generales, Impuestos, Contribuciones, Permisos, Licencias y Patentes.</v>
      </c>
      <c r="AD22" s="44">
        <v>2014</v>
      </c>
      <c r="AE22" s="44"/>
      <c r="AF22" s="44"/>
      <c r="AG22" s="44">
        <f t="shared" si="4"/>
        <v>2014</v>
      </c>
      <c r="AH22" s="44">
        <v>100</v>
      </c>
      <c r="AI22" s="44">
        <v>100</v>
      </c>
      <c r="AJ22" s="44">
        <v>100</v>
      </c>
      <c r="AK22" s="44">
        <v>100</v>
      </c>
      <c r="AL22" s="44">
        <v>100</v>
      </c>
      <c r="AM22" s="44">
        <v>100</v>
      </c>
      <c r="AN22" s="44">
        <v>100</v>
      </c>
      <c r="AO22" s="44">
        <v>100</v>
      </c>
      <c r="AP22" s="44">
        <v>100</v>
      </c>
      <c r="AQ22" s="44">
        <v>100</v>
      </c>
      <c r="AR22" s="44">
        <v>100</v>
      </c>
      <c r="AS22" s="44">
        <v>100</v>
      </c>
      <c r="AT22" s="44">
        <f t="shared" si="5"/>
        <v>1200</v>
      </c>
      <c r="AU22" s="44">
        <f t="shared" si="6"/>
        <v>814</v>
      </c>
      <c r="AV22" s="45" t="str">
        <f t="shared" si="7"/>
        <v xml:space="preserve">   Colocar DESCRIPCIÓN DE LA ACTIVIDAD; Colocar METAS; Colocar INDICADORES;               </v>
      </c>
      <c r="AW22" s="8"/>
    </row>
    <row r="23" spans="1:49" ht="18.95" customHeight="1">
      <c r="A23" s="2"/>
      <c r="B23" s="93" t="s">
        <v>325</v>
      </c>
      <c r="C23" s="93" t="s">
        <v>374</v>
      </c>
      <c r="D23" s="43" t="s">
        <v>377</v>
      </c>
      <c r="E23" s="43" t="str">
        <f t="shared" si="1"/>
        <v>N/A</v>
      </c>
      <c r="F23" s="43"/>
      <c r="G23" s="43"/>
      <c r="H23" s="43"/>
      <c r="I23" s="43" t="s">
        <v>27</v>
      </c>
      <c r="J23" s="43" t="s">
        <v>28</v>
      </c>
      <c r="K23" s="43" t="s">
        <v>51</v>
      </c>
      <c r="L23" s="93" t="s">
        <v>507</v>
      </c>
      <c r="M23" s="43" t="str">
        <f t="shared" si="2"/>
        <v>101</v>
      </c>
      <c r="N23" s="43" t="s">
        <v>534</v>
      </c>
      <c r="O23" s="43" t="s">
        <v>536</v>
      </c>
      <c r="P23" s="43" t="s">
        <v>538</v>
      </c>
      <c r="Q23" s="43" t="s">
        <v>485</v>
      </c>
      <c r="R23" s="43" t="s">
        <v>600</v>
      </c>
      <c r="S23" s="43" t="s">
        <v>500</v>
      </c>
      <c r="T23" s="43" t="s">
        <v>500</v>
      </c>
      <c r="U23" s="49" t="s">
        <v>500</v>
      </c>
      <c r="V23" s="48">
        <v>202</v>
      </c>
      <c r="W23" s="48">
        <v>0</v>
      </c>
      <c r="X23" s="48">
        <v>0</v>
      </c>
      <c r="Y23" s="43" t="str">
        <f t="shared" si="3"/>
        <v>Préstamos externos</v>
      </c>
      <c r="Z23" s="43">
        <v>99</v>
      </c>
      <c r="AA23" s="43" t="str">
        <f>VLOOKUP($Z23,'clacificaror presupuestario'!$K$2:$L$11,2,FALSE)</f>
        <v>Otros_pasivos</v>
      </c>
      <c r="AB23" s="43">
        <v>570102</v>
      </c>
      <c r="AC23" s="43" t="str">
        <f>VLOOKUP($AB23,'clacificaror presupuestario'!$A$2:$C$506,3,FALSE)</f>
        <v>Tasas Generales, Impuestos, Contribuciones, Permisos, Licencias y Patentes.</v>
      </c>
      <c r="AD23" s="44">
        <v>2015</v>
      </c>
      <c r="AE23" s="44"/>
      <c r="AF23" s="44"/>
      <c r="AG23" s="44">
        <f t="shared" si="4"/>
        <v>2015</v>
      </c>
      <c r="AH23" s="44">
        <v>100</v>
      </c>
      <c r="AI23" s="44">
        <v>100</v>
      </c>
      <c r="AJ23" s="44">
        <v>100</v>
      </c>
      <c r="AK23" s="44">
        <v>100</v>
      </c>
      <c r="AL23" s="44">
        <v>100</v>
      </c>
      <c r="AM23" s="44">
        <v>100</v>
      </c>
      <c r="AN23" s="44">
        <v>100</v>
      </c>
      <c r="AO23" s="44">
        <v>100</v>
      </c>
      <c r="AP23" s="44">
        <v>100</v>
      </c>
      <c r="AQ23" s="44">
        <v>100</v>
      </c>
      <c r="AR23" s="44">
        <v>100</v>
      </c>
      <c r="AS23" s="44">
        <v>100</v>
      </c>
      <c r="AT23" s="44">
        <f t="shared" si="5"/>
        <v>1200</v>
      </c>
      <c r="AU23" s="44">
        <f t="shared" si="6"/>
        <v>815</v>
      </c>
      <c r="AV23" s="45" t="str">
        <f t="shared" si="7"/>
        <v xml:space="preserve">   Colocar DESCRIPCIÓN DE LA ACTIVIDAD; Colocar METAS; Colocar INDICADORES;               </v>
      </c>
      <c r="AW23" s="8"/>
    </row>
    <row r="24" spans="1:49" ht="18.95" customHeight="1">
      <c r="A24" s="2"/>
      <c r="B24" s="93" t="s">
        <v>325</v>
      </c>
      <c r="C24" s="93" t="s">
        <v>374</v>
      </c>
      <c r="D24" s="43" t="s">
        <v>377</v>
      </c>
      <c r="E24" s="43" t="str">
        <f t="shared" si="1"/>
        <v>N/A</v>
      </c>
      <c r="F24" s="43"/>
      <c r="G24" s="43"/>
      <c r="H24" s="43"/>
      <c r="I24" s="43" t="s">
        <v>27</v>
      </c>
      <c r="J24" s="43" t="s">
        <v>28</v>
      </c>
      <c r="K24" s="43" t="s">
        <v>51</v>
      </c>
      <c r="L24" s="93" t="s">
        <v>507</v>
      </c>
      <c r="M24" s="43" t="str">
        <f t="shared" si="2"/>
        <v>101</v>
      </c>
      <c r="N24" s="43" t="s">
        <v>534</v>
      </c>
      <c r="O24" s="43" t="s">
        <v>536</v>
      </c>
      <c r="P24" s="43" t="s">
        <v>538</v>
      </c>
      <c r="Q24" s="43" t="s">
        <v>485</v>
      </c>
      <c r="R24" s="43" t="s">
        <v>600</v>
      </c>
      <c r="S24" s="43" t="s">
        <v>500</v>
      </c>
      <c r="T24" s="43" t="s">
        <v>500</v>
      </c>
      <c r="U24" s="49" t="s">
        <v>500</v>
      </c>
      <c r="V24" s="48">
        <v>202</v>
      </c>
      <c r="W24" s="48">
        <v>0</v>
      </c>
      <c r="X24" s="48">
        <v>0</v>
      </c>
      <c r="Y24" s="43" t="str">
        <f t="shared" si="3"/>
        <v>Préstamos externos</v>
      </c>
      <c r="Z24" s="43">
        <v>99</v>
      </c>
      <c r="AA24" s="43" t="str">
        <f>VLOOKUP($Z24,'clacificaror presupuestario'!$K$2:$L$11,2,FALSE)</f>
        <v>Otros_pasivos</v>
      </c>
      <c r="AB24" s="43">
        <v>570102</v>
      </c>
      <c r="AC24" s="43" t="str">
        <f>VLOOKUP($AB24,'clacificaror presupuestario'!$A$2:$C$506,3,FALSE)</f>
        <v>Tasas Generales, Impuestos, Contribuciones, Permisos, Licencias y Patentes.</v>
      </c>
      <c r="AD24" s="44">
        <v>2016</v>
      </c>
      <c r="AE24" s="44"/>
      <c r="AF24" s="44"/>
      <c r="AG24" s="44">
        <f t="shared" si="4"/>
        <v>2016</v>
      </c>
      <c r="AH24" s="44">
        <v>100</v>
      </c>
      <c r="AI24" s="44">
        <v>100</v>
      </c>
      <c r="AJ24" s="44">
        <v>100</v>
      </c>
      <c r="AK24" s="44">
        <v>100</v>
      </c>
      <c r="AL24" s="44">
        <v>100</v>
      </c>
      <c r="AM24" s="44">
        <v>100</v>
      </c>
      <c r="AN24" s="44">
        <v>100</v>
      </c>
      <c r="AO24" s="44">
        <v>100</v>
      </c>
      <c r="AP24" s="44">
        <v>100</v>
      </c>
      <c r="AQ24" s="44">
        <v>100</v>
      </c>
      <c r="AR24" s="44">
        <v>100</v>
      </c>
      <c r="AS24" s="44">
        <v>100</v>
      </c>
      <c r="AT24" s="44">
        <f t="shared" si="5"/>
        <v>1200</v>
      </c>
      <c r="AU24" s="44">
        <f t="shared" si="6"/>
        <v>816</v>
      </c>
      <c r="AV24" s="45" t="str">
        <f t="shared" si="7"/>
        <v xml:space="preserve">   Colocar DESCRIPCIÓN DE LA ACTIVIDAD; Colocar METAS; Colocar INDICADORES;               </v>
      </c>
      <c r="AW24" s="8"/>
    </row>
    <row r="25" spans="1:49" ht="18.95" customHeight="1">
      <c r="A25" s="2"/>
      <c r="B25" s="93" t="s">
        <v>325</v>
      </c>
      <c r="C25" s="93" t="s">
        <v>374</v>
      </c>
      <c r="D25" s="43" t="s">
        <v>377</v>
      </c>
      <c r="E25" s="43" t="str">
        <f t="shared" si="1"/>
        <v>N/A</v>
      </c>
      <c r="F25" s="43"/>
      <c r="G25" s="43"/>
      <c r="H25" s="43"/>
      <c r="I25" s="43" t="s">
        <v>27</v>
      </c>
      <c r="J25" s="43" t="s">
        <v>28</v>
      </c>
      <c r="K25" s="43" t="s">
        <v>51</v>
      </c>
      <c r="L25" s="93" t="s">
        <v>507</v>
      </c>
      <c r="M25" s="43" t="str">
        <f t="shared" si="2"/>
        <v>101</v>
      </c>
      <c r="N25" s="43" t="s">
        <v>534</v>
      </c>
      <c r="O25" s="43" t="s">
        <v>536</v>
      </c>
      <c r="P25" s="43" t="s">
        <v>538</v>
      </c>
      <c r="Q25" s="43" t="s">
        <v>485</v>
      </c>
      <c r="R25" s="43" t="s">
        <v>600</v>
      </c>
      <c r="S25" s="43" t="s">
        <v>500</v>
      </c>
      <c r="T25" s="43" t="s">
        <v>500</v>
      </c>
      <c r="U25" s="49" t="s">
        <v>500</v>
      </c>
      <c r="V25" s="48">
        <v>202</v>
      </c>
      <c r="W25" s="48">
        <v>0</v>
      </c>
      <c r="X25" s="48">
        <v>0</v>
      </c>
      <c r="Y25" s="43" t="str">
        <f t="shared" si="3"/>
        <v>Préstamos externos</v>
      </c>
      <c r="Z25" s="43">
        <v>99</v>
      </c>
      <c r="AA25" s="43" t="str">
        <f>VLOOKUP($Z25,'clacificaror presupuestario'!$K$2:$L$11,2,FALSE)</f>
        <v>Otros_pasivos</v>
      </c>
      <c r="AB25" s="43">
        <v>570102</v>
      </c>
      <c r="AC25" s="43" t="str">
        <f>VLOOKUP($AB25,'clacificaror presupuestario'!$A$2:$C$506,3,FALSE)</f>
        <v>Tasas Generales, Impuestos, Contribuciones, Permisos, Licencias y Patentes.</v>
      </c>
      <c r="AD25" s="44">
        <v>2017</v>
      </c>
      <c r="AE25" s="44"/>
      <c r="AF25" s="44"/>
      <c r="AG25" s="44">
        <f t="shared" si="4"/>
        <v>2017</v>
      </c>
      <c r="AH25" s="44">
        <v>100</v>
      </c>
      <c r="AI25" s="44">
        <v>100</v>
      </c>
      <c r="AJ25" s="44">
        <v>100</v>
      </c>
      <c r="AK25" s="44">
        <v>100</v>
      </c>
      <c r="AL25" s="44">
        <v>100</v>
      </c>
      <c r="AM25" s="44">
        <v>100</v>
      </c>
      <c r="AN25" s="44">
        <v>100</v>
      </c>
      <c r="AO25" s="44">
        <v>100</v>
      </c>
      <c r="AP25" s="44">
        <v>100</v>
      </c>
      <c r="AQ25" s="44">
        <v>100</v>
      </c>
      <c r="AR25" s="44">
        <v>100</v>
      </c>
      <c r="AS25" s="44">
        <v>100</v>
      </c>
      <c r="AT25" s="44">
        <f t="shared" si="5"/>
        <v>1200</v>
      </c>
      <c r="AU25" s="44">
        <f t="shared" si="6"/>
        <v>817</v>
      </c>
      <c r="AV25" s="45" t="str">
        <f t="shared" si="7"/>
        <v xml:space="preserve">   Colocar DESCRIPCIÓN DE LA ACTIVIDAD; Colocar METAS; Colocar INDICADORES;               </v>
      </c>
      <c r="AW25" s="8"/>
    </row>
    <row r="26" spans="1:49" ht="18.95" customHeight="1">
      <c r="A26" s="2"/>
      <c r="B26" s="93" t="s">
        <v>325</v>
      </c>
      <c r="C26" s="93" t="s">
        <v>374</v>
      </c>
      <c r="D26" s="43" t="s">
        <v>377</v>
      </c>
      <c r="E26" s="43" t="str">
        <f t="shared" si="1"/>
        <v>N/A</v>
      </c>
      <c r="F26" s="43"/>
      <c r="G26" s="43"/>
      <c r="H26" s="43"/>
      <c r="I26" s="43" t="s">
        <v>27</v>
      </c>
      <c r="J26" s="43" t="s">
        <v>28</v>
      </c>
      <c r="K26" s="43" t="s">
        <v>51</v>
      </c>
      <c r="L26" s="93" t="s">
        <v>507</v>
      </c>
      <c r="M26" s="43" t="str">
        <f t="shared" si="2"/>
        <v>101</v>
      </c>
      <c r="N26" s="43" t="s">
        <v>534</v>
      </c>
      <c r="O26" s="43" t="s">
        <v>536</v>
      </c>
      <c r="P26" s="43" t="s">
        <v>538</v>
      </c>
      <c r="Q26" s="43" t="s">
        <v>485</v>
      </c>
      <c r="R26" s="43" t="s">
        <v>600</v>
      </c>
      <c r="S26" s="43" t="s">
        <v>500</v>
      </c>
      <c r="T26" s="43" t="s">
        <v>500</v>
      </c>
      <c r="U26" s="49" t="s">
        <v>500</v>
      </c>
      <c r="V26" s="48">
        <v>202</v>
      </c>
      <c r="W26" s="48">
        <v>0</v>
      </c>
      <c r="X26" s="48">
        <v>0</v>
      </c>
      <c r="Y26" s="43" t="str">
        <f t="shared" si="3"/>
        <v>Préstamos externos</v>
      </c>
      <c r="Z26" s="43">
        <v>99</v>
      </c>
      <c r="AA26" s="43" t="str">
        <f>VLOOKUP($Z26,'clacificaror presupuestario'!$K$2:$L$11,2,FALSE)</f>
        <v>Otros_pasivos</v>
      </c>
      <c r="AB26" s="43">
        <v>570102</v>
      </c>
      <c r="AC26" s="43" t="str">
        <f>VLOOKUP($AB26,'clacificaror presupuestario'!$A$2:$C$506,3,FALSE)</f>
        <v>Tasas Generales, Impuestos, Contribuciones, Permisos, Licencias y Patentes.</v>
      </c>
      <c r="AD26" s="44">
        <v>2018</v>
      </c>
      <c r="AE26" s="44"/>
      <c r="AF26" s="44"/>
      <c r="AG26" s="44">
        <f t="shared" si="4"/>
        <v>2018</v>
      </c>
      <c r="AH26" s="44">
        <v>100</v>
      </c>
      <c r="AI26" s="44">
        <v>100</v>
      </c>
      <c r="AJ26" s="44">
        <v>100</v>
      </c>
      <c r="AK26" s="44">
        <v>100</v>
      </c>
      <c r="AL26" s="44">
        <v>100</v>
      </c>
      <c r="AM26" s="44">
        <v>100</v>
      </c>
      <c r="AN26" s="44">
        <v>100</v>
      </c>
      <c r="AO26" s="44">
        <v>100</v>
      </c>
      <c r="AP26" s="44">
        <v>100</v>
      </c>
      <c r="AQ26" s="44">
        <v>100</v>
      </c>
      <c r="AR26" s="44">
        <v>100</v>
      </c>
      <c r="AS26" s="44">
        <v>100</v>
      </c>
      <c r="AT26" s="44">
        <f t="shared" si="5"/>
        <v>1200</v>
      </c>
      <c r="AU26" s="44">
        <f t="shared" si="6"/>
        <v>818</v>
      </c>
      <c r="AV26" s="45" t="str">
        <f t="shared" si="7"/>
        <v xml:space="preserve">   Colocar DESCRIPCIÓN DE LA ACTIVIDAD; Colocar METAS; Colocar INDICADORES;               </v>
      </c>
      <c r="AW26" s="8"/>
    </row>
    <row r="27" spans="1:49" ht="18.95" customHeight="1">
      <c r="A27" s="2"/>
      <c r="B27" s="93" t="s">
        <v>325</v>
      </c>
      <c r="C27" s="93" t="s">
        <v>374</v>
      </c>
      <c r="D27" s="43" t="s">
        <v>377</v>
      </c>
      <c r="E27" s="43" t="str">
        <f t="shared" si="1"/>
        <v>N/A</v>
      </c>
      <c r="F27" s="43"/>
      <c r="G27" s="43"/>
      <c r="H27" s="43"/>
      <c r="I27" s="43" t="s">
        <v>27</v>
      </c>
      <c r="J27" s="43" t="s">
        <v>28</v>
      </c>
      <c r="K27" s="43" t="s">
        <v>51</v>
      </c>
      <c r="L27" s="93" t="s">
        <v>507</v>
      </c>
      <c r="M27" s="43" t="str">
        <f t="shared" si="2"/>
        <v>101</v>
      </c>
      <c r="N27" s="43" t="s">
        <v>534</v>
      </c>
      <c r="O27" s="43" t="s">
        <v>536</v>
      </c>
      <c r="P27" s="43" t="s">
        <v>538</v>
      </c>
      <c r="Q27" s="43" t="s">
        <v>485</v>
      </c>
      <c r="R27" s="43" t="s">
        <v>600</v>
      </c>
      <c r="S27" s="43" t="s">
        <v>500</v>
      </c>
      <c r="T27" s="43" t="s">
        <v>500</v>
      </c>
      <c r="U27" s="49" t="s">
        <v>500</v>
      </c>
      <c r="V27" s="48">
        <v>202</v>
      </c>
      <c r="W27" s="48">
        <v>0</v>
      </c>
      <c r="X27" s="48">
        <v>0</v>
      </c>
      <c r="Y27" s="43" t="str">
        <f t="shared" si="3"/>
        <v>Préstamos externos</v>
      </c>
      <c r="Z27" s="43">
        <v>99</v>
      </c>
      <c r="AA27" s="43" t="str">
        <f>VLOOKUP($Z27,'clacificaror presupuestario'!$K$2:$L$11,2,FALSE)</f>
        <v>Otros_pasivos</v>
      </c>
      <c r="AB27" s="43">
        <v>570102</v>
      </c>
      <c r="AC27" s="43" t="str">
        <f>VLOOKUP($AB27,'clacificaror presupuestario'!$A$2:$C$506,3,FALSE)</f>
        <v>Tasas Generales, Impuestos, Contribuciones, Permisos, Licencias y Patentes.</v>
      </c>
      <c r="AD27" s="44">
        <v>2019</v>
      </c>
      <c r="AE27" s="44"/>
      <c r="AF27" s="44"/>
      <c r="AG27" s="44">
        <f t="shared" si="4"/>
        <v>2019</v>
      </c>
      <c r="AH27" s="44">
        <v>100</v>
      </c>
      <c r="AI27" s="44">
        <v>100</v>
      </c>
      <c r="AJ27" s="44">
        <v>100</v>
      </c>
      <c r="AK27" s="44">
        <v>100</v>
      </c>
      <c r="AL27" s="44">
        <v>100</v>
      </c>
      <c r="AM27" s="44">
        <v>100</v>
      </c>
      <c r="AN27" s="44">
        <v>100</v>
      </c>
      <c r="AO27" s="44">
        <v>100</v>
      </c>
      <c r="AP27" s="44">
        <v>100</v>
      </c>
      <c r="AQ27" s="44">
        <v>100</v>
      </c>
      <c r="AR27" s="44">
        <v>100</v>
      </c>
      <c r="AS27" s="44">
        <v>100</v>
      </c>
      <c r="AT27" s="44">
        <f t="shared" si="5"/>
        <v>1200</v>
      </c>
      <c r="AU27" s="44">
        <f t="shared" si="6"/>
        <v>819</v>
      </c>
      <c r="AV27" s="45" t="str">
        <f t="shared" si="7"/>
        <v xml:space="preserve">   Colocar DESCRIPCIÓN DE LA ACTIVIDAD; Colocar METAS; Colocar INDICADORES;               </v>
      </c>
      <c r="AW27" s="8"/>
    </row>
    <row r="28" spans="1:49" ht="18.95" customHeight="1">
      <c r="A28" s="2"/>
      <c r="B28" s="93" t="s">
        <v>325</v>
      </c>
      <c r="C28" s="93" t="s">
        <v>374</v>
      </c>
      <c r="D28" s="43" t="s">
        <v>377</v>
      </c>
      <c r="E28" s="43" t="str">
        <f t="shared" si="1"/>
        <v>N/A</v>
      </c>
      <c r="F28" s="43"/>
      <c r="G28" s="43"/>
      <c r="H28" s="43"/>
      <c r="I28" s="43" t="s">
        <v>27</v>
      </c>
      <c r="J28" s="43" t="s">
        <v>28</v>
      </c>
      <c r="K28" s="43" t="s">
        <v>51</v>
      </c>
      <c r="L28" s="93" t="s">
        <v>507</v>
      </c>
      <c r="M28" s="43" t="str">
        <f t="shared" si="2"/>
        <v>101</v>
      </c>
      <c r="N28" s="43" t="s">
        <v>534</v>
      </c>
      <c r="O28" s="43" t="s">
        <v>536</v>
      </c>
      <c r="P28" s="43" t="s">
        <v>538</v>
      </c>
      <c r="Q28" s="43" t="s">
        <v>485</v>
      </c>
      <c r="R28" s="43" t="s">
        <v>600</v>
      </c>
      <c r="S28" s="43" t="s">
        <v>500</v>
      </c>
      <c r="T28" s="43" t="s">
        <v>500</v>
      </c>
      <c r="U28" s="49" t="s">
        <v>500</v>
      </c>
      <c r="V28" s="48">
        <v>202</v>
      </c>
      <c r="W28" s="48">
        <v>0</v>
      </c>
      <c r="X28" s="48">
        <v>0</v>
      </c>
      <c r="Y28" s="43" t="str">
        <f t="shared" si="3"/>
        <v>Préstamos externos</v>
      </c>
      <c r="Z28" s="43">
        <v>73</v>
      </c>
      <c r="AA28" s="43" t="str">
        <f>VLOOKUP($Z28,'clacificaror presupuestario'!$K$2:$L$11,2,FALSE)</f>
        <v>Bienes_y_servicios_para_inversión</v>
      </c>
      <c r="AB28" s="43">
        <v>730102</v>
      </c>
      <c r="AC28" s="43" t="str">
        <f>VLOOKUP($AB28,'clacificaror presupuestario'!$A$2:$C$506,3,FALSE)</f>
        <v>Agua de Riego</v>
      </c>
      <c r="AD28" s="44">
        <v>2020</v>
      </c>
      <c r="AE28" s="44"/>
      <c r="AF28" s="44"/>
      <c r="AG28" s="44">
        <f t="shared" si="4"/>
        <v>2020</v>
      </c>
      <c r="AH28" s="44">
        <v>100</v>
      </c>
      <c r="AI28" s="44">
        <v>100</v>
      </c>
      <c r="AJ28" s="44">
        <v>100</v>
      </c>
      <c r="AK28" s="44">
        <v>100</v>
      </c>
      <c r="AL28" s="44">
        <v>100</v>
      </c>
      <c r="AM28" s="44">
        <v>100</v>
      </c>
      <c r="AN28" s="44">
        <v>100</v>
      </c>
      <c r="AO28" s="44">
        <v>100</v>
      </c>
      <c r="AP28" s="44">
        <v>100</v>
      </c>
      <c r="AQ28" s="44">
        <v>100</v>
      </c>
      <c r="AR28" s="44">
        <v>100</v>
      </c>
      <c r="AS28" s="44">
        <v>100</v>
      </c>
      <c r="AT28" s="44">
        <f t="shared" si="5"/>
        <v>1200</v>
      </c>
      <c r="AU28" s="44">
        <f t="shared" si="6"/>
        <v>820</v>
      </c>
      <c r="AV28" s="45" t="str">
        <f t="shared" si="7"/>
        <v xml:space="preserve">   Colocar DESCRIPCIÓN DE LA ACTIVIDAD; Colocar METAS; Colocar INDICADORES;               </v>
      </c>
      <c r="AW28" s="8"/>
    </row>
    <row r="29" spans="1:49" ht="18.95" customHeight="1">
      <c r="A29" s="2"/>
      <c r="B29" s="93" t="s">
        <v>325</v>
      </c>
      <c r="C29" s="93" t="s">
        <v>374</v>
      </c>
      <c r="D29" s="43" t="s">
        <v>377</v>
      </c>
      <c r="E29" s="43" t="str">
        <f t="shared" si="1"/>
        <v>N/A</v>
      </c>
      <c r="F29" s="43"/>
      <c r="G29" s="43"/>
      <c r="H29" s="43"/>
      <c r="I29" s="43" t="s">
        <v>27</v>
      </c>
      <c r="J29" s="43" t="s">
        <v>28</v>
      </c>
      <c r="K29" s="43" t="s">
        <v>51</v>
      </c>
      <c r="L29" s="93" t="s">
        <v>507</v>
      </c>
      <c r="M29" s="43" t="str">
        <f t="shared" si="2"/>
        <v>101</v>
      </c>
      <c r="N29" s="43" t="s">
        <v>534</v>
      </c>
      <c r="O29" s="43" t="s">
        <v>536</v>
      </c>
      <c r="P29" s="43" t="s">
        <v>538</v>
      </c>
      <c r="Q29" s="43" t="s">
        <v>485</v>
      </c>
      <c r="R29" s="43" t="s">
        <v>600</v>
      </c>
      <c r="S29" s="43" t="s">
        <v>500</v>
      </c>
      <c r="T29" s="43" t="s">
        <v>500</v>
      </c>
      <c r="U29" s="49" t="s">
        <v>500</v>
      </c>
      <c r="V29" s="48">
        <v>202</v>
      </c>
      <c r="W29" s="48">
        <v>0</v>
      </c>
      <c r="X29" s="48">
        <v>0</v>
      </c>
      <c r="Y29" s="43" t="str">
        <f t="shared" si="3"/>
        <v>Préstamos externos</v>
      </c>
      <c r="Z29" s="43">
        <v>99</v>
      </c>
      <c r="AA29" s="43" t="str">
        <f>VLOOKUP($Z29,'clacificaror presupuestario'!$K$2:$L$11,2,FALSE)</f>
        <v>Otros_pasivos</v>
      </c>
      <c r="AB29" s="43">
        <v>570102</v>
      </c>
      <c r="AC29" s="43" t="str">
        <f>VLOOKUP($AB29,'clacificaror presupuestario'!$A$2:$C$506,3,FALSE)</f>
        <v>Tasas Generales, Impuestos, Contribuciones, Permisos, Licencias y Patentes.</v>
      </c>
      <c r="AD29" s="44">
        <v>2021</v>
      </c>
      <c r="AE29" s="44"/>
      <c r="AF29" s="44"/>
      <c r="AG29" s="44">
        <f t="shared" si="4"/>
        <v>2021</v>
      </c>
      <c r="AH29" s="44">
        <v>100</v>
      </c>
      <c r="AI29" s="44">
        <v>100</v>
      </c>
      <c r="AJ29" s="44">
        <v>100</v>
      </c>
      <c r="AK29" s="44">
        <v>100</v>
      </c>
      <c r="AL29" s="44">
        <v>100</v>
      </c>
      <c r="AM29" s="44">
        <v>100</v>
      </c>
      <c r="AN29" s="44">
        <v>100</v>
      </c>
      <c r="AO29" s="44">
        <v>100</v>
      </c>
      <c r="AP29" s="44">
        <v>100</v>
      </c>
      <c r="AQ29" s="44">
        <v>100</v>
      </c>
      <c r="AR29" s="44">
        <v>100</v>
      </c>
      <c r="AS29" s="44">
        <v>100</v>
      </c>
      <c r="AT29" s="44">
        <f t="shared" si="5"/>
        <v>1200</v>
      </c>
      <c r="AU29" s="44">
        <f t="shared" si="6"/>
        <v>821</v>
      </c>
      <c r="AV29" s="45" t="str">
        <f t="shared" si="7"/>
        <v xml:space="preserve">   Colocar DESCRIPCIÓN DE LA ACTIVIDAD; Colocar METAS; Colocar INDICADORES;               </v>
      </c>
      <c r="AW29" s="8"/>
    </row>
    <row r="30" spans="1:49" ht="18.95" customHeight="1">
      <c r="A30" s="2"/>
      <c r="B30" s="93" t="s">
        <v>325</v>
      </c>
      <c r="C30" s="93" t="s">
        <v>374</v>
      </c>
      <c r="D30" s="43" t="s">
        <v>377</v>
      </c>
      <c r="E30" s="43" t="str">
        <f t="shared" si="1"/>
        <v>N/A</v>
      </c>
      <c r="F30" s="43"/>
      <c r="G30" s="43"/>
      <c r="H30" s="43"/>
      <c r="I30" s="43" t="s">
        <v>27</v>
      </c>
      <c r="J30" s="43" t="s">
        <v>28</v>
      </c>
      <c r="K30" s="43" t="s">
        <v>51</v>
      </c>
      <c r="L30" s="93" t="s">
        <v>507</v>
      </c>
      <c r="M30" s="43" t="str">
        <f t="shared" si="2"/>
        <v>101</v>
      </c>
      <c r="N30" s="43" t="s">
        <v>534</v>
      </c>
      <c r="O30" s="43" t="s">
        <v>536</v>
      </c>
      <c r="P30" s="43" t="s">
        <v>538</v>
      </c>
      <c r="Q30" s="43" t="s">
        <v>485</v>
      </c>
      <c r="R30" s="43" t="s">
        <v>600</v>
      </c>
      <c r="S30" s="43" t="s">
        <v>500</v>
      </c>
      <c r="T30" s="43" t="s">
        <v>500</v>
      </c>
      <c r="U30" s="49" t="s">
        <v>500</v>
      </c>
      <c r="V30" s="48">
        <v>202</v>
      </c>
      <c r="W30" s="48">
        <v>0</v>
      </c>
      <c r="X30" s="48">
        <v>0</v>
      </c>
      <c r="Y30" s="43" t="str">
        <f t="shared" si="3"/>
        <v>Préstamos externos</v>
      </c>
      <c r="Z30" s="43">
        <v>84</v>
      </c>
      <c r="AA30" s="43" t="str">
        <f>VLOOKUP($Z30,'clacificaror presupuestario'!$K$2:$L$11,2,FALSE)</f>
        <v>Bienes_de_larga_duración_propiedades_planta_y_equipo</v>
      </c>
      <c r="AB30" s="43">
        <v>570102</v>
      </c>
      <c r="AC30" s="43" t="str">
        <f>VLOOKUP($AB30,'clacificaror presupuestario'!$A$2:$C$506,3,FALSE)</f>
        <v>Tasas Generales, Impuestos, Contribuciones, Permisos, Licencias y Patentes.</v>
      </c>
      <c r="AD30" s="44">
        <v>2022</v>
      </c>
      <c r="AE30" s="44"/>
      <c r="AF30" s="44"/>
      <c r="AG30" s="44">
        <f t="shared" si="4"/>
        <v>2022</v>
      </c>
      <c r="AH30" s="44">
        <v>100</v>
      </c>
      <c r="AI30" s="44">
        <v>100</v>
      </c>
      <c r="AJ30" s="44">
        <v>100</v>
      </c>
      <c r="AK30" s="44">
        <v>100</v>
      </c>
      <c r="AL30" s="44">
        <v>100</v>
      </c>
      <c r="AM30" s="44">
        <v>100</v>
      </c>
      <c r="AN30" s="44">
        <v>100</v>
      </c>
      <c r="AO30" s="44">
        <v>100</v>
      </c>
      <c r="AP30" s="44">
        <v>100</v>
      </c>
      <c r="AQ30" s="44">
        <v>100</v>
      </c>
      <c r="AR30" s="44">
        <v>100</v>
      </c>
      <c r="AS30" s="44">
        <v>100</v>
      </c>
      <c r="AT30" s="44">
        <f t="shared" si="5"/>
        <v>1200</v>
      </c>
      <c r="AU30" s="44">
        <f t="shared" si="6"/>
        <v>822</v>
      </c>
      <c r="AV30" s="45" t="str">
        <f t="shared" si="7"/>
        <v xml:space="preserve">   Colocar DESCRIPCIÓN DE LA ACTIVIDAD; Colocar METAS; Colocar INDICADORES;               </v>
      </c>
      <c r="AW30" s="8"/>
    </row>
    <row r="31" spans="1:49" ht="18.95" customHeight="1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3"/>
      <c r="AW31" s="8"/>
    </row>
    <row r="32" spans="1:49" ht="18.95" customHeight="1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3"/>
      <c r="AW32" s="8"/>
    </row>
    <row r="33" spans="1:49" ht="18.95" customHeight="1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3"/>
      <c r="AW33" s="8"/>
    </row>
    <row r="34" spans="1:49" ht="18.95" customHeight="1">
      <c r="A34" s="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3"/>
      <c r="AW34" s="8"/>
    </row>
    <row r="35" spans="1:49" ht="18.95" customHeight="1">
      <c r="A35" s="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3"/>
      <c r="AW35" s="8"/>
    </row>
    <row r="36" spans="1:49" ht="18.95" customHeight="1">
      <c r="A36" s="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3"/>
      <c r="AW36" s="8"/>
    </row>
    <row r="37" spans="1:49" ht="18.95" customHeight="1">
      <c r="A37" s="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3"/>
      <c r="AW37" s="8"/>
    </row>
    <row r="38" spans="1:49" ht="18.95" customHeight="1">
      <c r="A38" s="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3"/>
      <c r="AW38" s="8"/>
    </row>
    <row r="39" spans="1:49" ht="18.95" customHeight="1">
      <c r="A39" s="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3"/>
      <c r="AW39" s="8"/>
    </row>
    <row r="40" spans="1:49" ht="18.95" customHeight="1">
      <c r="A40" s="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3"/>
      <c r="AW40" s="8"/>
    </row>
    <row r="41" spans="1:49" ht="18.95" customHeight="1">
      <c r="A41" s="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3"/>
      <c r="AW41" s="8"/>
    </row>
    <row r="42" spans="1:49" ht="18.95" customHeight="1">
      <c r="A42" s="2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3"/>
      <c r="AW42" s="8"/>
    </row>
    <row r="43" spans="1:49" ht="18.95" customHeight="1">
      <c r="A43" s="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3"/>
      <c r="AW43" s="8"/>
    </row>
    <row r="44" spans="1:49" ht="18.95" customHeight="1">
      <c r="A44" s="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3"/>
      <c r="AW44" s="8"/>
    </row>
    <row r="45" spans="1:49" ht="18.95" customHeight="1">
      <c r="A45" s="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3"/>
      <c r="AW45" s="8"/>
    </row>
    <row r="46" spans="1:49" ht="18.95" customHeight="1">
      <c r="A46" s="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3"/>
      <c r="AW46" s="8"/>
    </row>
    <row r="47" spans="1:49" ht="18.95" customHeight="1">
      <c r="A47" s="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3"/>
      <c r="AW47" s="8"/>
    </row>
    <row r="48" spans="1:49" ht="18.95" customHeight="1">
      <c r="A48" s="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3"/>
      <c r="AW48" s="8"/>
    </row>
    <row r="49" spans="1:49" ht="18.95" customHeight="1">
      <c r="A49" s="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3"/>
      <c r="AW49" s="8"/>
    </row>
    <row r="50" spans="1:49" ht="18.95" customHeight="1">
      <c r="A50" s="2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3"/>
      <c r="AW50" s="8"/>
    </row>
    <row r="51" spans="1:49" ht="18.95" customHeight="1">
      <c r="A51" s="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3"/>
      <c r="AW51" s="8"/>
    </row>
    <row r="52" spans="1:49" ht="18.95" customHeight="1">
      <c r="A52" s="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3"/>
      <c r="AW52" s="8"/>
    </row>
    <row r="53" spans="1:49" ht="18.95" customHeight="1">
      <c r="A53" s="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3"/>
      <c r="AW53" s="8"/>
    </row>
    <row r="54" spans="1:49" ht="18.95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3"/>
      <c r="AW54" s="8"/>
    </row>
    <row r="55" spans="1:49" ht="18.95" customHeight="1">
      <c r="A55" s="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3"/>
      <c r="AW55" s="8"/>
    </row>
    <row r="56" spans="1:49" ht="18.95" customHeight="1">
      <c r="A56" s="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3"/>
      <c r="AW56" s="8"/>
    </row>
    <row r="57" spans="1:49" ht="18.95" customHeight="1">
      <c r="A57" s="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3"/>
      <c r="AW57" s="8"/>
    </row>
    <row r="58" spans="1:49" ht="18.95" customHeight="1">
      <c r="A58" s="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3"/>
      <c r="AW58" s="8"/>
    </row>
    <row r="59" spans="1:49" ht="18.95" customHeight="1">
      <c r="A59" s="2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3"/>
      <c r="AW59" s="8"/>
    </row>
    <row r="60" spans="1:49" ht="18.95" customHeight="1">
      <c r="A60" s="2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3"/>
      <c r="AW60" s="8"/>
    </row>
    <row r="61" spans="1:49" ht="18.95" customHeight="1">
      <c r="A61" s="2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3"/>
      <c r="AW61" s="8"/>
    </row>
    <row r="62" spans="1:49" ht="18.95" customHeight="1">
      <c r="A62" s="2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3"/>
      <c r="AW62" s="8"/>
    </row>
    <row r="63" spans="1:49" ht="18.95" customHeight="1">
      <c r="A63" s="2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3"/>
      <c r="AW63" s="8"/>
    </row>
    <row r="64" spans="1:49" ht="18.95" customHeight="1">
      <c r="A64" s="2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3"/>
      <c r="AW64" s="8"/>
    </row>
    <row r="65" spans="1:49" ht="18.95" customHeight="1">
      <c r="A65" s="2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3"/>
      <c r="AW65" s="8"/>
    </row>
    <row r="66" spans="1:49" ht="18.95" customHeight="1">
      <c r="A66" s="2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3"/>
      <c r="AW66" s="8"/>
    </row>
    <row r="67" spans="1:49" ht="18.95" customHeight="1">
      <c r="A67" s="2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3"/>
      <c r="AW67" s="8"/>
    </row>
    <row r="68" spans="1:49" ht="18.95" customHeight="1">
      <c r="A68" s="2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3"/>
      <c r="AW68" s="8"/>
    </row>
    <row r="69" spans="1:49" ht="18.95" customHeight="1">
      <c r="A69" s="2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3"/>
      <c r="AW69" s="8"/>
    </row>
    <row r="70" spans="1:49" ht="18.95" customHeight="1">
      <c r="A70" s="2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3"/>
      <c r="AW70" s="8"/>
    </row>
    <row r="71" spans="1:49" ht="18.95" customHeight="1">
      <c r="A71" s="2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3"/>
      <c r="AW71" s="8"/>
    </row>
    <row r="72" spans="1:49" ht="18.95" customHeight="1">
      <c r="A72" s="2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3"/>
      <c r="AW72" s="8"/>
    </row>
    <row r="73" spans="1:49" ht="18.95" customHeight="1">
      <c r="A73" s="2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3"/>
      <c r="AW73" s="8"/>
    </row>
    <row r="74" spans="1:49" ht="18.95" customHeight="1">
      <c r="A74" s="2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3"/>
      <c r="AW74" s="8"/>
    </row>
    <row r="75" spans="1:49" ht="18.95" customHeight="1">
      <c r="A75" s="2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3"/>
      <c r="AW75" s="8"/>
    </row>
    <row r="76" spans="1:49" ht="18.95" customHeight="1">
      <c r="A76" s="2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3"/>
      <c r="AW76" s="8"/>
    </row>
    <row r="77" spans="1:49" ht="18.95" customHeight="1">
      <c r="A77" s="2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3"/>
      <c r="AW77" s="8"/>
    </row>
    <row r="78" spans="1:49" ht="18.95" customHeight="1">
      <c r="A78" s="2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3"/>
      <c r="AW78" s="8"/>
    </row>
    <row r="79" spans="1:49" ht="18.95" customHeight="1">
      <c r="A79" s="2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3"/>
      <c r="AW79" s="8"/>
    </row>
    <row r="80" spans="1:49" ht="18.95" customHeight="1">
      <c r="A80" s="2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3"/>
      <c r="AW80" s="8"/>
    </row>
    <row r="81" spans="1:49" ht="18.95" customHeight="1">
      <c r="A81" s="2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3"/>
      <c r="AW81" s="8"/>
    </row>
    <row r="82" spans="1:49" ht="18.95" customHeight="1">
      <c r="A82" s="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3"/>
      <c r="AW82" s="8"/>
    </row>
    <row r="83" spans="1:49" ht="18.95" customHeight="1">
      <c r="A83" s="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3"/>
      <c r="AW83" s="8"/>
    </row>
    <row r="84" spans="1:49" ht="18.95" customHeight="1">
      <c r="A84" s="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3"/>
      <c r="AW84" s="8"/>
    </row>
    <row r="85" spans="1:49" ht="18.95" customHeight="1">
      <c r="A85" s="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3"/>
      <c r="AW85" s="8"/>
    </row>
    <row r="86" spans="1:49" ht="18.95" customHeight="1">
      <c r="A86" s="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3"/>
      <c r="AW86" s="8"/>
    </row>
    <row r="87" spans="1:49" ht="18.95" customHeight="1">
      <c r="A87" s="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3"/>
      <c r="AW87" s="8"/>
    </row>
    <row r="88" spans="1:49" ht="18.95" customHeight="1">
      <c r="A88" s="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3"/>
      <c r="AW88" s="8"/>
    </row>
    <row r="89" spans="1:49" ht="18.95" customHeight="1">
      <c r="A89" s="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3"/>
      <c r="AW89" s="8"/>
    </row>
    <row r="90" spans="1:49" ht="18.95" customHeight="1">
      <c r="A90" s="2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3"/>
      <c r="AW90" s="8"/>
    </row>
    <row r="91" spans="1:49" ht="18.95" customHeight="1">
      <c r="A91" s="2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3"/>
      <c r="AW91" s="8"/>
    </row>
    <row r="92" spans="1:49" ht="18.95" customHeight="1">
      <c r="A92" s="2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3"/>
      <c r="AW92" s="8"/>
    </row>
    <row r="93" spans="1:49" ht="18.95" customHeight="1">
      <c r="A93" s="2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3"/>
      <c r="AW93" s="8"/>
    </row>
    <row r="94" spans="1:49" ht="18.95" customHeight="1">
      <c r="A94" s="2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3"/>
      <c r="AW94" s="8"/>
    </row>
    <row r="95" spans="1:49" ht="18.95" customHeight="1">
      <c r="A95" s="2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3"/>
      <c r="AW95" s="8"/>
    </row>
    <row r="96" spans="1:49" ht="18.95" customHeight="1">
      <c r="A96" s="2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3"/>
      <c r="AW96" s="8"/>
    </row>
    <row r="97" spans="1:49" ht="18.95" customHeight="1">
      <c r="A97" s="2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3"/>
      <c r="AW97" s="8"/>
    </row>
    <row r="98" spans="1:49" ht="18.95" customHeight="1">
      <c r="A98" s="2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3"/>
      <c r="AW98" s="8"/>
    </row>
    <row r="99" spans="1:49" ht="18.95" customHeight="1">
      <c r="A99" s="2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3"/>
      <c r="AW99" s="8"/>
    </row>
    <row r="100" spans="1:49" ht="18.95" customHeight="1">
      <c r="A100" s="2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3"/>
      <c r="AW100" s="8"/>
    </row>
    <row r="101" spans="1:49" ht="18.95" customHeight="1">
      <c r="A101" s="2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3"/>
      <c r="AW101" s="8"/>
    </row>
    <row r="102" spans="1:49" ht="18.95" customHeight="1">
      <c r="A102" s="2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3"/>
      <c r="AW102" s="8"/>
    </row>
    <row r="103" spans="1:49" ht="18.95" customHeight="1">
      <c r="A103" s="2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3"/>
      <c r="AW103" s="8"/>
    </row>
    <row r="104" spans="1:49" ht="18.95" customHeight="1">
      <c r="A104" s="2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3"/>
      <c r="AW104" s="8"/>
    </row>
    <row r="105" spans="1:49" ht="18.95" customHeight="1">
      <c r="A105" s="2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3"/>
      <c r="AW105" s="8"/>
    </row>
    <row r="106" spans="1:49" ht="18.95" customHeight="1">
      <c r="A106" s="2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3"/>
      <c r="AW106" s="8"/>
    </row>
    <row r="107" spans="1:49" ht="18.95" customHeight="1">
      <c r="A107" s="2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3"/>
      <c r="AW107" s="8"/>
    </row>
    <row r="108" spans="1:49" ht="18.95" customHeight="1">
      <c r="A108" s="2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3"/>
      <c r="AW108" s="8"/>
    </row>
    <row r="109" spans="1:49" ht="18.95" customHeight="1">
      <c r="A109" s="2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3"/>
      <c r="AW109" s="8"/>
    </row>
    <row r="110" spans="1:49" ht="18.95" customHeight="1">
      <c r="A110" s="2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3"/>
      <c r="AW110" s="8"/>
    </row>
    <row r="111" spans="1:49" ht="18.95" customHeight="1">
      <c r="A111" s="2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3"/>
      <c r="AW111" s="8"/>
    </row>
    <row r="112" spans="1:49" ht="18.95" customHeight="1">
      <c r="A112" s="2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3"/>
      <c r="AW112" s="8"/>
    </row>
    <row r="113" spans="1:49" ht="18.95" customHeight="1">
      <c r="A113" s="2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3"/>
      <c r="AW113" s="8"/>
    </row>
    <row r="114" spans="1:49" ht="18.95" customHeight="1">
      <c r="A114" s="2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3"/>
      <c r="AW114" s="8"/>
    </row>
    <row r="115" spans="1:49" ht="18.95" customHeight="1">
      <c r="A115" s="2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3"/>
      <c r="AW115" s="8"/>
    </row>
    <row r="116" spans="1:49" ht="18.95" customHeight="1">
      <c r="A116" s="2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3"/>
      <c r="AW116" s="8"/>
    </row>
    <row r="117" spans="1:49" ht="18.95" customHeight="1">
      <c r="A117" s="2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3"/>
      <c r="AW117" s="8"/>
    </row>
    <row r="118" spans="1:49" ht="18.95" customHeight="1">
      <c r="A118" s="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3"/>
      <c r="AW118" s="8"/>
    </row>
    <row r="119" spans="1:49" ht="18.95" customHeight="1">
      <c r="A119" s="2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3"/>
      <c r="AW119" s="8"/>
    </row>
    <row r="120" spans="1:49" ht="18.95" customHeight="1">
      <c r="A120" s="2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3"/>
      <c r="AW120" s="8"/>
    </row>
    <row r="121" spans="1:49" ht="18.95" customHeight="1">
      <c r="A121" s="2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3"/>
      <c r="AW121" s="8"/>
    </row>
    <row r="122" spans="1:49" ht="18.95" customHeight="1">
      <c r="A122" s="2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3"/>
      <c r="AW122" s="8"/>
    </row>
    <row r="123" spans="1:49" ht="18.95" customHeight="1">
      <c r="A123" s="2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3"/>
      <c r="AW123" s="8"/>
    </row>
    <row r="124" spans="1:49" ht="18.95" customHeight="1">
      <c r="A124" s="2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3"/>
      <c r="AW124" s="8"/>
    </row>
    <row r="125" spans="1:49" ht="18.95" customHeight="1">
      <c r="A125" s="2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3"/>
      <c r="AW125" s="8"/>
    </row>
    <row r="126" spans="1:49" ht="18.95" customHeight="1">
      <c r="A126" s="2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3"/>
      <c r="AW126" s="8"/>
    </row>
    <row r="127" spans="1:49" ht="18.95" customHeight="1">
      <c r="A127" s="2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3"/>
      <c r="AW127" s="8"/>
    </row>
    <row r="128" spans="1:49" ht="18.95" customHeight="1">
      <c r="A128" s="2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3"/>
      <c r="AW128" s="8"/>
    </row>
    <row r="129" spans="1:49" ht="18.95" customHeight="1">
      <c r="A129" s="2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3"/>
      <c r="AW129" s="8"/>
    </row>
    <row r="130" spans="1:49" ht="18.95" customHeight="1">
      <c r="A130" s="2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3"/>
      <c r="AW130" s="8"/>
    </row>
    <row r="131" spans="1:49" ht="18.95" customHeight="1">
      <c r="A131" s="2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3"/>
      <c r="AW131" s="8"/>
    </row>
    <row r="132" spans="1:49" ht="18.95" customHeight="1">
      <c r="A132" s="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3"/>
      <c r="AW132" s="8"/>
    </row>
    <row r="133" spans="1:49" ht="18.95" customHeight="1">
      <c r="A133" s="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3"/>
      <c r="AW133" s="8"/>
    </row>
    <row r="134" spans="1:49" ht="18.95" customHeight="1">
      <c r="A134" s="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3"/>
      <c r="AW134" s="8"/>
    </row>
    <row r="135" spans="1:49" ht="18.95" customHeight="1">
      <c r="A135" s="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3"/>
      <c r="AW135" s="8"/>
    </row>
    <row r="136" spans="1:49" ht="18.95" customHeight="1">
      <c r="A136" s="2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3"/>
      <c r="AW136" s="8"/>
    </row>
    <row r="137" spans="1:49" ht="18.95" customHeight="1">
      <c r="A137" s="2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3"/>
      <c r="AW137" s="8"/>
    </row>
    <row r="138" spans="1:49" ht="18.95" customHeight="1">
      <c r="A138" s="2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3"/>
      <c r="AW138" s="8"/>
    </row>
    <row r="139" spans="1:49" ht="18.95" customHeight="1">
      <c r="A139" s="2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3"/>
      <c r="AW139" s="8"/>
    </row>
    <row r="140" spans="1:49" ht="18.95" customHeight="1">
      <c r="A140" s="2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3"/>
      <c r="AW140" s="8"/>
    </row>
    <row r="141" spans="1:49" ht="18.95" customHeight="1">
      <c r="A141" s="2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3"/>
      <c r="AW141" s="8"/>
    </row>
    <row r="142" spans="1:49" ht="18.95" customHeight="1">
      <c r="A142" s="2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3"/>
      <c r="AW142" s="8"/>
    </row>
    <row r="143" spans="1:49" ht="18.95" customHeight="1">
      <c r="A143" s="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3"/>
      <c r="AW143" s="8"/>
    </row>
    <row r="144" spans="1:49" ht="18.95" customHeight="1">
      <c r="A144" s="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3"/>
      <c r="AW144" s="8"/>
    </row>
    <row r="145" spans="1:49" ht="18.95" customHeight="1">
      <c r="A145" s="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3"/>
      <c r="AW145" s="8"/>
    </row>
    <row r="146" spans="1:49" ht="18.95" customHeight="1">
      <c r="A146" s="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3"/>
      <c r="AW146" s="8"/>
    </row>
    <row r="147" spans="1:49" ht="18.95" customHeight="1">
      <c r="A147" s="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3"/>
      <c r="AW147" s="8"/>
    </row>
    <row r="148" spans="1:49" ht="18.95" customHeight="1">
      <c r="A148" s="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3"/>
      <c r="AW148" s="8"/>
    </row>
    <row r="149" spans="1:49" ht="18.95" customHeight="1">
      <c r="A149" s="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3"/>
      <c r="AW149" s="8"/>
    </row>
    <row r="150" spans="1:49" ht="18.95" customHeight="1">
      <c r="A150" s="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3"/>
      <c r="AW150" s="8"/>
    </row>
    <row r="151" spans="1:49" ht="18.95" customHeight="1">
      <c r="A151" s="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3"/>
      <c r="AW151" s="8"/>
    </row>
    <row r="152" spans="1:49" ht="18.95" customHeight="1">
      <c r="A152" s="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3"/>
      <c r="AW152" s="8"/>
    </row>
    <row r="153" spans="1:49" ht="18.95" customHeight="1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3"/>
      <c r="AW153" s="8"/>
    </row>
    <row r="154" spans="1:49" ht="18.95" customHeight="1">
      <c r="A154" s="2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3"/>
      <c r="AW154" s="8"/>
    </row>
    <row r="155" spans="1:49" ht="18.95" customHeight="1">
      <c r="A155" s="2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3"/>
      <c r="AW155" s="8"/>
    </row>
    <row r="156" spans="1:49" ht="18.95" customHeight="1">
      <c r="A156" s="2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3"/>
      <c r="AW156" s="8"/>
    </row>
    <row r="157" spans="1:49" ht="18.95" customHeight="1">
      <c r="A157" s="2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3"/>
      <c r="AW157" s="8"/>
    </row>
    <row r="158" spans="1:49" ht="18.95" customHeight="1">
      <c r="A158" s="2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3"/>
      <c r="AW158" s="8"/>
    </row>
    <row r="159" spans="1:49" ht="18.95" customHeight="1">
      <c r="A159" s="2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3"/>
      <c r="AW159" s="8"/>
    </row>
    <row r="160" spans="1:49" ht="18.95" customHeight="1">
      <c r="A160" s="2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3"/>
      <c r="AW160" s="8"/>
    </row>
    <row r="161" spans="1:49" ht="18.95" customHeight="1">
      <c r="A161" s="2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3"/>
      <c r="AW161" s="8"/>
    </row>
    <row r="162" spans="1:49" ht="18.95" customHeight="1">
      <c r="A162" s="2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3"/>
      <c r="AW162" s="8"/>
    </row>
    <row r="163" spans="1:49" ht="18.95" customHeight="1">
      <c r="A163" s="2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3"/>
      <c r="AW163" s="8"/>
    </row>
    <row r="164" spans="1:49" ht="18.95" customHeight="1">
      <c r="A164" s="2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3"/>
      <c r="AW164" s="8"/>
    </row>
    <row r="165" spans="1:49" ht="18.95" customHeight="1">
      <c r="A165" s="2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3"/>
      <c r="AW165" s="8"/>
    </row>
    <row r="166" spans="1:49" ht="18.95" customHeight="1">
      <c r="A166" s="2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3"/>
      <c r="AW166" s="8"/>
    </row>
    <row r="167" spans="1:49" ht="18.95" customHeight="1">
      <c r="A167" s="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3"/>
      <c r="AW167" s="8"/>
    </row>
    <row r="168" spans="1:49" ht="18.95" customHeight="1">
      <c r="A168" s="2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3"/>
      <c r="AW168" s="8"/>
    </row>
    <row r="169" spans="1:49" ht="18.95" customHeight="1">
      <c r="A169" s="2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3"/>
      <c r="AW169" s="8"/>
    </row>
    <row r="170" spans="1:49" ht="18.95" customHeight="1">
      <c r="A170" s="2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3"/>
      <c r="AW170" s="8"/>
    </row>
    <row r="171" spans="1:49" ht="18.95" customHeight="1">
      <c r="A171" s="2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3"/>
      <c r="AW171" s="8"/>
    </row>
    <row r="172" spans="1:49" ht="18.95" customHeight="1">
      <c r="A172" s="2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3"/>
      <c r="AW172" s="8"/>
    </row>
    <row r="173" spans="1:49" ht="18.95" customHeight="1">
      <c r="A173" s="2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3"/>
      <c r="AW173" s="8"/>
    </row>
    <row r="174" spans="1:49" ht="18.95" customHeight="1">
      <c r="A174" s="2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3"/>
      <c r="AW174" s="8"/>
    </row>
    <row r="175" spans="1:49" ht="18.95" customHeight="1">
      <c r="A175" s="2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3"/>
      <c r="AW175" s="8"/>
    </row>
    <row r="176" spans="1:49" ht="18.95" customHeight="1">
      <c r="A176" s="2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3"/>
      <c r="AW176" s="8"/>
    </row>
    <row r="177" spans="1:49" ht="18.95" customHeight="1">
      <c r="A177" s="2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3"/>
      <c r="AW177" s="8"/>
    </row>
    <row r="178" spans="1:49" ht="18.95" customHeight="1">
      <c r="A178" s="2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3"/>
      <c r="AW178" s="8"/>
    </row>
    <row r="179" spans="1:49" ht="18.95" customHeight="1">
      <c r="A179" s="2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3"/>
      <c r="AW179" s="8"/>
    </row>
    <row r="180" spans="1:49" ht="18.95" customHeight="1">
      <c r="A180" s="2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3"/>
      <c r="AW180" s="8"/>
    </row>
    <row r="181" spans="1:49" ht="18.9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3"/>
      <c r="AW181" s="8"/>
    </row>
    <row r="182" spans="1:49" ht="18.9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3"/>
      <c r="AW182" s="8"/>
    </row>
    <row r="183" spans="1:49" ht="18.9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3"/>
      <c r="AW183" s="8"/>
    </row>
    <row r="184" spans="1:49" ht="37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3"/>
      <c r="AW184" s="8"/>
    </row>
    <row r="185" spans="1:49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3"/>
      <c r="AW185" s="8"/>
    </row>
    <row r="186" spans="1:49" ht="50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3"/>
      <c r="AW186" s="8"/>
    </row>
    <row r="187" spans="1:49" ht="4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3"/>
      <c r="AW187" s="8"/>
    </row>
    <row r="188" spans="1:49" ht="18.9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3"/>
      <c r="AW188" s="8"/>
    </row>
    <row r="189" spans="1:49" ht="64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3"/>
      <c r="AW189" s="8"/>
    </row>
    <row r="190" spans="1:49" ht="18.9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3"/>
      <c r="AW190" s="8"/>
    </row>
    <row r="191" spans="1:49" ht="18.9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3"/>
      <c r="AW191" s="8"/>
    </row>
    <row r="192" spans="1:49" ht="18.9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3"/>
      <c r="AW192" s="8"/>
    </row>
    <row r="193" spans="1:49" ht="18.9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3"/>
      <c r="AW193" s="8"/>
    </row>
    <row r="194" spans="1:49" ht="18.9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3"/>
      <c r="AW194" s="8"/>
    </row>
    <row r="195" spans="1:49" ht="55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3"/>
      <c r="AW195" s="8"/>
    </row>
    <row r="196" spans="1:49" ht="18.9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3"/>
      <c r="AW196" s="8"/>
    </row>
    <row r="197" spans="1:49" ht="18.9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3"/>
      <c r="AW197" s="8"/>
    </row>
    <row r="198" spans="1:49" ht="18.9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3"/>
      <c r="AW198" s="8"/>
    </row>
    <row r="199" spans="1:49" ht="18.9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3"/>
      <c r="AW199" s="8"/>
    </row>
    <row r="200" spans="1:49" ht="18.9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3"/>
      <c r="AW200" s="8"/>
    </row>
    <row r="201" spans="1:49" ht="18.9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3"/>
      <c r="AW201" s="8"/>
    </row>
    <row r="202" spans="1:49" ht="49.7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3"/>
      <c r="AW202" s="8"/>
    </row>
    <row r="203" spans="1:49" ht="18.9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3"/>
      <c r="AW203" s="8"/>
    </row>
    <row r="204" spans="1:49" ht="18.9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3"/>
      <c r="AW204" s="8"/>
    </row>
    <row r="205" spans="1:49" ht="18.9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3"/>
      <c r="AW205" s="8"/>
    </row>
    <row r="206" spans="1:49" ht="18.9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3"/>
      <c r="AW206" s="8"/>
    </row>
    <row r="207" spans="1:49" ht="41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3"/>
      <c r="AW207" s="8"/>
    </row>
    <row r="208" spans="1:49" ht="18.9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3"/>
      <c r="AW208" s="8"/>
    </row>
    <row r="209" spans="1:49" ht="18.9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3"/>
      <c r="AW209" s="8"/>
    </row>
    <row r="210" spans="1:49" ht="18.9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3"/>
      <c r="AW210" s="8"/>
    </row>
    <row r="211" spans="1:49" ht="18.9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3"/>
      <c r="AW211" s="8"/>
    </row>
    <row r="212" spans="1:49" ht="18.9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3"/>
      <c r="AW212" s="8"/>
    </row>
    <row r="213" spans="1:49" ht="18.9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3"/>
      <c r="AW213" s="8"/>
    </row>
    <row r="214" spans="1:49" ht="18.9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3"/>
      <c r="AW214" s="8"/>
    </row>
    <row r="215" spans="1:49" ht="18.9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3"/>
      <c r="AW215" s="8"/>
    </row>
    <row r="216" spans="1:49" ht="18.9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3"/>
      <c r="AW216" s="8"/>
    </row>
    <row r="217" spans="1:49" ht="18.9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3"/>
      <c r="AW217" s="8"/>
    </row>
    <row r="218" spans="1:49" ht="4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3"/>
      <c r="AW218" s="8"/>
    </row>
    <row r="219" spans="1:49" ht="18.9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3"/>
      <c r="AW219" s="8"/>
    </row>
    <row r="220" spans="1:49" ht="18.9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3"/>
      <c r="AW220" s="8"/>
    </row>
    <row r="221" spans="1:49" ht="18.9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3"/>
      <c r="AW221" s="8"/>
    </row>
    <row r="222" spans="1:49" ht="18.9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3"/>
      <c r="AW222" s="8"/>
    </row>
    <row r="223" spans="1:49" ht="18.9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3"/>
      <c r="AW223" s="8"/>
    </row>
    <row r="224" spans="1:49" ht="18.9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3"/>
      <c r="AW224" s="8"/>
    </row>
    <row r="225" spans="1:49" ht="18.95" customHeight="1">
      <c r="A225" s="8"/>
      <c r="B225" s="22"/>
      <c r="C225" s="22"/>
      <c r="D225" s="22"/>
      <c r="E225" s="22"/>
      <c r="F225" s="8"/>
      <c r="G225" s="8"/>
      <c r="H225" s="8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3"/>
      <c r="AW225" s="8"/>
    </row>
    <row r="226" spans="1:49" ht="18.9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3"/>
      <c r="AW226" s="8"/>
    </row>
    <row r="227" spans="1:49" ht="58.7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3"/>
      <c r="AW227" s="8"/>
    </row>
    <row r="228" spans="1:49" ht="18.9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3"/>
      <c r="AW228" s="8"/>
    </row>
    <row r="229" spans="1:49" ht="18.9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3"/>
      <c r="AW229" s="8"/>
    </row>
    <row r="230" spans="1:49" ht="18.95" customHeight="1">
      <c r="A230" s="8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4"/>
      <c r="AE230" s="4"/>
      <c r="AF230" s="4"/>
      <c r="AG230" s="4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3"/>
      <c r="AW230" s="8"/>
    </row>
    <row r="231" spans="1:49" ht="18.9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3"/>
      <c r="AW231" s="8"/>
    </row>
    <row r="232" spans="1:49" ht="4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3"/>
      <c r="AW232" s="8"/>
    </row>
    <row r="233" spans="1:49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3"/>
      <c r="AW233" s="8"/>
    </row>
    <row r="234" spans="1:49" ht="18.9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3"/>
      <c r="AW234" s="8"/>
    </row>
    <row r="235" spans="1:49" ht="18.9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3"/>
      <c r="AW235" s="8"/>
    </row>
    <row r="236" spans="1:49" ht="18.9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3"/>
      <c r="AW236" s="8"/>
    </row>
    <row r="237" spans="1:49" ht="18.9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3"/>
      <c r="AW237" s="8"/>
    </row>
    <row r="238" spans="1:49" ht="18.9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3"/>
      <c r="AW238" s="8"/>
    </row>
    <row r="239" spans="1:49" ht="18.9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3"/>
      <c r="AW239" s="8"/>
    </row>
    <row r="240" spans="1:49" ht="18.9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3"/>
      <c r="AW240" s="8"/>
    </row>
    <row r="241" spans="1:49" ht="18.95" customHeight="1">
      <c r="A241" s="8"/>
      <c r="B241" s="8"/>
      <c r="C241" s="8"/>
      <c r="D241" s="8"/>
      <c r="E241" s="8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3"/>
      <c r="AW241" s="8"/>
    </row>
    <row r="242" spans="1:49" ht="18.9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3"/>
      <c r="AW242" s="8"/>
    </row>
    <row r="243" spans="1:49" ht="18.9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3"/>
      <c r="AW243" s="8"/>
    </row>
    <row r="244" spans="1:49" ht="18.9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3"/>
      <c r="AW244" s="8"/>
    </row>
    <row r="245" spans="1:49" ht="18.9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3"/>
      <c r="AW245" s="8"/>
    </row>
    <row r="246" spans="1:49" ht="18.9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3"/>
      <c r="AW246" s="8"/>
    </row>
    <row r="247" spans="1:49" ht="18.9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3"/>
      <c r="AW247" s="8"/>
    </row>
    <row r="248" spans="1:49" ht="18.9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3"/>
      <c r="AW248" s="8"/>
    </row>
    <row r="249" spans="1:49" ht="18.9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3"/>
      <c r="AW249" s="8"/>
    </row>
    <row r="250" spans="1:49" ht="18.9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3"/>
      <c r="AW250" s="8"/>
    </row>
    <row r="251" spans="1:49" ht="18.9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3"/>
      <c r="AW251" s="8"/>
    </row>
    <row r="252" spans="1:49" ht="18.9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3"/>
      <c r="AW252" s="8"/>
    </row>
    <row r="253" spans="1:49" ht="18.9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3"/>
      <c r="AW253" s="5"/>
    </row>
    <row r="254" spans="1:49" ht="52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3"/>
      <c r="AW254" s="8"/>
    </row>
    <row r="255" spans="1:49" ht="18.9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3"/>
      <c r="AW255" s="8"/>
    </row>
    <row r="256" spans="1:49" ht="18.9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3"/>
      <c r="AW256" s="8"/>
    </row>
    <row r="257" spans="1:49" ht="18.9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3"/>
      <c r="AW257" s="8"/>
    </row>
    <row r="258" spans="1:49" ht="18.9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3"/>
      <c r="AW258" s="8"/>
    </row>
    <row r="259" spans="1:49" ht="18.9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3"/>
      <c r="AW259" s="8"/>
    </row>
    <row r="260" spans="1:49" ht="18.9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3"/>
      <c r="AW260" s="8"/>
    </row>
    <row r="261" spans="1:49" ht="18.9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3"/>
      <c r="AW261" s="8"/>
    </row>
    <row r="262" spans="1:49" ht="18.9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3"/>
      <c r="AW262" s="8"/>
    </row>
    <row r="263" spans="1:49" ht="40.700000000000003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3"/>
      <c r="AW263" s="8"/>
    </row>
    <row r="264" spans="1:49" ht="18.9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3"/>
      <c r="AW264" s="8"/>
    </row>
    <row r="265" spans="1:49" ht="18.9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3"/>
      <c r="AW265" s="8"/>
    </row>
    <row r="266" spans="1:49" ht="18.9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3"/>
      <c r="AW266" s="8"/>
    </row>
    <row r="267" spans="1:49" ht="18.9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6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3"/>
      <c r="AW267" s="8"/>
    </row>
    <row r="268" spans="1:49" ht="26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3"/>
      <c r="AW268" s="8"/>
    </row>
    <row r="269" spans="1:4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3"/>
      <c r="AW269" s="8"/>
    </row>
    <row r="270" spans="1:49" ht="18.9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3"/>
      <c r="AW270" s="8"/>
    </row>
    <row r="271" spans="1:49" ht="18.9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3"/>
      <c r="AW271" s="8"/>
    </row>
    <row r="272" spans="1:49" ht="18.9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3"/>
      <c r="AW272" s="8"/>
    </row>
    <row r="273" spans="1:49" ht="18.9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3"/>
      <c r="AW273" s="8"/>
    </row>
    <row r="274" spans="1:49" ht="18.9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3"/>
      <c r="AW274" s="8"/>
    </row>
    <row r="275" spans="1:49" ht="18.9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3"/>
      <c r="AW275" s="8"/>
    </row>
    <row r="276" spans="1:49" ht="18.95" customHeight="1">
      <c r="A276" s="8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8"/>
      <c r="AD276" s="4"/>
      <c r="AE276" s="4"/>
      <c r="AF276" s="4"/>
      <c r="AG276" s="4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3"/>
      <c r="AW276" s="8"/>
    </row>
    <row r="277" spans="1:49" ht="18.9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3"/>
      <c r="AW277" s="8"/>
    </row>
    <row r="278" spans="1:49" ht="18.9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3"/>
      <c r="AW278" s="8"/>
    </row>
    <row r="279" spans="1:49" ht="18.9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3"/>
      <c r="AW279" s="8"/>
    </row>
    <row r="280" spans="1:49" ht="18.9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3"/>
      <c r="AW280" s="8"/>
    </row>
    <row r="281" spans="1:49" ht="4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3"/>
      <c r="AW281" s="8"/>
    </row>
    <row r="282" spans="1:49" ht="18.9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3"/>
      <c r="AW282" s="8"/>
    </row>
    <row r="283" spans="1:49" ht="4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3"/>
      <c r="AW283" s="8"/>
    </row>
    <row r="284" spans="1:49" ht="18.9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3"/>
      <c r="AW284" s="8"/>
    </row>
    <row r="285" spans="1:49" ht="18.9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3"/>
      <c r="AW285" s="8"/>
    </row>
    <row r="286" spans="1:49" ht="18.9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3"/>
      <c r="AW286" s="8"/>
    </row>
    <row r="287" spans="1:49" ht="18.9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3"/>
      <c r="AW287" s="8"/>
    </row>
    <row r="288" spans="1:49" ht="18.9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3"/>
      <c r="AW288" s="8"/>
    </row>
    <row r="289" spans="1:49" ht="18.9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3"/>
      <c r="AW289" s="8"/>
    </row>
    <row r="290" spans="1:49" ht="18.9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3"/>
      <c r="AW290" s="8"/>
    </row>
    <row r="291" spans="1:49" ht="18.9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3"/>
      <c r="AW291" s="8"/>
    </row>
    <row r="292" spans="1:49" ht="18.95" customHeight="1">
      <c r="A292" s="8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8"/>
      <c r="AB292" s="8"/>
      <c r="AC292" s="8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3"/>
      <c r="AW292" s="8"/>
    </row>
    <row r="293" spans="1:49" ht="18.95" customHeight="1">
      <c r="A293" s="8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8"/>
      <c r="AB293" s="8"/>
      <c r="AC293" s="8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3"/>
      <c r="AW293" s="8"/>
    </row>
    <row r="294" spans="1:49" ht="18.9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3"/>
      <c r="AW294" s="8"/>
    </row>
    <row r="295" spans="1:49" ht="18.9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3"/>
      <c r="AW295" s="8"/>
    </row>
    <row r="296" spans="1:49" ht="18.9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3"/>
      <c r="AW296" s="8"/>
    </row>
    <row r="297" spans="1:49" ht="18.9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3"/>
      <c r="AW297" s="8"/>
    </row>
    <row r="298" spans="1:49" ht="18.9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3"/>
      <c r="AW298" s="8"/>
    </row>
    <row r="299" spans="1:49" ht="18.9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3"/>
      <c r="AW299" s="8"/>
    </row>
    <row r="300" spans="1:49" ht="18.9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3"/>
      <c r="AW300" s="8"/>
    </row>
    <row r="301" spans="1:49" ht="18.9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3"/>
      <c r="AW301" s="8"/>
    </row>
    <row r="302" spans="1:49" ht="39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3"/>
      <c r="AW302" s="8"/>
    </row>
    <row r="303" spans="1:49" ht="18.9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3"/>
      <c r="AW303" s="8"/>
    </row>
    <row r="304" spans="1:49" ht="18.9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3"/>
      <c r="AW304" s="8"/>
    </row>
    <row r="305" spans="1:49" ht="45.9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3"/>
      <c r="AW305" s="8"/>
    </row>
    <row r="306" spans="1:49" ht="18.9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3"/>
      <c r="AW306" s="8"/>
    </row>
    <row r="307" spans="1:49" ht="18.9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3"/>
      <c r="AW307" s="8"/>
    </row>
    <row r="308" spans="1:49" ht="18.9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3"/>
      <c r="AW308" s="8"/>
    </row>
    <row r="309" spans="1:49" ht="18.9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3"/>
      <c r="AW309" s="8"/>
    </row>
    <row r="310" spans="1:49" ht="18.9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3"/>
      <c r="AW310" s="8"/>
    </row>
    <row r="311" spans="1:49" ht="18.9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3"/>
      <c r="AW311" s="8"/>
    </row>
    <row r="312" spans="1:49" ht="18.9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3"/>
      <c r="AW312" s="8"/>
    </row>
    <row r="313" spans="1:49" ht="18.9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3"/>
      <c r="AW313" s="8"/>
    </row>
    <row r="314" spans="1:49" ht="18.9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3"/>
      <c r="AW314" s="8"/>
    </row>
    <row r="315" spans="1:49" ht="18.9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3"/>
      <c r="AW315" s="8"/>
    </row>
    <row r="316" spans="1:49" ht="18.9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3"/>
      <c r="AW316" s="8"/>
    </row>
    <row r="317" spans="1:49" ht="18.9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3"/>
      <c r="AW317" s="8"/>
    </row>
    <row r="318" spans="1:49" ht="18.9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3"/>
      <c r="AW318" s="8"/>
    </row>
    <row r="319" spans="1:49" ht="18.9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3"/>
      <c r="AW319" s="8"/>
    </row>
    <row r="320" spans="1:49" ht="18.9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3"/>
      <c r="AW320" s="8"/>
    </row>
    <row r="321" spans="1:49" ht="18.9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3"/>
      <c r="AW321" s="5"/>
    </row>
    <row r="322" spans="1:49" ht="18.9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3"/>
      <c r="AW322" s="8"/>
    </row>
    <row r="323" spans="1:49" ht="18.9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3"/>
      <c r="AW323" s="8"/>
    </row>
    <row r="324" spans="1:49" ht="36.950000000000003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3"/>
      <c r="AW324" s="8"/>
    </row>
    <row r="325" spans="1:49" ht="18.9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3"/>
      <c r="AW325" s="8"/>
    </row>
    <row r="326" spans="1:49" ht="18.9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3"/>
      <c r="AW326" s="8"/>
    </row>
    <row r="327" spans="1:49" ht="18.9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3"/>
      <c r="AW327" s="8"/>
    </row>
    <row r="328" spans="1:49" ht="18.9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3"/>
      <c r="AW328" s="8"/>
    </row>
    <row r="329" spans="1:49" ht="18.9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3"/>
      <c r="AW329" s="8"/>
    </row>
    <row r="330" spans="1:49" ht="18.9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3"/>
      <c r="AW330" s="8"/>
    </row>
    <row r="331" spans="1:49" ht="18.9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3"/>
      <c r="AW331" s="8"/>
    </row>
    <row r="332" spans="1:49" ht="18.9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3"/>
      <c r="AW332" s="8"/>
    </row>
    <row r="333" spans="1:49" ht="18.9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3"/>
      <c r="AW333" s="8"/>
    </row>
    <row r="334" spans="1:49" ht="9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3"/>
      <c r="AW334" s="8"/>
    </row>
    <row r="335" spans="1:49" ht="18.9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3"/>
      <c r="AW335" s="8"/>
    </row>
    <row r="336" spans="1:49" ht="4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3"/>
      <c r="AW336" s="8"/>
    </row>
    <row r="337" spans="1:49" ht="18.9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3"/>
      <c r="AW337" s="8"/>
    </row>
    <row r="338" spans="1:49" ht="18.9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3"/>
      <c r="AW338" s="8"/>
    </row>
    <row r="339" spans="1:49" ht="18.9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3"/>
      <c r="AW339" s="8"/>
    </row>
    <row r="340" spans="1:49" ht="18.9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3"/>
      <c r="AW340" s="8"/>
    </row>
    <row r="341" spans="1:49" ht="18.9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3"/>
      <c r="AW341" s="8"/>
    </row>
    <row r="342" spans="1:49" ht="18.9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3"/>
      <c r="AW342" s="8"/>
    </row>
    <row r="343" spans="1:49" ht="18.9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3"/>
      <c r="AW343" s="8"/>
    </row>
    <row r="344" spans="1:49" ht="18.95" customHeight="1">
      <c r="A344" s="9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3"/>
      <c r="AW344" s="8"/>
    </row>
    <row r="345" spans="1:49" ht="50.25" customHeight="1">
      <c r="A345" s="10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3"/>
      <c r="AW345" s="8"/>
    </row>
    <row r="346" spans="1:49" ht="18.9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3"/>
      <c r="AW346" s="8"/>
    </row>
    <row r="347" spans="1:49" ht="18.9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3"/>
      <c r="AW347" s="23"/>
    </row>
    <row r="348" spans="1:49" ht="18.9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11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3"/>
      <c r="AW348" s="23"/>
    </row>
    <row r="349" spans="1:49" ht="18.9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4"/>
      <c r="AW349" s="15"/>
    </row>
    <row r="350" spans="1:49" ht="18.9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4"/>
      <c r="AW350" s="16"/>
    </row>
    <row r="351" spans="1:49" ht="18.9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4"/>
      <c r="AW351" s="16"/>
    </row>
    <row r="352" spans="1:49" ht="18.9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3"/>
      <c r="AW352" s="17"/>
    </row>
    <row r="353" spans="1:49">
      <c r="A353" s="23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23"/>
      <c r="AC353" s="18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19"/>
      <c r="AU353" s="23"/>
      <c r="AV353" s="19"/>
      <c r="AW353" s="23"/>
    </row>
    <row r="354" spans="1:49">
      <c r="A354" s="23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23"/>
      <c r="AC354" s="18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0"/>
      <c r="AU354" s="23"/>
      <c r="AV354" s="21"/>
      <c r="AW354" s="23"/>
    </row>
    <row r="355" spans="1:49">
      <c r="A355" s="23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23"/>
      <c r="AC355" s="18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0"/>
      <c r="AU355" s="23"/>
      <c r="AV355" s="21"/>
      <c r="AW355" s="23"/>
    </row>
    <row r="356" spans="1:49">
      <c r="A356" s="23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23"/>
      <c r="AC356" s="18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0"/>
      <c r="AU356" s="23"/>
      <c r="AV356" s="21"/>
      <c r="AW356" s="23"/>
    </row>
    <row r="357" spans="1:49">
      <c r="A357" s="23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23"/>
      <c r="AC357" s="18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0"/>
      <c r="AU357" s="23"/>
      <c r="AV357" s="21"/>
      <c r="AW357" s="23"/>
    </row>
    <row r="358" spans="1:49">
      <c r="A358" s="23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23"/>
      <c r="AC358" s="18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0"/>
      <c r="AU358" s="23"/>
      <c r="AV358" s="21"/>
      <c r="AW358" s="23"/>
    </row>
    <row r="359" spans="1:49">
      <c r="A359" s="23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23"/>
      <c r="AC359" s="18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0"/>
      <c r="AU359" s="23"/>
      <c r="AV359" s="21"/>
      <c r="AW359" s="23"/>
    </row>
    <row r="360" spans="1:49">
      <c r="A360" s="23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23"/>
      <c r="AC360" s="18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0"/>
      <c r="AU360" s="23"/>
      <c r="AV360" s="21"/>
      <c r="AW360" s="23"/>
    </row>
    <row r="361" spans="1:49">
      <c r="A361" s="23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23"/>
      <c r="AC361" s="18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0"/>
      <c r="AU361" s="23"/>
      <c r="AV361" s="21"/>
      <c r="AW361" s="23"/>
    </row>
    <row r="362" spans="1:49">
      <c r="A362" s="23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23"/>
      <c r="AC362" s="18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0"/>
      <c r="AU362" s="23"/>
      <c r="AV362" s="21"/>
      <c r="AW362" s="23"/>
    </row>
    <row r="363" spans="1:49">
      <c r="A363" s="23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23"/>
      <c r="AC363" s="18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0"/>
      <c r="AU363" s="23"/>
      <c r="AV363" s="21"/>
      <c r="AW363" s="23"/>
    </row>
    <row r="364" spans="1:49">
      <c r="A364" s="23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23"/>
      <c r="AC364" s="18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0"/>
      <c r="AU364" s="23"/>
      <c r="AV364" s="21"/>
      <c r="AW364" s="23"/>
    </row>
    <row r="365" spans="1:49">
      <c r="A365" s="23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23"/>
      <c r="AC365" s="18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0"/>
      <c r="AU365" s="23"/>
      <c r="AV365" s="21"/>
      <c r="AW365" s="23"/>
    </row>
    <row r="366" spans="1:49">
      <c r="A366" s="23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23"/>
      <c r="AC366" s="18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0"/>
      <c r="AU366" s="23"/>
      <c r="AV366" s="21"/>
      <c r="AW366" s="23"/>
    </row>
    <row r="367" spans="1:49">
      <c r="A367" s="23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23"/>
      <c r="AC367" s="18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0"/>
      <c r="AU367" s="23"/>
      <c r="AV367" s="21"/>
      <c r="AW367" s="23"/>
    </row>
    <row r="368" spans="1:49">
      <c r="A368" s="23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23"/>
      <c r="AC368" s="18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0"/>
      <c r="AU368" s="23"/>
      <c r="AV368" s="21"/>
      <c r="AW368" s="23"/>
    </row>
    <row r="369" spans="1:49">
      <c r="A369" s="23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23"/>
      <c r="AC369" s="18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0"/>
      <c r="AU369" s="23"/>
      <c r="AV369" s="23"/>
      <c r="AW369" s="23"/>
    </row>
    <row r="370" spans="1:49">
      <c r="A370" s="23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23"/>
      <c r="AC370" s="18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0"/>
      <c r="AU370" s="23"/>
      <c r="AV370" s="23"/>
      <c r="AW370" s="23"/>
    </row>
    <row r="371" spans="1:49">
      <c r="A371" s="23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23"/>
      <c r="AC371" s="18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0"/>
      <c r="AU371" s="23"/>
      <c r="AV371" s="23"/>
      <c r="AW371" s="23"/>
    </row>
    <row r="372" spans="1:49">
      <c r="A372" s="23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23"/>
      <c r="AC372" s="18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0"/>
      <c r="AU372" s="23"/>
      <c r="AV372" s="23"/>
      <c r="AW372" s="23"/>
    </row>
    <row r="373" spans="1:49">
      <c r="A373" s="23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23"/>
      <c r="AC373" s="18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0"/>
      <c r="AU373" s="23"/>
      <c r="AV373" s="23"/>
      <c r="AW373" s="23"/>
    </row>
    <row r="374" spans="1:49">
      <c r="A374" s="23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23"/>
      <c r="AC374" s="18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0"/>
      <c r="AU374" s="23"/>
      <c r="AV374" s="23"/>
      <c r="AW374" s="23"/>
    </row>
    <row r="375" spans="1:49">
      <c r="A375" s="23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23"/>
      <c r="AC375" s="18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0"/>
      <c r="AU375" s="23"/>
      <c r="AV375" s="23"/>
      <c r="AW375" s="23"/>
    </row>
    <row r="376" spans="1:49">
      <c r="A376" s="23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23"/>
      <c r="AC376" s="18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0"/>
      <c r="AU376" s="23"/>
      <c r="AV376" s="23"/>
      <c r="AW376" s="23"/>
    </row>
    <row r="377" spans="1:49">
      <c r="A377" s="23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23"/>
      <c r="AC377" s="18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0"/>
      <c r="AU377" s="23"/>
      <c r="AV377" s="23"/>
      <c r="AW377" s="23"/>
    </row>
    <row r="378" spans="1:49">
      <c r="A378" s="23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23"/>
      <c r="AC378" s="18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0"/>
      <c r="AU378" s="23"/>
      <c r="AV378" s="23"/>
      <c r="AW378" s="23"/>
    </row>
    <row r="379" spans="1:49">
      <c r="A379" s="23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23"/>
      <c r="AC379" s="18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0"/>
      <c r="AU379" s="23"/>
      <c r="AV379" s="23"/>
      <c r="AW379" s="23"/>
    </row>
    <row r="380" spans="1:49">
      <c r="A380" s="23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23"/>
      <c r="AC380" s="18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0"/>
      <c r="AU380" s="23"/>
      <c r="AV380" s="23"/>
      <c r="AW380" s="23"/>
    </row>
    <row r="381" spans="1:49">
      <c r="A381" s="23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23"/>
      <c r="AC381" s="18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0"/>
      <c r="AU381" s="23"/>
      <c r="AV381" s="23"/>
      <c r="AW381" s="23"/>
    </row>
    <row r="382" spans="1:49">
      <c r="A382" s="23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23"/>
      <c r="AC382" s="18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0"/>
      <c r="AU382" s="23"/>
      <c r="AV382" s="23"/>
      <c r="AW382" s="23"/>
    </row>
    <row r="383" spans="1:49">
      <c r="A383" s="23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23"/>
      <c r="AC383" s="18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0"/>
      <c r="AU383" s="23"/>
      <c r="AV383" s="23"/>
      <c r="AW383" s="23"/>
    </row>
    <row r="384" spans="1:49">
      <c r="A384" s="23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23"/>
      <c r="AC384" s="18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0"/>
      <c r="AU384" s="23"/>
      <c r="AV384" s="23"/>
      <c r="AW384" s="23"/>
    </row>
    <row r="385" spans="1:49">
      <c r="A385" s="23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23"/>
      <c r="AC385" s="18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0"/>
      <c r="AU385" s="23"/>
      <c r="AV385" s="23"/>
      <c r="AW385" s="23"/>
    </row>
    <row r="386" spans="1:49">
      <c r="A386" s="23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23"/>
      <c r="AC386" s="18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0"/>
      <c r="AU386" s="23"/>
      <c r="AV386" s="23"/>
      <c r="AW386" s="23"/>
    </row>
    <row r="387" spans="1:49">
      <c r="A387" s="23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23"/>
      <c r="AC387" s="18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0"/>
      <c r="AU387" s="23"/>
      <c r="AV387" s="23"/>
      <c r="AW387" s="23"/>
    </row>
    <row r="388" spans="1:49">
      <c r="A388" s="23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23"/>
      <c r="AC388" s="18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0"/>
      <c r="AU388" s="23"/>
      <c r="AV388" s="23"/>
      <c r="AW388" s="23"/>
    </row>
    <row r="389" spans="1:49">
      <c r="A389" s="23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23"/>
      <c r="AC389" s="18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0"/>
      <c r="AU389" s="23"/>
      <c r="AV389" s="23"/>
      <c r="AW389" s="23"/>
    </row>
    <row r="390" spans="1:49">
      <c r="A390" s="23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23"/>
      <c r="AC390" s="18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0"/>
      <c r="AU390" s="23"/>
      <c r="AV390" s="23"/>
      <c r="AW390" s="23"/>
    </row>
    <row r="391" spans="1:49">
      <c r="A391" s="23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23"/>
      <c r="AC391" s="18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0"/>
      <c r="AU391" s="23"/>
      <c r="AV391" s="23"/>
      <c r="AW391" s="23"/>
    </row>
    <row r="392" spans="1:49">
      <c r="A392" s="23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23"/>
      <c r="AC392" s="18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0"/>
      <c r="AU392" s="23"/>
      <c r="AV392" s="23"/>
      <c r="AW392" s="23"/>
    </row>
    <row r="393" spans="1:49">
      <c r="A393" s="23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23"/>
      <c r="AC393" s="18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0"/>
      <c r="AU393" s="23"/>
      <c r="AV393" s="23"/>
      <c r="AW393" s="23"/>
    </row>
    <row r="394" spans="1:49">
      <c r="A394" s="23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23"/>
      <c r="AC394" s="18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0"/>
      <c r="AU394" s="23"/>
      <c r="AV394" s="23"/>
      <c r="AW394" s="23"/>
    </row>
    <row r="395" spans="1:49">
      <c r="A395" s="2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23"/>
      <c r="AC395" s="18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0"/>
      <c r="AU395" s="23"/>
      <c r="AV395" s="23"/>
      <c r="AW395" s="23"/>
    </row>
    <row r="396" spans="1:49">
      <c r="A396" s="23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23"/>
      <c r="AC396" s="18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0"/>
      <c r="AU396" s="23"/>
      <c r="AV396" s="23"/>
      <c r="AW396" s="23"/>
    </row>
    <row r="397" spans="1:49">
      <c r="A397" s="23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23"/>
      <c r="AC397" s="18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0"/>
      <c r="AU397" s="23"/>
      <c r="AV397" s="23"/>
      <c r="AW397" s="23"/>
    </row>
    <row r="398" spans="1:49">
      <c r="A398" s="23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23"/>
      <c r="AC398" s="18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0"/>
      <c r="AU398" s="23"/>
      <c r="AV398" s="23"/>
      <c r="AW398" s="23"/>
    </row>
    <row r="399" spans="1:49">
      <c r="A399" s="23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23"/>
      <c r="AC399" s="18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0"/>
      <c r="AU399" s="23"/>
      <c r="AV399" s="23"/>
      <c r="AW399" s="23"/>
    </row>
    <row r="400" spans="1:49">
      <c r="A400" s="23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23"/>
      <c r="AC400" s="18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0"/>
      <c r="AU400" s="23"/>
      <c r="AV400" s="23"/>
      <c r="AW400" s="23"/>
    </row>
    <row r="401" spans="1:49">
      <c r="A401" s="23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23"/>
      <c r="AC401" s="18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0"/>
      <c r="AU401" s="23"/>
      <c r="AV401" s="23"/>
      <c r="AW401" s="23"/>
    </row>
    <row r="402" spans="1:49">
      <c r="A402" s="23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23"/>
      <c r="AC402" s="18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0"/>
      <c r="AU402" s="23"/>
      <c r="AV402" s="23"/>
      <c r="AW402" s="23"/>
    </row>
    <row r="403" spans="1:49">
      <c r="A403" s="23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23"/>
      <c r="AC403" s="18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0"/>
      <c r="AU403" s="23"/>
      <c r="AV403" s="23"/>
      <c r="AW403" s="23"/>
    </row>
    <row r="404" spans="1:49">
      <c r="A404" s="2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23"/>
      <c r="AC404" s="18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0"/>
      <c r="AU404" s="23"/>
      <c r="AV404" s="23"/>
      <c r="AW404" s="23"/>
    </row>
    <row r="405" spans="1:49">
      <c r="A405" s="23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23"/>
      <c r="AC405" s="18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0"/>
      <c r="AU405" s="23"/>
      <c r="AV405" s="23"/>
      <c r="AW405" s="23"/>
    </row>
    <row r="406" spans="1:49">
      <c r="A406" s="23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23"/>
      <c r="AC406" s="18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0"/>
      <c r="AU406" s="23"/>
      <c r="AV406" s="23"/>
      <c r="AW406" s="23"/>
    </row>
    <row r="407" spans="1:49">
      <c r="A407" s="23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23"/>
      <c r="AC407" s="18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0"/>
      <c r="AU407" s="23"/>
      <c r="AV407" s="23"/>
      <c r="AW407" s="23"/>
    </row>
    <row r="408" spans="1:49">
      <c r="A408" s="23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23"/>
      <c r="AC408" s="18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0"/>
      <c r="AU408" s="23"/>
      <c r="AV408" s="23"/>
      <c r="AW408" s="23"/>
    </row>
    <row r="409" spans="1:49">
      <c r="A409" s="23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23"/>
      <c r="AC409" s="18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0"/>
      <c r="AU409" s="23"/>
      <c r="AV409" s="23"/>
      <c r="AW409" s="23"/>
    </row>
    <row r="410" spans="1:49">
      <c r="A410" s="23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23"/>
      <c r="AC410" s="18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0"/>
      <c r="AU410" s="23"/>
      <c r="AV410" s="23"/>
      <c r="AW410" s="23"/>
    </row>
    <row r="411" spans="1:49">
      <c r="A411" s="23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23"/>
      <c r="AC411" s="18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0"/>
      <c r="AU411" s="23"/>
      <c r="AV411" s="23"/>
      <c r="AW411" s="23"/>
    </row>
    <row r="412" spans="1:49">
      <c r="A412" s="23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23"/>
      <c r="AC412" s="18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0"/>
      <c r="AU412" s="23"/>
      <c r="AV412" s="23"/>
      <c r="AW412" s="23"/>
    </row>
    <row r="413" spans="1:49">
      <c r="A413" s="23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23"/>
      <c r="AC413" s="18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0"/>
      <c r="AU413" s="23"/>
      <c r="AV413" s="23"/>
      <c r="AW413" s="23"/>
    </row>
    <row r="414" spans="1:49">
      <c r="A414" s="23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23"/>
      <c r="AC414" s="18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0"/>
      <c r="AU414" s="23"/>
      <c r="AV414" s="23"/>
      <c r="AW414" s="23"/>
    </row>
    <row r="415" spans="1:49">
      <c r="A415" s="23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23"/>
      <c r="AC415" s="18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0"/>
      <c r="AU415" s="23"/>
      <c r="AV415" s="23"/>
      <c r="AW415" s="23"/>
    </row>
    <row r="416" spans="1:49">
      <c r="A416" s="23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23"/>
      <c r="AC416" s="18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0"/>
      <c r="AU416" s="23"/>
      <c r="AV416" s="23"/>
      <c r="AW416" s="23"/>
    </row>
    <row r="417" spans="1:49">
      <c r="A417" s="23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23"/>
      <c r="AC417" s="18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0"/>
      <c r="AU417" s="23"/>
      <c r="AV417" s="23"/>
      <c r="AW417" s="23"/>
    </row>
    <row r="418" spans="1:49">
      <c r="A418" s="23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23"/>
      <c r="AC418" s="18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0"/>
      <c r="AU418" s="23"/>
      <c r="AV418" s="23"/>
      <c r="AW418" s="23"/>
    </row>
    <row r="419" spans="1:49">
      <c r="A419" s="23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23"/>
      <c r="AC419" s="18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0"/>
      <c r="AU419" s="23"/>
      <c r="AV419" s="23"/>
      <c r="AW419" s="23"/>
    </row>
    <row r="420" spans="1:49">
      <c r="A420" s="23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23"/>
      <c r="AC420" s="18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0"/>
      <c r="AU420" s="23"/>
      <c r="AV420" s="23"/>
      <c r="AW420" s="23"/>
    </row>
    <row r="421" spans="1:49">
      <c r="A421" s="23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23"/>
      <c r="AC421" s="18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0"/>
      <c r="AU421" s="23"/>
      <c r="AV421" s="23"/>
      <c r="AW421" s="23"/>
    </row>
    <row r="422" spans="1:49">
      <c r="A422" s="23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23"/>
      <c r="AC422" s="18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0"/>
      <c r="AU422" s="23"/>
      <c r="AV422" s="23"/>
      <c r="AW422" s="23"/>
    </row>
    <row r="423" spans="1:49">
      <c r="A423" s="23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23"/>
      <c r="AC423" s="18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0"/>
      <c r="AU423" s="23"/>
      <c r="AV423" s="23"/>
      <c r="AW423" s="23"/>
    </row>
    <row r="424" spans="1:49">
      <c r="A424" s="23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23"/>
      <c r="AC424" s="18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0"/>
      <c r="AU424" s="23"/>
      <c r="AV424" s="23"/>
      <c r="AW424" s="23"/>
    </row>
    <row r="425" spans="1:49">
      <c r="A425" s="23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23"/>
      <c r="AC425" s="18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0"/>
      <c r="AU425" s="23"/>
      <c r="AV425" s="23"/>
      <c r="AW425" s="23"/>
    </row>
    <row r="426" spans="1:49">
      <c r="A426" s="23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23"/>
      <c r="AC426" s="18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0"/>
      <c r="AU426" s="23"/>
      <c r="AV426" s="23"/>
      <c r="AW426" s="23"/>
    </row>
    <row r="427" spans="1:49">
      <c r="A427" s="23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23"/>
      <c r="AC427" s="18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0"/>
      <c r="AU427" s="23"/>
      <c r="AV427" s="23"/>
      <c r="AW427" s="23"/>
    </row>
    <row r="428" spans="1:49">
      <c r="A428" s="23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23"/>
      <c r="AC428" s="18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0"/>
      <c r="AU428" s="23"/>
      <c r="AV428" s="23"/>
      <c r="AW428" s="23"/>
    </row>
    <row r="429" spans="1:49">
      <c r="A429" s="23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23"/>
      <c r="AC429" s="18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0"/>
      <c r="AU429" s="23"/>
      <c r="AV429" s="23"/>
      <c r="AW429" s="23"/>
    </row>
    <row r="430" spans="1:49">
      <c r="A430" s="23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23"/>
      <c r="AC430" s="18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0"/>
      <c r="AU430" s="23"/>
      <c r="AV430" s="23"/>
      <c r="AW430" s="23"/>
    </row>
    <row r="431" spans="1:49">
      <c r="A431" s="23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23"/>
      <c r="AC431" s="18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0"/>
      <c r="AU431" s="23"/>
      <c r="AV431" s="23"/>
      <c r="AW431" s="23"/>
    </row>
    <row r="432" spans="1:49">
      <c r="A432" s="23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23"/>
      <c r="AC432" s="18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0"/>
      <c r="AU432" s="23"/>
      <c r="AV432" s="23"/>
      <c r="AW432" s="23"/>
    </row>
    <row r="433" spans="1:49">
      <c r="A433" s="23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23"/>
      <c r="AC433" s="18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0"/>
      <c r="AU433" s="23"/>
      <c r="AV433" s="23"/>
      <c r="AW433" s="23"/>
    </row>
    <row r="434" spans="1:49">
      <c r="A434" s="2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23"/>
      <c r="AC434" s="18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0"/>
      <c r="AU434" s="23"/>
      <c r="AV434" s="23"/>
      <c r="AW434" s="23"/>
    </row>
    <row r="435" spans="1:49">
      <c r="A435" s="23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23"/>
      <c r="AC435" s="18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0"/>
      <c r="AU435" s="23"/>
      <c r="AV435" s="23"/>
      <c r="AW435" s="23"/>
    </row>
    <row r="436" spans="1:49">
      <c r="A436" s="23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23"/>
      <c r="AC436" s="18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0"/>
      <c r="AU436" s="23"/>
      <c r="AV436" s="23"/>
      <c r="AW436" s="23"/>
    </row>
    <row r="437" spans="1:49">
      <c r="A437" s="23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23"/>
      <c r="AC437" s="18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0"/>
      <c r="AU437" s="23"/>
      <c r="AV437" s="23"/>
      <c r="AW437" s="23"/>
    </row>
    <row r="438" spans="1:49">
      <c r="A438" s="23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23"/>
      <c r="AC438" s="18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0"/>
      <c r="AU438" s="23"/>
      <c r="AV438" s="23"/>
      <c r="AW438" s="23"/>
    </row>
    <row r="439" spans="1:49">
      <c r="A439" s="23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23"/>
      <c r="AC439" s="18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0"/>
      <c r="AU439" s="23"/>
      <c r="AV439" s="23"/>
      <c r="AW439" s="23"/>
    </row>
    <row r="440" spans="1:49">
      <c r="A440" s="23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23"/>
      <c r="AC440" s="18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0"/>
      <c r="AU440" s="23"/>
      <c r="AV440" s="23"/>
      <c r="AW440" s="23"/>
    </row>
    <row r="441" spans="1:49">
      <c r="A441" s="2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23"/>
      <c r="AC441" s="18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0"/>
      <c r="AU441" s="23"/>
      <c r="AV441" s="23"/>
      <c r="AW441" s="23"/>
    </row>
    <row r="442" spans="1:49">
      <c r="A442" s="23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23"/>
      <c r="AC442" s="18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0"/>
      <c r="AU442" s="23"/>
      <c r="AV442" s="23"/>
      <c r="AW442" s="23"/>
    </row>
    <row r="443" spans="1:49">
      <c r="A443" s="23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23"/>
      <c r="AC443" s="18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0"/>
      <c r="AU443" s="23"/>
      <c r="AV443" s="23"/>
      <c r="AW443" s="23"/>
    </row>
    <row r="444" spans="1:49">
      <c r="A444" s="23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23"/>
      <c r="AC444" s="18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0"/>
      <c r="AU444" s="23"/>
      <c r="AV444" s="23"/>
      <c r="AW444" s="23"/>
    </row>
    <row r="445" spans="1:49">
      <c r="A445" s="23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23"/>
      <c r="AC445" s="18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0"/>
      <c r="AU445" s="23"/>
      <c r="AV445" s="23"/>
      <c r="AW445" s="23"/>
    </row>
    <row r="446" spans="1:49">
      <c r="A446" s="2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23"/>
      <c r="AC446" s="18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0"/>
      <c r="AU446" s="23"/>
      <c r="AV446" s="23"/>
      <c r="AW446" s="23"/>
    </row>
    <row r="447" spans="1:49">
      <c r="A447" s="23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23"/>
      <c r="AC447" s="18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0"/>
      <c r="AU447" s="23"/>
      <c r="AV447" s="23"/>
      <c r="AW447" s="23"/>
    </row>
    <row r="448" spans="1:49">
      <c r="A448" s="23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23"/>
      <c r="AC448" s="18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0"/>
      <c r="AU448" s="23"/>
      <c r="AV448" s="23"/>
      <c r="AW448" s="23"/>
    </row>
    <row r="449" spans="1:49">
      <c r="A449" s="23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23"/>
      <c r="AC449" s="18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0"/>
      <c r="AU449" s="23"/>
      <c r="AV449" s="23"/>
      <c r="AW449" s="23"/>
    </row>
    <row r="450" spans="1:49">
      <c r="A450" s="23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23"/>
      <c r="AC450" s="18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0"/>
      <c r="AU450" s="23"/>
      <c r="AV450" s="23"/>
      <c r="AW450" s="23"/>
    </row>
    <row r="451" spans="1:49">
      <c r="A451" s="23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23"/>
      <c r="AC451" s="18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0"/>
      <c r="AU451" s="23"/>
      <c r="AV451" s="23"/>
      <c r="AW451" s="23"/>
    </row>
    <row r="452" spans="1:49">
      <c r="A452" s="23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23"/>
      <c r="AC452" s="18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0"/>
      <c r="AU452" s="23"/>
      <c r="AV452" s="23"/>
      <c r="AW452" s="23"/>
    </row>
    <row r="453" spans="1:49">
      <c r="A453" s="23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23"/>
      <c r="AC453" s="18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0"/>
      <c r="AU453" s="23"/>
      <c r="AV453" s="23"/>
      <c r="AW453" s="23"/>
    </row>
    <row r="454" spans="1:49">
      <c r="A454" s="23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23"/>
      <c r="AC454" s="18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0"/>
      <c r="AU454" s="23"/>
      <c r="AV454" s="23"/>
      <c r="AW454" s="23"/>
    </row>
    <row r="455" spans="1:49">
      <c r="A455" s="23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23"/>
      <c r="AC455" s="18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0"/>
      <c r="AU455" s="23"/>
      <c r="AV455" s="23"/>
      <c r="AW455" s="23"/>
    </row>
    <row r="456" spans="1:49">
      <c r="A456" s="23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23"/>
      <c r="AC456" s="18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0"/>
      <c r="AU456" s="23"/>
      <c r="AV456" s="23"/>
      <c r="AW456" s="23"/>
    </row>
    <row r="457" spans="1:49">
      <c r="A457" s="23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23"/>
      <c r="AC457" s="18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0"/>
      <c r="AU457" s="23"/>
      <c r="AV457" s="23"/>
      <c r="AW457" s="23"/>
    </row>
    <row r="458" spans="1:49">
      <c r="A458" s="23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23"/>
      <c r="AC458" s="18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0"/>
      <c r="AU458" s="23"/>
      <c r="AV458" s="23"/>
      <c r="AW458" s="23"/>
    </row>
    <row r="459" spans="1:49">
      <c r="A459" s="23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23"/>
      <c r="AC459" s="18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0"/>
      <c r="AU459" s="23"/>
      <c r="AV459" s="23"/>
      <c r="AW459" s="23"/>
    </row>
    <row r="460" spans="1:49">
      <c r="A460" s="23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23"/>
      <c r="AC460" s="18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0"/>
      <c r="AU460" s="23"/>
      <c r="AV460" s="23"/>
      <c r="AW460" s="23"/>
    </row>
    <row r="461" spans="1:49">
      <c r="A461" s="23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23"/>
      <c r="AC461" s="18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0"/>
      <c r="AU461" s="23"/>
      <c r="AV461" s="23"/>
      <c r="AW461" s="23"/>
    </row>
    <row r="462" spans="1:49">
      <c r="A462" s="23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23"/>
      <c r="AC462" s="18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0"/>
      <c r="AU462" s="23"/>
      <c r="AV462" s="23"/>
      <c r="AW462" s="23"/>
    </row>
    <row r="463" spans="1:49">
      <c r="A463" s="23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23"/>
      <c r="AC463" s="18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0"/>
      <c r="AU463" s="23"/>
      <c r="AV463" s="23"/>
      <c r="AW463" s="23"/>
    </row>
    <row r="464" spans="1:49">
      <c r="A464" s="23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23"/>
      <c r="AC464" s="18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0"/>
      <c r="AU464" s="23"/>
      <c r="AV464" s="23"/>
      <c r="AW464" s="23"/>
    </row>
    <row r="465" spans="1:49">
      <c r="A465" s="23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23"/>
      <c r="AC465" s="18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0"/>
      <c r="AU465" s="23"/>
      <c r="AV465" s="23"/>
      <c r="AW465" s="23"/>
    </row>
    <row r="466" spans="1:49">
      <c r="A466" s="23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23"/>
      <c r="AC466" s="18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0"/>
      <c r="AU466" s="23"/>
      <c r="AV466" s="23"/>
      <c r="AW466" s="23"/>
    </row>
    <row r="467" spans="1:49">
      <c r="A467" s="23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23"/>
      <c r="AC467" s="18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0"/>
      <c r="AU467" s="23"/>
      <c r="AV467" s="23"/>
      <c r="AW467" s="23"/>
    </row>
    <row r="468" spans="1:49">
      <c r="A468" s="23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23"/>
      <c r="AC468" s="18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0"/>
      <c r="AU468" s="23"/>
      <c r="AV468" s="23"/>
      <c r="AW468" s="23"/>
    </row>
    <row r="469" spans="1:49">
      <c r="A469" s="23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23"/>
      <c r="AC469" s="18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0"/>
      <c r="AU469" s="23"/>
      <c r="AV469" s="23"/>
      <c r="AW469" s="23"/>
    </row>
    <row r="470" spans="1:49">
      <c r="A470" s="23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23"/>
      <c r="AC470" s="18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0"/>
      <c r="AU470" s="23"/>
      <c r="AV470" s="23"/>
      <c r="AW470" s="23"/>
    </row>
    <row r="471" spans="1:49">
      <c r="A471" s="23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23"/>
      <c r="AC471" s="18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0"/>
      <c r="AU471" s="23"/>
      <c r="AV471" s="23"/>
      <c r="AW471" s="23"/>
    </row>
    <row r="472" spans="1:49">
      <c r="A472" s="23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23"/>
      <c r="AC472" s="18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0"/>
      <c r="AU472" s="23"/>
      <c r="AV472" s="23"/>
      <c r="AW472" s="23"/>
    </row>
    <row r="473" spans="1:49">
      <c r="A473" s="23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23"/>
      <c r="AC473" s="18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0"/>
      <c r="AU473" s="23"/>
      <c r="AV473" s="23"/>
      <c r="AW473" s="23"/>
    </row>
    <row r="474" spans="1:49">
      <c r="A474" s="23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23"/>
      <c r="AC474" s="18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0"/>
      <c r="AU474" s="23"/>
      <c r="AV474" s="23"/>
      <c r="AW474" s="23"/>
    </row>
    <row r="475" spans="1:49">
      <c r="A475" s="23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23"/>
      <c r="AC475" s="18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0"/>
      <c r="AU475" s="23"/>
      <c r="AV475" s="23"/>
      <c r="AW475" s="23"/>
    </row>
    <row r="476" spans="1:49">
      <c r="A476" s="23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23"/>
      <c r="AC476" s="18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0"/>
      <c r="AU476" s="23"/>
      <c r="AV476" s="23"/>
      <c r="AW476" s="23"/>
    </row>
    <row r="477" spans="1:49">
      <c r="A477" s="23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23"/>
      <c r="AC477" s="18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0"/>
      <c r="AU477" s="23"/>
      <c r="AV477" s="23"/>
      <c r="AW477" s="23"/>
    </row>
    <row r="478" spans="1:49">
      <c r="A478" s="23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23"/>
      <c r="AC478" s="18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0"/>
      <c r="AU478" s="23"/>
      <c r="AV478" s="23"/>
      <c r="AW478" s="23"/>
    </row>
    <row r="479" spans="1:49">
      <c r="A479" s="23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23"/>
      <c r="AC479" s="18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0"/>
      <c r="AU479" s="23"/>
      <c r="AV479" s="23"/>
      <c r="AW479" s="23"/>
    </row>
    <row r="480" spans="1:49">
      <c r="A480" s="23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23"/>
      <c r="AC480" s="18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0"/>
      <c r="AU480" s="23"/>
      <c r="AV480" s="23"/>
      <c r="AW480" s="23"/>
    </row>
    <row r="481" spans="1:49">
      <c r="A481" s="23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23"/>
      <c r="AC481" s="18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0"/>
      <c r="AU481" s="23"/>
      <c r="AV481" s="23"/>
      <c r="AW481" s="23"/>
    </row>
    <row r="482" spans="1:49">
      <c r="A482" s="23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23"/>
      <c r="AC482" s="18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0"/>
      <c r="AU482" s="23"/>
      <c r="AV482" s="23"/>
      <c r="AW482" s="23"/>
    </row>
    <row r="483" spans="1:49">
      <c r="A483" s="23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23"/>
      <c r="AC483" s="18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0"/>
      <c r="AU483" s="23"/>
      <c r="AV483" s="23"/>
      <c r="AW483" s="23"/>
    </row>
    <row r="484" spans="1:49">
      <c r="A484" s="23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23"/>
      <c r="AC484" s="18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0"/>
      <c r="AU484" s="23"/>
      <c r="AV484" s="23"/>
      <c r="AW484" s="23"/>
    </row>
    <row r="485" spans="1:49">
      <c r="A485" s="23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23"/>
      <c r="AC485" s="18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0"/>
      <c r="AU485" s="23"/>
      <c r="AV485" s="23"/>
      <c r="AW485" s="23"/>
    </row>
    <row r="486" spans="1:49">
      <c r="A486" s="23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23"/>
      <c r="AC486" s="18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0"/>
      <c r="AU486" s="23"/>
      <c r="AV486" s="23"/>
      <c r="AW486" s="23"/>
    </row>
    <row r="487" spans="1:49">
      <c r="A487" s="23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23"/>
      <c r="AC487" s="18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0"/>
      <c r="AU487" s="23"/>
      <c r="AV487" s="23"/>
      <c r="AW487" s="23"/>
    </row>
    <row r="488" spans="1:49">
      <c r="A488" s="23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23"/>
      <c r="AC488" s="18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0"/>
      <c r="AU488" s="23"/>
      <c r="AV488" s="23"/>
      <c r="AW488" s="23"/>
    </row>
    <row r="489" spans="1:49">
      <c r="A489" s="23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23"/>
      <c r="AC489" s="18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0"/>
      <c r="AU489" s="23"/>
      <c r="AV489" s="23"/>
      <c r="AW489" s="23"/>
    </row>
    <row r="490" spans="1:49">
      <c r="A490" s="23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23"/>
      <c r="AC490" s="18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0"/>
      <c r="AU490" s="23"/>
      <c r="AV490" s="23"/>
      <c r="AW490" s="23"/>
    </row>
    <row r="491" spans="1:49">
      <c r="A491" s="23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23"/>
      <c r="AC491" s="18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0"/>
      <c r="AU491" s="23"/>
      <c r="AV491" s="23"/>
      <c r="AW491" s="23"/>
    </row>
    <row r="492" spans="1:49">
      <c r="A492" s="23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23"/>
      <c r="AC492" s="18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0"/>
      <c r="AU492" s="23"/>
      <c r="AV492" s="23"/>
      <c r="AW492" s="23"/>
    </row>
    <row r="493" spans="1:49">
      <c r="A493" s="23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23"/>
      <c r="AC493" s="18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0"/>
      <c r="AU493" s="23"/>
      <c r="AV493" s="23"/>
      <c r="AW493" s="23"/>
    </row>
    <row r="494" spans="1:49">
      <c r="A494" s="23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23"/>
      <c r="AC494" s="18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0"/>
      <c r="AU494" s="23"/>
      <c r="AV494" s="23"/>
      <c r="AW494" s="23"/>
    </row>
    <row r="495" spans="1:49">
      <c r="A495" s="23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23"/>
      <c r="AC495" s="18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0"/>
      <c r="AU495" s="23"/>
      <c r="AV495" s="23"/>
      <c r="AW495" s="23"/>
    </row>
    <row r="496" spans="1:49">
      <c r="A496" s="23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23"/>
      <c r="AC496" s="18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0"/>
      <c r="AU496" s="23"/>
      <c r="AV496" s="23"/>
      <c r="AW496" s="23"/>
    </row>
    <row r="497" spans="1:49">
      <c r="A497" s="23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23"/>
      <c r="AC497" s="18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0"/>
      <c r="AU497" s="23"/>
      <c r="AV497" s="23"/>
      <c r="AW497" s="23"/>
    </row>
    <row r="498" spans="1:49">
      <c r="A498" s="23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23"/>
      <c r="AC498" s="18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0"/>
      <c r="AU498" s="23"/>
      <c r="AV498" s="23"/>
      <c r="AW498" s="23"/>
    </row>
    <row r="499" spans="1:49">
      <c r="A499" s="23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23"/>
      <c r="AC499" s="18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0"/>
      <c r="AU499" s="23"/>
      <c r="AV499" s="23"/>
      <c r="AW499" s="23"/>
    </row>
    <row r="500" spans="1:49">
      <c r="A500" s="23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23"/>
      <c r="AC500" s="18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0"/>
      <c r="AU500" s="23"/>
      <c r="AV500" s="23"/>
      <c r="AW500" s="23"/>
    </row>
    <row r="501" spans="1:49">
      <c r="A501" s="23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23"/>
      <c r="AC501" s="18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0"/>
      <c r="AU501" s="23"/>
      <c r="AV501" s="23"/>
      <c r="AW501" s="23"/>
    </row>
    <row r="502" spans="1:49">
      <c r="A502" s="23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23"/>
      <c r="AC502" s="18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0"/>
      <c r="AU502" s="23"/>
      <c r="AV502" s="23"/>
      <c r="AW502" s="23"/>
    </row>
    <row r="503" spans="1:49">
      <c r="A503" s="23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23"/>
      <c r="AC503" s="18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0"/>
      <c r="AU503" s="23"/>
      <c r="AV503" s="23"/>
      <c r="AW503" s="23"/>
    </row>
    <row r="504" spans="1:49">
      <c r="A504" s="23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23"/>
      <c r="AC504" s="18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0"/>
      <c r="AU504" s="23"/>
      <c r="AV504" s="23"/>
      <c r="AW504" s="23"/>
    </row>
    <row r="505" spans="1:49">
      <c r="A505" s="23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23"/>
      <c r="AC505" s="18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0"/>
      <c r="AU505" s="23"/>
      <c r="AV505" s="23"/>
      <c r="AW505" s="23"/>
    </row>
    <row r="506" spans="1:49">
      <c r="A506" s="23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23"/>
      <c r="AC506" s="18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0"/>
      <c r="AU506" s="23"/>
      <c r="AV506" s="23"/>
      <c r="AW506" s="23"/>
    </row>
    <row r="507" spans="1:49">
      <c r="A507" s="23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23"/>
      <c r="AC507" s="18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0"/>
      <c r="AU507" s="23"/>
      <c r="AV507" s="23"/>
      <c r="AW507" s="23"/>
    </row>
    <row r="508" spans="1:49">
      <c r="A508" s="23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23"/>
      <c r="AC508" s="18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0"/>
      <c r="AU508" s="23"/>
      <c r="AV508" s="23"/>
      <c r="AW508" s="23"/>
    </row>
    <row r="509" spans="1:49">
      <c r="A509" s="23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23"/>
      <c r="AC509" s="18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0"/>
      <c r="AU509" s="23"/>
      <c r="AV509" s="23"/>
      <c r="AW509" s="23"/>
    </row>
    <row r="510" spans="1:49">
      <c r="A510" s="23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23"/>
      <c r="AC510" s="18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0"/>
      <c r="AU510" s="23"/>
      <c r="AV510" s="23"/>
      <c r="AW510" s="23"/>
    </row>
    <row r="511" spans="1:49">
      <c r="A511" s="23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23"/>
      <c r="AC511" s="18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0"/>
      <c r="AU511" s="23"/>
      <c r="AV511" s="23"/>
      <c r="AW511" s="23"/>
    </row>
    <row r="512" spans="1:49">
      <c r="A512" s="23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23"/>
      <c r="AC512" s="18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0"/>
      <c r="AU512" s="23"/>
      <c r="AV512" s="23"/>
      <c r="AW512" s="23"/>
    </row>
    <row r="513" spans="1:49">
      <c r="A513" s="23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23"/>
      <c r="AC513" s="18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0"/>
      <c r="AU513" s="23"/>
      <c r="AV513" s="23"/>
      <c r="AW513" s="23"/>
    </row>
    <row r="514" spans="1:49">
      <c r="A514" s="23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23"/>
      <c r="AC514" s="18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0"/>
      <c r="AU514" s="23"/>
      <c r="AV514" s="23"/>
      <c r="AW514" s="23"/>
    </row>
    <row r="515" spans="1:49">
      <c r="A515" s="23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23"/>
      <c r="AC515" s="18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0"/>
      <c r="AU515" s="23"/>
      <c r="AV515" s="23"/>
      <c r="AW515" s="23"/>
    </row>
    <row r="516" spans="1:49">
      <c r="A516" s="23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23"/>
      <c r="AC516" s="18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0"/>
      <c r="AU516" s="23"/>
      <c r="AV516" s="23"/>
      <c r="AW516" s="23"/>
    </row>
    <row r="517" spans="1:49">
      <c r="A517" s="23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23"/>
      <c r="AC517" s="18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0"/>
      <c r="AU517" s="23"/>
      <c r="AV517" s="23"/>
      <c r="AW517" s="23"/>
    </row>
    <row r="518" spans="1:49">
      <c r="A518" s="23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23"/>
      <c r="AC518" s="18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0"/>
      <c r="AU518" s="23"/>
      <c r="AV518" s="23"/>
      <c r="AW518" s="23"/>
    </row>
    <row r="519" spans="1:49">
      <c r="A519" s="23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23"/>
      <c r="AC519" s="18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0"/>
      <c r="AU519" s="23"/>
      <c r="AV519" s="23"/>
      <c r="AW519" s="23"/>
    </row>
    <row r="520" spans="1:49">
      <c r="A520" s="23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23"/>
      <c r="AC520" s="18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0"/>
      <c r="AU520" s="23"/>
      <c r="AV520" s="23"/>
      <c r="AW520" s="23"/>
    </row>
    <row r="521" spans="1:49">
      <c r="A521" s="23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23"/>
      <c r="AC521" s="18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0"/>
      <c r="AU521" s="23"/>
      <c r="AV521" s="23"/>
      <c r="AW521" s="23"/>
    </row>
    <row r="522" spans="1:49">
      <c r="A522" s="23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23"/>
      <c r="AC522" s="18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0"/>
      <c r="AU522" s="23"/>
      <c r="AV522" s="23"/>
      <c r="AW522" s="23"/>
    </row>
    <row r="523" spans="1:49">
      <c r="A523" s="2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23"/>
      <c r="AC523" s="18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0"/>
      <c r="AU523" s="23"/>
      <c r="AV523" s="23"/>
      <c r="AW523" s="23"/>
    </row>
    <row r="524" spans="1:49">
      <c r="A524" s="23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23"/>
      <c r="AC524" s="18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0"/>
      <c r="AU524" s="23"/>
      <c r="AV524" s="23"/>
      <c r="AW524" s="23"/>
    </row>
    <row r="525" spans="1:49">
      <c r="A525" s="23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23"/>
      <c r="AC525" s="18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0"/>
      <c r="AU525" s="23"/>
      <c r="AV525" s="23"/>
      <c r="AW525" s="23"/>
    </row>
    <row r="526" spans="1:49">
      <c r="A526" s="23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23"/>
      <c r="AC526" s="18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0"/>
      <c r="AU526" s="23"/>
      <c r="AV526" s="23"/>
      <c r="AW526" s="23"/>
    </row>
    <row r="527" spans="1:49">
      <c r="A527" s="23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23"/>
      <c r="AC527" s="18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0"/>
      <c r="AU527" s="23"/>
      <c r="AV527" s="23"/>
      <c r="AW527" s="23"/>
    </row>
    <row r="528" spans="1:49">
      <c r="A528" s="23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23"/>
      <c r="AC528" s="18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0"/>
      <c r="AU528" s="23"/>
      <c r="AV528" s="23"/>
      <c r="AW528" s="23"/>
    </row>
    <row r="529" spans="1:49">
      <c r="A529" s="23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23"/>
      <c r="AC529" s="18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0"/>
      <c r="AU529" s="23"/>
      <c r="AV529" s="23"/>
      <c r="AW529" s="23"/>
    </row>
    <row r="530" spans="1:49">
      <c r="A530" s="23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23"/>
      <c r="AC530" s="18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0"/>
      <c r="AU530" s="23"/>
      <c r="AV530" s="23"/>
      <c r="AW530" s="23"/>
    </row>
    <row r="531" spans="1:49">
      <c r="A531" s="23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23"/>
      <c r="AC531" s="18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0"/>
      <c r="AU531" s="23"/>
      <c r="AV531" s="23"/>
      <c r="AW531" s="23"/>
    </row>
    <row r="532" spans="1:49">
      <c r="A532" s="23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23"/>
      <c r="AC532" s="18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0"/>
      <c r="AU532" s="23"/>
      <c r="AV532" s="23"/>
      <c r="AW532" s="23"/>
    </row>
    <row r="533" spans="1:49">
      <c r="A533" s="23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23"/>
      <c r="AC533" s="18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0"/>
      <c r="AU533" s="23"/>
      <c r="AV533" s="23"/>
      <c r="AW533" s="23"/>
    </row>
    <row r="534" spans="1:49">
      <c r="A534" s="23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23"/>
      <c r="AC534" s="18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0"/>
      <c r="AU534" s="23"/>
      <c r="AV534" s="23"/>
      <c r="AW534" s="23"/>
    </row>
    <row r="535" spans="1:49">
      <c r="A535" s="23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23"/>
      <c r="AC535" s="18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0"/>
      <c r="AU535" s="23"/>
      <c r="AV535" s="23"/>
      <c r="AW535" s="23"/>
    </row>
    <row r="536" spans="1:49">
      <c r="A536" s="23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23"/>
      <c r="AC536" s="18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0"/>
      <c r="AU536" s="23"/>
      <c r="AV536" s="23"/>
      <c r="AW536" s="23"/>
    </row>
    <row r="537" spans="1:49">
      <c r="A537" s="23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23"/>
      <c r="AC537" s="18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0"/>
      <c r="AU537" s="23"/>
      <c r="AV537" s="23"/>
      <c r="AW537" s="23"/>
    </row>
    <row r="538" spans="1:49">
      <c r="A538" s="23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23"/>
      <c r="AC538" s="18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0"/>
      <c r="AU538" s="23"/>
      <c r="AV538" s="23"/>
      <c r="AW538" s="23"/>
    </row>
    <row r="539" spans="1:49">
      <c r="A539" s="23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23"/>
      <c r="AC539" s="18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0"/>
      <c r="AU539" s="23"/>
      <c r="AV539" s="23"/>
      <c r="AW539" s="23"/>
    </row>
    <row r="540" spans="1:49">
      <c r="A540" s="23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23"/>
      <c r="AC540" s="18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0"/>
      <c r="AU540" s="23"/>
      <c r="AV540" s="23"/>
      <c r="AW540" s="23"/>
    </row>
    <row r="541" spans="1:49">
      <c r="A541" s="23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23"/>
      <c r="AC541" s="18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0"/>
      <c r="AU541" s="23"/>
      <c r="AV541" s="23"/>
      <c r="AW541" s="23"/>
    </row>
    <row r="542" spans="1:49">
      <c r="A542" s="23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23"/>
      <c r="AC542" s="18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0"/>
      <c r="AU542" s="23"/>
      <c r="AV542" s="23"/>
      <c r="AW542" s="23"/>
    </row>
    <row r="543" spans="1:49">
      <c r="A543" s="23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23"/>
      <c r="AC543" s="18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0"/>
      <c r="AU543" s="23"/>
      <c r="AV543" s="23"/>
      <c r="AW543" s="23"/>
    </row>
    <row r="544" spans="1:49">
      <c r="A544" s="23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23"/>
      <c r="AC544" s="18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0"/>
      <c r="AU544" s="23"/>
      <c r="AV544" s="23"/>
      <c r="AW544" s="23"/>
    </row>
    <row r="545" spans="1:49">
      <c r="A545" s="23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23"/>
      <c r="AC545" s="18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0"/>
      <c r="AU545" s="23"/>
      <c r="AV545" s="23"/>
      <c r="AW545" s="23"/>
    </row>
    <row r="546" spans="1:49">
      <c r="A546" s="23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23"/>
      <c r="AC546" s="18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0"/>
      <c r="AU546" s="23"/>
      <c r="AV546" s="23"/>
      <c r="AW546" s="23"/>
    </row>
    <row r="547" spans="1:49">
      <c r="A547" s="23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23"/>
      <c r="AC547" s="18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0"/>
      <c r="AU547" s="23"/>
      <c r="AV547" s="23"/>
      <c r="AW547" s="23"/>
    </row>
    <row r="548" spans="1:49">
      <c r="A548" s="23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23"/>
      <c r="AC548" s="18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0"/>
      <c r="AU548" s="23"/>
      <c r="AV548" s="23"/>
      <c r="AW548" s="23"/>
    </row>
    <row r="549" spans="1:49">
      <c r="A549" s="23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23"/>
      <c r="AC549" s="18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0"/>
      <c r="AU549" s="23"/>
      <c r="AV549" s="23"/>
      <c r="AW549" s="23"/>
    </row>
    <row r="550" spans="1:49">
      <c r="A550" s="23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23"/>
      <c r="AC550" s="18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0"/>
      <c r="AU550" s="23"/>
      <c r="AV550" s="23"/>
      <c r="AW550" s="23"/>
    </row>
    <row r="551" spans="1:49">
      <c r="A551" s="23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23"/>
      <c r="AC551" s="18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0"/>
      <c r="AU551" s="23"/>
      <c r="AV551" s="23"/>
      <c r="AW551" s="23"/>
    </row>
    <row r="552" spans="1:49">
      <c r="A552" s="23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23"/>
      <c r="AC552" s="18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0"/>
      <c r="AU552" s="23"/>
      <c r="AV552" s="23"/>
      <c r="AW552" s="23"/>
    </row>
    <row r="553" spans="1:49">
      <c r="A553" s="23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23"/>
      <c r="AC553" s="18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0"/>
      <c r="AU553" s="23"/>
      <c r="AV553" s="23"/>
      <c r="AW553" s="23"/>
    </row>
    <row r="554" spans="1:49">
      <c r="A554" s="23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23"/>
      <c r="AC554" s="18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0"/>
      <c r="AU554" s="23"/>
      <c r="AV554" s="23"/>
      <c r="AW554" s="23"/>
    </row>
    <row r="555" spans="1:49">
      <c r="A555" s="23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23"/>
      <c r="AC555" s="18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0"/>
      <c r="AU555" s="23"/>
      <c r="AV555" s="23"/>
      <c r="AW555" s="23"/>
    </row>
    <row r="556" spans="1:49">
      <c r="A556" s="23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23"/>
      <c r="AC556" s="18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0"/>
      <c r="AU556" s="23"/>
      <c r="AV556" s="23"/>
      <c r="AW556" s="23"/>
    </row>
    <row r="557" spans="1:49">
      <c r="A557" s="23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23"/>
      <c r="AC557" s="18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0"/>
      <c r="AU557" s="23"/>
      <c r="AV557" s="23"/>
      <c r="AW557" s="23"/>
    </row>
    <row r="558" spans="1:49">
      <c r="A558" s="23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23"/>
      <c r="AC558" s="18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0"/>
      <c r="AU558" s="23"/>
      <c r="AV558" s="23"/>
      <c r="AW558" s="23"/>
    </row>
    <row r="559" spans="1:49">
      <c r="A559" s="23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23"/>
      <c r="AC559" s="18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0"/>
      <c r="AU559" s="23"/>
      <c r="AV559" s="23"/>
      <c r="AW559" s="23"/>
    </row>
    <row r="560" spans="1:49">
      <c r="A560" s="23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23"/>
      <c r="AC560" s="18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0"/>
      <c r="AU560" s="23"/>
      <c r="AV560" s="23"/>
      <c r="AW560" s="23"/>
    </row>
    <row r="561" spans="1:49">
      <c r="A561" s="23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23"/>
      <c r="AC561" s="18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0"/>
      <c r="AU561" s="23"/>
      <c r="AV561" s="23"/>
      <c r="AW561" s="23"/>
    </row>
    <row r="562" spans="1:49">
      <c r="A562" s="23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23"/>
      <c r="AC562" s="18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0"/>
      <c r="AU562" s="23"/>
      <c r="AV562" s="23"/>
      <c r="AW562" s="23"/>
    </row>
    <row r="563" spans="1:49">
      <c r="A563" s="23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23"/>
      <c r="AC563" s="18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0"/>
      <c r="AU563" s="23"/>
      <c r="AV563" s="23"/>
      <c r="AW563" s="23"/>
    </row>
    <row r="564" spans="1:49">
      <c r="A564" s="23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23"/>
      <c r="AC564" s="18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0"/>
      <c r="AU564" s="23"/>
      <c r="AV564" s="23"/>
      <c r="AW564" s="23"/>
    </row>
    <row r="565" spans="1:49">
      <c r="A565" s="23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23"/>
      <c r="AC565" s="18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0"/>
      <c r="AU565" s="23"/>
      <c r="AV565" s="23"/>
      <c r="AW565" s="23"/>
    </row>
    <row r="566" spans="1:49">
      <c r="A566" s="23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23"/>
      <c r="AC566" s="18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0"/>
      <c r="AU566" s="23"/>
      <c r="AV566" s="23"/>
      <c r="AW566" s="23"/>
    </row>
    <row r="567" spans="1:49">
      <c r="A567" s="23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23"/>
      <c r="AC567" s="18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0"/>
      <c r="AU567" s="23"/>
      <c r="AV567" s="23"/>
      <c r="AW567" s="23"/>
    </row>
    <row r="568" spans="1:49">
      <c r="A568" s="23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23"/>
      <c r="AC568" s="18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0"/>
      <c r="AU568" s="23"/>
      <c r="AV568" s="23"/>
      <c r="AW568" s="23"/>
    </row>
    <row r="569" spans="1:49">
      <c r="A569" s="23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23"/>
      <c r="AC569" s="18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0"/>
      <c r="AU569" s="23"/>
      <c r="AV569" s="23"/>
      <c r="AW569" s="23"/>
    </row>
    <row r="570" spans="1:49">
      <c r="A570" s="23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23"/>
      <c r="AC570" s="18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0"/>
      <c r="AU570" s="23"/>
      <c r="AV570" s="23"/>
      <c r="AW570" s="23"/>
    </row>
    <row r="571" spans="1:49">
      <c r="A571" s="23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23"/>
      <c r="AC571" s="18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0"/>
      <c r="AU571" s="23"/>
      <c r="AV571" s="23"/>
      <c r="AW571" s="23"/>
    </row>
    <row r="572" spans="1:49">
      <c r="A572" s="23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23"/>
      <c r="AC572" s="18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0"/>
      <c r="AU572" s="23"/>
      <c r="AV572" s="23"/>
      <c r="AW572" s="23"/>
    </row>
    <row r="573" spans="1:49">
      <c r="A573" s="23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23"/>
      <c r="AC573" s="18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0"/>
      <c r="AU573" s="23"/>
      <c r="AV573" s="23"/>
      <c r="AW573" s="23"/>
    </row>
    <row r="574" spans="1:49">
      <c r="A574" s="23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23"/>
      <c r="AC574" s="18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0"/>
      <c r="AU574" s="23"/>
      <c r="AV574" s="23"/>
      <c r="AW574" s="23"/>
    </row>
    <row r="575" spans="1:49">
      <c r="A575" s="23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23"/>
      <c r="AC575" s="18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0"/>
      <c r="AU575" s="23"/>
      <c r="AV575" s="23"/>
      <c r="AW575" s="23"/>
    </row>
    <row r="576" spans="1:49">
      <c r="A576" s="23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23"/>
      <c r="AC576" s="18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0"/>
      <c r="AU576" s="23"/>
      <c r="AV576" s="23"/>
      <c r="AW576" s="23"/>
    </row>
    <row r="577" spans="1:49">
      <c r="A577" s="23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23"/>
      <c r="AC577" s="18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0"/>
      <c r="AU577" s="23"/>
      <c r="AV577" s="23"/>
      <c r="AW577" s="23"/>
    </row>
    <row r="578" spans="1:49">
      <c r="A578" s="23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23"/>
      <c r="AC578" s="18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0"/>
      <c r="AU578" s="23"/>
      <c r="AV578" s="23"/>
      <c r="AW578" s="23"/>
    </row>
    <row r="579" spans="1:49">
      <c r="A579" s="23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23"/>
      <c r="AC579" s="18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0"/>
      <c r="AU579" s="23"/>
      <c r="AV579" s="23"/>
      <c r="AW579" s="23"/>
    </row>
    <row r="580" spans="1:49">
      <c r="A580" s="23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23"/>
      <c r="AC580" s="18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0"/>
      <c r="AU580" s="23"/>
      <c r="AV580" s="23"/>
      <c r="AW580" s="23"/>
    </row>
    <row r="581" spans="1:49">
      <c r="A581" s="23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23"/>
      <c r="AC581" s="18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0"/>
      <c r="AU581" s="23"/>
      <c r="AV581" s="23"/>
      <c r="AW581" s="23"/>
    </row>
    <row r="582" spans="1:49">
      <c r="A582" s="23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23"/>
      <c r="AC582" s="18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0"/>
      <c r="AU582" s="23"/>
      <c r="AV582" s="23"/>
      <c r="AW582" s="23"/>
    </row>
    <row r="583" spans="1:49">
      <c r="A583" s="23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23"/>
      <c r="AC583" s="18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0"/>
      <c r="AU583" s="23"/>
      <c r="AV583" s="23"/>
      <c r="AW583" s="23"/>
    </row>
    <row r="584" spans="1:49">
      <c r="A584" s="23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23"/>
      <c r="AC584" s="18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0"/>
      <c r="AU584" s="23"/>
      <c r="AV584" s="23"/>
      <c r="AW584" s="23"/>
    </row>
    <row r="585" spans="1:49">
      <c r="A585" s="23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23"/>
      <c r="AC585" s="18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0"/>
      <c r="AU585" s="23"/>
      <c r="AV585" s="23"/>
      <c r="AW585" s="23"/>
    </row>
    <row r="586" spans="1:49">
      <c r="A586" s="23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23"/>
      <c r="AC586" s="18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0"/>
      <c r="AU586" s="23"/>
      <c r="AV586" s="23"/>
      <c r="AW586" s="23"/>
    </row>
    <row r="587" spans="1:49">
      <c r="A587" s="23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23"/>
      <c r="AC587" s="18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0"/>
      <c r="AU587" s="23"/>
      <c r="AV587" s="23"/>
      <c r="AW587" s="23"/>
    </row>
    <row r="588" spans="1:49">
      <c r="A588" s="23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23"/>
      <c r="AC588" s="18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0"/>
      <c r="AU588" s="23"/>
      <c r="AV588" s="23"/>
      <c r="AW588" s="23"/>
    </row>
    <row r="589" spans="1:49">
      <c r="A589" s="23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23"/>
      <c r="AC589" s="18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0"/>
      <c r="AU589" s="23"/>
      <c r="AV589" s="23"/>
      <c r="AW589" s="23"/>
    </row>
    <row r="590" spans="1:49">
      <c r="A590" s="23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23"/>
      <c r="AC590" s="18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0"/>
      <c r="AU590" s="23"/>
      <c r="AV590" s="23"/>
      <c r="AW590" s="23"/>
    </row>
    <row r="591" spans="1:49">
      <c r="A591" s="23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23"/>
      <c r="AC591" s="18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0"/>
      <c r="AU591" s="23"/>
      <c r="AV591" s="23"/>
      <c r="AW591" s="23"/>
    </row>
    <row r="592" spans="1:49">
      <c r="A592" s="23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23"/>
      <c r="AC592" s="18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0"/>
      <c r="AU592" s="23"/>
      <c r="AV592" s="23"/>
      <c r="AW592" s="23"/>
    </row>
    <row r="593" spans="1:49">
      <c r="A593" s="23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23"/>
      <c r="AC593" s="18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0"/>
      <c r="AU593" s="23"/>
      <c r="AV593" s="23"/>
      <c r="AW593" s="23"/>
    </row>
    <row r="594" spans="1:49">
      <c r="A594" s="23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23"/>
      <c r="AC594" s="18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0"/>
      <c r="AU594" s="23"/>
      <c r="AV594" s="23"/>
      <c r="AW594" s="23"/>
    </row>
    <row r="595" spans="1:49">
      <c r="A595" s="23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23"/>
      <c r="AC595" s="18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0"/>
      <c r="AU595" s="23"/>
      <c r="AV595" s="23"/>
      <c r="AW595" s="23"/>
    </row>
    <row r="596" spans="1:49">
      <c r="A596" s="23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23"/>
      <c r="AC596" s="18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0"/>
      <c r="AU596" s="23"/>
      <c r="AV596" s="23"/>
      <c r="AW596" s="23"/>
    </row>
    <row r="597" spans="1:49">
      <c r="A597" s="23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23"/>
      <c r="AC597" s="18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0"/>
      <c r="AU597" s="23"/>
      <c r="AV597" s="23"/>
      <c r="AW597" s="23"/>
    </row>
    <row r="598" spans="1:49">
      <c r="A598" s="23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23"/>
      <c r="AC598" s="18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0"/>
      <c r="AU598" s="23"/>
      <c r="AV598" s="23"/>
      <c r="AW598" s="23"/>
    </row>
    <row r="599" spans="1:49">
      <c r="A599" s="23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23"/>
      <c r="AC599" s="18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0"/>
      <c r="AU599" s="23"/>
      <c r="AV599" s="23"/>
      <c r="AW599" s="23"/>
    </row>
    <row r="600" spans="1:49">
      <c r="A600" s="23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23"/>
      <c r="AC600" s="18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0"/>
      <c r="AU600" s="23"/>
      <c r="AV600" s="23"/>
      <c r="AW600" s="23"/>
    </row>
    <row r="601" spans="1:49">
      <c r="A601" s="23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23"/>
      <c r="AC601" s="18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0"/>
      <c r="AU601" s="23"/>
      <c r="AV601" s="23"/>
      <c r="AW601" s="23"/>
    </row>
    <row r="602" spans="1:49">
      <c r="A602" s="23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23"/>
      <c r="AC602" s="18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0"/>
      <c r="AU602" s="23"/>
      <c r="AV602" s="23"/>
      <c r="AW602" s="23"/>
    </row>
    <row r="603" spans="1:49">
      <c r="A603" s="23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23"/>
      <c r="AC603" s="18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0"/>
      <c r="AU603" s="23"/>
      <c r="AV603" s="23"/>
      <c r="AW603" s="23"/>
    </row>
    <row r="604" spans="1:49">
      <c r="A604" s="23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23"/>
      <c r="AC604" s="18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0"/>
      <c r="AU604" s="23"/>
      <c r="AV604" s="23"/>
      <c r="AW604" s="23"/>
    </row>
    <row r="605" spans="1:49">
      <c r="A605" s="23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23"/>
      <c r="AC605" s="18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0"/>
      <c r="AU605" s="23"/>
      <c r="AV605" s="23"/>
      <c r="AW605" s="23"/>
    </row>
    <row r="606" spans="1:49">
      <c r="A606" s="23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23"/>
      <c r="AC606" s="18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0"/>
      <c r="AU606" s="23"/>
      <c r="AV606" s="23"/>
      <c r="AW606" s="23"/>
    </row>
    <row r="607" spans="1:49">
      <c r="A607" s="23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23"/>
      <c r="AC607" s="18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0"/>
      <c r="AU607" s="23"/>
      <c r="AV607" s="23"/>
      <c r="AW607" s="23"/>
    </row>
    <row r="608" spans="1:49">
      <c r="A608" s="23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23"/>
      <c r="AC608" s="18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0"/>
      <c r="AU608" s="23"/>
      <c r="AV608" s="23"/>
      <c r="AW608" s="23"/>
    </row>
    <row r="609" spans="1:49">
      <c r="A609" s="23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23"/>
      <c r="AC609" s="18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0"/>
      <c r="AU609" s="23"/>
      <c r="AV609" s="23"/>
      <c r="AW609" s="23"/>
    </row>
    <row r="610" spans="1:49">
      <c r="A610" s="23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23"/>
      <c r="AC610" s="18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0"/>
      <c r="AU610" s="23"/>
      <c r="AV610" s="23"/>
      <c r="AW610" s="23"/>
    </row>
    <row r="611" spans="1:49">
      <c r="A611" s="23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23"/>
      <c r="AC611" s="18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0"/>
      <c r="AU611" s="23"/>
      <c r="AV611" s="23"/>
      <c r="AW611" s="23"/>
    </row>
    <row r="612" spans="1:49">
      <c r="A612" s="23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23"/>
      <c r="AC612" s="18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0"/>
      <c r="AU612" s="23"/>
      <c r="AV612" s="23"/>
      <c r="AW612" s="23"/>
    </row>
    <row r="613" spans="1:49">
      <c r="A613" s="23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23"/>
      <c r="AC613" s="18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0"/>
      <c r="AU613" s="23"/>
      <c r="AV613" s="23"/>
      <c r="AW613" s="23"/>
    </row>
    <row r="614" spans="1:49">
      <c r="A614" s="23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23"/>
      <c r="AC614" s="18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0"/>
      <c r="AU614" s="23"/>
      <c r="AV614" s="23"/>
      <c r="AW614" s="23"/>
    </row>
    <row r="615" spans="1:49">
      <c r="A615" s="23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23"/>
      <c r="AC615" s="18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0"/>
      <c r="AU615" s="23"/>
      <c r="AV615" s="23"/>
      <c r="AW615" s="23"/>
    </row>
    <row r="616" spans="1:49">
      <c r="A616" s="23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23"/>
      <c r="AC616" s="18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0"/>
      <c r="AU616" s="23"/>
      <c r="AV616" s="23"/>
      <c r="AW616" s="23"/>
    </row>
    <row r="617" spans="1:49">
      <c r="A617" s="23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23"/>
      <c r="AC617" s="18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0"/>
      <c r="AU617" s="23"/>
      <c r="AV617" s="23"/>
      <c r="AW617" s="23"/>
    </row>
    <row r="618" spans="1:49">
      <c r="A618" s="23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23"/>
      <c r="AC618" s="18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0"/>
      <c r="AU618" s="23"/>
      <c r="AV618" s="23"/>
      <c r="AW618" s="23"/>
    </row>
    <row r="619" spans="1:49">
      <c r="A619" s="23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23"/>
      <c r="AC619" s="18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0"/>
      <c r="AU619" s="23"/>
      <c r="AV619" s="23"/>
      <c r="AW619" s="23"/>
    </row>
    <row r="620" spans="1:49">
      <c r="A620" s="23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23"/>
      <c r="AC620" s="18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0"/>
      <c r="AU620" s="23"/>
      <c r="AV620" s="23"/>
      <c r="AW620" s="23"/>
    </row>
    <row r="621" spans="1:49">
      <c r="A621" s="23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23"/>
      <c r="AC621" s="18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0"/>
      <c r="AU621" s="23"/>
      <c r="AV621" s="23"/>
      <c r="AW621" s="23"/>
    </row>
    <row r="622" spans="1:49">
      <c r="A622" s="23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23"/>
      <c r="AC622" s="18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0"/>
      <c r="AU622" s="23"/>
      <c r="AV622" s="23"/>
      <c r="AW622" s="23"/>
    </row>
    <row r="623" spans="1:49">
      <c r="A623" s="23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23"/>
      <c r="AC623" s="18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0"/>
      <c r="AU623" s="23"/>
      <c r="AV623" s="23"/>
      <c r="AW623" s="23"/>
    </row>
    <row r="624" spans="1:49">
      <c r="A624" s="23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23"/>
      <c r="AC624" s="18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0"/>
      <c r="AU624" s="23"/>
      <c r="AV624" s="23"/>
      <c r="AW624" s="23"/>
    </row>
    <row r="625" spans="1:49">
      <c r="A625" s="23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23"/>
      <c r="AC625" s="18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0"/>
      <c r="AU625" s="23"/>
      <c r="AV625" s="23"/>
      <c r="AW625" s="23"/>
    </row>
    <row r="626" spans="1:49">
      <c r="A626" s="23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23"/>
      <c r="AC626" s="18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0"/>
      <c r="AU626" s="23"/>
      <c r="AV626" s="23"/>
      <c r="AW626" s="23"/>
    </row>
    <row r="627" spans="1:49">
      <c r="A627" s="23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23"/>
      <c r="AC627" s="18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0"/>
      <c r="AU627" s="23"/>
      <c r="AV627" s="23"/>
      <c r="AW627" s="23"/>
    </row>
    <row r="628" spans="1:49">
      <c r="A628" s="23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23"/>
      <c r="AC628" s="18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0"/>
      <c r="AU628" s="23"/>
      <c r="AV628" s="23"/>
      <c r="AW628" s="23"/>
    </row>
    <row r="629" spans="1:49">
      <c r="A629" s="23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23"/>
      <c r="AC629" s="18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0"/>
      <c r="AU629" s="23"/>
      <c r="AV629" s="23"/>
      <c r="AW629" s="23"/>
    </row>
    <row r="630" spans="1:49">
      <c r="A630" s="23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23"/>
      <c r="AC630" s="18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0"/>
      <c r="AU630" s="23"/>
      <c r="AV630" s="23"/>
      <c r="AW630" s="23"/>
    </row>
    <row r="631" spans="1:49">
      <c r="A631" s="23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23"/>
      <c r="AC631" s="18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0"/>
      <c r="AU631" s="23"/>
      <c r="AV631" s="23"/>
      <c r="AW631" s="23"/>
    </row>
    <row r="632" spans="1:49">
      <c r="A632" s="23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23"/>
      <c r="AC632" s="18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0"/>
      <c r="AU632" s="23"/>
      <c r="AV632" s="23"/>
      <c r="AW632" s="23"/>
    </row>
    <row r="633" spans="1:49">
      <c r="A633" s="23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23"/>
      <c r="AC633" s="18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0"/>
      <c r="AU633" s="23"/>
      <c r="AV633" s="23"/>
      <c r="AW633" s="23"/>
    </row>
    <row r="634" spans="1:49">
      <c r="A634" s="23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23"/>
      <c r="AC634" s="18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0"/>
      <c r="AU634" s="23"/>
      <c r="AV634" s="23"/>
      <c r="AW634" s="23"/>
    </row>
    <row r="635" spans="1:49">
      <c r="A635" s="23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23"/>
      <c r="AC635" s="18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0"/>
      <c r="AU635" s="23"/>
      <c r="AV635" s="23"/>
      <c r="AW635" s="23"/>
    </row>
    <row r="636" spans="1:49">
      <c r="A636" s="23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23"/>
      <c r="AC636" s="18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0"/>
      <c r="AU636" s="23"/>
      <c r="AV636" s="23"/>
      <c r="AW636" s="23"/>
    </row>
    <row r="637" spans="1:49">
      <c r="A637" s="23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23"/>
      <c r="AC637" s="18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0"/>
      <c r="AU637" s="23"/>
      <c r="AV637" s="23"/>
      <c r="AW637" s="23"/>
    </row>
    <row r="638" spans="1:49">
      <c r="A638" s="23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23"/>
      <c r="AC638" s="18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0"/>
      <c r="AU638" s="23"/>
      <c r="AV638" s="23"/>
      <c r="AW638" s="23"/>
    </row>
    <row r="639" spans="1:49">
      <c r="A639" s="23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23"/>
      <c r="AC639" s="18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0"/>
      <c r="AU639" s="23"/>
      <c r="AV639" s="23"/>
      <c r="AW639" s="23"/>
    </row>
    <row r="640" spans="1:49">
      <c r="A640" s="23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23"/>
      <c r="AC640" s="18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0"/>
      <c r="AU640" s="23"/>
      <c r="AV640" s="23"/>
      <c r="AW640" s="23"/>
    </row>
    <row r="641" spans="1:49">
      <c r="A641" s="23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23"/>
      <c r="AC641" s="18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0"/>
      <c r="AU641" s="23"/>
      <c r="AV641" s="23"/>
      <c r="AW641" s="23"/>
    </row>
    <row r="642" spans="1:49">
      <c r="A642" s="2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23"/>
      <c r="AC642" s="18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0"/>
      <c r="AU642" s="23"/>
      <c r="AV642" s="23"/>
      <c r="AW642" s="23"/>
    </row>
    <row r="643" spans="1:49">
      <c r="A643" s="23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23"/>
      <c r="AC643" s="18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0"/>
      <c r="AU643" s="23"/>
      <c r="AV643" s="23"/>
      <c r="AW643" s="23"/>
    </row>
    <row r="644" spans="1:49">
      <c r="A644" s="23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23"/>
      <c r="AC644" s="18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0"/>
      <c r="AU644" s="23"/>
      <c r="AV644" s="23"/>
      <c r="AW644" s="23"/>
    </row>
    <row r="645" spans="1:49">
      <c r="A645" s="23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23"/>
      <c r="AC645" s="18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0"/>
      <c r="AU645" s="23"/>
      <c r="AV645" s="23"/>
      <c r="AW645" s="23"/>
    </row>
    <row r="646" spans="1:49">
      <c r="A646" s="23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23"/>
      <c r="AC646" s="18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0"/>
      <c r="AU646" s="23"/>
      <c r="AV646" s="23"/>
      <c r="AW646" s="23"/>
    </row>
    <row r="647" spans="1:49">
      <c r="A647" s="23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23"/>
      <c r="AC647" s="18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0"/>
      <c r="AU647" s="23"/>
      <c r="AV647" s="23"/>
      <c r="AW647" s="23"/>
    </row>
    <row r="648" spans="1:49">
      <c r="A648" s="23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23"/>
      <c r="AC648" s="18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0"/>
      <c r="AU648" s="23"/>
      <c r="AV648" s="23"/>
      <c r="AW648" s="23"/>
    </row>
    <row r="649" spans="1:49">
      <c r="A649" s="23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23"/>
      <c r="AC649" s="18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0"/>
      <c r="AU649" s="23"/>
      <c r="AV649" s="23"/>
      <c r="AW649" s="23"/>
    </row>
    <row r="650" spans="1:49">
      <c r="A650" s="23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23"/>
      <c r="AC650" s="18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0"/>
      <c r="AU650" s="23"/>
      <c r="AV650" s="23"/>
      <c r="AW650" s="23"/>
    </row>
    <row r="651" spans="1:49">
      <c r="A651" s="23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23"/>
      <c r="AC651" s="18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0"/>
      <c r="AU651" s="23"/>
      <c r="AV651" s="23"/>
      <c r="AW651" s="23"/>
    </row>
    <row r="652" spans="1:49">
      <c r="A652" s="23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23"/>
      <c r="AC652" s="18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0"/>
      <c r="AU652" s="23"/>
      <c r="AV652" s="23"/>
      <c r="AW652" s="23"/>
    </row>
    <row r="653" spans="1:49">
      <c r="A653" s="23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23"/>
      <c r="AC653" s="18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0"/>
      <c r="AU653" s="23"/>
      <c r="AV653" s="23"/>
      <c r="AW653" s="23"/>
    </row>
    <row r="654" spans="1:49">
      <c r="A654" s="23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23"/>
      <c r="AC654" s="18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0"/>
      <c r="AU654" s="23"/>
      <c r="AV654" s="23"/>
      <c r="AW654" s="23"/>
    </row>
    <row r="655" spans="1:49">
      <c r="A655" s="23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23"/>
      <c r="AC655" s="18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0"/>
      <c r="AU655" s="23"/>
      <c r="AV655" s="23"/>
      <c r="AW655" s="23"/>
    </row>
    <row r="656" spans="1:49">
      <c r="A656" s="23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23"/>
      <c r="AC656" s="18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0"/>
      <c r="AU656" s="23"/>
      <c r="AV656" s="23"/>
      <c r="AW656" s="23"/>
    </row>
    <row r="657" spans="1:49">
      <c r="A657" s="23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23"/>
      <c r="AC657" s="18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0"/>
      <c r="AU657" s="23"/>
      <c r="AV657" s="23"/>
      <c r="AW657" s="23"/>
    </row>
    <row r="658" spans="1:49">
      <c r="A658" s="23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23"/>
      <c r="AC658" s="18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0"/>
      <c r="AU658" s="23"/>
      <c r="AV658" s="23"/>
      <c r="AW658" s="23"/>
    </row>
    <row r="659" spans="1:49">
      <c r="A659" s="23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23"/>
      <c r="AC659" s="18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0"/>
      <c r="AU659" s="23"/>
      <c r="AV659" s="23"/>
      <c r="AW659" s="23"/>
    </row>
    <row r="660" spans="1:49">
      <c r="A660" s="23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23"/>
      <c r="AC660" s="18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0"/>
      <c r="AU660" s="23"/>
      <c r="AV660" s="23"/>
      <c r="AW660" s="23"/>
    </row>
    <row r="661" spans="1:49">
      <c r="A661" s="23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23"/>
      <c r="AC661" s="18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0"/>
      <c r="AU661" s="23"/>
      <c r="AV661" s="23"/>
      <c r="AW661" s="23"/>
    </row>
    <row r="662" spans="1:49">
      <c r="A662" s="23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23"/>
      <c r="AC662" s="18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0"/>
      <c r="AU662" s="23"/>
      <c r="AV662" s="23"/>
      <c r="AW662" s="23"/>
    </row>
    <row r="663" spans="1:49">
      <c r="A663" s="23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23"/>
      <c r="AC663" s="18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0"/>
      <c r="AU663" s="23"/>
      <c r="AV663" s="23"/>
      <c r="AW663" s="23"/>
    </row>
    <row r="664" spans="1:49">
      <c r="A664" s="23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23"/>
      <c r="AC664" s="18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0"/>
      <c r="AU664" s="23"/>
      <c r="AV664" s="23"/>
      <c r="AW664" s="23"/>
    </row>
    <row r="665" spans="1:49">
      <c r="A665" s="23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23"/>
      <c r="AC665" s="18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0"/>
      <c r="AU665" s="23"/>
      <c r="AV665" s="23"/>
      <c r="AW665" s="23"/>
    </row>
    <row r="666" spans="1:49">
      <c r="A666" s="23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23"/>
      <c r="AC666" s="18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0"/>
      <c r="AU666" s="23"/>
      <c r="AV666" s="23"/>
      <c r="AW666" s="23"/>
    </row>
    <row r="667" spans="1:49">
      <c r="A667" s="23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23"/>
      <c r="AC667" s="18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0"/>
      <c r="AU667" s="23"/>
      <c r="AV667" s="23"/>
      <c r="AW667" s="23"/>
    </row>
    <row r="668" spans="1:49">
      <c r="A668" s="23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23"/>
      <c r="AC668" s="18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0"/>
      <c r="AU668" s="23"/>
      <c r="AV668" s="23"/>
      <c r="AW668" s="23"/>
    </row>
    <row r="669" spans="1:49">
      <c r="A669" s="23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23"/>
      <c r="AC669" s="18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0"/>
      <c r="AU669" s="23"/>
      <c r="AV669" s="23"/>
      <c r="AW669" s="23"/>
    </row>
    <row r="670" spans="1:49">
      <c r="A670" s="23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23"/>
      <c r="AC670" s="18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0"/>
      <c r="AU670" s="23"/>
      <c r="AV670" s="23"/>
      <c r="AW670" s="23"/>
    </row>
    <row r="671" spans="1:49">
      <c r="A671" s="23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23"/>
      <c r="AC671" s="18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0"/>
      <c r="AU671" s="23"/>
      <c r="AV671" s="23"/>
      <c r="AW671" s="23"/>
    </row>
    <row r="672" spans="1:49">
      <c r="A672" s="23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23"/>
      <c r="AC672" s="18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0"/>
      <c r="AU672" s="23"/>
      <c r="AV672" s="23"/>
      <c r="AW672" s="23"/>
    </row>
    <row r="673" spans="1:49">
      <c r="A673" s="23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23"/>
      <c r="AC673" s="18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0"/>
      <c r="AU673" s="23"/>
      <c r="AV673" s="23"/>
      <c r="AW673" s="23"/>
    </row>
    <row r="674" spans="1:49">
      <c r="A674" s="23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23"/>
      <c r="AC674" s="18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0"/>
      <c r="AU674" s="23"/>
      <c r="AV674" s="23"/>
      <c r="AW674" s="23"/>
    </row>
    <row r="675" spans="1:49">
      <c r="A675" s="23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23"/>
      <c r="AC675" s="18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0"/>
      <c r="AU675" s="23"/>
      <c r="AV675" s="23"/>
      <c r="AW675" s="23"/>
    </row>
    <row r="676" spans="1:49">
      <c r="A676" s="23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23"/>
      <c r="AC676" s="18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0"/>
      <c r="AU676" s="23"/>
      <c r="AV676" s="23"/>
      <c r="AW676" s="23"/>
    </row>
    <row r="677" spans="1:49">
      <c r="A677" s="23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23"/>
      <c r="AC677" s="18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0"/>
      <c r="AU677" s="23"/>
      <c r="AV677" s="23"/>
      <c r="AW677" s="23"/>
    </row>
    <row r="678" spans="1:49">
      <c r="A678" s="23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23"/>
      <c r="AC678" s="18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0"/>
      <c r="AU678" s="23"/>
      <c r="AV678" s="23"/>
      <c r="AW678" s="23"/>
    </row>
    <row r="679" spans="1:49">
      <c r="A679" s="23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23"/>
      <c r="AC679" s="18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0"/>
      <c r="AU679" s="23"/>
      <c r="AV679" s="23"/>
      <c r="AW679" s="23"/>
    </row>
    <row r="680" spans="1:49">
      <c r="A680" s="23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23"/>
      <c r="AC680" s="18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0"/>
      <c r="AU680" s="23"/>
      <c r="AV680" s="23"/>
      <c r="AW680" s="23"/>
    </row>
    <row r="681" spans="1:49">
      <c r="A681" s="23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23"/>
      <c r="AC681" s="18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0"/>
      <c r="AU681" s="23"/>
      <c r="AV681" s="23"/>
      <c r="AW681" s="23"/>
    </row>
    <row r="682" spans="1:49">
      <c r="A682" s="23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23"/>
      <c r="AC682" s="18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0"/>
      <c r="AU682" s="23"/>
      <c r="AV682" s="23"/>
      <c r="AW682" s="23"/>
    </row>
    <row r="683" spans="1:49">
      <c r="A683" s="23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23"/>
      <c r="AC683" s="18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0"/>
      <c r="AU683" s="23"/>
      <c r="AV683" s="23"/>
      <c r="AW683" s="23"/>
    </row>
    <row r="684" spans="1:49">
      <c r="A684" s="2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23"/>
      <c r="AC684" s="18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0"/>
      <c r="AU684" s="23"/>
      <c r="AV684" s="23"/>
      <c r="AW684" s="23"/>
    </row>
    <row r="685" spans="1:49">
      <c r="A685" s="23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23"/>
      <c r="AC685" s="18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0"/>
      <c r="AU685" s="23"/>
      <c r="AV685" s="23"/>
      <c r="AW685" s="23"/>
    </row>
    <row r="686" spans="1:49">
      <c r="A686" s="23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23"/>
      <c r="AC686" s="18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0"/>
      <c r="AU686" s="23"/>
      <c r="AV686" s="23"/>
      <c r="AW686" s="23"/>
    </row>
    <row r="687" spans="1:49">
      <c r="A687" s="23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23"/>
      <c r="AC687" s="18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0"/>
      <c r="AU687" s="23"/>
      <c r="AV687" s="23"/>
      <c r="AW687" s="23"/>
    </row>
    <row r="688" spans="1:49">
      <c r="A688" s="23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23"/>
      <c r="AC688" s="18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0"/>
      <c r="AU688" s="23"/>
      <c r="AV688" s="23"/>
      <c r="AW688" s="23"/>
    </row>
    <row r="689" spans="1:49">
      <c r="A689" s="23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23"/>
      <c r="AC689" s="18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0"/>
      <c r="AU689" s="23"/>
      <c r="AV689" s="23"/>
      <c r="AW689" s="23"/>
    </row>
    <row r="690" spans="1:49">
      <c r="A690" s="23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23"/>
      <c r="AC690" s="18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0"/>
      <c r="AU690" s="23"/>
      <c r="AV690" s="23"/>
      <c r="AW690" s="23"/>
    </row>
    <row r="691" spans="1:49">
      <c r="A691" s="23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23"/>
      <c r="AC691" s="18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0"/>
      <c r="AU691" s="23"/>
      <c r="AV691" s="23"/>
      <c r="AW691" s="23"/>
    </row>
    <row r="692" spans="1:49">
      <c r="A692" s="23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23"/>
      <c r="AC692" s="18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0"/>
      <c r="AU692" s="23"/>
      <c r="AV692" s="23"/>
      <c r="AW692" s="23"/>
    </row>
    <row r="693" spans="1:49">
      <c r="A693" s="23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23"/>
      <c r="AC693" s="18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0"/>
      <c r="AU693" s="23"/>
      <c r="AV693" s="23"/>
      <c r="AW693" s="23"/>
    </row>
    <row r="694" spans="1:49">
      <c r="A694" s="23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23"/>
      <c r="AC694" s="18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0"/>
      <c r="AU694" s="23"/>
      <c r="AV694" s="23"/>
      <c r="AW694" s="23"/>
    </row>
    <row r="695" spans="1:49">
      <c r="A695" s="23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23"/>
      <c r="AC695" s="18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0"/>
      <c r="AU695" s="23"/>
      <c r="AV695" s="23"/>
      <c r="AW695" s="23"/>
    </row>
    <row r="696" spans="1:49">
      <c r="A696" s="23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23"/>
      <c r="AC696" s="18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0"/>
      <c r="AU696" s="23"/>
      <c r="AV696" s="23"/>
      <c r="AW696" s="23"/>
    </row>
    <row r="697" spans="1:49">
      <c r="A697" s="23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23"/>
      <c r="AC697" s="18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0"/>
      <c r="AU697" s="23"/>
      <c r="AV697" s="23"/>
      <c r="AW697" s="23"/>
    </row>
    <row r="698" spans="1:49">
      <c r="A698" s="23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23"/>
      <c r="AC698" s="18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0"/>
      <c r="AU698" s="23"/>
      <c r="AV698" s="23"/>
      <c r="AW698" s="23"/>
    </row>
    <row r="699" spans="1:49">
      <c r="A699" s="23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23"/>
      <c r="AC699" s="18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0"/>
      <c r="AU699" s="23"/>
      <c r="AV699" s="23"/>
      <c r="AW699" s="23"/>
    </row>
    <row r="700" spans="1:49">
      <c r="A700" s="23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23"/>
      <c r="AC700" s="18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0"/>
      <c r="AU700" s="23"/>
      <c r="AV700" s="23"/>
      <c r="AW700" s="23"/>
    </row>
    <row r="701" spans="1:49">
      <c r="A701" s="23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23"/>
      <c r="AC701" s="18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0"/>
      <c r="AU701" s="23"/>
      <c r="AV701" s="23"/>
      <c r="AW701" s="23"/>
    </row>
    <row r="702" spans="1:49">
      <c r="A702" s="23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23"/>
      <c r="AC702" s="18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0"/>
      <c r="AU702" s="23"/>
      <c r="AV702" s="23"/>
      <c r="AW702" s="23"/>
    </row>
    <row r="703" spans="1:49">
      <c r="A703" s="23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23"/>
      <c r="AC703" s="18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0"/>
      <c r="AU703" s="23"/>
      <c r="AV703" s="23"/>
      <c r="AW703" s="23"/>
    </row>
    <row r="704" spans="1:49">
      <c r="A704" s="23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23"/>
      <c r="AC704" s="18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0"/>
      <c r="AU704" s="23"/>
      <c r="AV704" s="23"/>
      <c r="AW704" s="23"/>
    </row>
    <row r="705" spans="1:49">
      <c r="A705" s="23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23"/>
      <c r="AC705" s="18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0"/>
      <c r="AU705" s="23"/>
      <c r="AV705" s="23"/>
      <c r="AW705" s="23"/>
    </row>
    <row r="706" spans="1:49">
      <c r="A706" s="23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23"/>
      <c r="AC706" s="18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0"/>
      <c r="AU706" s="23"/>
      <c r="AV706" s="23"/>
      <c r="AW706" s="23"/>
    </row>
    <row r="707" spans="1:49">
      <c r="A707" s="23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23"/>
      <c r="AC707" s="18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0"/>
      <c r="AU707" s="23"/>
      <c r="AV707" s="23"/>
      <c r="AW707" s="23"/>
    </row>
    <row r="708" spans="1:49">
      <c r="A708" s="23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23"/>
      <c r="AC708" s="18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0"/>
      <c r="AU708" s="23"/>
      <c r="AV708" s="23"/>
      <c r="AW708" s="23"/>
    </row>
    <row r="709" spans="1:49">
      <c r="A709" s="23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23"/>
      <c r="AC709" s="18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0"/>
      <c r="AU709" s="23"/>
      <c r="AV709" s="23"/>
      <c r="AW709" s="23"/>
    </row>
    <row r="710" spans="1:49">
      <c r="A710" s="23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23"/>
      <c r="AC710" s="18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0"/>
      <c r="AU710" s="23"/>
      <c r="AV710" s="23"/>
      <c r="AW710" s="23"/>
    </row>
    <row r="711" spans="1:49">
      <c r="A711" s="23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23"/>
      <c r="AC711" s="18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0"/>
      <c r="AU711" s="23"/>
      <c r="AV711" s="23"/>
      <c r="AW711" s="23"/>
    </row>
    <row r="712" spans="1:49">
      <c r="A712" s="23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23"/>
      <c r="AC712" s="18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0"/>
      <c r="AU712" s="23"/>
      <c r="AV712" s="23"/>
      <c r="AW712" s="23"/>
    </row>
    <row r="713" spans="1:49">
      <c r="A713" s="23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23"/>
      <c r="AC713" s="18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0"/>
      <c r="AU713" s="23"/>
      <c r="AV713" s="23"/>
      <c r="AW713" s="23"/>
    </row>
    <row r="714" spans="1:49">
      <c r="A714" s="23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23"/>
      <c r="AC714" s="18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0"/>
      <c r="AU714" s="23"/>
      <c r="AV714" s="23"/>
      <c r="AW714" s="23"/>
    </row>
    <row r="715" spans="1:49">
      <c r="A715" s="23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23"/>
      <c r="AC715" s="18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0"/>
      <c r="AU715" s="23"/>
      <c r="AV715" s="23"/>
      <c r="AW715" s="23"/>
    </row>
    <row r="716" spans="1:49">
      <c r="A716" s="23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23"/>
      <c r="AC716" s="18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0"/>
      <c r="AU716" s="23"/>
      <c r="AV716" s="23"/>
      <c r="AW716" s="23"/>
    </row>
    <row r="717" spans="1:49">
      <c r="A717" s="23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23"/>
      <c r="AC717" s="18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0"/>
      <c r="AU717" s="23"/>
      <c r="AV717" s="23"/>
      <c r="AW717" s="23"/>
    </row>
    <row r="718" spans="1:49">
      <c r="A718" s="23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23"/>
      <c r="AC718" s="18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0"/>
      <c r="AU718" s="23"/>
      <c r="AV718" s="23"/>
      <c r="AW718" s="23"/>
    </row>
    <row r="719" spans="1:49">
      <c r="A719" s="23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23"/>
      <c r="AC719" s="18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0"/>
      <c r="AU719" s="23"/>
      <c r="AV719" s="23"/>
      <c r="AW719" s="23"/>
    </row>
    <row r="720" spans="1:49">
      <c r="A720" s="23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23"/>
      <c r="AC720" s="18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0"/>
      <c r="AU720" s="23"/>
      <c r="AV720" s="23"/>
      <c r="AW720" s="23"/>
    </row>
    <row r="721" spans="1:49">
      <c r="A721" s="23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23"/>
      <c r="AC721" s="18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0"/>
      <c r="AU721" s="23"/>
      <c r="AV721" s="23"/>
      <c r="AW721" s="23"/>
    </row>
    <row r="722" spans="1:49">
      <c r="A722" s="23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23"/>
      <c r="AC722" s="18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0"/>
      <c r="AU722" s="23"/>
      <c r="AV722" s="23"/>
      <c r="AW722" s="23"/>
    </row>
    <row r="723" spans="1:49">
      <c r="A723" s="23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23"/>
      <c r="AC723" s="18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0"/>
      <c r="AU723" s="23"/>
      <c r="AV723" s="23"/>
      <c r="AW723" s="23"/>
    </row>
    <row r="724" spans="1:49">
      <c r="A724" s="23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23"/>
      <c r="AC724" s="18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0"/>
      <c r="AU724" s="23"/>
      <c r="AV724" s="23"/>
      <c r="AW724" s="23"/>
    </row>
    <row r="725" spans="1:49">
      <c r="A725" s="23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23"/>
      <c r="AC725" s="18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0"/>
      <c r="AU725" s="23"/>
      <c r="AV725" s="23"/>
      <c r="AW725" s="23"/>
    </row>
    <row r="726" spans="1:49">
      <c r="A726" s="23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23"/>
      <c r="AC726" s="18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0"/>
      <c r="AU726" s="23"/>
      <c r="AV726" s="23"/>
      <c r="AW726" s="23"/>
    </row>
    <row r="727" spans="1:49">
      <c r="A727" s="23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23"/>
      <c r="AC727" s="18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0"/>
      <c r="AU727" s="23"/>
      <c r="AV727" s="23"/>
      <c r="AW727" s="23"/>
    </row>
    <row r="728" spans="1:49">
      <c r="A728" s="23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23"/>
      <c r="AC728" s="18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0"/>
      <c r="AU728" s="23"/>
      <c r="AV728" s="23"/>
      <c r="AW728" s="23"/>
    </row>
    <row r="729" spans="1:49">
      <c r="A729" s="23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23"/>
      <c r="AC729" s="18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0"/>
      <c r="AU729" s="23"/>
      <c r="AV729" s="23"/>
      <c r="AW729" s="23"/>
    </row>
    <row r="730" spans="1:49">
      <c r="A730" s="23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23"/>
      <c r="AC730" s="18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0"/>
      <c r="AU730" s="23"/>
      <c r="AV730" s="23"/>
      <c r="AW730" s="23"/>
    </row>
    <row r="731" spans="1:49">
      <c r="A731" s="23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23"/>
      <c r="AC731" s="18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0"/>
      <c r="AU731" s="23"/>
      <c r="AV731" s="23"/>
      <c r="AW731" s="23"/>
    </row>
    <row r="732" spans="1:49">
      <c r="A732" s="23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23"/>
      <c r="AC732" s="18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0"/>
      <c r="AU732" s="23"/>
      <c r="AV732" s="23"/>
      <c r="AW732" s="23"/>
    </row>
    <row r="733" spans="1:49">
      <c r="A733" s="23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23"/>
      <c r="AC733" s="18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0"/>
      <c r="AU733" s="23"/>
      <c r="AV733" s="23"/>
      <c r="AW733" s="23"/>
    </row>
    <row r="734" spans="1:49">
      <c r="A734" s="23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23"/>
      <c r="AC734" s="18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0"/>
      <c r="AU734" s="23"/>
      <c r="AV734" s="23"/>
      <c r="AW734" s="23"/>
    </row>
    <row r="735" spans="1:49">
      <c r="A735" s="23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23"/>
      <c r="AC735" s="18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0"/>
      <c r="AU735" s="23"/>
      <c r="AV735" s="23"/>
      <c r="AW735" s="23"/>
    </row>
    <row r="736" spans="1:49">
      <c r="A736" s="23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23"/>
      <c r="AC736" s="18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0"/>
      <c r="AU736" s="23"/>
      <c r="AV736" s="23"/>
      <c r="AW736" s="23"/>
    </row>
    <row r="737" spans="1:49">
      <c r="A737" s="23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23"/>
      <c r="AC737" s="18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0"/>
      <c r="AU737" s="23"/>
      <c r="AV737" s="23"/>
      <c r="AW737" s="23"/>
    </row>
    <row r="738" spans="1:49">
      <c r="A738" s="23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23"/>
      <c r="AC738" s="18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0"/>
      <c r="AU738" s="23"/>
      <c r="AV738" s="23"/>
      <c r="AW738" s="23"/>
    </row>
    <row r="739" spans="1:49">
      <c r="A739" s="23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23"/>
      <c r="AC739" s="18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0"/>
      <c r="AU739" s="23"/>
      <c r="AV739" s="23"/>
      <c r="AW739" s="23"/>
    </row>
    <row r="740" spans="1:49">
      <c r="A740" s="23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23"/>
      <c r="AC740" s="18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0"/>
      <c r="AU740" s="23"/>
      <c r="AV740" s="23"/>
      <c r="AW740" s="23"/>
    </row>
    <row r="741" spans="1:49">
      <c r="A741" s="23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23"/>
      <c r="AC741" s="18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0"/>
      <c r="AU741" s="23"/>
      <c r="AV741" s="23"/>
      <c r="AW741" s="23"/>
    </row>
    <row r="742" spans="1:49">
      <c r="A742" s="23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23"/>
      <c r="AC742" s="18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0"/>
      <c r="AU742" s="23"/>
      <c r="AV742" s="23"/>
      <c r="AW742" s="23"/>
    </row>
    <row r="743" spans="1:49">
      <c r="A743" s="23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23"/>
      <c r="AC743" s="18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0"/>
      <c r="AU743" s="23"/>
      <c r="AV743" s="23"/>
      <c r="AW743" s="23"/>
    </row>
    <row r="744" spans="1:49">
      <c r="A744" s="23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23"/>
      <c r="AC744" s="18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0"/>
      <c r="AU744" s="23"/>
      <c r="AV744" s="23"/>
      <c r="AW744" s="23"/>
    </row>
    <row r="745" spans="1:49">
      <c r="A745" s="23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23"/>
      <c r="AC745" s="18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0"/>
      <c r="AU745" s="23"/>
      <c r="AV745" s="23"/>
      <c r="AW745" s="23"/>
    </row>
    <row r="746" spans="1:49">
      <c r="A746" s="23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23"/>
      <c r="AC746" s="18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0"/>
      <c r="AU746" s="23"/>
      <c r="AV746" s="23"/>
      <c r="AW746" s="23"/>
    </row>
    <row r="747" spans="1:49">
      <c r="A747" s="23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23"/>
      <c r="AC747" s="18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0"/>
      <c r="AU747" s="23"/>
      <c r="AV747" s="23"/>
      <c r="AW747" s="23"/>
    </row>
    <row r="748" spans="1:49">
      <c r="A748" s="23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23"/>
      <c r="AC748" s="18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0"/>
      <c r="AU748" s="23"/>
      <c r="AV748" s="23"/>
      <c r="AW748" s="23"/>
    </row>
    <row r="749" spans="1:49">
      <c r="A749" s="23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23"/>
      <c r="AC749" s="18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0"/>
      <c r="AU749" s="23"/>
      <c r="AV749" s="23"/>
      <c r="AW749" s="23"/>
    </row>
    <row r="750" spans="1:49">
      <c r="A750" s="23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23"/>
      <c r="AC750" s="18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0"/>
      <c r="AU750" s="23"/>
      <c r="AV750" s="23"/>
      <c r="AW750" s="23"/>
    </row>
    <row r="751" spans="1:49">
      <c r="A751" s="23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23"/>
      <c r="AC751" s="18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0"/>
      <c r="AU751" s="23"/>
      <c r="AV751" s="23"/>
      <c r="AW751" s="23"/>
    </row>
    <row r="752" spans="1:49">
      <c r="A752" s="23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23"/>
      <c r="AC752" s="18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0"/>
      <c r="AU752" s="23"/>
      <c r="AV752" s="23"/>
      <c r="AW752" s="23"/>
    </row>
    <row r="753" spans="1:49">
      <c r="A753" s="23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23"/>
      <c r="AC753" s="18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0"/>
      <c r="AU753" s="23"/>
      <c r="AV753" s="23"/>
      <c r="AW753" s="23"/>
    </row>
    <row r="754" spans="1:49">
      <c r="A754" s="23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23"/>
      <c r="AC754" s="18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0"/>
      <c r="AU754" s="23"/>
      <c r="AV754" s="23"/>
      <c r="AW754" s="23"/>
    </row>
    <row r="755" spans="1:49">
      <c r="A755" s="23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23"/>
      <c r="AC755" s="18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0"/>
      <c r="AU755" s="23"/>
      <c r="AV755" s="23"/>
      <c r="AW755" s="23"/>
    </row>
    <row r="756" spans="1:49">
      <c r="A756" s="23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23"/>
      <c r="AC756" s="18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0"/>
      <c r="AU756" s="23"/>
      <c r="AV756" s="23"/>
      <c r="AW756" s="23"/>
    </row>
    <row r="757" spans="1:49">
      <c r="A757" s="23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23"/>
      <c r="AC757" s="18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0"/>
      <c r="AU757" s="23"/>
      <c r="AV757" s="23"/>
      <c r="AW757" s="23"/>
    </row>
    <row r="758" spans="1:49">
      <c r="A758" s="23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23"/>
      <c r="AC758" s="18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0"/>
      <c r="AU758" s="23"/>
      <c r="AV758" s="23"/>
      <c r="AW758" s="23"/>
    </row>
    <row r="759" spans="1:49">
      <c r="A759" s="23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23"/>
      <c r="AC759" s="18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0"/>
      <c r="AU759" s="23"/>
      <c r="AV759" s="23"/>
      <c r="AW759" s="23"/>
    </row>
    <row r="760" spans="1:49">
      <c r="A760" s="23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23"/>
      <c r="AC760" s="18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0"/>
      <c r="AU760" s="23"/>
      <c r="AV760" s="23"/>
      <c r="AW760" s="23"/>
    </row>
    <row r="761" spans="1:49">
      <c r="A761" s="23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23"/>
      <c r="AC761" s="18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0"/>
      <c r="AU761" s="23"/>
      <c r="AV761" s="23"/>
      <c r="AW761" s="23"/>
    </row>
    <row r="762" spans="1:49">
      <c r="A762" s="23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23"/>
      <c r="AC762" s="18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0"/>
      <c r="AU762" s="23"/>
      <c r="AV762" s="23"/>
      <c r="AW762" s="23"/>
    </row>
    <row r="763" spans="1:49">
      <c r="A763" s="23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23"/>
      <c r="AC763" s="18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0"/>
      <c r="AU763" s="23"/>
      <c r="AV763" s="23"/>
      <c r="AW763" s="23"/>
    </row>
    <row r="764" spans="1:49">
      <c r="A764" s="23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23"/>
      <c r="AC764" s="18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0"/>
      <c r="AU764" s="23"/>
      <c r="AV764" s="23"/>
      <c r="AW764" s="23"/>
    </row>
    <row r="765" spans="1:49">
      <c r="A765" s="23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23"/>
      <c r="AC765" s="18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0"/>
      <c r="AU765" s="23"/>
      <c r="AV765" s="23"/>
      <c r="AW765" s="23"/>
    </row>
    <row r="766" spans="1:49">
      <c r="A766" s="23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23"/>
      <c r="AC766" s="18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0"/>
      <c r="AU766" s="23"/>
      <c r="AV766" s="23"/>
      <c r="AW766" s="23"/>
    </row>
    <row r="767" spans="1:49">
      <c r="A767" s="23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23"/>
      <c r="AC767" s="18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0"/>
      <c r="AU767" s="23"/>
      <c r="AV767" s="23"/>
      <c r="AW767" s="23"/>
    </row>
    <row r="768" spans="1:49">
      <c r="A768" s="23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23"/>
      <c r="AC768" s="18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0"/>
      <c r="AU768" s="23"/>
      <c r="AV768" s="23"/>
      <c r="AW768" s="23"/>
    </row>
    <row r="769" spans="1:49">
      <c r="A769" s="23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23"/>
      <c r="AC769" s="18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0"/>
      <c r="AU769" s="23"/>
      <c r="AV769" s="23"/>
      <c r="AW769" s="23"/>
    </row>
    <row r="770" spans="1:49">
      <c r="A770" s="23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23"/>
      <c r="AC770" s="18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0"/>
      <c r="AU770" s="23"/>
      <c r="AV770" s="23"/>
      <c r="AW770" s="23"/>
    </row>
    <row r="771" spans="1:49">
      <c r="A771" s="23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23"/>
      <c r="AC771" s="18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0"/>
      <c r="AU771" s="23"/>
      <c r="AV771" s="23"/>
      <c r="AW771" s="23"/>
    </row>
    <row r="772" spans="1:49">
      <c r="A772" s="23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23"/>
      <c r="AC772" s="18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0"/>
      <c r="AU772" s="23"/>
      <c r="AV772" s="23"/>
      <c r="AW772" s="23"/>
    </row>
    <row r="773" spans="1:49">
      <c r="A773" s="23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23"/>
      <c r="AC773" s="18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0"/>
      <c r="AU773" s="23"/>
      <c r="AV773" s="23"/>
      <c r="AW773" s="23"/>
    </row>
    <row r="774" spans="1:49">
      <c r="A774" s="23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23"/>
      <c r="AC774" s="18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0"/>
      <c r="AU774" s="23"/>
      <c r="AV774" s="23"/>
      <c r="AW774" s="23"/>
    </row>
    <row r="775" spans="1:49">
      <c r="A775" s="23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23"/>
      <c r="AC775" s="18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0"/>
      <c r="AU775" s="23"/>
      <c r="AV775" s="23"/>
      <c r="AW775" s="23"/>
    </row>
    <row r="776" spans="1:49">
      <c r="A776" s="23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23"/>
      <c r="AC776" s="18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0"/>
      <c r="AU776" s="23"/>
      <c r="AV776" s="23"/>
      <c r="AW776" s="23"/>
    </row>
    <row r="777" spans="1:49">
      <c r="A777" s="23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23"/>
      <c r="AC777" s="18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0"/>
      <c r="AU777" s="23"/>
      <c r="AV777" s="23"/>
      <c r="AW777" s="23"/>
    </row>
    <row r="778" spans="1:49">
      <c r="A778" s="23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23"/>
      <c r="AC778" s="18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0"/>
      <c r="AU778" s="23"/>
      <c r="AV778" s="23"/>
      <c r="AW778" s="23"/>
    </row>
    <row r="779" spans="1:49">
      <c r="A779" s="23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23"/>
      <c r="AC779" s="18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0"/>
      <c r="AU779" s="23"/>
      <c r="AV779" s="23"/>
      <c r="AW779" s="23"/>
    </row>
    <row r="780" spans="1:49">
      <c r="A780" s="23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23"/>
      <c r="AC780" s="18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0"/>
      <c r="AU780" s="23"/>
      <c r="AV780" s="23"/>
      <c r="AW780" s="23"/>
    </row>
    <row r="781" spans="1:49">
      <c r="A781" s="23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23"/>
      <c r="AC781" s="18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0"/>
      <c r="AU781" s="23"/>
      <c r="AV781" s="23"/>
      <c r="AW781" s="23"/>
    </row>
    <row r="782" spans="1:49">
      <c r="A782" s="23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23"/>
      <c r="AC782" s="18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0"/>
      <c r="AU782" s="23"/>
      <c r="AV782" s="23"/>
      <c r="AW782" s="23"/>
    </row>
    <row r="783" spans="1:49">
      <c r="A783" s="23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23"/>
      <c r="AC783" s="18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0"/>
      <c r="AU783" s="23"/>
      <c r="AV783" s="23"/>
      <c r="AW783" s="23"/>
    </row>
    <row r="784" spans="1:49">
      <c r="A784" s="23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23"/>
      <c r="AC784" s="18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0"/>
      <c r="AU784" s="23"/>
      <c r="AV784" s="23"/>
      <c r="AW784" s="23"/>
    </row>
    <row r="785" spans="1:49">
      <c r="A785" s="23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23"/>
      <c r="AC785" s="18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0"/>
      <c r="AU785" s="23"/>
      <c r="AV785" s="23"/>
      <c r="AW785" s="23"/>
    </row>
    <row r="786" spans="1:49">
      <c r="A786" s="23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23"/>
      <c r="AC786" s="18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0"/>
      <c r="AU786" s="23"/>
      <c r="AV786" s="23"/>
      <c r="AW786" s="23"/>
    </row>
    <row r="787" spans="1:49">
      <c r="A787" s="23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23"/>
      <c r="AC787" s="18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0"/>
      <c r="AU787" s="23"/>
      <c r="AV787" s="23"/>
      <c r="AW787" s="23"/>
    </row>
    <row r="788" spans="1:49">
      <c r="A788" s="23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23"/>
      <c r="AC788" s="18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0"/>
      <c r="AU788" s="23"/>
      <c r="AV788" s="23"/>
      <c r="AW788" s="23"/>
    </row>
    <row r="789" spans="1:49">
      <c r="A789" s="23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23"/>
      <c r="AC789" s="18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0"/>
      <c r="AU789" s="23"/>
      <c r="AV789" s="23"/>
      <c r="AW789" s="23"/>
    </row>
    <row r="790" spans="1:49">
      <c r="A790" s="23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23"/>
      <c r="AC790" s="18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0"/>
      <c r="AU790" s="23"/>
      <c r="AV790" s="23"/>
      <c r="AW790" s="23"/>
    </row>
    <row r="791" spans="1:49">
      <c r="A791" s="23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23"/>
      <c r="AC791" s="18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0"/>
      <c r="AU791" s="23"/>
      <c r="AV791" s="23"/>
      <c r="AW791" s="23"/>
    </row>
    <row r="792" spans="1:49">
      <c r="A792" s="23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23"/>
      <c r="AC792" s="18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0"/>
      <c r="AU792" s="23"/>
      <c r="AV792" s="23"/>
      <c r="AW792" s="23"/>
    </row>
    <row r="793" spans="1:49">
      <c r="A793" s="23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23"/>
      <c r="AC793" s="18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0"/>
      <c r="AU793" s="23"/>
      <c r="AV793" s="23"/>
      <c r="AW793" s="23"/>
    </row>
    <row r="794" spans="1:49">
      <c r="A794" s="23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23"/>
      <c r="AC794" s="18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0"/>
      <c r="AU794" s="23"/>
      <c r="AV794" s="23"/>
      <c r="AW794" s="23"/>
    </row>
    <row r="795" spans="1:49">
      <c r="A795" s="23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23"/>
      <c r="AC795" s="18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0"/>
      <c r="AU795" s="23"/>
      <c r="AV795" s="23"/>
      <c r="AW795" s="23"/>
    </row>
    <row r="796" spans="1:49">
      <c r="A796" s="23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23"/>
      <c r="AC796" s="18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0"/>
      <c r="AU796" s="23"/>
      <c r="AV796" s="23"/>
      <c r="AW796" s="23"/>
    </row>
    <row r="797" spans="1:49">
      <c r="A797" s="23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23"/>
      <c r="AC797" s="18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0"/>
      <c r="AU797" s="23"/>
      <c r="AV797" s="23"/>
      <c r="AW797" s="23"/>
    </row>
    <row r="798" spans="1:49">
      <c r="A798" s="23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23"/>
      <c r="AC798" s="18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0"/>
      <c r="AU798" s="23"/>
      <c r="AV798" s="23"/>
      <c r="AW798" s="23"/>
    </row>
    <row r="799" spans="1:49">
      <c r="A799" s="23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23"/>
      <c r="AC799" s="18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0"/>
      <c r="AU799" s="23"/>
      <c r="AV799" s="23"/>
      <c r="AW799" s="23"/>
    </row>
    <row r="800" spans="1:49">
      <c r="A800" s="23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23"/>
      <c r="AC800" s="18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0"/>
      <c r="AU800" s="23"/>
      <c r="AV800" s="23"/>
      <c r="AW800" s="23"/>
    </row>
    <row r="801" spans="1:49">
      <c r="A801" s="23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23"/>
      <c r="AC801" s="18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0"/>
      <c r="AU801" s="23"/>
      <c r="AV801" s="23"/>
      <c r="AW801" s="23"/>
    </row>
    <row r="802" spans="1:49">
      <c r="A802" s="23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23"/>
      <c r="AC802" s="18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0"/>
      <c r="AU802" s="23"/>
      <c r="AV802" s="23"/>
      <c r="AW802" s="23"/>
    </row>
    <row r="803" spans="1:49">
      <c r="A803" s="23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23"/>
      <c r="AC803" s="18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0"/>
      <c r="AU803" s="23"/>
      <c r="AV803" s="23"/>
      <c r="AW803" s="23"/>
    </row>
    <row r="804" spans="1:49">
      <c r="A804" s="23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23"/>
      <c r="AC804" s="18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0"/>
      <c r="AU804" s="23"/>
      <c r="AV804" s="23"/>
      <c r="AW804" s="23"/>
    </row>
    <row r="805" spans="1:49">
      <c r="A805" s="23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23"/>
      <c r="AC805" s="18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0"/>
      <c r="AU805" s="23"/>
      <c r="AV805" s="23"/>
      <c r="AW805" s="23"/>
    </row>
    <row r="806" spans="1:49">
      <c r="A806" s="23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23"/>
      <c r="AC806" s="18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0"/>
      <c r="AU806" s="23"/>
      <c r="AV806" s="23"/>
      <c r="AW806" s="23"/>
    </row>
    <row r="807" spans="1:49">
      <c r="A807" s="23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23"/>
      <c r="AC807" s="18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0"/>
      <c r="AU807" s="23"/>
      <c r="AV807" s="23"/>
      <c r="AW807" s="23"/>
    </row>
    <row r="808" spans="1:49">
      <c r="A808" s="23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23"/>
      <c r="AC808" s="18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0"/>
      <c r="AU808" s="23"/>
      <c r="AV808" s="23"/>
      <c r="AW808" s="23"/>
    </row>
    <row r="809" spans="1:49">
      <c r="A809" s="23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23"/>
      <c r="AC809" s="18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0"/>
      <c r="AU809" s="23"/>
      <c r="AV809" s="23"/>
      <c r="AW809" s="23"/>
    </row>
    <row r="810" spans="1:49">
      <c r="A810" s="23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23"/>
      <c r="AC810" s="18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0"/>
      <c r="AU810" s="23"/>
      <c r="AV810" s="23"/>
      <c r="AW810" s="23"/>
    </row>
    <row r="811" spans="1:49">
      <c r="A811" s="23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23"/>
      <c r="AC811" s="18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0"/>
      <c r="AU811" s="23"/>
      <c r="AV811" s="23"/>
      <c r="AW811" s="23"/>
    </row>
    <row r="812" spans="1:49">
      <c r="A812" s="23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23"/>
      <c r="AC812" s="18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0"/>
      <c r="AU812" s="23"/>
      <c r="AV812" s="23"/>
      <c r="AW812" s="23"/>
    </row>
    <row r="813" spans="1:49">
      <c r="A813" s="23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23"/>
      <c r="AC813" s="18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0"/>
      <c r="AU813" s="23"/>
      <c r="AV813" s="23"/>
      <c r="AW813" s="23"/>
    </row>
  </sheetData>
  <mergeCells count="5">
    <mergeCell ref="B1:AB5"/>
    <mergeCell ref="I6:K6"/>
    <mergeCell ref="B6:D6"/>
    <mergeCell ref="E6:H6"/>
    <mergeCell ref="L6:AV6"/>
  </mergeCells>
  <dataValidations count="3">
    <dataValidation type="list" allowBlank="1" showInputMessage="1" showErrorMessage="1" sqref="C8:C30">
      <formula1>INDIRECT($B$8)</formula1>
    </dataValidation>
    <dataValidation type="list" allowBlank="1" showInputMessage="1" showErrorMessage="1" sqref="D8:D30">
      <formula1>INDIRECT($C$8)</formula1>
    </dataValidation>
    <dataValidation type="list" allowBlank="1" showInputMessage="1" showErrorMessage="1" sqref="AB8:AB30">
      <formula1>INDIRECT($AA8)</formula1>
    </dataValidation>
  </dataValidations>
  <pageMargins left="0.7" right="0.7" top="0.75" bottom="0.75" header="0" footer="0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showInputMessage="1" showErrorMessage="1">
          <x14:formula1>
            <xm:f>TABLAS!$A$3:$A$5</xm:f>
          </x14:formula1>
          <xm:sqref>B8:B30</xm:sqref>
        </x14:dataValidation>
        <x14:dataValidation type="list" allowBlank="1" showInputMessage="1" showErrorMessage="1">
          <x14:formula1>
            <xm:f>TABLAS!$H$10:$H$11</xm:f>
          </x14:formula1>
          <xm:sqref>I8:I30</xm:sqref>
        </x14:dataValidation>
        <x14:dataValidation type="list" allowBlank="1" showInputMessage="1" showErrorMessage="1">
          <x14:formula1>
            <xm:f>TABLAS!$I$10:$I$11</xm:f>
          </x14:formula1>
          <xm:sqref>J8:J30</xm:sqref>
        </x14:dataValidation>
        <x14:dataValidation type="list" allowBlank="1" showInputMessage="1" showErrorMessage="1">
          <x14:formula1>
            <xm:f>TABLAS!$J$10:$J$17</xm:f>
          </x14:formula1>
          <xm:sqref>K8:K30</xm:sqref>
        </x14:dataValidation>
        <x14:dataValidation type="list" allowBlank="1" showInputMessage="1" showErrorMessage="1">
          <x14:formula1>
            <xm:f>TABLAS!$O$10:$O$15</xm:f>
          </x14:formula1>
          <xm:sqref>O8:O30</xm:sqref>
        </x14:dataValidation>
        <x14:dataValidation type="list" allowBlank="1" showInputMessage="1" showErrorMessage="1">
          <x14:formula1>
            <xm:f>TABLAS!$N$24:$N$25</xm:f>
          </x14:formula1>
          <xm:sqref>Q8:Q30</xm:sqref>
        </x14:dataValidation>
        <x14:dataValidation type="list" allowBlank="1" showInputMessage="1" showErrorMessage="1">
          <x14:formula1>
            <xm:f>TABLAS!$N$10:$N$11</xm:f>
          </x14:formula1>
          <xm:sqref>N8:N30</xm:sqref>
        </x14:dataValidation>
        <x14:dataValidation type="list" allowBlank="1" showInputMessage="1" showErrorMessage="1">
          <x14:formula1>
            <xm:f>TABLAS!$P$10:$P$14</xm:f>
          </x14:formula1>
          <xm:sqref>P8:P30</xm:sqref>
        </x14:dataValidation>
        <x14:dataValidation type="list" allowBlank="1" showInputMessage="1" showErrorMessage="1">
          <x14:formula1>
            <xm:f>TABLAS!$O$24:$O$26</xm:f>
          </x14:formula1>
          <xm:sqref>V8:V30</xm:sqref>
        </x14:dataValidation>
        <x14:dataValidation type="list" allowBlank="1" showInputMessage="1" showErrorMessage="1">
          <x14:formula1>
            <xm:f>TABLAS!$S$37:$S$39</xm:f>
          </x14:formula1>
          <xm:sqref>S8:S30</xm:sqref>
        </x14:dataValidation>
        <x14:dataValidation type="list" allowBlank="1" showInputMessage="1" showErrorMessage="1">
          <x14:formula1>
            <xm:f>TABLAS!$N$37:$N$52</xm:f>
          </x14:formula1>
          <xm:sqref>T8:T30</xm:sqref>
        </x14:dataValidation>
        <x14:dataValidation type="list" allowBlank="1" showInputMessage="1" showErrorMessage="1">
          <x14:formula1>
            <xm:f>'clacificaror presupuestario'!$K$2:$K$11</xm:f>
          </x14:formula1>
          <xm:sqref>Z8:Z30</xm:sqref>
        </x14:dataValidation>
        <x14:dataValidation type="list" allowBlank="1" showInputMessage="1" showErrorMessage="1">
          <x14:formula1>
            <xm:f>TABLAS!$T$37:$T$44</xm:f>
          </x14:formula1>
          <xm:sqref>U8:U30</xm:sqref>
        </x14:dataValidation>
        <x14:dataValidation type="list" allowBlank="1" showInputMessage="1" showErrorMessage="1">
          <x14:formula1>
            <xm:f>TABLAS!$P$37:$P$43</xm:f>
          </x14:formula1>
          <xm:sqref>L8:L30</xm:sqref>
        </x14:dataValidation>
        <x14:dataValidation type="list" allowBlank="1" showInputMessage="1" showErrorMessage="1">
          <x14:formula1>
            <xm:f>TABLAS!$P$24:$P$26</xm:f>
          </x14:formula1>
          <xm:sqref>W8:W30</xm:sqref>
        </x14:dataValidation>
        <x14:dataValidation type="list" allowBlank="1" showInputMessage="1" showErrorMessage="1">
          <x14:formula1>
            <xm:f>TABLAS!$Q$24:$Q$26</xm:f>
          </x14:formula1>
          <xm:sqref>X8:X30</xm:sqref>
        </x14:dataValidation>
        <x14:dataValidation type="list" allowBlank="1" showInputMessage="1" showErrorMessage="1">
          <x14:formula1>
            <xm:f>TABLAS!$K$24:$K$25</xm:f>
          </x14:formula1>
          <xm:sqref>R8:R30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Views>
    <sheetView topLeftCell="H16" zoomScale="80" zoomScaleNormal="80" workbookViewId="0">
      <selection activeCell="K29" sqref="K29"/>
    </sheetView>
  </sheetViews>
  <sheetFormatPr baseColWidth="10" defaultColWidth="11.42578125" defaultRowHeight="15"/>
  <cols>
    <col min="1" max="1" width="35.140625" style="60" customWidth="1"/>
    <col min="2" max="2" width="5" style="60" customWidth="1"/>
    <col min="3" max="3" width="82.42578125" style="60" customWidth="1"/>
    <col min="4" max="4" width="4.85546875" style="60" customWidth="1"/>
    <col min="5" max="5" width="67.28515625" style="60" customWidth="1"/>
    <col min="6" max="7" width="11.42578125" style="60"/>
    <col min="8" max="8" width="24.7109375" style="60" customWidth="1"/>
    <col min="9" max="9" width="33.140625" style="60" customWidth="1"/>
    <col min="10" max="10" width="18.140625" style="60" customWidth="1"/>
    <col min="11" max="13" width="11.42578125" style="60"/>
    <col min="14" max="14" width="40" style="60" customWidth="1"/>
    <col min="15" max="15" width="102.140625" style="60" bestFit="1" customWidth="1"/>
    <col min="16" max="16" width="78.7109375" style="60" bestFit="1" customWidth="1"/>
    <col min="17" max="17" width="15.85546875" style="60" customWidth="1"/>
    <col min="18" max="16384" width="11.42578125" style="60"/>
  </cols>
  <sheetData>
    <row r="1" spans="1:20" s="50" customFormat="1">
      <c r="C1" s="51" t="s">
        <v>329</v>
      </c>
      <c r="E1" s="52" t="s">
        <v>327</v>
      </c>
    </row>
    <row r="2" spans="1:20" s="50" customFormat="1">
      <c r="A2" s="53" t="s">
        <v>328</v>
      </c>
      <c r="B2" s="53"/>
      <c r="C2" s="54" t="s">
        <v>324</v>
      </c>
      <c r="D2" s="55"/>
      <c r="E2" s="56" t="s">
        <v>330</v>
      </c>
    </row>
    <row r="3" spans="1:20" s="50" customFormat="1">
      <c r="A3" s="51" t="s">
        <v>324</v>
      </c>
      <c r="C3" s="57" t="s">
        <v>330</v>
      </c>
      <c r="D3" s="58"/>
      <c r="E3" s="59" t="s">
        <v>332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</row>
    <row r="4" spans="1:20" s="50" customFormat="1">
      <c r="A4" s="51" t="s">
        <v>326</v>
      </c>
      <c r="C4" s="61" t="s">
        <v>331</v>
      </c>
      <c r="D4" s="58"/>
      <c r="E4" s="59" t="s">
        <v>334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s="50" customFormat="1">
      <c r="A5" s="51" t="s">
        <v>325</v>
      </c>
      <c r="C5" s="60"/>
      <c r="D5" s="60"/>
      <c r="E5" s="59" t="s">
        <v>336</v>
      </c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</row>
    <row r="6" spans="1:20" s="50" customFormat="1">
      <c r="C6" s="54" t="s">
        <v>326</v>
      </c>
      <c r="D6" s="60"/>
      <c r="E6" s="59" t="s">
        <v>338</v>
      </c>
      <c r="H6"/>
      <c r="I6"/>
      <c r="J6"/>
      <c r="K6" s="60"/>
      <c r="L6" s="60"/>
      <c r="M6" s="60"/>
      <c r="N6" s="60"/>
      <c r="O6" s="60"/>
      <c r="P6" s="60"/>
      <c r="Q6" s="60"/>
      <c r="R6" s="60"/>
      <c r="S6" s="60"/>
      <c r="T6" s="60"/>
    </row>
    <row r="7" spans="1:20" s="50" customFormat="1">
      <c r="C7" s="50" t="s">
        <v>340</v>
      </c>
      <c r="D7" s="60"/>
      <c r="E7" s="62"/>
      <c r="H7"/>
      <c r="I7"/>
      <c r="J7"/>
      <c r="K7" s="60"/>
      <c r="L7" s="60"/>
      <c r="M7" s="60"/>
      <c r="N7" s="60"/>
      <c r="O7" s="60"/>
      <c r="P7" s="60"/>
      <c r="Q7" s="60"/>
      <c r="R7" s="60"/>
      <c r="S7" s="60"/>
      <c r="T7" s="60"/>
    </row>
    <row r="8" spans="1:20" s="50" customFormat="1">
      <c r="C8" s="50" t="s">
        <v>345</v>
      </c>
      <c r="D8" s="60"/>
      <c r="E8" s="63" t="s">
        <v>331</v>
      </c>
      <c r="H8"/>
      <c r="I8"/>
      <c r="J8"/>
      <c r="K8" s="60"/>
      <c r="L8" s="60"/>
      <c r="M8" s="60"/>
      <c r="N8" s="60"/>
      <c r="O8" s="60"/>
      <c r="P8" s="60"/>
      <c r="Q8" s="60"/>
      <c r="R8" s="60"/>
      <c r="S8" s="60"/>
      <c r="T8" s="60"/>
    </row>
    <row r="9" spans="1:20" s="50" customFormat="1">
      <c r="C9" s="50" t="s">
        <v>348</v>
      </c>
      <c r="D9" s="60"/>
      <c r="E9" s="50" t="s">
        <v>333</v>
      </c>
      <c r="H9" s="64" t="s">
        <v>12</v>
      </c>
      <c r="I9" s="64" t="s">
        <v>13</v>
      </c>
      <c r="J9" s="64" t="s">
        <v>14</v>
      </c>
      <c r="K9" s="60"/>
      <c r="L9" s="60"/>
      <c r="M9" s="60"/>
      <c r="N9" s="65" t="s">
        <v>482</v>
      </c>
      <c r="O9" s="65" t="s">
        <v>483</v>
      </c>
      <c r="P9" s="65" t="s">
        <v>484</v>
      </c>
      <c r="Q9" s="60"/>
      <c r="R9" s="60"/>
      <c r="S9" s="60"/>
      <c r="T9" s="60"/>
    </row>
    <row r="10" spans="1:20" s="50" customFormat="1">
      <c r="C10" s="50" t="s">
        <v>352</v>
      </c>
      <c r="D10" s="60"/>
      <c r="E10" s="50" t="s">
        <v>335</v>
      </c>
      <c r="H10" s="66" t="s">
        <v>53</v>
      </c>
      <c r="I10" s="60" t="s">
        <v>532</v>
      </c>
      <c r="J10" s="60" t="s">
        <v>54</v>
      </c>
      <c r="K10" s="60"/>
      <c r="L10" s="60"/>
      <c r="M10" s="60"/>
      <c r="N10" s="65" t="s">
        <v>534</v>
      </c>
      <c r="O10" s="65" t="s">
        <v>536</v>
      </c>
      <c r="P10" s="65" t="s">
        <v>538</v>
      </c>
      <c r="Q10" s="60"/>
      <c r="R10" s="60"/>
      <c r="S10" s="60"/>
      <c r="T10" s="60"/>
    </row>
    <row r="11" spans="1:20" s="50" customFormat="1">
      <c r="C11" s="60"/>
      <c r="D11" s="60"/>
      <c r="E11" s="50" t="s">
        <v>337</v>
      </c>
      <c r="H11" s="66" t="s">
        <v>27</v>
      </c>
      <c r="I11" s="60" t="s">
        <v>28</v>
      </c>
      <c r="J11" s="60" t="s">
        <v>66</v>
      </c>
      <c r="K11" s="60"/>
      <c r="L11" s="60"/>
      <c r="M11" s="60"/>
      <c r="N11" s="65" t="s">
        <v>535</v>
      </c>
      <c r="O11" s="99" t="s">
        <v>589</v>
      </c>
      <c r="P11" s="65" t="s">
        <v>533</v>
      </c>
      <c r="Q11" s="60"/>
      <c r="R11" s="60"/>
      <c r="S11" s="60"/>
      <c r="T11" s="60"/>
    </row>
    <row r="12" spans="1:20" s="50" customFormat="1">
      <c r="C12" s="51" t="s">
        <v>325</v>
      </c>
      <c r="D12" s="60"/>
      <c r="E12" s="50" t="s">
        <v>339</v>
      </c>
      <c r="H12" s="60"/>
      <c r="I12" s="60"/>
      <c r="J12" s="60" t="s">
        <v>46</v>
      </c>
      <c r="K12" s="60"/>
      <c r="L12" s="60"/>
      <c r="M12" s="60"/>
      <c r="N12" s="67"/>
      <c r="O12" s="65" t="s">
        <v>537</v>
      </c>
      <c r="P12" s="65" t="s">
        <v>539</v>
      </c>
      <c r="Q12" s="60"/>
      <c r="R12" s="60"/>
      <c r="S12" s="60"/>
      <c r="T12" s="60"/>
    </row>
    <row r="13" spans="1:20" s="50" customFormat="1">
      <c r="C13" s="51" t="s">
        <v>358</v>
      </c>
      <c r="D13" s="60"/>
      <c r="E13" s="60"/>
      <c r="H13" s="60"/>
      <c r="I13" s="60"/>
      <c r="J13" s="60" t="s">
        <v>51</v>
      </c>
      <c r="K13" s="60"/>
      <c r="L13" s="60"/>
      <c r="M13" s="60"/>
      <c r="N13" s="67"/>
      <c r="O13" s="100" t="s">
        <v>590</v>
      </c>
      <c r="P13" s="65" t="s">
        <v>540</v>
      </c>
      <c r="Q13" s="60"/>
      <c r="R13" s="60"/>
      <c r="S13" s="60"/>
      <c r="T13" s="60"/>
    </row>
    <row r="14" spans="1:20" s="50" customFormat="1">
      <c r="C14" s="51" t="s">
        <v>361</v>
      </c>
      <c r="D14" s="60"/>
      <c r="E14" s="50" t="s">
        <v>340</v>
      </c>
      <c r="H14" s="60"/>
      <c r="I14" s="60"/>
      <c r="J14" s="60" t="s">
        <v>44</v>
      </c>
      <c r="K14" s="60"/>
      <c r="L14" s="60"/>
      <c r="M14" s="60"/>
      <c r="N14" s="67"/>
      <c r="O14" s="100" t="s">
        <v>591</v>
      </c>
      <c r="P14" s="65" t="s">
        <v>541</v>
      </c>
      <c r="Q14" s="60"/>
      <c r="R14" s="60"/>
      <c r="S14" s="60"/>
      <c r="T14" s="60"/>
    </row>
    <row r="15" spans="1:20" s="50" customFormat="1">
      <c r="C15" s="51" t="s">
        <v>364</v>
      </c>
      <c r="D15" s="60"/>
      <c r="E15" s="50" t="s">
        <v>341</v>
      </c>
      <c r="H15" s="60"/>
      <c r="I15" s="60"/>
      <c r="J15" s="60" t="s">
        <v>29</v>
      </c>
      <c r="K15" s="60"/>
      <c r="L15" s="60"/>
      <c r="M15" s="60"/>
      <c r="N15"/>
      <c r="O15" s="65" t="s">
        <v>592</v>
      </c>
      <c r="P15"/>
      <c r="Q15" s="60"/>
      <c r="R15" s="60"/>
      <c r="S15" s="60"/>
      <c r="T15" s="60"/>
    </row>
    <row r="16" spans="1:20" s="50" customFormat="1">
      <c r="C16" s="51" t="s">
        <v>367</v>
      </c>
      <c r="D16" s="60"/>
      <c r="E16" s="50" t="s">
        <v>342</v>
      </c>
      <c r="H16" s="60"/>
      <c r="I16" s="60"/>
      <c r="J16" s="60" t="s">
        <v>45</v>
      </c>
      <c r="K16" s="60"/>
      <c r="L16" s="60"/>
      <c r="M16" s="60"/>
      <c r="N16"/>
      <c r="O16"/>
      <c r="P16"/>
      <c r="Q16" s="60"/>
      <c r="R16" s="60"/>
      <c r="S16" s="60"/>
      <c r="T16" s="60"/>
    </row>
    <row r="17" spans="1:20" s="50" customFormat="1">
      <c r="A17" s="60"/>
      <c r="C17" s="68" t="s">
        <v>369</v>
      </c>
      <c r="D17" s="60"/>
      <c r="E17" s="50" t="s">
        <v>343</v>
      </c>
      <c r="H17" s="60"/>
      <c r="I17" s="60"/>
      <c r="J17" s="60" t="s">
        <v>47</v>
      </c>
      <c r="K17" s="60"/>
      <c r="L17" s="60"/>
      <c r="M17" s="60"/>
      <c r="N17"/>
      <c r="O17"/>
      <c r="Q17" s="60"/>
      <c r="R17" s="60"/>
      <c r="S17" s="60"/>
      <c r="T17" s="60"/>
    </row>
    <row r="18" spans="1:20">
      <c r="C18" s="51" t="s">
        <v>374</v>
      </c>
      <c r="E18" s="50" t="s">
        <v>344</v>
      </c>
      <c r="J18"/>
    </row>
    <row r="19" spans="1:20">
      <c r="C19" s="89" t="s">
        <v>564</v>
      </c>
      <c r="E19" s="50"/>
    </row>
    <row r="20" spans="1:20">
      <c r="C20" s="69" t="s">
        <v>481</v>
      </c>
      <c r="E20" s="50" t="s">
        <v>345</v>
      </c>
    </row>
    <row r="21" spans="1:20">
      <c r="C21" s="50"/>
      <c r="E21" s="70" t="s">
        <v>479</v>
      </c>
    </row>
    <row r="22" spans="1:20">
      <c r="E22" s="69" t="s">
        <v>480</v>
      </c>
    </row>
    <row r="23" spans="1:20">
      <c r="E23" s="50" t="s">
        <v>346</v>
      </c>
      <c r="K23" s="111" t="s">
        <v>599</v>
      </c>
      <c r="N23" s="71" t="s">
        <v>487</v>
      </c>
      <c r="O23" s="72" t="s">
        <v>21</v>
      </c>
      <c r="P23" s="73" t="s">
        <v>22</v>
      </c>
      <c r="Q23" s="73" t="s">
        <v>23</v>
      </c>
    </row>
    <row r="24" spans="1:20">
      <c r="E24" s="50" t="s">
        <v>347</v>
      </c>
      <c r="K24" s="111" t="s">
        <v>600</v>
      </c>
      <c r="N24" s="71" t="s">
        <v>485</v>
      </c>
      <c r="O24" s="74">
        <v>1</v>
      </c>
      <c r="P24" s="74">
        <v>0</v>
      </c>
      <c r="Q24" s="74">
        <v>0</v>
      </c>
      <c r="R24" s="75"/>
    </row>
    <row r="25" spans="1:20">
      <c r="E25" s="50"/>
      <c r="K25" s="111" t="s">
        <v>601</v>
      </c>
      <c r="N25" s="71" t="s">
        <v>486</v>
      </c>
      <c r="O25" s="74">
        <v>2</v>
      </c>
      <c r="P25" s="76">
        <v>9999</v>
      </c>
      <c r="Q25" s="76">
        <v>9999</v>
      </c>
      <c r="R25" s="75"/>
    </row>
    <row r="26" spans="1:20">
      <c r="E26" s="50" t="s">
        <v>348</v>
      </c>
      <c r="N26" s="76"/>
      <c r="O26" s="77">
        <v>202</v>
      </c>
      <c r="P26" s="76">
        <v>8888</v>
      </c>
      <c r="Q26" s="76">
        <v>8888</v>
      </c>
      <c r="R26" s="75"/>
    </row>
    <row r="27" spans="1:20">
      <c r="E27" s="50" t="s">
        <v>349</v>
      </c>
      <c r="N27" s="76"/>
      <c r="O27" s="67"/>
      <c r="R27" s="75"/>
    </row>
    <row r="28" spans="1:20">
      <c r="E28" s="50" t="s">
        <v>356</v>
      </c>
      <c r="R28" s="75"/>
    </row>
    <row r="29" spans="1:20">
      <c r="E29" s="50" t="s">
        <v>350</v>
      </c>
      <c r="R29" s="75"/>
    </row>
    <row r="30" spans="1:20">
      <c r="E30" s="50" t="s">
        <v>351</v>
      </c>
    </row>
    <row r="31" spans="1:20">
      <c r="E31" s="50"/>
    </row>
    <row r="32" spans="1:20">
      <c r="E32" s="50" t="s">
        <v>352</v>
      </c>
    </row>
    <row r="33" spans="1:20">
      <c r="E33" s="50" t="s">
        <v>353</v>
      </c>
    </row>
    <row r="34" spans="1:20">
      <c r="E34" s="50" t="s">
        <v>354</v>
      </c>
    </row>
    <row r="35" spans="1:20">
      <c r="E35" s="50" t="s">
        <v>355</v>
      </c>
      <c r="J35" s="72" t="s">
        <v>21</v>
      </c>
    </row>
    <row r="36" spans="1:20">
      <c r="E36" s="50" t="s">
        <v>357</v>
      </c>
      <c r="J36" s="78">
        <v>1</v>
      </c>
      <c r="K36" s="60" t="s">
        <v>512</v>
      </c>
      <c r="N36" s="79" t="s">
        <v>488</v>
      </c>
      <c r="O36" s="80" t="s">
        <v>489</v>
      </c>
      <c r="P36" s="80" t="s">
        <v>490</v>
      </c>
      <c r="Q36" s="80" t="s">
        <v>15</v>
      </c>
      <c r="R36" s="79" t="s">
        <v>78</v>
      </c>
      <c r="S36" s="79" t="s">
        <v>491</v>
      </c>
      <c r="T36" s="81" t="s">
        <v>530</v>
      </c>
    </row>
    <row r="37" spans="1:20">
      <c r="E37" s="50"/>
      <c r="J37" s="78">
        <v>2</v>
      </c>
      <c r="K37" s="60" t="s">
        <v>513</v>
      </c>
      <c r="M37" s="89"/>
      <c r="N37" s="90" t="s">
        <v>500</v>
      </c>
      <c r="O37" s="101" t="s">
        <v>498</v>
      </c>
      <c r="P37" s="104" t="s">
        <v>508</v>
      </c>
      <c r="Q37" s="102">
        <v>101</v>
      </c>
      <c r="R37" s="84" t="s">
        <v>493</v>
      </c>
      <c r="S37" s="84" t="s">
        <v>494</v>
      </c>
      <c r="T37" s="90" t="s">
        <v>500</v>
      </c>
    </row>
    <row r="38" spans="1:20">
      <c r="E38" s="51" t="s">
        <v>358</v>
      </c>
      <c r="J38" s="78">
        <v>3</v>
      </c>
      <c r="K38" s="60" t="s">
        <v>514</v>
      </c>
      <c r="M38" s="89"/>
      <c r="N38" s="82" t="s">
        <v>549</v>
      </c>
      <c r="O38" s="101" t="s">
        <v>492</v>
      </c>
      <c r="P38" s="105" t="s">
        <v>509</v>
      </c>
      <c r="Q38" s="103">
        <v>901</v>
      </c>
      <c r="R38" s="84" t="s">
        <v>496</v>
      </c>
      <c r="S38" s="85" t="s">
        <v>497</v>
      </c>
      <c r="T38" s="60" t="s">
        <v>548</v>
      </c>
    </row>
    <row r="39" spans="1:20">
      <c r="E39" s="50" t="s">
        <v>359</v>
      </c>
      <c r="J39" s="78">
        <v>6</v>
      </c>
      <c r="K39" s="60" t="s">
        <v>515</v>
      </c>
      <c r="M39" s="89"/>
      <c r="N39" s="82" t="s">
        <v>550</v>
      </c>
      <c r="O39" s="101" t="s">
        <v>501</v>
      </c>
      <c r="P39" s="106" t="s">
        <v>510</v>
      </c>
      <c r="Q39" s="104">
        <v>1001</v>
      </c>
      <c r="R39" s="86" t="s">
        <v>499</v>
      </c>
      <c r="S39" s="86" t="s">
        <v>500</v>
      </c>
      <c r="T39" s="60" t="s">
        <v>547</v>
      </c>
    </row>
    <row r="40" spans="1:20">
      <c r="E40" s="50" t="s">
        <v>360</v>
      </c>
      <c r="J40" s="78">
        <v>201</v>
      </c>
      <c r="K40" s="60" t="s">
        <v>516</v>
      </c>
      <c r="M40" s="89"/>
      <c r="N40" s="82" t="s">
        <v>551</v>
      </c>
      <c r="O40" s="101" t="s">
        <v>502</v>
      </c>
      <c r="P40" s="103" t="s">
        <v>505</v>
      </c>
      <c r="Q40" s="105">
        <v>1101</v>
      </c>
      <c r="R40" s="87"/>
      <c r="S40" s="87"/>
      <c r="T40" s="60" t="s">
        <v>546</v>
      </c>
    </row>
    <row r="41" spans="1:20">
      <c r="E41" s="50"/>
      <c r="J41" s="78">
        <v>202</v>
      </c>
      <c r="K41" s="60" t="s">
        <v>517</v>
      </c>
      <c r="M41" s="89"/>
      <c r="N41" s="82" t="s">
        <v>552</v>
      </c>
      <c r="O41" s="101" t="s">
        <v>503</v>
      </c>
      <c r="P41" s="83" t="s">
        <v>506</v>
      </c>
      <c r="Q41" s="106">
        <v>1301</v>
      </c>
      <c r="R41" s="87"/>
      <c r="S41" s="87"/>
      <c r="T41" s="60" t="s">
        <v>545</v>
      </c>
    </row>
    <row r="42" spans="1:20">
      <c r="E42" s="51" t="s">
        <v>361</v>
      </c>
      <c r="J42" s="78">
        <v>301</v>
      </c>
      <c r="K42" s="60" t="s">
        <v>518</v>
      </c>
      <c r="M42" s="89"/>
      <c r="N42" s="82" t="s">
        <v>553</v>
      </c>
      <c r="O42" s="101" t="s">
        <v>504</v>
      </c>
      <c r="P42" s="102" t="s">
        <v>507</v>
      </c>
      <c r="Q42" s="107">
        <v>1701</v>
      </c>
      <c r="R42" s="87"/>
      <c r="S42" s="87"/>
      <c r="T42" s="60" t="s">
        <v>544</v>
      </c>
    </row>
    <row r="43" spans="1:20">
      <c r="E43" s="50" t="s">
        <v>362</v>
      </c>
      <c r="J43" s="78">
        <v>302</v>
      </c>
      <c r="K43" s="60" t="s">
        <v>519</v>
      </c>
      <c r="M43" s="89"/>
      <c r="N43" s="82" t="s">
        <v>554</v>
      </c>
      <c r="O43" s="101" t="s">
        <v>504</v>
      </c>
      <c r="P43" s="107" t="s">
        <v>511</v>
      </c>
      <c r="Q43" s="87">
        <v>1801</v>
      </c>
      <c r="R43" s="87"/>
      <c r="S43" s="87"/>
      <c r="T43" s="60" t="s">
        <v>543</v>
      </c>
    </row>
    <row r="44" spans="1:20">
      <c r="E44" s="50" t="s">
        <v>363</v>
      </c>
      <c r="J44" s="78">
        <v>701</v>
      </c>
      <c r="K44" s="60" t="s">
        <v>520</v>
      </c>
      <c r="M44" s="89"/>
      <c r="N44" s="82" t="s">
        <v>555</v>
      </c>
      <c r="O44" s="101" t="s">
        <v>495</v>
      </c>
      <c r="R44" s="87"/>
      <c r="S44" s="87"/>
      <c r="T44" s="60" t="s">
        <v>542</v>
      </c>
    </row>
    <row r="45" spans="1:20">
      <c r="E45" s="50"/>
      <c r="J45" s="78">
        <v>996</v>
      </c>
      <c r="K45" s="60" t="s">
        <v>521</v>
      </c>
      <c r="M45" s="89"/>
      <c r="N45" s="82" t="s">
        <v>556</v>
      </c>
      <c r="O45" s="87"/>
      <c r="P45" s="87"/>
      <c r="Q45" s="87"/>
      <c r="R45" s="87"/>
      <c r="S45" s="87"/>
      <c r="T45" s="90" t="s">
        <v>500</v>
      </c>
    </row>
    <row r="46" spans="1:20">
      <c r="E46" s="51" t="s">
        <v>364</v>
      </c>
      <c r="J46" s="78">
        <v>998</v>
      </c>
      <c r="K46" s="60" t="s">
        <v>522</v>
      </c>
      <c r="M46" s="89"/>
      <c r="N46" s="82" t="s">
        <v>557</v>
      </c>
      <c r="O46" s="87"/>
      <c r="P46" s="87"/>
      <c r="Q46" s="87"/>
      <c r="R46" s="87"/>
      <c r="S46" s="87"/>
    </row>
    <row r="47" spans="1:20">
      <c r="E47" s="50" t="s">
        <v>365</v>
      </c>
      <c r="M47" s="89"/>
      <c r="N47" s="82" t="s">
        <v>558</v>
      </c>
      <c r="O47" s="87"/>
      <c r="P47" s="87"/>
      <c r="Q47" s="87"/>
      <c r="R47" s="87"/>
      <c r="S47" s="87"/>
    </row>
    <row r="48" spans="1:20">
      <c r="A48" s="50"/>
      <c r="E48" s="50" t="s">
        <v>366</v>
      </c>
      <c r="M48" s="89"/>
      <c r="N48" s="82" t="s">
        <v>559</v>
      </c>
      <c r="O48" s="87"/>
      <c r="P48" s="87"/>
      <c r="Q48" s="87"/>
      <c r="R48" s="87"/>
      <c r="S48" s="87"/>
    </row>
    <row r="49" spans="1:19">
      <c r="A49" s="50"/>
      <c r="M49" s="89"/>
      <c r="N49" s="82" t="s">
        <v>560</v>
      </c>
      <c r="O49" s="87"/>
      <c r="P49" s="87"/>
      <c r="Q49" s="87"/>
      <c r="R49" s="87"/>
      <c r="S49" s="87"/>
    </row>
    <row r="50" spans="1:19">
      <c r="A50" s="50"/>
      <c r="E50" s="68" t="s">
        <v>374</v>
      </c>
      <c r="M50" s="89"/>
      <c r="N50" s="82" t="s">
        <v>561</v>
      </c>
      <c r="O50" s="87"/>
      <c r="P50" s="87"/>
      <c r="Q50" s="87"/>
      <c r="R50" s="87"/>
      <c r="S50" s="87"/>
    </row>
    <row r="51" spans="1:19">
      <c r="A51" s="50"/>
      <c r="E51" s="50" t="s">
        <v>375</v>
      </c>
      <c r="M51" s="89"/>
      <c r="N51" s="82" t="s">
        <v>562</v>
      </c>
      <c r="O51" s="87"/>
      <c r="P51" s="87"/>
      <c r="Q51" s="87"/>
      <c r="R51" s="87"/>
      <c r="S51" s="87"/>
    </row>
    <row r="52" spans="1:19">
      <c r="A52" s="50"/>
      <c r="E52" s="50" t="s">
        <v>376</v>
      </c>
      <c r="N52" s="82" t="s">
        <v>563</v>
      </c>
    </row>
    <row r="53" spans="1:19">
      <c r="A53" s="50"/>
      <c r="E53" s="50" t="s">
        <v>377</v>
      </c>
      <c r="N53" s="90" t="s">
        <v>500</v>
      </c>
    </row>
    <row r="54" spans="1:19">
      <c r="A54" s="50"/>
      <c r="E54" s="50" t="s">
        <v>378</v>
      </c>
      <c r="M54" s="89"/>
      <c r="N54" s="82"/>
    </row>
    <row r="55" spans="1:19">
      <c r="A55" s="50"/>
      <c r="E55" s="50"/>
      <c r="M55" s="89"/>
      <c r="N55" s="82"/>
    </row>
    <row r="56" spans="1:19">
      <c r="A56" s="50"/>
      <c r="E56" s="89" t="s">
        <v>564</v>
      </c>
      <c r="M56" s="89"/>
      <c r="N56" s="82"/>
    </row>
    <row r="57" spans="1:19">
      <c r="A57" s="50"/>
      <c r="E57" s="50" t="s">
        <v>379</v>
      </c>
      <c r="M57" s="89"/>
      <c r="N57" s="82"/>
    </row>
    <row r="58" spans="1:19">
      <c r="A58" s="50"/>
      <c r="E58" s="50" t="s">
        <v>380</v>
      </c>
      <c r="M58" s="89"/>
      <c r="N58" s="82"/>
    </row>
    <row r="59" spans="1:19">
      <c r="A59" s="50"/>
      <c r="E59" s="50" t="s">
        <v>381</v>
      </c>
      <c r="M59" s="89"/>
      <c r="N59" s="82"/>
    </row>
    <row r="60" spans="1:19">
      <c r="A60" s="50"/>
      <c r="E60" s="50" t="s">
        <v>382</v>
      </c>
      <c r="M60" s="89"/>
      <c r="N60" s="82"/>
    </row>
    <row r="61" spans="1:19">
      <c r="A61" s="50"/>
      <c r="E61" s="50"/>
      <c r="M61" s="89"/>
      <c r="N61" s="82"/>
    </row>
    <row r="62" spans="1:19">
      <c r="A62" s="50"/>
      <c r="E62" s="69" t="s">
        <v>481</v>
      </c>
      <c r="M62" s="89"/>
      <c r="N62" s="82"/>
    </row>
    <row r="63" spans="1:19">
      <c r="A63" s="50"/>
      <c r="E63" s="50" t="s">
        <v>383</v>
      </c>
      <c r="M63" s="89"/>
      <c r="N63" s="82"/>
    </row>
    <row r="64" spans="1:19">
      <c r="A64" s="50"/>
      <c r="E64" s="50" t="s">
        <v>384</v>
      </c>
      <c r="M64" s="89"/>
      <c r="N64" s="82"/>
    </row>
    <row r="65" spans="1:14">
      <c r="A65" s="50"/>
      <c r="E65" s="88" t="s">
        <v>385</v>
      </c>
      <c r="M65" s="89"/>
      <c r="N65" s="82"/>
    </row>
    <row r="66" spans="1:14">
      <c r="A66" s="50"/>
      <c r="E66" s="50" t="s">
        <v>386</v>
      </c>
      <c r="M66" s="89"/>
      <c r="N66" s="82"/>
    </row>
    <row r="67" spans="1:14">
      <c r="A67" s="50"/>
      <c r="E67" s="50" t="s">
        <v>387</v>
      </c>
      <c r="M67" s="89"/>
      <c r="N67" s="82"/>
    </row>
    <row r="68" spans="1:14">
      <c r="A68" s="50"/>
      <c r="E68" s="50" t="s">
        <v>388</v>
      </c>
      <c r="M68" s="89"/>
      <c r="N68" s="82"/>
    </row>
    <row r="69" spans="1:14">
      <c r="A69" s="50"/>
    </row>
    <row r="70" spans="1:14">
      <c r="A70" s="50"/>
      <c r="E70" s="60" t="s">
        <v>369</v>
      </c>
    </row>
    <row r="71" spans="1:14">
      <c r="A71" s="50"/>
      <c r="E71" s="60" t="s">
        <v>370</v>
      </c>
    </row>
    <row r="72" spans="1:14">
      <c r="A72" s="50"/>
      <c r="E72" s="60" t="s">
        <v>371</v>
      </c>
    </row>
    <row r="73" spans="1:14">
      <c r="A73" s="50"/>
      <c r="E73" s="60" t="s">
        <v>372</v>
      </c>
    </row>
    <row r="74" spans="1:14">
      <c r="A74" s="50"/>
      <c r="E74" s="60" t="s">
        <v>373</v>
      </c>
    </row>
    <row r="75" spans="1:14">
      <c r="A75" s="50"/>
    </row>
    <row r="76" spans="1:14">
      <c r="A76" s="50"/>
      <c r="E76" s="60" t="s">
        <v>367</v>
      </c>
    </row>
    <row r="77" spans="1:14">
      <c r="A77" s="50"/>
      <c r="E77" s="60" t="s">
        <v>368</v>
      </c>
    </row>
    <row r="78" spans="1:14">
      <c r="A78" s="50"/>
    </row>
    <row r="79" spans="1:14">
      <c r="A79" s="50"/>
    </row>
    <row r="80" spans="1:14">
      <c r="A80" s="50"/>
    </row>
    <row r="81" spans="1:1">
      <c r="A81" s="50"/>
    </row>
  </sheetData>
  <sortState ref="P38:P43">
    <sortCondition ref="P37"/>
  </sortState>
  <pageMargins left="0.7" right="0.7" top="0.75" bottom="0.75" header="0.3" footer="0.3"/>
  <pageSetup paperSize="9" orientation="portrait" horizontalDpi="4294967293" verticalDpi="0" r:id="rId1"/>
  <tableParts count="1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6"/>
  <sheetViews>
    <sheetView showGridLines="0" topLeftCell="A10" zoomScale="110" zoomScaleNormal="110" workbookViewId="0">
      <selection activeCell="C18" sqref="C18"/>
    </sheetView>
  </sheetViews>
  <sheetFormatPr baseColWidth="10" defaultColWidth="33.7109375" defaultRowHeight="15"/>
  <cols>
    <col min="1" max="1" width="15.85546875" customWidth="1"/>
    <col min="3" max="3" width="52.42578125" customWidth="1"/>
  </cols>
  <sheetData>
    <row r="1" spans="1:3" ht="23.25">
      <c r="A1" s="116" t="s">
        <v>588</v>
      </c>
      <c r="B1" s="116"/>
      <c r="C1" s="116"/>
    </row>
    <row r="2" spans="1:3" s="96" customFormat="1" ht="28.9" customHeight="1">
      <c r="A2" s="95" t="s">
        <v>565</v>
      </c>
      <c r="B2" s="95" t="s">
        <v>587</v>
      </c>
      <c r="C2" s="95" t="s">
        <v>566</v>
      </c>
    </row>
    <row r="3" spans="1:3" ht="45">
      <c r="A3" s="92">
        <v>530101</v>
      </c>
      <c r="B3" s="91" t="s">
        <v>112</v>
      </c>
      <c r="C3" s="97" t="s">
        <v>567</v>
      </c>
    </row>
    <row r="4" spans="1:3" ht="45">
      <c r="A4" s="92">
        <v>530803</v>
      </c>
      <c r="B4" s="91" t="s">
        <v>50</v>
      </c>
      <c r="C4" s="91" t="s">
        <v>568</v>
      </c>
    </row>
    <row r="5" spans="1:3" ht="45">
      <c r="A5" s="92">
        <v>530402</v>
      </c>
      <c r="B5" s="91" t="s">
        <v>569</v>
      </c>
      <c r="C5" s="91" t="s">
        <v>570</v>
      </c>
    </row>
    <row r="6" spans="1:3" ht="45">
      <c r="A6" s="92">
        <v>530104</v>
      </c>
      <c r="B6" s="91" t="s">
        <v>114</v>
      </c>
      <c r="C6" s="91" t="s">
        <v>571</v>
      </c>
    </row>
    <row r="7" spans="1:3" ht="60">
      <c r="A7" s="92">
        <v>530404</v>
      </c>
      <c r="B7" s="91" t="s">
        <v>572</v>
      </c>
      <c r="C7" s="91" t="s">
        <v>573</v>
      </c>
    </row>
    <row r="8" spans="1:3" ht="45">
      <c r="A8" s="92">
        <v>530804</v>
      </c>
      <c r="B8" s="91" t="s">
        <v>62</v>
      </c>
      <c r="C8" s="91" t="s">
        <v>574</v>
      </c>
    </row>
    <row r="9" spans="1:3" ht="45">
      <c r="A9" s="92">
        <v>530302</v>
      </c>
      <c r="B9" s="91" t="s">
        <v>153</v>
      </c>
      <c r="C9" s="91" t="s">
        <v>575</v>
      </c>
    </row>
    <row r="10" spans="1:3" ht="45">
      <c r="A10" s="92">
        <v>530301</v>
      </c>
      <c r="B10" s="91" t="s">
        <v>60</v>
      </c>
      <c r="C10" s="91" t="s">
        <v>576</v>
      </c>
    </row>
    <row r="11" spans="1:3" ht="60">
      <c r="A11" s="92">
        <v>530106</v>
      </c>
      <c r="B11" s="91" t="s">
        <v>59</v>
      </c>
      <c r="C11" s="98" t="s">
        <v>577</v>
      </c>
    </row>
    <row r="12" spans="1:3" ht="45">
      <c r="A12" s="92">
        <v>530208</v>
      </c>
      <c r="B12" s="91" t="s">
        <v>120</v>
      </c>
      <c r="C12" s="98" t="s">
        <v>578</v>
      </c>
    </row>
    <row r="13" spans="1:3" ht="105">
      <c r="A13" s="92">
        <v>530209</v>
      </c>
      <c r="B13" s="91" t="s">
        <v>579</v>
      </c>
      <c r="C13" s="91" t="s">
        <v>580</v>
      </c>
    </row>
    <row r="14" spans="1:3" ht="45">
      <c r="A14" s="92">
        <v>530405</v>
      </c>
      <c r="B14" s="91" t="s">
        <v>581</v>
      </c>
      <c r="C14" s="91" t="s">
        <v>582</v>
      </c>
    </row>
    <row r="15" spans="1:3" ht="60">
      <c r="A15" s="92">
        <v>530304</v>
      </c>
      <c r="B15" s="91" t="s">
        <v>583</v>
      </c>
      <c r="C15" s="91" t="s">
        <v>584</v>
      </c>
    </row>
    <row r="16" spans="1:3" ht="60">
      <c r="A16" s="92">
        <v>530304</v>
      </c>
      <c r="B16" s="91" t="s">
        <v>585</v>
      </c>
      <c r="C16" s="91" t="s">
        <v>586</v>
      </c>
    </row>
  </sheetData>
  <mergeCells count="1">
    <mergeCell ref="A1:C1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6"/>
  <sheetViews>
    <sheetView workbookViewId="0">
      <selection activeCell="P20" sqref="P20"/>
    </sheetView>
  </sheetViews>
  <sheetFormatPr baseColWidth="10" defaultColWidth="10.7109375" defaultRowHeight="15"/>
  <cols>
    <col min="2" max="2" width="4.28515625" customWidth="1"/>
  </cols>
  <sheetData>
    <row r="1" spans="1:12">
      <c r="A1" t="s">
        <v>390</v>
      </c>
      <c r="C1" t="s">
        <v>391</v>
      </c>
    </row>
    <row r="2" spans="1:12">
      <c r="K2" s="29">
        <v>51</v>
      </c>
      <c r="L2" s="29" t="s">
        <v>470</v>
      </c>
    </row>
    <row r="3" spans="1:12">
      <c r="A3" t="s">
        <v>394</v>
      </c>
      <c r="C3" t="s">
        <v>395</v>
      </c>
      <c r="K3" s="29">
        <v>53</v>
      </c>
      <c r="L3" s="29" t="s">
        <v>471</v>
      </c>
    </row>
    <row r="4" spans="1:12">
      <c r="A4">
        <v>510105</v>
      </c>
      <c r="C4" t="s">
        <v>30</v>
      </c>
      <c r="K4" s="29">
        <v>57</v>
      </c>
      <c r="L4" s="29" t="s">
        <v>472</v>
      </c>
    </row>
    <row r="5" spans="1:12">
      <c r="A5">
        <v>510106</v>
      </c>
      <c r="C5" t="s">
        <v>31</v>
      </c>
      <c r="K5" s="29">
        <v>58</v>
      </c>
      <c r="L5" s="29" t="s">
        <v>469</v>
      </c>
    </row>
    <row r="6" spans="1:12">
      <c r="A6">
        <v>510107</v>
      </c>
      <c r="C6" t="s">
        <v>85</v>
      </c>
      <c r="K6" s="29">
        <v>71</v>
      </c>
      <c r="L6" s="29" t="s">
        <v>473</v>
      </c>
    </row>
    <row r="7" spans="1:12">
      <c r="A7">
        <v>510108</v>
      </c>
      <c r="C7" t="s">
        <v>86</v>
      </c>
      <c r="K7" s="29">
        <v>73</v>
      </c>
      <c r="L7" s="29" t="s">
        <v>474</v>
      </c>
    </row>
    <row r="8" spans="1:12">
      <c r="A8">
        <v>510110</v>
      </c>
      <c r="C8" t="s">
        <v>87</v>
      </c>
      <c r="K8" s="29">
        <v>77</v>
      </c>
      <c r="L8" s="29" t="s">
        <v>475</v>
      </c>
    </row>
    <row r="9" spans="1:12">
      <c r="A9">
        <v>510203</v>
      </c>
      <c r="C9" t="s">
        <v>32</v>
      </c>
      <c r="K9" s="29">
        <v>78</v>
      </c>
      <c r="L9" s="29" t="s">
        <v>476</v>
      </c>
    </row>
    <row r="10" spans="1:12">
      <c r="A10">
        <v>510204</v>
      </c>
      <c r="C10" t="s">
        <v>33</v>
      </c>
      <c r="K10" s="29">
        <v>84</v>
      </c>
      <c r="L10" s="30" t="s">
        <v>478</v>
      </c>
    </row>
    <row r="11" spans="1:12">
      <c r="A11">
        <v>510209</v>
      </c>
      <c r="C11" t="s">
        <v>88</v>
      </c>
      <c r="K11" s="29">
        <v>99</v>
      </c>
      <c r="L11" s="29" t="s">
        <v>477</v>
      </c>
    </row>
    <row r="12" spans="1:12">
      <c r="A12">
        <v>510232</v>
      </c>
      <c r="C12" t="s">
        <v>89</v>
      </c>
    </row>
    <row r="13" spans="1:12">
      <c r="A13">
        <v>510301</v>
      </c>
      <c r="C13" t="s">
        <v>90</v>
      </c>
    </row>
    <row r="14" spans="1:12">
      <c r="A14">
        <v>510302</v>
      </c>
      <c r="C14" t="s">
        <v>91</v>
      </c>
    </row>
    <row r="15" spans="1:12">
      <c r="A15">
        <v>510304</v>
      </c>
      <c r="C15" t="s">
        <v>34</v>
      </c>
    </row>
    <row r="16" spans="1:12">
      <c r="A16">
        <v>510305</v>
      </c>
      <c r="C16" t="s">
        <v>92</v>
      </c>
    </row>
    <row r="17" spans="1:12">
      <c r="A17">
        <v>510306</v>
      </c>
      <c r="C17" t="s">
        <v>396</v>
      </c>
    </row>
    <row r="18" spans="1:12">
      <c r="A18">
        <v>510307</v>
      </c>
      <c r="C18" t="s">
        <v>93</v>
      </c>
      <c r="K18" s="31"/>
      <c r="L18" s="31"/>
    </row>
    <row r="19" spans="1:12">
      <c r="A19">
        <v>510312</v>
      </c>
      <c r="C19" t="s">
        <v>397</v>
      </c>
      <c r="K19" s="31"/>
      <c r="L19" s="31"/>
    </row>
    <row r="20" spans="1:12">
      <c r="A20">
        <v>510313</v>
      </c>
      <c r="C20" t="s">
        <v>94</v>
      </c>
      <c r="K20" s="31"/>
      <c r="L20" s="31"/>
    </row>
    <row r="21" spans="1:12">
      <c r="A21">
        <v>510401</v>
      </c>
      <c r="C21" t="s">
        <v>36</v>
      </c>
      <c r="K21" s="31"/>
      <c r="L21" s="31"/>
    </row>
    <row r="22" spans="1:12">
      <c r="A22">
        <v>510408</v>
      </c>
      <c r="C22" t="s">
        <v>398</v>
      </c>
      <c r="K22" s="31"/>
      <c r="L22" s="31"/>
    </row>
    <row r="23" spans="1:12">
      <c r="A23">
        <v>510409</v>
      </c>
      <c r="C23" t="s">
        <v>95</v>
      </c>
      <c r="K23" s="31"/>
      <c r="L23" s="31"/>
    </row>
    <row r="24" spans="1:12">
      <c r="A24">
        <v>510502</v>
      </c>
      <c r="C24" t="s">
        <v>96</v>
      </c>
      <c r="K24" s="31"/>
      <c r="L24" s="31"/>
    </row>
    <row r="25" spans="1:12">
      <c r="A25">
        <v>510506</v>
      </c>
      <c r="C25" t="s">
        <v>97</v>
      </c>
      <c r="K25" s="31"/>
      <c r="L25" s="31"/>
    </row>
    <row r="26" spans="1:12">
      <c r="A26">
        <v>510507</v>
      </c>
      <c r="C26" t="s">
        <v>98</v>
      </c>
      <c r="K26" s="31"/>
      <c r="L26" s="31"/>
    </row>
    <row r="27" spans="1:12">
      <c r="A27">
        <v>510509</v>
      </c>
      <c r="C27" t="s">
        <v>37</v>
      </c>
      <c r="K27" s="31"/>
      <c r="L27" s="31"/>
    </row>
    <row r="28" spans="1:12">
      <c r="A28">
        <v>510510</v>
      </c>
      <c r="C28" t="s">
        <v>38</v>
      </c>
      <c r="K28" s="31"/>
      <c r="L28" s="31"/>
    </row>
    <row r="29" spans="1:12">
      <c r="A29">
        <v>510512</v>
      </c>
      <c r="C29" t="s">
        <v>39</v>
      </c>
      <c r="K29" s="31"/>
      <c r="L29" s="31"/>
    </row>
    <row r="30" spans="1:12">
      <c r="A30">
        <v>510513</v>
      </c>
      <c r="C30" t="s">
        <v>40</v>
      </c>
      <c r="K30" s="31"/>
      <c r="L30" s="31"/>
    </row>
    <row r="31" spans="1:12">
      <c r="A31">
        <v>510514</v>
      </c>
      <c r="C31" t="s">
        <v>99</v>
      </c>
      <c r="K31" s="31"/>
      <c r="L31" s="31"/>
    </row>
    <row r="32" spans="1:12">
      <c r="A32">
        <v>510515</v>
      </c>
      <c r="C32" t="s">
        <v>100</v>
      </c>
      <c r="K32" s="31"/>
      <c r="L32" s="31"/>
    </row>
    <row r="33" spans="1:15">
      <c r="A33">
        <v>510516</v>
      </c>
      <c r="C33" t="s">
        <v>101</v>
      </c>
      <c r="K33" s="31"/>
      <c r="L33" s="31"/>
    </row>
    <row r="34" spans="1:15">
      <c r="A34">
        <v>510601</v>
      </c>
      <c r="C34" t="s">
        <v>41</v>
      </c>
      <c r="K34" s="31"/>
      <c r="L34" s="31"/>
    </row>
    <row r="35" spans="1:15">
      <c r="A35">
        <v>510602</v>
      </c>
      <c r="C35" t="s">
        <v>43</v>
      </c>
      <c r="K35" s="31"/>
      <c r="L35" s="31"/>
    </row>
    <row r="36" spans="1:15">
      <c r="A36">
        <v>510606</v>
      </c>
      <c r="C36" t="s">
        <v>102</v>
      </c>
      <c r="K36" s="31"/>
      <c r="L36" s="31"/>
    </row>
    <row r="37" spans="1:15">
      <c r="A37">
        <v>510702</v>
      </c>
      <c r="C37" t="s">
        <v>103</v>
      </c>
      <c r="K37" s="31"/>
      <c r="L37" s="31"/>
    </row>
    <row r="38" spans="1:15">
      <c r="A38">
        <v>510703</v>
      </c>
      <c r="C38" t="s">
        <v>104</v>
      </c>
      <c r="K38" s="31"/>
      <c r="L38" s="31"/>
    </row>
    <row r="39" spans="1:15">
      <c r="A39">
        <v>510704</v>
      </c>
      <c r="C39" t="s">
        <v>42</v>
      </c>
      <c r="K39" s="31"/>
      <c r="L39" s="31"/>
    </row>
    <row r="40" spans="1:15">
      <c r="A40">
        <v>510705</v>
      </c>
      <c r="C40" t="s">
        <v>105</v>
      </c>
      <c r="K40" s="31"/>
      <c r="L40" s="31"/>
    </row>
    <row r="41" spans="1:15">
      <c r="A41">
        <v>510706</v>
      </c>
      <c r="C41" t="s">
        <v>106</v>
      </c>
      <c r="K41" s="31"/>
      <c r="L41" s="31"/>
    </row>
    <row r="42" spans="1:15">
      <c r="A42">
        <v>510707</v>
      </c>
      <c r="C42" t="s">
        <v>399</v>
      </c>
      <c r="K42" s="31"/>
      <c r="L42" s="31"/>
    </row>
    <row r="43" spans="1:15">
      <c r="A43">
        <v>510708</v>
      </c>
      <c r="C43" t="s">
        <v>107</v>
      </c>
      <c r="K43" s="31"/>
      <c r="L43" s="31"/>
      <c r="M43" s="31"/>
      <c r="N43" s="31"/>
      <c r="O43" s="31"/>
    </row>
    <row r="44" spans="1:15">
      <c r="A44">
        <v>510709</v>
      </c>
      <c r="C44" t="s">
        <v>108</v>
      </c>
      <c r="K44" s="31"/>
      <c r="L44" s="31"/>
      <c r="M44" s="31"/>
      <c r="N44" s="31"/>
      <c r="O44" s="31"/>
    </row>
    <row r="45" spans="1:15">
      <c r="A45">
        <v>510710</v>
      </c>
      <c r="C45" t="s">
        <v>109</v>
      </c>
      <c r="K45" s="31"/>
      <c r="L45" s="31"/>
      <c r="M45" s="31"/>
      <c r="N45" s="31"/>
      <c r="O45" s="31"/>
    </row>
    <row r="46" spans="1:15">
      <c r="A46">
        <v>510711</v>
      </c>
      <c r="C46" t="s">
        <v>110</v>
      </c>
      <c r="K46" s="31"/>
      <c r="L46" s="31"/>
      <c r="M46" s="31"/>
      <c r="N46" s="31"/>
      <c r="O46" s="31"/>
    </row>
    <row r="47" spans="1:15">
      <c r="A47">
        <v>510712</v>
      </c>
      <c r="C47" t="s">
        <v>111</v>
      </c>
      <c r="K47" s="31"/>
      <c r="L47" s="31"/>
      <c r="M47" s="31"/>
      <c r="N47" s="31"/>
      <c r="O47" s="31"/>
    </row>
    <row r="48" spans="1:15">
      <c r="K48" s="31"/>
      <c r="L48" s="31"/>
      <c r="M48" s="31"/>
      <c r="N48" s="31"/>
      <c r="O48" s="31"/>
    </row>
    <row r="49" spans="1:15">
      <c r="K49" s="31"/>
      <c r="L49" s="31"/>
      <c r="M49" s="31"/>
      <c r="N49" s="31"/>
      <c r="O49" s="31"/>
    </row>
    <row r="50" spans="1:15">
      <c r="A50" t="s">
        <v>401</v>
      </c>
      <c r="C50" t="s">
        <v>402</v>
      </c>
      <c r="K50" s="31"/>
      <c r="L50" s="31"/>
      <c r="M50" s="31"/>
      <c r="N50" s="31"/>
      <c r="O50" s="31"/>
    </row>
    <row r="51" spans="1:15">
      <c r="A51">
        <v>530101</v>
      </c>
      <c r="C51" t="s">
        <v>112</v>
      </c>
      <c r="K51" s="31"/>
      <c r="L51" s="31"/>
      <c r="M51" s="31"/>
      <c r="N51" s="31"/>
      <c r="O51" s="31"/>
    </row>
    <row r="52" spans="1:15">
      <c r="A52">
        <v>530102</v>
      </c>
      <c r="C52" t="s">
        <v>113</v>
      </c>
      <c r="K52" s="31"/>
      <c r="L52" s="31"/>
      <c r="M52" s="31"/>
      <c r="N52" s="31"/>
      <c r="O52" s="31"/>
    </row>
    <row r="53" spans="1:15">
      <c r="A53">
        <v>530104</v>
      </c>
      <c r="C53" t="s">
        <v>403</v>
      </c>
      <c r="K53" s="31"/>
      <c r="L53" s="31"/>
      <c r="M53" s="31"/>
      <c r="N53" s="31"/>
      <c r="O53" s="31"/>
    </row>
    <row r="54" spans="1:15">
      <c r="A54">
        <v>530105</v>
      </c>
      <c r="C54" t="s">
        <v>115</v>
      </c>
      <c r="K54" s="31"/>
      <c r="L54" s="31"/>
      <c r="M54" s="31"/>
      <c r="N54" s="31"/>
      <c r="O54" s="31"/>
    </row>
    <row r="55" spans="1:15">
      <c r="A55">
        <v>530106</v>
      </c>
      <c r="C55" t="s">
        <v>59</v>
      </c>
      <c r="K55" s="31"/>
      <c r="L55" s="31"/>
      <c r="M55" s="31"/>
      <c r="N55" s="31"/>
      <c r="O55" s="31"/>
    </row>
    <row r="56" spans="1:15">
      <c r="A56">
        <v>530201</v>
      </c>
      <c r="C56" t="s">
        <v>116</v>
      </c>
      <c r="K56" s="31"/>
      <c r="L56" s="31"/>
      <c r="M56" s="31"/>
      <c r="N56" s="31"/>
      <c r="O56" s="31"/>
    </row>
    <row r="57" spans="1:15">
      <c r="A57">
        <v>530202</v>
      </c>
      <c r="C57" t="s">
        <v>117</v>
      </c>
      <c r="K57" s="31"/>
      <c r="L57" s="31"/>
      <c r="M57" s="31"/>
      <c r="N57" s="31"/>
      <c r="O57" s="31"/>
    </row>
    <row r="58" spans="1:15">
      <c r="A58">
        <v>530203</v>
      </c>
      <c r="C58" t="s">
        <v>118</v>
      </c>
      <c r="K58" s="31"/>
      <c r="L58" s="31"/>
      <c r="M58" s="31"/>
      <c r="N58" s="31"/>
      <c r="O58" s="31"/>
    </row>
    <row r="59" spans="1:15">
      <c r="A59">
        <v>530204</v>
      </c>
      <c r="C59" t="s">
        <v>404</v>
      </c>
      <c r="K59" s="31"/>
      <c r="L59" s="31"/>
      <c r="M59" s="31"/>
      <c r="N59" s="31"/>
      <c r="O59" s="31"/>
    </row>
    <row r="60" spans="1:15">
      <c r="A60">
        <v>530205</v>
      </c>
      <c r="C60" t="s">
        <v>119</v>
      </c>
      <c r="K60" s="31"/>
      <c r="L60" s="31"/>
      <c r="M60" s="31"/>
      <c r="N60" s="31"/>
      <c r="O60" s="31"/>
    </row>
    <row r="61" spans="1:15">
      <c r="A61">
        <v>530207</v>
      </c>
      <c r="C61" t="s">
        <v>52</v>
      </c>
      <c r="K61" s="31"/>
      <c r="L61" s="31"/>
      <c r="M61" s="31"/>
      <c r="N61" s="31"/>
      <c r="O61" s="31"/>
    </row>
    <row r="62" spans="1:15">
      <c r="A62">
        <v>530208</v>
      </c>
      <c r="C62" t="s">
        <v>120</v>
      </c>
      <c r="K62" s="31"/>
      <c r="L62" s="31"/>
      <c r="M62" s="31"/>
      <c r="N62" s="31"/>
      <c r="O62" s="31"/>
    </row>
    <row r="63" spans="1:15">
      <c r="A63">
        <v>530209</v>
      </c>
      <c r="C63" t="s">
        <v>405</v>
      </c>
      <c r="K63" s="31"/>
      <c r="L63" s="31"/>
      <c r="M63" s="31"/>
      <c r="N63" s="31"/>
      <c r="O63" s="31"/>
    </row>
    <row r="64" spans="1:15">
      <c r="A64">
        <v>530210</v>
      </c>
      <c r="C64" t="s">
        <v>121</v>
      </c>
      <c r="K64" s="31"/>
      <c r="L64" s="31"/>
      <c r="M64" s="31"/>
      <c r="N64" s="31"/>
      <c r="O64" s="31"/>
    </row>
    <row r="65" spans="1:15">
      <c r="A65">
        <v>530215</v>
      </c>
      <c r="C65" t="s">
        <v>122</v>
      </c>
      <c r="K65" s="31"/>
      <c r="L65" s="31"/>
      <c r="M65" s="31"/>
      <c r="N65" s="31"/>
      <c r="O65" s="31"/>
    </row>
    <row r="66" spans="1:15">
      <c r="A66">
        <v>530216</v>
      </c>
      <c r="C66" t="s">
        <v>123</v>
      </c>
      <c r="K66" s="31"/>
      <c r="L66" s="31"/>
      <c r="M66" s="31"/>
      <c r="N66" s="31"/>
      <c r="O66" s="31"/>
    </row>
    <row r="67" spans="1:15">
      <c r="A67">
        <v>530220</v>
      </c>
      <c r="C67" t="s">
        <v>406</v>
      </c>
      <c r="K67" s="31"/>
      <c r="L67" s="31"/>
      <c r="M67" s="31"/>
      <c r="N67" s="31"/>
      <c r="O67" s="31"/>
    </row>
    <row r="68" spans="1:15">
      <c r="A68">
        <v>530221</v>
      </c>
      <c r="C68" t="s">
        <v>124</v>
      </c>
      <c r="K68" s="31"/>
      <c r="L68" s="31"/>
      <c r="M68" s="31"/>
      <c r="N68" s="31"/>
      <c r="O68" s="31"/>
    </row>
    <row r="69" spans="1:15">
      <c r="A69">
        <v>530222</v>
      </c>
      <c r="C69" t="s">
        <v>125</v>
      </c>
      <c r="K69" s="31"/>
      <c r="L69" s="31"/>
      <c r="M69" s="31"/>
      <c r="N69" s="31"/>
      <c r="O69" s="31"/>
    </row>
    <row r="70" spans="1:15">
      <c r="A70">
        <v>530224</v>
      </c>
      <c r="C70" t="s">
        <v>126</v>
      </c>
      <c r="K70" s="31"/>
      <c r="L70" s="31"/>
      <c r="M70" s="31"/>
      <c r="N70" s="31"/>
      <c r="O70" s="31"/>
    </row>
    <row r="71" spans="1:15">
      <c r="A71">
        <v>530225</v>
      </c>
      <c r="C71" t="s">
        <v>407</v>
      </c>
      <c r="K71" s="31"/>
      <c r="L71" s="31"/>
      <c r="M71" s="31"/>
      <c r="N71" s="31"/>
      <c r="O71" s="31"/>
    </row>
    <row r="72" spans="1:15">
      <c r="A72">
        <v>530226</v>
      </c>
      <c r="C72" t="s">
        <v>127</v>
      </c>
      <c r="K72" s="31"/>
      <c r="L72" s="31"/>
      <c r="M72" s="31"/>
      <c r="N72" s="31"/>
      <c r="O72" s="31"/>
    </row>
    <row r="73" spans="1:15">
      <c r="A73">
        <v>530227</v>
      </c>
      <c r="C73" t="s">
        <v>128</v>
      </c>
      <c r="K73" s="31"/>
      <c r="L73" s="31"/>
      <c r="M73" s="31"/>
      <c r="N73" s="31"/>
      <c r="O73" s="31"/>
    </row>
    <row r="74" spans="1:15">
      <c r="A74">
        <v>530228</v>
      </c>
      <c r="C74" t="s">
        <v>129</v>
      </c>
      <c r="K74" s="31"/>
      <c r="L74" s="31"/>
      <c r="M74" s="31"/>
      <c r="N74" s="31"/>
      <c r="O74" s="31"/>
    </row>
    <row r="75" spans="1:15">
      <c r="A75">
        <v>530229</v>
      </c>
      <c r="C75" t="s">
        <v>130</v>
      </c>
      <c r="K75" s="31"/>
      <c r="L75" s="31"/>
      <c r="M75" s="31"/>
      <c r="N75" s="31"/>
      <c r="O75" s="31"/>
    </row>
    <row r="76" spans="1:15">
      <c r="A76">
        <v>530230</v>
      </c>
      <c r="C76" t="s">
        <v>131</v>
      </c>
      <c r="K76" s="31"/>
      <c r="L76" s="31"/>
      <c r="M76" s="31"/>
      <c r="N76" s="31"/>
      <c r="O76" s="31"/>
    </row>
    <row r="77" spans="1:15">
      <c r="A77">
        <v>530231</v>
      </c>
      <c r="C77" t="s">
        <v>132</v>
      </c>
      <c r="K77" s="31"/>
      <c r="L77" s="31"/>
      <c r="M77" s="31"/>
      <c r="N77" s="31"/>
      <c r="O77" s="31"/>
    </row>
    <row r="78" spans="1:15">
      <c r="A78">
        <v>530232</v>
      </c>
      <c r="C78" t="s">
        <v>133</v>
      </c>
      <c r="K78" s="31"/>
      <c r="L78" s="31"/>
      <c r="M78" s="31"/>
      <c r="N78" s="31"/>
      <c r="O78" s="31"/>
    </row>
    <row r="79" spans="1:15">
      <c r="A79">
        <v>530233</v>
      </c>
      <c r="C79" t="s">
        <v>134</v>
      </c>
      <c r="K79" s="31"/>
      <c r="L79" s="31"/>
      <c r="M79" s="31"/>
      <c r="N79" s="31"/>
      <c r="O79" s="31"/>
    </row>
    <row r="80" spans="1:15">
      <c r="A80">
        <v>530234</v>
      </c>
      <c r="C80" t="s">
        <v>135</v>
      </c>
      <c r="K80" s="31"/>
      <c r="L80" s="31"/>
      <c r="M80" s="31"/>
      <c r="N80" s="31"/>
      <c r="O80" s="31"/>
    </row>
    <row r="81" spans="1:15">
      <c r="A81">
        <v>530235</v>
      </c>
      <c r="C81" t="s">
        <v>136</v>
      </c>
      <c r="K81" s="31"/>
      <c r="L81" s="31"/>
      <c r="M81" s="31"/>
      <c r="N81" s="31"/>
      <c r="O81" s="31"/>
    </row>
    <row r="82" spans="1:15">
      <c r="A82">
        <v>530236</v>
      </c>
      <c r="C82" t="s">
        <v>137</v>
      </c>
      <c r="K82" s="31"/>
      <c r="L82" s="31"/>
      <c r="M82" s="31"/>
      <c r="N82" s="31"/>
      <c r="O82" s="31"/>
    </row>
    <row r="83" spans="1:15">
      <c r="A83">
        <v>530237</v>
      </c>
      <c r="C83" t="s">
        <v>138</v>
      </c>
      <c r="K83" s="31"/>
      <c r="L83" s="31"/>
      <c r="M83" s="31"/>
      <c r="N83" s="31"/>
      <c r="O83" s="31"/>
    </row>
    <row r="84" spans="1:15">
      <c r="A84">
        <v>530238</v>
      </c>
      <c r="C84" t="s">
        <v>139</v>
      </c>
      <c r="K84" s="31"/>
      <c r="L84" s="31"/>
      <c r="M84" s="31"/>
      <c r="N84" s="31"/>
      <c r="O84" s="31"/>
    </row>
    <row r="85" spans="1:15">
      <c r="A85">
        <v>530239</v>
      </c>
      <c r="C85" t="s">
        <v>140</v>
      </c>
      <c r="K85" s="31"/>
      <c r="L85" s="31"/>
      <c r="M85" s="31"/>
      <c r="N85" s="31"/>
      <c r="O85" s="31"/>
    </row>
    <row r="86" spans="1:15">
      <c r="A86">
        <v>530240</v>
      </c>
      <c r="C86" t="s">
        <v>141</v>
      </c>
      <c r="K86" s="31"/>
      <c r="L86" s="31"/>
      <c r="M86" s="31"/>
      <c r="N86" s="31"/>
      <c r="O86" s="31"/>
    </row>
    <row r="87" spans="1:15">
      <c r="A87">
        <v>530241</v>
      </c>
      <c r="C87" t="s">
        <v>142</v>
      </c>
      <c r="K87" s="31"/>
      <c r="L87" s="31"/>
      <c r="M87" s="31"/>
      <c r="N87" s="31"/>
      <c r="O87" s="31"/>
    </row>
    <row r="88" spans="1:15">
      <c r="A88">
        <v>530242</v>
      </c>
      <c r="C88" t="s">
        <v>408</v>
      </c>
      <c r="K88" s="31"/>
      <c r="L88" s="31"/>
      <c r="M88" s="31"/>
      <c r="N88" s="31"/>
      <c r="O88" s="31"/>
    </row>
    <row r="89" spans="1:15">
      <c r="A89">
        <v>530243</v>
      </c>
      <c r="C89" t="s">
        <v>143</v>
      </c>
      <c r="K89" s="31"/>
      <c r="L89" s="31"/>
      <c r="M89" s="31"/>
      <c r="N89" s="31"/>
      <c r="O89" s="31"/>
    </row>
    <row r="90" spans="1:15">
      <c r="A90">
        <v>530244</v>
      </c>
      <c r="C90" t="s">
        <v>144</v>
      </c>
      <c r="K90" s="31"/>
      <c r="L90" s="31"/>
      <c r="M90" s="31"/>
      <c r="N90" s="31"/>
      <c r="O90" s="31"/>
    </row>
    <row r="91" spans="1:15">
      <c r="A91">
        <v>530245</v>
      </c>
      <c r="C91" t="s">
        <v>145</v>
      </c>
      <c r="K91" s="31"/>
      <c r="L91" s="31"/>
      <c r="M91" s="31"/>
      <c r="N91" s="31"/>
      <c r="O91" s="31"/>
    </row>
    <row r="92" spans="1:15">
      <c r="A92">
        <v>530246</v>
      </c>
      <c r="C92" t="s">
        <v>146</v>
      </c>
      <c r="K92" s="31"/>
      <c r="L92" s="31"/>
      <c r="M92" s="31"/>
      <c r="N92" s="31"/>
      <c r="O92" s="31"/>
    </row>
    <row r="93" spans="1:15">
      <c r="A93">
        <v>530247</v>
      </c>
      <c r="C93" t="s">
        <v>147</v>
      </c>
      <c r="K93" s="31"/>
      <c r="L93" s="31"/>
      <c r="M93" s="31"/>
      <c r="N93" s="31"/>
      <c r="O93" s="31"/>
    </row>
    <row r="94" spans="1:15">
      <c r="A94">
        <v>530248</v>
      </c>
      <c r="C94" t="s">
        <v>148</v>
      </c>
      <c r="K94" s="31"/>
      <c r="L94" s="31"/>
      <c r="M94" s="31"/>
      <c r="N94" s="31"/>
      <c r="O94" s="31"/>
    </row>
    <row r="95" spans="1:15">
      <c r="A95">
        <v>530249</v>
      </c>
      <c r="C95" t="s">
        <v>63</v>
      </c>
      <c r="K95" s="31"/>
      <c r="L95" s="31"/>
      <c r="M95" s="31"/>
      <c r="N95" s="31"/>
      <c r="O95" s="31"/>
    </row>
    <row r="96" spans="1:15">
      <c r="A96">
        <v>530250</v>
      </c>
      <c r="C96" t="s">
        <v>149</v>
      </c>
      <c r="K96" s="31"/>
      <c r="L96" s="31"/>
      <c r="M96" s="31"/>
      <c r="N96" s="31"/>
      <c r="O96" s="31"/>
    </row>
    <row r="97" spans="1:15">
      <c r="A97">
        <v>530251</v>
      </c>
      <c r="C97" t="s">
        <v>150</v>
      </c>
      <c r="K97" s="31"/>
      <c r="L97" s="31"/>
      <c r="M97" s="31"/>
      <c r="N97" s="31"/>
      <c r="O97" s="31"/>
    </row>
    <row r="98" spans="1:15">
      <c r="A98">
        <v>530252</v>
      </c>
      <c r="C98" t="s">
        <v>151</v>
      </c>
      <c r="K98" s="31"/>
      <c r="L98" s="31"/>
      <c r="M98" s="31"/>
      <c r="N98" s="31"/>
      <c r="O98" s="31"/>
    </row>
    <row r="99" spans="1:15">
      <c r="A99">
        <v>530253</v>
      </c>
      <c r="C99" t="s">
        <v>152</v>
      </c>
      <c r="K99" s="31"/>
      <c r="L99" s="31"/>
      <c r="M99" s="31"/>
      <c r="N99" s="31"/>
      <c r="O99" s="31"/>
    </row>
    <row r="100" spans="1:15">
      <c r="A100">
        <v>530301</v>
      </c>
      <c r="C100" t="s">
        <v>60</v>
      </c>
      <c r="K100" s="31"/>
      <c r="L100" s="31"/>
      <c r="M100" s="31"/>
      <c r="N100" s="31"/>
      <c r="O100" s="31"/>
    </row>
    <row r="101" spans="1:15">
      <c r="A101">
        <v>530302</v>
      </c>
      <c r="C101" t="s">
        <v>153</v>
      </c>
      <c r="K101" s="31"/>
      <c r="L101" s="31"/>
      <c r="M101" s="31"/>
      <c r="N101" s="31"/>
      <c r="O101" s="31"/>
    </row>
    <row r="102" spans="1:15">
      <c r="A102">
        <v>530303</v>
      </c>
      <c r="C102" t="s">
        <v>57</v>
      </c>
      <c r="K102" s="31"/>
      <c r="L102" s="31"/>
      <c r="M102" s="31"/>
      <c r="N102" s="31"/>
      <c r="O102" s="31"/>
    </row>
    <row r="103" spans="1:15">
      <c r="A103">
        <v>530304</v>
      </c>
      <c r="C103" t="s">
        <v>70</v>
      </c>
      <c r="K103" s="31"/>
      <c r="L103" s="31"/>
      <c r="M103" s="31"/>
      <c r="N103" s="31"/>
      <c r="O103" s="31"/>
    </row>
    <row r="104" spans="1:15">
      <c r="A104">
        <v>530305</v>
      </c>
      <c r="C104" t="s">
        <v>154</v>
      </c>
      <c r="K104" s="31"/>
      <c r="L104" s="31"/>
      <c r="M104" s="31"/>
      <c r="N104" s="31"/>
      <c r="O104" s="31"/>
    </row>
    <row r="105" spans="1:15">
      <c r="A105">
        <v>530306</v>
      </c>
      <c r="C105" t="s">
        <v>155</v>
      </c>
      <c r="K105" s="31"/>
      <c r="L105" s="31"/>
      <c r="M105" s="31"/>
      <c r="N105" s="31"/>
      <c r="O105" s="31"/>
    </row>
    <row r="106" spans="1:15">
      <c r="A106">
        <v>530307</v>
      </c>
      <c r="C106" t="s">
        <v>156</v>
      </c>
      <c r="K106" s="31"/>
      <c r="L106" s="31"/>
      <c r="M106" s="31"/>
      <c r="N106" s="31"/>
      <c r="O106" s="31"/>
    </row>
    <row r="107" spans="1:15">
      <c r="A107">
        <v>530308</v>
      </c>
      <c r="C107" t="s">
        <v>157</v>
      </c>
      <c r="K107" s="31"/>
      <c r="L107" s="31"/>
      <c r="M107" s="31"/>
      <c r="N107" s="31"/>
      <c r="O107" s="31"/>
    </row>
    <row r="108" spans="1:15">
      <c r="A108">
        <v>530309</v>
      </c>
      <c r="C108" t="s">
        <v>158</v>
      </c>
      <c r="K108" s="31"/>
      <c r="L108" s="31"/>
      <c r="M108" s="31"/>
      <c r="N108" s="31"/>
      <c r="O108" s="31"/>
    </row>
    <row r="109" spans="1:15">
      <c r="A109">
        <v>530401</v>
      </c>
      <c r="C109" t="s">
        <v>159</v>
      </c>
      <c r="K109" s="31"/>
      <c r="L109" s="31"/>
      <c r="M109" s="31"/>
      <c r="N109" s="31"/>
      <c r="O109" s="31"/>
    </row>
    <row r="110" spans="1:15">
      <c r="A110">
        <v>530402</v>
      </c>
      <c r="C110" t="s">
        <v>49</v>
      </c>
      <c r="K110" s="31"/>
      <c r="L110" s="31"/>
      <c r="M110" s="31"/>
      <c r="N110" s="31"/>
      <c r="O110" s="31"/>
    </row>
    <row r="111" spans="1:15">
      <c r="A111">
        <v>530403</v>
      </c>
      <c r="C111" t="s">
        <v>160</v>
      </c>
      <c r="K111" s="31"/>
      <c r="L111" s="31"/>
      <c r="M111" s="31"/>
      <c r="N111" s="31"/>
      <c r="O111" s="31"/>
    </row>
    <row r="112" spans="1:15">
      <c r="A112">
        <v>530404</v>
      </c>
      <c r="C112" t="s">
        <v>61</v>
      </c>
      <c r="K112" s="31"/>
      <c r="L112" s="31"/>
      <c r="M112" s="31"/>
      <c r="N112" s="31"/>
      <c r="O112" s="31"/>
    </row>
    <row r="113" spans="1:15">
      <c r="A113">
        <v>530405</v>
      </c>
      <c r="C113" t="s">
        <v>161</v>
      </c>
      <c r="K113" s="31"/>
      <c r="L113" s="31"/>
      <c r="M113" s="31"/>
      <c r="N113" s="31"/>
      <c r="O113" s="31"/>
    </row>
    <row r="114" spans="1:15">
      <c r="A114">
        <v>530406</v>
      </c>
      <c r="C114" t="s">
        <v>162</v>
      </c>
      <c r="K114" s="31"/>
      <c r="L114" s="31"/>
      <c r="M114" s="31"/>
      <c r="N114" s="31"/>
      <c r="O114" s="31"/>
    </row>
    <row r="115" spans="1:15">
      <c r="A115">
        <v>530408</v>
      </c>
      <c r="C115" t="s">
        <v>163</v>
      </c>
      <c r="K115" s="31"/>
      <c r="L115" s="31"/>
      <c r="M115" s="31"/>
      <c r="N115" s="31"/>
      <c r="O115" s="31"/>
    </row>
    <row r="116" spans="1:15">
      <c r="A116">
        <v>530409</v>
      </c>
      <c r="C116" t="s">
        <v>164</v>
      </c>
      <c r="K116" s="31"/>
      <c r="L116" s="31"/>
      <c r="M116" s="31"/>
      <c r="N116" s="31"/>
      <c r="O116" s="31"/>
    </row>
    <row r="117" spans="1:15">
      <c r="A117">
        <v>530410</v>
      </c>
      <c r="C117" t="s">
        <v>165</v>
      </c>
      <c r="K117" s="31"/>
      <c r="L117" s="31"/>
      <c r="M117" s="31"/>
      <c r="N117" s="31"/>
      <c r="O117" s="31"/>
    </row>
    <row r="118" spans="1:15">
      <c r="A118">
        <v>530415</v>
      </c>
      <c r="C118" t="s">
        <v>166</v>
      </c>
      <c r="K118" s="31"/>
      <c r="L118" s="31"/>
      <c r="M118" s="31"/>
      <c r="N118" s="31"/>
      <c r="O118" s="31"/>
    </row>
    <row r="119" spans="1:15">
      <c r="A119">
        <v>530417</v>
      </c>
      <c r="C119" t="s">
        <v>167</v>
      </c>
      <c r="K119" s="31"/>
      <c r="L119" s="31"/>
      <c r="M119" s="31"/>
      <c r="N119" s="31"/>
      <c r="O119" s="31"/>
    </row>
    <row r="120" spans="1:15">
      <c r="A120">
        <v>530418</v>
      </c>
      <c r="C120" t="s">
        <v>168</v>
      </c>
      <c r="K120" s="31"/>
      <c r="L120" s="31"/>
      <c r="M120" s="31"/>
      <c r="N120" s="31"/>
      <c r="O120" s="31"/>
    </row>
    <row r="121" spans="1:15">
      <c r="A121">
        <v>530419</v>
      </c>
      <c r="C121" t="s">
        <v>169</v>
      </c>
      <c r="K121" s="31"/>
      <c r="L121" s="31"/>
      <c r="M121" s="31"/>
      <c r="N121" s="31"/>
      <c r="O121" s="31"/>
    </row>
    <row r="122" spans="1:15">
      <c r="A122">
        <v>530425</v>
      </c>
      <c r="C122" t="s">
        <v>170</v>
      </c>
      <c r="K122" s="31"/>
      <c r="L122" s="31"/>
      <c r="M122" s="31"/>
      <c r="N122" s="31"/>
      <c r="O122" s="31"/>
    </row>
    <row r="123" spans="1:15">
      <c r="A123">
        <v>530426</v>
      </c>
      <c r="C123" t="s">
        <v>171</v>
      </c>
      <c r="K123" s="31"/>
      <c r="L123" s="31"/>
      <c r="M123" s="31"/>
      <c r="N123" s="31"/>
      <c r="O123" s="31"/>
    </row>
    <row r="124" spans="1:15">
      <c r="A124">
        <v>530501</v>
      </c>
      <c r="C124" t="s">
        <v>172</v>
      </c>
      <c r="K124" s="31"/>
      <c r="L124" s="31"/>
      <c r="M124" s="31"/>
      <c r="N124" s="31"/>
      <c r="O124" s="31"/>
    </row>
    <row r="125" spans="1:15">
      <c r="A125">
        <v>530502</v>
      </c>
      <c r="C125" t="s">
        <v>64</v>
      </c>
      <c r="K125" s="31"/>
      <c r="L125" s="31"/>
      <c r="M125" s="31"/>
      <c r="N125" s="31"/>
      <c r="O125" s="31"/>
    </row>
    <row r="126" spans="1:15">
      <c r="A126">
        <v>530503</v>
      </c>
      <c r="C126" t="s">
        <v>173</v>
      </c>
      <c r="K126" s="31"/>
      <c r="L126" s="31"/>
      <c r="M126" s="31"/>
      <c r="N126" s="31"/>
      <c r="O126" s="31"/>
    </row>
    <row r="127" spans="1:15">
      <c r="A127">
        <v>530504</v>
      </c>
      <c r="C127" t="s">
        <v>174</v>
      </c>
      <c r="K127" s="31"/>
      <c r="L127" s="31"/>
      <c r="M127" s="31"/>
      <c r="N127" s="31"/>
      <c r="O127" s="31"/>
    </row>
    <row r="128" spans="1:15">
      <c r="A128">
        <v>530505</v>
      </c>
      <c r="C128" t="s">
        <v>175</v>
      </c>
      <c r="K128" s="31"/>
      <c r="L128" s="31"/>
      <c r="M128" s="31"/>
      <c r="N128" s="31"/>
      <c r="O128" s="31"/>
    </row>
    <row r="129" spans="1:15">
      <c r="A129">
        <v>530506</v>
      </c>
      <c r="C129" t="s">
        <v>176</v>
      </c>
      <c r="K129" s="31"/>
      <c r="L129" s="31"/>
      <c r="M129" s="31"/>
      <c r="N129" s="31"/>
      <c r="O129" s="31"/>
    </row>
    <row r="130" spans="1:15">
      <c r="A130">
        <v>530515</v>
      </c>
      <c r="C130" t="s">
        <v>177</v>
      </c>
      <c r="K130" s="31"/>
      <c r="L130" s="31"/>
      <c r="M130" s="31"/>
      <c r="N130" s="31"/>
      <c r="O130" s="31"/>
    </row>
    <row r="131" spans="1:15">
      <c r="A131">
        <v>530516</v>
      </c>
      <c r="C131" t="s">
        <v>409</v>
      </c>
      <c r="K131" s="31"/>
      <c r="L131" s="31"/>
      <c r="M131" s="31"/>
      <c r="N131" s="31"/>
      <c r="O131" s="31"/>
    </row>
    <row r="132" spans="1:15">
      <c r="A132">
        <v>530601</v>
      </c>
      <c r="C132" t="s">
        <v>178</v>
      </c>
      <c r="K132" s="31"/>
      <c r="L132" s="31"/>
      <c r="M132" s="31"/>
      <c r="N132" s="31"/>
      <c r="O132" s="31"/>
    </row>
    <row r="133" spans="1:15">
      <c r="A133">
        <v>530602</v>
      </c>
      <c r="C133" t="s">
        <v>179</v>
      </c>
      <c r="K133" s="31"/>
      <c r="L133" s="31"/>
      <c r="M133" s="31"/>
      <c r="N133" s="31"/>
      <c r="O133" s="31"/>
    </row>
    <row r="134" spans="1:15">
      <c r="A134">
        <v>530604</v>
      </c>
      <c r="C134" t="s">
        <v>180</v>
      </c>
      <c r="K134" s="31"/>
      <c r="L134" s="31"/>
      <c r="M134" s="31"/>
      <c r="N134" s="31"/>
      <c r="O134" s="31"/>
    </row>
    <row r="135" spans="1:15">
      <c r="A135">
        <v>530605</v>
      </c>
      <c r="C135" t="s">
        <v>181</v>
      </c>
      <c r="K135" s="31"/>
      <c r="L135" s="31"/>
      <c r="M135" s="31"/>
      <c r="N135" s="31"/>
      <c r="O135" s="31"/>
    </row>
    <row r="136" spans="1:15">
      <c r="A136">
        <v>530606</v>
      </c>
      <c r="C136" t="s">
        <v>182</v>
      </c>
      <c r="K136" s="31"/>
      <c r="L136" s="31"/>
      <c r="M136" s="31"/>
      <c r="N136" s="31"/>
      <c r="O136" s="31"/>
    </row>
    <row r="137" spans="1:15">
      <c r="A137">
        <v>530607</v>
      </c>
      <c r="C137" t="s">
        <v>410</v>
      </c>
      <c r="K137" s="31"/>
      <c r="L137" s="31"/>
      <c r="M137" s="31"/>
      <c r="N137" s="31"/>
      <c r="O137" s="31"/>
    </row>
    <row r="138" spans="1:15">
      <c r="A138">
        <v>530608</v>
      </c>
      <c r="C138" t="s">
        <v>184</v>
      </c>
      <c r="K138" s="31"/>
      <c r="L138" s="31"/>
      <c r="M138" s="31"/>
      <c r="N138" s="31"/>
      <c r="O138" s="31"/>
    </row>
    <row r="139" spans="1:15">
      <c r="A139">
        <v>530609</v>
      </c>
      <c r="C139" t="s">
        <v>185</v>
      </c>
      <c r="K139" s="31"/>
      <c r="L139" s="31"/>
      <c r="M139" s="31"/>
      <c r="N139" s="31"/>
      <c r="O139" s="31"/>
    </row>
    <row r="140" spans="1:15">
      <c r="A140">
        <v>530610</v>
      </c>
      <c r="C140" t="s">
        <v>186</v>
      </c>
      <c r="K140" s="31"/>
      <c r="L140" s="31"/>
      <c r="M140" s="31"/>
      <c r="N140" s="31"/>
      <c r="O140" s="31"/>
    </row>
    <row r="141" spans="1:15">
      <c r="A141">
        <v>530611</v>
      </c>
      <c r="C141" t="s">
        <v>411</v>
      </c>
      <c r="K141" s="31"/>
      <c r="L141" s="31"/>
      <c r="M141" s="31"/>
      <c r="N141" s="31"/>
      <c r="O141" s="31"/>
    </row>
    <row r="142" spans="1:15">
      <c r="A142">
        <v>530612</v>
      </c>
      <c r="C142" t="s">
        <v>187</v>
      </c>
      <c r="K142" s="31"/>
      <c r="L142" s="31"/>
      <c r="M142" s="31"/>
      <c r="N142" s="31"/>
      <c r="O142" s="31"/>
    </row>
    <row r="143" spans="1:15">
      <c r="A143">
        <v>530613</v>
      </c>
      <c r="C143" t="s">
        <v>188</v>
      </c>
      <c r="K143" s="31"/>
      <c r="L143" s="31"/>
      <c r="M143" s="31"/>
      <c r="N143" s="31"/>
      <c r="O143" s="31"/>
    </row>
    <row r="144" spans="1:15">
      <c r="A144">
        <v>530701</v>
      </c>
      <c r="C144" t="s">
        <v>48</v>
      </c>
      <c r="K144" s="31"/>
      <c r="L144" s="31"/>
      <c r="M144" s="31"/>
      <c r="N144" s="31"/>
      <c r="O144" s="31"/>
    </row>
    <row r="145" spans="1:15">
      <c r="A145">
        <v>530702</v>
      </c>
      <c r="C145" t="s">
        <v>55</v>
      </c>
      <c r="K145" s="31"/>
      <c r="L145" s="31"/>
      <c r="M145" s="31"/>
      <c r="N145" s="31"/>
      <c r="O145" s="31"/>
    </row>
    <row r="146" spans="1:15">
      <c r="A146">
        <v>530703</v>
      </c>
      <c r="C146" t="s">
        <v>189</v>
      </c>
      <c r="K146" s="31"/>
      <c r="L146" s="31"/>
      <c r="M146" s="31"/>
      <c r="N146" s="31"/>
      <c r="O146" s="31"/>
    </row>
    <row r="147" spans="1:15">
      <c r="A147">
        <v>530704</v>
      </c>
      <c r="C147" t="s">
        <v>190</v>
      </c>
      <c r="K147" s="31"/>
      <c r="L147" s="31"/>
      <c r="M147" s="31"/>
      <c r="N147" s="31"/>
      <c r="O147" s="31"/>
    </row>
    <row r="148" spans="1:15">
      <c r="A148">
        <v>530801</v>
      </c>
      <c r="C148" t="s">
        <v>58</v>
      </c>
      <c r="K148" s="31"/>
      <c r="L148" s="31"/>
      <c r="M148" s="31"/>
      <c r="N148" s="31"/>
      <c r="O148" s="31"/>
    </row>
    <row r="149" spans="1:15">
      <c r="A149">
        <v>530802</v>
      </c>
      <c r="C149" t="s">
        <v>412</v>
      </c>
      <c r="K149" s="31"/>
      <c r="L149" s="31"/>
      <c r="M149" s="31"/>
      <c r="N149" s="31"/>
      <c r="O149" s="31"/>
    </row>
    <row r="150" spans="1:15">
      <c r="A150">
        <v>530803</v>
      </c>
      <c r="C150" t="s">
        <v>50</v>
      </c>
      <c r="K150" s="31"/>
      <c r="L150" s="31"/>
      <c r="M150" s="31"/>
      <c r="N150" s="31"/>
      <c r="O150" s="31"/>
    </row>
    <row r="151" spans="1:15">
      <c r="A151">
        <v>530804</v>
      </c>
      <c r="C151" t="s">
        <v>62</v>
      </c>
      <c r="K151" s="31"/>
      <c r="L151" s="31"/>
      <c r="M151" s="31"/>
      <c r="N151" s="31"/>
      <c r="O151" s="31"/>
    </row>
    <row r="152" spans="1:15">
      <c r="A152">
        <v>530805</v>
      </c>
      <c r="C152" t="s">
        <v>68</v>
      </c>
      <c r="K152" s="31"/>
      <c r="L152" s="31"/>
      <c r="M152" s="31"/>
      <c r="N152" s="31"/>
      <c r="O152" s="31"/>
    </row>
    <row r="153" spans="1:15">
      <c r="A153">
        <v>530807</v>
      </c>
      <c r="C153" t="s">
        <v>191</v>
      </c>
      <c r="K153" s="31"/>
      <c r="L153" s="31"/>
      <c r="M153" s="31"/>
      <c r="N153" s="31"/>
      <c r="O153" s="31"/>
    </row>
    <row r="154" spans="1:15">
      <c r="A154">
        <v>530808</v>
      </c>
      <c r="C154" t="s">
        <v>413</v>
      </c>
      <c r="K154" s="31"/>
      <c r="L154" s="31"/>
      <c r="M154" s="31"/>
      <c r="N154" s="31"/>
      <c r="O154" s="31"/>
    </row>
    <row r="155" spans="1:15">
      <c r="A155">
        <v>530809</v>
      </c>
      <c r="C155" t="s">
        <v>414</v>
      </c>
      <c r="K155" s="31"/>
      <c r="L155" s="31"/>
      <c r="M155" s="31"/>
      <c r="N155" s="31"/>
      <c r="O155" s="31"/>
    </row>
    <row r="156" spans="1:15">
      <c r="A156">
        <v>530810</v>
      </c>
      <c r="C156" t="s">
        <v>193</v>
      </c>
      <c r="K156" s="31"/>
      <c r="L156" s="31"/>
      <c r="M156" s="31"/>
      <c r="N156" s="31"/>
      <c r="O156" s="31"/>
    </row>
    <row r="157" spans="1:15">
      <c r="A157">
        <v>530811</v>
      </c>
      <c r="C157" t="s">
        <v>415</v>
      </c>
      <c r="K157" s="31"/>
      <c r="L157" s="31"/>
      <c r="M157" s="31"/>
      <c r="N157" s="31"/>
      <c r="O157" s="31"/>
    </row>
    <row r="158" spans="1:15">
      <c r="A158">
        <v>530812</v>
      </c>
      <c r="C158" t="s">
        <v>416</v>
      </c>
      <c r="K158" s="31"/>
      <c r="L158" s="31"/>
      <c r="M158" s="31"/>
      <c r="N158" s="31"/>
      <c r="O158" s="31"/>
    </row>
    <row r="159" spans="1:15">
      <c r="A159">
        <v>530813</v>
      </c>
      <c r="C159" t="s">
        <v>56</v>
      </c>
      <c r="K159" s="31"/>
      <c r="L159" s="31"/>
      <c r="M159" s="31"/>
      <c r="N159" s="31"/>
      <c r="O159" s="31"/>
    </row>
    <row r="160" spans="1:15">
      <c r="A160">
        <v>530814</v>
      </c>
      <c r="C160" t="s">
        <v>194</v>
      </c>
      <c r="K160" s="31"/>
      <c r="L160" s="31"/>
      <c r="M160" s="31"/>
      <c r="N160" s="31"/>
      <c r="O160" s="31"/>
    </row>
    <row r="161" spans="1:15">
      <c r="A161">
        <v>530815</v>
      </c>
      <c r="C161" t="s">
        <v>195</v>
      </c>
      <c r="K161" s="31"/>
      <c r="L161" s="31"/>
      <c r="M161" s="31"/>
      <c r="N161" s="31"/>
      <c r="O161" s="31"/>
    </row>
    <row r="162" spans="1:15">
      <c r="A162">
        <v>530816</v>
      </c>
      <c r="C162" t="s">
        <v>196</v>
      </c>
      <c r="K162" s="31"/>
      <c r="L162" s="31"/>
      <c r="M162" s="31"/>
      <c r="N162" s="31"/>
      <c r="O162" s="31"/>
    </row>
    <row r="163" spans="1:15">
      <c r="A163">
        <v>530817</v>
      </c>
      <c r="C163" t="s">
        <v>197</v>
      </c>
      <c r="K163" s="31"/>
      <c r="L163" s="31"/>
      <c r="M163" s="31"/>
      <c r="N163" s="31"/>
      <c r="O163" s="31"/>
    </row>
    <row r="164" spans="1:15">
      <c r="A164">
        <v>530819</v>
      </c>
      <c r="C164" t="s">
        <v>198</v>
      </c>
      <c r="K164" s="31"/>
      <c r="L164" s="31"/>
      <c r="M164" s="31"/>
      <c r="N164" s="31"/>
      <c r="O164" s="31"/>
    </row>
    <row r="165" spans="1:15">
      <c r="A165">
        <v>530820</v>
      </c>
      <c r="C165" t="s">
        <v>417</v>
      </c>
      <c r="K165" s="31"/>
      <c r="L165" s="31"/>
      <c r="M165" s="31"/>
      <c r="N165" s="31"/>
      <c r="O165" s="31"/>
    </row>
    <row r="166" spans="1:15">
      <c r="A166">
        <v>530821</v>
      </c>
      <c r="C166" t="s">
        <v>199</v>
      </c>
      <c r="K166" s="31"/>
      <c r="L166" s="31"/>
      <c r="M166" s="31"/>
      <c r="N166" s="31"/>
      <c r="O166" s="31"/>
    </row>
    <row r="167" spans="1:15">
      <c r="A167">
        <v>530822</v>
      </c>
      <c r="C167" t="s">
        <v>418</v>
      </c>
      <c r="K167" s="31"/>
      <c r="L167" s="31"/>
      <c r="M167" s="31"/>
      <c r="N167" s="31"/>
      <c r="O167" s="31"/>
    </row>
    <row r="168" spans="1:15">
      <c r="A168">
        <v>530823</v>
      </c>
      <c r="C168" t="s">
        <v>200</v>
      </c>
      <c r="K168" s="31"/>
      <c r="L168" s="31"/>
      <c r="M168" s="31"/>
      <c r="N168" s="31"/>
      <c r="O168" s="31"/>
    </row>
    <row r="169" spans="1:15">
      <c r="A169">
        <v>530824</v>
      </c>
      <c r="C169" t="s">
        <v>419</v>
      </c>
      <c r="K169" s="31"/>
      <c r="L169" s="31"/>
      <c r="M169" s="31"/>
      <c r="N169" s="31"/>
      <c r="O169" s="31"/>
    </row>
    <row r="170" spans="1:15">
      <c r="A170">
        <v>530825</v>
      </c>
      <c r="C170" t="s">
        <v>201</v>
      </c>
      <c r="K170" s="31"/>
      <c r="L170" s="31"/>
      <c r="M170" s="31"/>
      <c r="N170" s="31"/>
      <c r="O170" s="31"/>
    </row>
    <row r="171" spans="1:15">
      <c r="A171">
        <v>530826</v>
      </c>
      <c r="C171" t="s">
        <v>202</v>
      </c>
      <c r="K171" s="31"/>
      <c r="L171" s="31"/>
      <c r="M171" s="31"/>
      <c r="N171" s="31"/>
      <c r="O171" s="31"/>
    </row>
    <row r="172" spans="1:15">
      <c r="A172">
        <v>530827</v>
      </c>
      <c r="C172" t="s">
        <v>203</v>
      </c>
      <c r="K172" s="31"/>
      <c r="L172" s="31"/>
      <c r="M172" s="31"/>
      <c r="N172" s="31"/>
      <c r="O172" s="31"/>
    </row>
    <row r="173" spans="1:15">
      <c r="A173">
        <v>530828</v>
      </c>
      <c r="C173" t="s">
        <v>204</v>
      </c>
      <c r="K173" s="31"/>
      <c r="L173" s="31"/>
      <c r="M173" s="31"/>
      <c r="N173" s="31"/>
      <c r="O173" s="31"/>
    </row>
    <row r="174" spans="1:15">
      <c r="A174">
        <v>530829</v>
      </c>
      <c r="C174" t="s">
        <v>205</v>
      </c>
      <c r="K174" s="31"/>
      <c r="L174" s="31"/>
      <c r="M174" s="31"/>
      <c r="N174" s="31"/>
      <c r="O174" s="31"/>
    </row>
    <row r="175" spans="1:15">
      <c r="A175">
        <v>530832</v>
      </c>
      <c r="C175" t="s">
        <v>420</v>
      </c>
      <c r="K175" s="31"/>
      <c r="L175" s="31"/>
      <c r="M175" s="31"/>
      <c r="N175" s="31"/>
      <c r="O175" s="31"/>
    </row>
    <row r="176" spans="1:15">
      <c r="A176">
        <v>530833</v>
      </c>
      <c r="C176" t="s">
        <v>421</v>
      </c>
      <c r="K176" s="31"/>
      <c r="L176" s="31"/>
      <c r="M176" s="31"/>
      <c r="N176" s="31"/>
      <c r="O176" s="31"/>
    </row>
    <row r="177" spans="1:15">
      <c r="A177">
        <v>530834</v>
      </c>
      <c r="C177" t="s">
        <v>422</v>
      </c>
      <c r="K177" s="31"/>
      <c r="L177" s="31"/>
      <c r="M177" s="31"/>
      <c r="N177" s="31"/>
      <c r="O177" s="31"/>
    </row>
    <row r="178" spans="1:15">
      <c r="A178">
        <v>530836</v>
      </c>
      <c r="C178" t="s">
        <v>207</v>
      </c>
      <c r="K178" s="31"/>
      <c r="L178" s="31"/>
      <c r="M178" s="31"/>
      <c r="N178" s="31"/>
      <c r="O178" s="31"/>
    </row>
    <row r="179" spans="1:15">
      <c r="A179">
        <v>530845</v>
      </c>
      <c r="C179" t="s">
        <v>208</v>
      </c>
      <c r="K179" s="31"/>
      <c r="L179" s="31"/>
      <c r="M179" s="31"/>
      <c r="N179" s="31"/>
      <c r="O179" s="31"/>
    </row>
    <row r="180" spans="1:15">
      <c r="A180">
        <v>530846</v>
      </c>
      <c r="C180" t="s">
        <v>209</v>
      </c>
      <c r="K180" s="31"/>
      <c r="L180" s="31"/>
      <c r="M180" s="31"/>
      <c r="N180" s="31"/>
      <c r="O180" s="31"/>
    </row>
    <row r="181" spans="1:15">
      <c r="A181">
        <v>531001</v>
      </c>
      <c r="C181" t="s">
        <v>210</v>
      </c>
      <c r="K181" s="31"/>
      <c r="L181" s="31"/>
      <c r="M181" s="31"/>
      <c r="N181" s="31"/>
      <c r="O181" s="31"/>
    </row>
    <row r="182" spans="1:15">
      <c r="A182">
        <v>531002</v>
      </c>
      <c r="C182" t="s">
        <v>211</v>
      </c>
      <c r="K182" s="31"/>
      <c r="L182" s="31"/>
      <c r="M182" s="31"/>
      <c r="N182" s="31"/>
      <c r="O182" s="31"/>
    </row>
    <row r="183" spans="1:15">
      <c r="A183">
        <v>531403</v>
      </c>
      <c r="C183" t="s">
        <v>212</v>
      </c>
      <c r="K183" s="31"/>
      <c r="L183" s="31"/>
      <c r="M183" s="31"/>
      <c r="N183" s="31"/>
      <c r="O183" s="31"/>
    </row>
    <row r="184" spans="1:15">
      <c r="A184">
        <v>531404</v>
      </c>
      <c r="C184" t="s">
        <v>213</v>
      </c>
      <c r="K184" s="31"/>
      <c r="L184" s="31"/>
      <c r="M184" s="31"/>
      <c r="N184" s="31"/>
      <c r="O184" s="31"/>
    </row>
    <row r="185" spans="1:15">
      <c r="A185">
        <v>531406</v>
      </c>
      <c r="C185" t="s">
        <v>423</v>
      </c>
      <c r="K185" s="31"/>
      <c r="L185" s="31"/>
      <c r="M185" s="31"/>
      <c r="N185" s="31"/>
      <c r="O185" s="31"/>
    </row>
    <row r="186" spans="1:15">
      <c r="A186">
        <v>531407</v>
      </c>
      <c r="C186" t="s">
        <v>214</v>
      </c>
      <c r="K186" s="31"/>
      <c r="L186" s="31"/>
      <c r="M186" s="31"/>
      <c r="N186" s="31"/>
      <c r="O186" s="31"/>
    </row>
    <row r="187" spans="1:15">
      <c r="A187">
        <v>531408</v>
      </c>
      <c r="C187" t="s">
        <v>215</v>
      </c>
      <c r="K187" s="31"/>
      <c r="L187" s="31"/>
      <c r="M187" s="31"/>
      <c r="N187" s="31"/>
      <c r="O187" s="31"/>
    </row>
    <row r="188" spans="1:15">
      <c r="A188">
        <v>531409</v>
      </c>
      <c r="C188" t="s">
        <v>164</v>
      </c>
      <c r="K188" s="31"/>
      <c r="L188" s="31"/>
      <c r="M188" s="31"/>
      <c r="N188" s="31"/>
      <c r="O188" s="31"/>
    </row>
    <row r="189" spans="1:15">
      <c r="A189">
        <v>531411</v>
      </c>
      <c r="C189" t="s">
        <v>216</v>
      </c>
      <c r="K189" s="31"/>
      <c r="L189" s="31"/>
      <c r="M189" s="31"/>
      <c r="N189" s="31"/>
      <c r="O189" s="31"/>
    </row>
    <row r="190" spans="1:15">
      <c r="A190">
        <v>531512</v>
      </c>
      <c r="C190" t="s">
        <v>217</v>
      </c>
      <c r="K190" s="31"/>
      <c r="L190" s="31"/>
      <c r="M190" s="31"/>
      <c r="N190" s="31"/>
      <c r="O190" s="31"/>
    </row>
    <row r="191" spans="1:15">
      <c r="A191">
        <v>531514</v>
      </c>
      <c r="C191" t="s">
        <v>218</v>
      </c>
      <c r="K191" s="31"/>
      <c r="L191" s="31"/>
      <c r="M191" s="31"/>
      <c r="N191" s="31"/>
      <c r="O191" s="31"/>
    </row>
    <row r="192" spans="1:15">
      <c r="A192">
        <v>531515</v>
      </c>
      <c r="C192" t="s">
        <v>219</v>
      </c>
      <c r="K192" s="31"/>
      <c r="L192" s="31"/>
      <c r="M192" s="31"/>
      <c r="N192" s="31"/>
      <c r="O192" s="31"/>
    </row>
    <row r="193" spans="1:15">
      <c r="A193">
        <v>531601</v>
      </c>
      <c r="C193" t="s">
        <v>424</v>
      </c>
      <c r="K193" s="31"/>
      <c r="L193" s="31"/>
      <c r="M193" s="31"/>
      <c r="N193" s="31"/>
      <c r="O193" s="31"/>
    </row>
    <row r="194" spans="1:15">
      <c r="A194">
        <v>531602</v>
      </c>
      <c r="C194" t="s">
        <v>220</v>
      </c>
      <c r="K194" s="31"/>
      <c r="L194" s="31"/>
      <c r="M194" s="31"/>
      <c r="N194" s="31"/>
      <c r="O194" s="31"/>
    </row>
    <row r="195" spans="1:15">
      <c r="K195" s="31"/>
      <c r="L195" s="31"/>
      <c r="M195" s="31"/>
      <c r="N195" s="31"/>
      <c r="O195" s="31"/>
    </row>
    <row r="196" spans="1:15">
      <c r="K196" s="31"/>
      <c r="L196" s="31"/>
      <c r="M196" s="31"/>
      <c r="N196" s="31"/>
      <c r="O196" s="31"/>
    </row>
    <row r="197" spans="1:15">
      <c r="A197" t="s">
        <v>425</v>
      </c>
      <c r="C197" t="s">
        <v>426</v>
      </c>
      <c r="K197" s="31"/>
      <c r="L197" s="31"/>
      <c r="M197" s="31"/>
      <c r="N197" s="31"/>
      <c r="O197" s="31"/>
    </row>
    <row r="198" spans="1:15">
      <c r="A198">
        <v>570102</v>
      </c>
      <c r="C198" t="s">
        <v>69</v>
      </c>
      <c r="K198" s="31"/>
      <c r="L198" s="31"/>
      <c r="M198" s="31"/>
      <c r="N198" s="31"/>
      <c r="O198" s="31"/>
    </row>
    <row r="199" spans="1:15">
      <c r="A199">
        <v>570103</v>
      </c>
      <c r="C199" t="s">
        <v>224</v>
      </c>
      <c r="K199" s="31"/>
      <c r="L199" s="31"/>
      <c r="M199" s="31"/>
      <c r="N199" s="31"/>
      <c r="O199" s="31"/>
    </row>
    <row r="200" spans="1:15">
      <c r="A200">
        <v>570104</v>
      </c>
      <c r="C200" t="s">
        <v>225</v>
      </c>
      <c r="K200" s="31"/>
      <c r="L200" s="31"/>
      <c r="M200" s="31"/>
      <c r="N200" s="31"/>
      <c r="O200" s="31"/>
    </row>
    <row r="201" spans="1:15">
      <c r="A201">
        <v>570199</v>
      </c>
      <c r="C201" t="s">
        <v>226</v>
      </c>
      <c r="K201" s="31"/>
      <c r="L201" s="31"/>
      <c r="M201" s="31"/>
      <c r="N201" s="31"/>
      <c r="O201" s="31"/>
    </row>
    <row r="202" spans="1:15">
      <c r="A202">
        <v>570201</v>
      </c>
      <c r="C202" t="s">
        <v>227</v>
      </c>
      <c r="K202" s="31"/>
      <c r="L202" s="31"/>
      <c r="M202" s="31"/>
      <c r="N202" s="31"/>
      <c r="O202" s="31"/>
    </row>
    <row r="203" spans="1:15">
      <c r="A203">
        <v>570203</v>
      </c>
      <c r="C203" t="s">
        <v>65</v>
      </c>
      <c r="K203" s="31"/>
      <c r="L203" s="31"/>
      <c r="M203" s="31"/>
      <c r="N203" s="31"/>
      <c r="O203" s="31"/>
    </row>
    <row r="204" spans="1:15">
      <c r="A204">
        <v>570204</v>
      </c>
      <c r="C204" t="s">
        <v>228</v>
      </c>
      <c r="K204" s="31"/>
      <c r="L204" s="31"/>
      <c r="M204" s="31"/>
      <c r="N204" s="31"/>
      <c r="O204" s="31"/>
    </row>
    <row r="205" spans="1:15">
      <c r="A205">
        <v>570205</v>
      </c>
      <c r="C205" t="s">
        <v>229</v>
      </c>
      <c r="K205" s="31"/>
      <c r="L205" s="31"/>
      <c r="M205" s="31"/>
      <c r="N205" s="31"/>
      <c r="O205" s="31"/>
    </row>
    <row r="206" spans="1:15">
      <c r="A206">
        <v>570206</v>
      </c>
      <c r="C206" t="s">
        <v>230</v>
      </c>
      <c r="K206" s="31"/>
      <c r="L206" s="31"/>
      <c r="M206" s="31"/>
      <c r="N206" s="31"/>
      <c r="O206" s="31"/>
    </row>
    <row r="207" spans="1:15">
      <c r="A207">
        <v>570207</v>
      </c>
      <c r="C207" t="s">
        <v>231</v>
      </c>
      <c r="K207" s="31"/>
      <c r="L207" s="31"/>
      <c r="M207" s="31"/>
      <c r="N207" s="31"/>
      <c r="O207" s="31"/>
    </row>
    <row r="208" spans="1:15">
      <c r="A208">
        <v>570211</v>
      </c>
      <c r="C208" t="s">
        <v>232</v>
      </c>
      <c r="K208" s="31"/>
      <c r="L208" s="31"/>
      <c r="M208" s="31"/>
      <c r="N208" s="31"/>
      <c r="O208" s="31"/>
    </row>
    <row r="209" spans="1:15">
      <c r="A209">
        <v>570215</v>
      </c>
      <c r="C209" t="s">
        <v>233</v>
      </c>
      <c r="K209" s="31"/>
      <c r="L209" s="31"/>
      <c r="M209" s="31"/>
      <c r="N209" s="31"/>
      <c r="O209" s="31"/>
    </row>
    <row r="210" spans="1:15">
      <c r="A210">
        <v>570216</v>
      </c>
      <c r="C210" t="s">
        <v>234</v>
      </c>
      <c r="K210" s="31"/>
      <c r="L210" s="31"/>
      <c r="M210" s="31"/>
      <c r="N210" s="31"/>
      <c r="O210" s="31"/>
    </row>
    <row r="211" spans="1:15">
      <c r="A211">
        <v>570217</v>
      </c>
      <c r="C211" t="s">
        <v>235</v>
      </c>
      <c r="K211" s="31"/>
      <c r="L211" s="31"/>
      <c r="M211" s="31"/>
      <c r="N211" s="31"/>
      <c r="O211" s="31"/>
    </row>
    <row r="212" spans="1:15">
      <c r="A212">
        <v>570218</v>
      </c>
      <c r="C212" t="s">
        <v>236</v>
      </c>
      <c r="K212" s="31"/>
      <c r="L212" s="31"/>
      <c r="M212" s="31"/>
      <c r="N212" s="31"/>
      <c r="O212" s="31"/>
    </row>
    <row r="213" spans="1:15">
      <c r="A213">
        <v>570219</v>
      </c>
      <c r="C213" t="s">
        <v>237</v>
      </c>
      <c r="K213" s="31"/>
      <c r="L213" s="31"/>
      <c r="M213" s="31"/>
      <c r="N213" s="31"/>
      <c r="O213" s="31"/>
    </row>
    <row r="214" spans="1:15">
      <c r="A214">
        <v>570301</v>
      </c>
      <c r="C214" t="s">
        <v>238</v>
      </c>
      <c r="K214" s="31"/>
      <c r="L214" s="31"/>
      <c r="M214" s="31"/>
      <c r="N214" s="31"/>
      <c r="O214" s="31"/>
    </row>
    <row r="215" spans="1:15">
      <c r="K215" s="31"/>
      <c r="L215" s="31"/>
      <c r="M215" s="31"/>
      <c r="N215" s="31"/>
      <c r="O215" s="31"/>
    </row>
    <row r="216" spans="1:15">
      <c r="A216" t="s">
        <v>427</v>
      </c>
      <c r="C216" t="s">
        <v>392</v>
      </c>
      <c r="K216" s="31"/>
      <c r="L216" s="31"/>
      <c r="M216" s="31"/>
      <c r="N216" s="31"/>
      <c r="O216" s="31"/>
    </row>
    <row r="217" spans="1:15">
      <c r="A217">
        <v>580101</v>
      </c>
      <c r="C217" t="s">
        <v>239</v>
      </c>
      <c r="K217" s="31"/>
      <c r="L217" s="31"/>
      <c r="M217" s="31"/>
      <c r="N217" s="31"/>
      <c r="O217" s="31"/>
    </row>
    <row r="218" spans="1:15">
      <c r="A218">
        <v>580102</v>
      </c>
      <c r="C218" t="s">
        <v>428</v>
      </c>
      <c r="K218" s="31"/>
      <c r="L218" s="31"/>
      <c r="M218" s="31"/>
      <c r="N218" s="31"/>
      <c r="O218" s="31"/>
    </row>
    <row r="219" spans="1:15">
      <c r="A219">
        <v>580103</v>
      </c>
      <c r="C219" t="s">
        <v>240</v>
      </c>
      <c r="K219" s="31"/>
      <c r="L219" s="31"/>
      <c r="M219" s="31"/>
      <c r="N219" s="31"/>
      <c r="O219" s="31"/>
    </row>
    <row r="220" spans="1:15">
      <c r="A220">
        <v>580104</v>
      </c>
      <c r="C220" t="s">
        <v>241</v>
      </c>
      <c r="K220" s="31"/>
      <c r="L220" s="31"/>
      <c r="M220" s="31"/>
      <c r="N220" s="31"/>
      <c r="O220" s="31"/>
    </row>
    <row r="221" spans="1:15">
      <c r="A221">
        <v>580106</v>
      </c>
      <c r="C221" t="s">
        <v>242</v>
      </c>
      <c r="K221" s="31"/>
      <c r="L221" s="31"/>
      <c r="M221" s="31"/>
      <c r="N221" s="31"/>
      <c r="O221" s="31"/>
    </row>
    <row r="222" spans="1:15">
      <c r="A222">
        <v>580108</v>
      </c>
      <c r="C222" t="s">
        <v>429</v>
      </c>
      <c r="K222" s="31"/>
      <c r="L222" s="31"/>
      <c r="M222" s="31"/>
      <c r="N222" s="31"/>
      <c r="O222" s="31"/>
    </row>
    <row r="223" spans="1:15">
      <c r="A223">
        <v>580112</v>
      </c>
      <c r="C223" t="s">
        <v>243</v>
      </c>
      <c r="K223" s="31"/>
      <c r="L223" s="31"/>
      <c r="M223" s="31"/>
      <c r="N223" s="31"/>
      <c r="O223" s="31"/>
    </row>
    <row r="224" spans="1:15">
      <c r="A224">
        <v>580203</v>
      </c>
      <c r="C224" t="s">
        <v>223</v>
      </c>
      <c r="K224" s="31"/>
      <c r="L224" s="31"/>
      <c r="M224" s="31"/>
      <c r="N224" s="31"/>
      <c r="O224" s="31"/>
    </row>
    <row r="225" spans="1:15">
      <c r="A225">
        <v>580204</v>
      </c>
      <c r="C225" t="s">
        <v>67</v>
      </c>
      <c r="K225" s="31"/>
      <c r="L225" s="31"/>
      <c r="M225" s="31"/>
      <c r="N225" s="31"/>
      <c r="O225" s="31"/>
    </row>
    <row r="226" spans="1:15">
      <c r="A226">
        <v>580205</v>
      </c>
      <c r="C226" t="s">
        <v>244</v>
      </c>
      <c r="K226" s="31"/>
      <c r="L226" s="31"/>
      <c r="M226" s="31"/>
      <c r="N226" s="31"/>
      <c r="O226" s="31"/>
    </row>
    <row r="227" spans="1:15">
      <c r="A227">
        <v>580208</v>
      </c>
      <c r="C227" t="s">
        <v>245</v>
      </c>
      <c r="K227" s="31"/>
      <c r="L227" s="31"/>
      <c r="M227" s="31"/>
      <c r="N227" s="31"/>
      <c r="O227" s="31"/>
    </row>
    <row r="228" spans="1:15">
      <c r="A228">
        <v>580209</v>
      </c>
      <c r="C228" t="s">
        <v>430</v>
      </c>
      <c r="K228" s="31"/>
      <c r="L228" s="31"/>
      <c r="M228" s="31"/>
      <c r="N228" s="31"/>
      <c r="O228" s="31"/>
    </row>
    <row r="229" spans="1:15">
      <c r="A229">
        <v>580211</v>
      </c>
      <c r="C229" t="s">
        <v>247</v>
      </c>
      <c r="K229" s="31"/>
      <c r="L229" s="31"/>
      <c r="M229" s="31"/>
      <c r="N229" s="31"/>
      <c r="O229" s="31"/>
    </row>
    <row r="230" spans="1:15">
      <c r="A230">
        <v>580301</v>
      </c>
      <c r="C230" t="s">
        <v>221</v>
      </c>
      <c r="K230" s="31"/>
      <c r="L230" s="31"/>
      <c r="M230" s="31"/>
      <c r="N230" s="31"/>
      <c r="O230" s="31"/>
    </row>
    <row r="231" spans="1:15">
      <c r="A231">
        <v>580302</v>
      </c>
      <c r="C231" t="s">
        <v>222</v>
      </c>
      <c r="K231" s="31"/>
      <c r="L231" s="31"/>
      <c r="M231" s="31"/>
      <c r="N231" s="31"/>
      <c r="O231" s="31"/>
    </row>
    <row r="232" spans="1:15">
      <c r="A232">
        <v>580304</v>
      </c>
      <c r="C232" t="s">
        <v>67</v>
      </c>
      <c r="K232" s="31"/>
      <c r="L232" s="31"/>
      <c r="M232" s="31"/>
      <c r="N232" s="31"/>
      <c r="O232" s="31"/>
    </row>
    <row r="233" spans="1:15">
      <c r="A233">
        <v>580406</v>
      </c>
      <c r="C233" t="s">
        <v>248</v>
      </c>
      <c r="K233" s="31"/>
      <c r="L233" s="31"/>
      <c r="M233" s="31"/>
      <c r="N233" s="31"/>
      <c r="O233" s="31"/>
    </row>
    <row r="234" spans="1:15">
      <c r="A234">
        <v>580407</v>
      </c>
      <c r="C234" t="s">
        <v>249</v>
      </c>
      <c r="K234" s="31"/>
      <c r="L234" s="31"/>
      <c r="M234" s="31"/>
      <c r="N234" s="31"/>
      <c r="O234" s="31"/>
    </row>
    <row r="235" spans="1:15">
      <c r="A235">
        <v>580408</v>
      </c>
      <c r="C235" t="s">
        <v>250</v>
      </c>
      <c r="K235" s="31"/>
      <c r="L235" s="31"/>
      <c r="M235" s="31"/>
      <c r="N235" s="31"/>
      <c r="O235" s="31"/>
    </row>
    <row r="236" spans="1:15">
      <c r="A236">
        <v>580415</v>
      </c>
      <c r="C236" t="s">
        <v>251</v>
      </c>
      <c r="K236" s="31"/>
      <c r="L236" s="31"/>
      <c r="M236" s="31"/>
      <c r="N236" s="31"/>
      <c r="O236" s="31"/>
    </row>
    <row r="237" spans="1:15">
      <c r="A237">
        <v>580501</v>
      </c>
      <c r="C237" t="s">
        <v>252</v>
      </c>
      <c r="K237" s="31"/>
      <c r="L237" s="31"/>
      <c r="M237" s="31"/>
      <c r="N237" s="31"/>
      <c r="O237" s="31"/>
    </row>
    <row r="238" spans="1:15">
      <c r="A238">
        <v>580502</v>
      </c>
      <c r="C238" t="s">
        <v>253</v>
      </c>
      <c r="K238" s="31"/>
      <c r="L238" s="31"/>
      <c r="M238" s="31"/>
      <c r="N238" s="31"/>
      <c r="O238" s="31"/>
    </row>
    <row r="239" spans="1:15">
      <c r="A239">
        <v>580504</v>
      </c>
      <c r="C239" t="s">
        <v>254</v>
      </c>
      <c r="K239" s="31"/>
      <c r="L239" s="31"/>
      <c r="M239" s="31"/>
      <c r="N239" s="31"/>
      <c r="O239" s="31"/>
    </row>
    <row r="240" spans="1:15">
      <c r="A240">
        <v>580505</v>
      </c>
      <c r="C240" t="s">
        <v>255</v>
      </c>
      <c r="K240" s="31"/>
      <c r="L240" s="31"/>
      <c r="M240" s="31"/>
      <c r="N240" s="31"/>
      <c r="O240" s="31"/>
    </row>
    <row r="241" spans="1:15">
      <c r="A241">
        <v>580506</v>
      </c>
      <c r="C241" t="s">
        <v>256</v>
      </c>
      <c r="K241" s="31"/>
      <c r="L241" s="31"/>
      <c r="M241" s="31"/>
      <c r="N241" s="31"/>
      <c r="O241" s="31"/>
    </row>
    <row r="242" spans="1:15">
      <c r="A242">
        <v>580507</v>
      </c>
      <c r="C242" t="s">
        <v>257</v>
      </c>
      <c r="K242" s="31"/>
      <c r="L242" s="31"/>
      <c r="M242" s="31"/>
      <c r="N242" s="31"/>
      <c r="O242" s="31"/>
    </row>
    <row r="243" spans="1:15">
      <c r="A243">
        <v>580508</v>
      </c>
      <c r="C243" t="s">
        <v>258</v>
      </c>
      <c r="K243" s="31"/>
      <c r="L243" s="31"/>
      <c r="M243" s="31"/>
      <c r="N243" s="31"/>
      <c r="O243" s="31"/>
    </row>
    <row r="244" spans="1:15">
      <c r="A244">
        <v>580509</v>
      </c>
      <c r="C244" t="s">
        <v>259</v>
      </c>
      <c r="K244" s="31"/>
      <c r="L244" s="31"/>
      <c r="M244" s="31"/>
      <c r="N244" s="31"/>
      <c r="O244" s="31"/>
    </row>
    <row r="245" spans="1:15">
      <c r="A245">
        <v>580510</v>
      </c>
      <c r="C245" t="s">
        <v>260</v>
      </c>
      <c r="K245" s="31"/>
      <c r="L245" s="31"/>
      <c r="M245" s="31"/>
      <c r="N245" s="31"/>
      <c r="O245" s="31"/>
    </row>
    <row r="246" spans="1:15">
      <c r="A246">
        <v>580511</v>
      </c>
      <c r="C246" t="s">
        <v>261</v>
      </c>
      <c r="K246" s="31"/>
      <c r="L246" s="31"/>
      <c r="M246" s="31"/>
      <c r="N246" s="31"/>
      <c r="O246" s="31"/>
    </row>
    <row r="247" spans="1:15">
      <c r="A247">
        <v>580512</v>
      </c>
      <c r="C247" t="s">
        <v>262</v>
      </c>
      <c r="K247" s="31"/>
      <c r="L247" s="31"/>
      <c r="M247" s="31"/>
      <c r="N247" s="31"/>
      <c r="O247" s="31"/>
    </row>
    <row r="248" spans="1:15">
      <c r="A248">
        <v>580513</v>
      </c>
      <c r="C248" t="s">
        <v>263</v>
      </c>
      <c r="K248" s="31"/>
      <c r="L248" s="31"/>
      <c r="M248" s="31"/>
      <c r="N248" s="31"/>
      <c r="O248" s="31"/>
    </row>
    <row r="249" spans="1:15">
      <c r="A249">
        <v>580514</v>
      </c>
      <c r="C249" t="s">
        <v>264</v>
      </c>
      <c r="K249" s="31"/>
      <c r="L249" s="31"/>
      <c r="M249" s="31"/>
      <c r="N249" s="31"/>
      <c r="O249" s="31"/>
    </row>
    <row r="250" spans="1:15">
      <c r="A250">
        <v>580515</v>
      </c>
      <c r="C250" t="s">
        <v>265</v>
      </c>
      <c r="K250" s="31"/>
      <c r="L250" s="31"/>
      <c r="M250" s="31"/>
      <c r="N250" s="31"/>
      <c r="O250" s="31"/>
    </row>
    <row r="251" spans="1:15">
      <c r="A251">
        <v>580516</v>
      </c>
      <c r="C251" t="s">
        <v>266</v>
      </c>
      <c r="K251" s="31"/>
      <c r="L251" s="31"/>
      <c r="M251" s="31"/>
      <c r="N251" s="31"/>
      <c r="O251" s="31"/>
    </row>
    <row r="252" spans="1:15">
      <c r="A252">
        <v>580517</v>
      </c>
      <c r="C252" t="s">
        <v>431</v>
      </c>
      <c r="K252" s="31"/>
      <c r="L252" s="31"/>
      <c r="M252" s="31"/>
      <c r="N252" s="31"/>
      <c r="O252" s="31"/>
    </row>
    <row r="253" spans="1:15">
      <c r="A253">
        <v>580518</v>
      </c>
      <c r="C253" t="s">
        <v>432</v>
      </c>
      <c r="K253" s="31"/>
      <c r="L253" s="31"/>
      <c r="M253" s="31"/>
      <c r="N253" s="31"/>
      <c r="O253" s="31"/>
    </row>
    <row r="254" spans="1:15">
      <c r="A254">
        <v>580635</v>
      </c>
      <c r="C254" t="s">
        <v>433</v>
      </c>
      <c r="K254" s="31"/>
      <c r="L254" s="31"/>
      <c r="M254" s="31"/>
      <c r="N254" s="31"/>
      <c r="O254" s="31"/>
    </row>
    <row r="255" spans="1:15">
      <c r="A255">
        <v>580636</v>
      </c>
      <c r="C255" t="s">
        <v>434</v>
      </c>
      <c r="K255" s="31"/>
      <c r="L255" s="31"/>
      <c r="M255" s="31"/>
      <c r="N255" s="31"/>
      <c r="O255" s="31"/>
    </row>
    <row r="256" spans="1:15">
      <c r="A256">
        <v>580637</v>
      </c>
      <c r="C256" t="s">
        <v>267</v>
      </c>
      <c r="K256" s="31"/>
      <c r="L256" s="31"/>
      <c r="M256" s="31"/>
      <c r="N256" s="31"/>
      <c r="O256" s="31"/>
    </row>
    <row r="257" spans="1:15">
      <c r="A257">
        <v>580642</v>
      </c>
      <c r="C257" t="s">
        <v>268</v>
      </c>
      <c r="K257" s="31"/>
      <c r="L257" s="31"/>
      <c r="M257" s="31"/>
      <c r="N257" s="31"/>
      <c r="O257" s="31"/>
    </row>
    <row r="258" spans="1:15">
      <c r="A258">
        <v>580643</v>
      </c>
      <c r="C258" t="s">
        <v>435</v>
      </c>
      <c r="K258" s="31"/>
      <c r="L258" s="31"/>
      <c r="M258" s="31"/>
      <c r="N258" s="31"/>
      <c r="O258" s="31"/>
    </row>
    <row r="259" spans="1:15">
      <c r="A259">
        <v>580654</v>
      </c>
      <c r="C259" t="s">
        <v>436</v>
      </c>
      <c r="K259" s="31"/>
      <c r="L259" s="31"/>
      <c r="M259" s="31"/>
      <c r="N259" s="31"/>
      <c r="O259" s="31"/>
    </row>
    <row r="260" spans="1:15">
      <c r="A260">
        <v>581001</v>
      </c>
      <c r="C260" t="s">
        <v>269</v>
      </c>
      <c r="K260" s="31"/>
      <c r="L260" s="31"/>
      <c r="M260" s="31"/>
      <c r="N260" s="31"/>
      <c r="O260" s="31"/>
    </row>
    <row r="261" spans="1:15">
      <c r="A261">
        <v>581002</v>
      </c>
      <c r="C261" t="s">
        <v>270</v>
      </c>
      <c r="K261" s="31"/>
      <c r="L261" s="31"/>
      <c r="M261" s="31"/>
      <c r="N261" s="31"/>
      <c r="O261" s="31"/>
    </row>
    <row r="262" spans="1:15">
      <c r="A262">
        <v>581003</v>
      </c>
      <c r="C262" t="s">
        <v>271</v>
      </c>
      <c r="K262" s="31"/>
      <c r="L262" s="31"/>
      <c r="M262" s="31"/>
      <c r="N262" s="31"/>
      <c r="O262" s="31"/>
    </row>
    <row r="263" spans="1:15">
      <c r="A263">
        <v>581004</v>
      </c>
      <c r="C263" t="s">
        <v>272</v>
      </c>
      <c r="K263" s="31"/>
      <c r="L263" s="31"/>
      <c r="M263" s="31"/>
      <c r="N263" s="31"/>
      <c r="O263" s="31"/>
    </row>
    <row r="264" spans="1:15">
      <c r="A264">
        <v>581005</v>
      </c>
      <c r="C264" t="s">
        <v>273</v>
      </c>
      <c r="K264" s="31"/>
      <c r="L264" s="31"/>
      <c r="M264" s="31"/>
      <c r="N264" s="31"/>
      <c r="O264" s="31"/>
    </row>
    <row r="265" spans="1:15">
      <c r="A265">
        <v>581006</v>
      </c>
      <c r="C265" t="s">
        <v>274</v>
      </c>
      <c r="K265" s="31"/>
      <c r="L265" s="31"/>
      <c r="M265" s="31"/>
      <c r="N265" s="31"/>
      <c r="O265" s="31"/>
    </row>
    <row r="266" spans="1:15">
      <c r="A266">
        <v>581011</v>
      </c>
      <c r="C266" t="s">
        <v>275</v>
      </c>
      <c r="K266" s="31"/>
      <c r="L266" s="31"/>
      <c r="M266" s="31"/>
      <c r="N266" s="31"/>
      <c r="O266" s="31"/>
    </row>
    <row r="267" spans="1:15">
      <c r="A267">
        <v>581012</v>
      </c>
      <c r="C267" t="s">
        <v>276</v>
      </c>
      <c r="K267" s="31"/>
      <c r="L267" s="31"/>
      <c r="M267" s="31"/>
      <c r="N267" s="31"/>
      <c r="O267" s="31"/>
    </row>
    <row r="268" spans="1:15">
      <c r="A268">
        <v>581016</v>
      </c>
      <c r="C268" t="s">
        <v>277</v>
      </c>
      <c r="K268" s="31"/>
      <c r="L268" s="31"/>
      <c r="M268" s="31"/>
      <c r="N268" s="31"/>
      <c r="O268" s="31"/>
    </row>
    <row r="269" spans="1:15">
      <c r="A269">
        <v>581017</v>
      </c>
      <c r="C269" t="s">
        <v>393</v>
      </c>
      <c r="K269" s="31"/>
      <c r="L269" s="31"/>
      <c r="M269" s="31"/>
      <c r="N269" s="31"/>
      <c r="O269" s="31"/>
    </row>
    <row r="270" spans="1:15">
      <c r="A270">
        <v>581018</v>
      </c>
      <c r="C270" t="s">
        <v>278</v>
      </c>
      <c r="K270" s="31"/>
      <c r="L270" s="31"/>
      <c r="M270" s="31"/>
      <c r="N270" s="31"/>
      <c r="O270" s="31"/>
    </row>
    <row r="271" spans="1:15">
      <c r="A271">
        <v>581019</v>
      </c>
      <c r="C271" t="s">
        <v>400</v>
      </c>
      <c r="K271" s="31"/>
      <c r="L271" s="31"/>
      <c r="M271" s="31"/>
      <c r="N271" s="31"/>
      <c r="O271" s="31"/>
    </row>
    <row r="272" spans="1:15">
      <c r="A272">
        <v>581020</v>
      </c>
      <c r="C272" t="s">
        <v>279</v>
      </c>
      <c r="K272" s="31"/>
      <c r="L272" s="31"/>
      <c r="M272" s="31"/>
      <c r="N272" s="31"/>
      <c r="O272" s="31"/>
    </row>
    <row r="273" spans="1:15">
      <c r="A273">
        <v>581021</v>
      </c>
      <c r="C273" t="s">
        <v>437</v>
      </c>
      <c r="K273" s="31"/>
      <c r="L273" s="31"/>
      <c r="M273" s="31"/>
      <c r="N273" s="31"/>
      <c r="O273" s="31"/>
    </row>
    <row r="274" spans="1:15">
      <c r="A274">
        <v>581022</v>
      </c>
      <c r="C274" t="s">
        <v>280</v>
      </c>
      <c r="K274" s="31"/>
      <c r="L274" s="31"/>
      <c r="M274" s="31"/>
      <c r="N274" s="31"/>
      <c r="O274" s="31"/>
    </row>
    <row r="275" spans="1:15">
      <c r="A275">
        <v>581023</v>
      </c>
      <c r="C275" t="s">
        <v>438</v>
      </c>
      <c r="K275" s="31"/>
      <c r="L275" s="31"/>
      <c r="M275" s="31"/>
      <c r="N275" s="31"/>
      <c r="O275" s="31"/>
    </row>
    <row r="276" spans="1:15">
      <c r="A276">
        <v>581101</v>
      </c>
      <c r="C276" t="s">
        <v>281</v>
      </c>
      <c r="K276" s="31"/>
      <c r="L276" s="31"/>
      <c r="M276" s="31"/>
      <c r="N276" s="31"/>
      <c r="O276" s="31"/>
    </row>
    <row r="277" spans="1:15">
      <c r="A277">
        <v>581201</v>
      </c>
      <c r="C277" t="s">
        <v>282</v>
      </c>
      <c r="K277" s="31"/>
      <c r="L277" s="31"/>
      <c r="M277" s="31"/>
      <c r="N277" s="31"/>
      <c r="O277" s="31"/>
    </row>
    <row r="278" spans="1:15">
      <c r="A278">
        <v>581202</v>
      </c>
      <c r="C278" t="s">
        <v>283</v>
      </c>
      <c r="K278" s="31"/>
      <c r="L278" s="31"/>
      <c r="M278" s="31"/>
      <c r="N278" s="31"/>
      <c r="O278" s="31"/>
    </row>
    <row r="279" spans="1:15">
      <c r="A279">
        <v>589901</v>
      </c>
      <c r="C279" t="s">
        <v>284</v>
      </c>
      <c r="K279" s="31"/>
      <c r="L279" s="31"/>
      <c r="M279" s="31"/>
      <c r="N279" s="31"/>
      <c r="O279" s="31"/>
    </row>
    <row r="280" spans="1:15">
      <c r="K280" s="31"/>
      <c r="L280" s="31"/>
      <c r="M280" s="31"/>
      <c r="N280" s="31"/>
      <c r="O280" s="31"/>
    </row>
    <row r="281" spans="1:15">
      <c r="K281" s="31"/>
      <c r="L281" s="31"/>
      <c r="M281" s="31"/>
      <c r="N281" s="31"/>
      <c r="O281" s="31"/>
    </row>
    <row r="282" spans="1:15">
      <c r="A282" t="s">
        <v>443</v>
      </c>
      <c r="C282" t="s">
        <v>444</v>
      </c>
      <c r="K282" s="31"/>
      <c r="L282" s="31"/>
      <c r="M282" s="31"/>
      <c r="N282" s="31"/>
      <c r="O282" s="31"/>
    </row>
    <row r="283" spans="1:15">
      <c r="A283">
        <v>710105</v>
      </c>
      <c r="C283" t="s">
        <v>30</v>
      </c>
      <c r="K283" s="31"/>
      <c r="L283" s="31"/>
      <c r="M283" s="31"/>
      <c r="N283" s="31"/>
      <c r="O283" s="31"/>
    </row>
    <row r="284" spans="1:15">
      <c r="A284">
        <v>710106</v>
      </c>
      <c r="C284" t="s">
        <v>31</v>
      </c>
      <c r="K284" s="31"/>
      <c r="L284" s="31"/>
      <c r="M284" s="31"/>
      <c r="N284" s="31"/>
      <c r="O284" s="31"/>
    </row>
    <row r="285" spans="1:15">
      <c r="A285">
        <v>710203</v>
      </c>
      <c r="C285" t="s">
        <v>32</v>
      </c>
      <c r="K285" s="31"/>
      <c r="L285" s="31"/>
      <c r="M285" s="31"/>
      <c r="N285" s="31"/>
      <c r="O285" s="31"/>
    </row>
    <row r="286" spans="1:15">
      <c r="A286">
        <v>710204</v>
      </c>
      <c r="C286" t="s">
        <v>33</v>
      </c>
      <c r="K286" s="31"/>
      <c r="L286" s="31"/>
      <c r="M286" s="31"/>
      <c r="N286" s="31"/>
      <c r="O286" s="31"/>
    </row>
    <row r="287" spans="1:15">
      <c r="A287">
        <v>710302</v>
      </c>
      <c r="C287" t="s">
        <v>91</v>
      </c>
      <c r="K287" s="31"/>
      <c r="L287" s="31"/>
      <c r="M287" s="31"/>
      <c r="N287" s="31"/>
      <c r="O287" s="31"/>
    </row>
    <row r="288" spans="1:15">
      <c r="A288">
        <v>710304</v>
      </c>
      <c r="C288" t="s">
        <v>34</v>
      </c>
      <c r="K288" s="31"/>
      <c r="L288" s="31"/>
      <c r="M288" s="31"/>
      <c r="N288" s="31"/>
      <c r="O288" s="31"/>
    </row>
    <row r="289" spans="1:15">
      <c r="A289">
        <v>710306</v>
      </c>
      <c r="C289" t="s">
        <v>35</v>
      </c>
      <c r="K289" s="31"/>
      <c r="L289" s="31"/>
      <c r="M289" s="31"/>
      <c r="N289" s="31"/>
      <c r="O289" s="31"/>
    </row>
    <row r="290" spans="1:15">
      <c r="A290">
        <v>710401</v>
      </c>
      <c r="C290" t="s">
        <v>36</v>
      </c>
      <c r="K290" s="31"/>
      <c r="L290" s="31"/>
      <c r="M290" s="31"/>
      <c r="N290" s="31"/>
      <c r="O290" s="31"/>
    </row>
    <row r="291" spans="1:15">
      <c r="A291">
        <v>710408</v>
      </c>
      <c r="C291" t="s">
        <v>285</v>
      </c>
      <c r="K291" s="31"/>
      <c r="L291" s="31"/>
      <c r="M291" s="31"/>
      <c r="N291" s="31"/>
      <c r="O291" s="31"/>
    </row>
    <row r="292" spans="1:15">
      <c r="A292">
        <v>710502</v>
      </c>
      <c r="C292" t="s">
        <v>445</v>
      </c>
      <c r="K292" s="31"/>
      <c r="L292" s="31"/>
      <c r="M292" s="31"/>
      <c r="N292" s="31"/>
      <c r="O292" s="31"/>
    </row>
    <row r="293" spans="1:15">
      <c r="A293">
        <v>710507</v>
      </c>
      <c r="C293" t="s">
        <v>446</v>
      </c>
      <c r="K293" s="31"/>
      <c r="L293" s="31"/>
      <c r="M293" s="31"/>
      <c r="N293" s="31"/>
      <c r="O293" s="31"/>
    </row>
    <row r="294" spans="1:15">
      <c r="A294">
        <v>710509</v>
      </c>
      <c r="C294" t="s">
        <v>37</v>
      </c>
      <c r="K294" s="31"/>
      <c r="L294" s="31"/>
      <c r="M294" s="31"/>
      <c r="N294" s="31"/>
      <c r="O294" s="31"/>
    </row>
    <row r="295" spans="1:15">
      <c r="A295">
        <v>710510</v>
      </c>
      <c r="C295" t="s">
        <v>38</v>
      </c>
      <c r="K295" s="31"/>
      <c r="L295" s="31"/>
      <c r="M295" s="31"/>
      <c r="N295" s="31"/>
      <c r="O295" s="31"/>
    </row>
    <row r="296" spans="1:15">
      <c r="A296">
        <v>710512</v>
      </c>
      <c r="C296" t="s">
        <v>39</v>
      </c>
      <c r="K296" s="31"/>
      <c r="L296" s="31"/>
      <c r="M296" s="31"/>
      <c r="N296" s="31"/>
      <c r="O296" s="31"/>
    </row>
    <row r="297" spans="1:15">
      <c r="A297">
        <v>710513</v>
      </c>
      <c r="C297" t="s">
        <v>40</v>
      </c>
      <c r="K297" s="31"/>
      <c r="L297" s="31"/>
      <c r="M297" s="31"/>
      <c r="N297" s="31"/>
      <c r="O297" s="31"/>
    </row>
    <row r="298" spans="1:15">
      <c r="A298">
        <v>710515</v>
      </c>
      <c r="C298" t="s">
        <v>100</v>
      </c>
      <c r="K298" s="31"/>
      <c r="L298" s="31"/>
      <c r="M298" s="31"/>
      <c r="N298" s="31"/>
      <c r="O298" s="31"/>
    </row>
    <row r="299" spans="1:15">
      <c r="A299">
        <v>710516</v>
      </c>
      <c r="C299" t="s">
        <v>101</v>
      </c>
      <c r="K299" s="31"/>
      <c r="L299" s="31"/>
      <c r="M299" s="31"/>
      <c r="N299" s="31"/>
      <c r="O299" s="31"/>
    </row>
    <row r="300" spans="1:15">
      <c r="A300">
        <v>710601</v>
      </c>
      <c r="C300" t="s">
        <v>41</v>
      </c>
      <c r="K300" s="31"/>
      <c r="L300" s="31"/>
      <c r="M300" s="31"/>
      <c r="N300" s="31"/>
      <c r="O300" s="31"/>
    </row>
    <row r="301" spans="1:15">
      <c r="A301">
        <v>710602</v>
      </c>
      <c r="C301" t="s">
        <v>43</v>
      </c>
      <c r="K301" s="31"/>
      <c r="L301" s="31"/>
      <c r="M301" s="31"/>
      <c r="N301" s="31"/>
      <c r="O301" s="31"/>
    </row>
    <row r="302" spans="1:15">
      <c r="A302">
        <v>710702</v>
      </c>
      <c r="C302" t="s">
        <v>103</v>
      </c>
      <c r="K302" s="31"/>
      <c r="L302" s="31"/>
      <c r="M302" s="31"/>
      <c r="N302" s="31"/>
      <c r="O302" s="31"/>
    </row>
    <row r="303" spans="1:15">
      <c r="A303">
        <v>710703</v>
      </c>
      <c r="C303" t="s">
        <v>104</v>
      </c>
      <c r="K303" s="31"/>
      <c r="L303" s="31"/>
      <c r="M303" s="31"/>
      <c r="N303" s="31"/>
      <c r="O303" s="31"/>
    </row>
    <row r="304" spans="1:15">
      <c r="A304">
        <v>710704</v>
      </c>
      <c r="C304" t="s">
        <v>42</v>
      </c>
      <c r="K304" s="31"/>
      <c r="L304" s="31"/>
      <c r="M304" s="31"/>
      <c r="N304" s="31"/>
      <c r="O304" s="31"/>
    </row>
    <row r="305" spans="1:15">
      <c r="A305">
        <v>710706</v>
      </c>
      <c r="C305" t="s">
        <v>106</v>
      </c>
      <c r="K305" s="31"/>
      <c r="L305" s="31"/>
      <c r="M305" s="31"/>
      <c r="N305" s="31"/>
      <c r="O305" s="31"/>
    </row>
    <row r="306" spans="1:15">
      <c r="A306">
        <v>710707</v>
      </c>
      <c r="C306" t="s">
        <v>399</v>
      </c>
      <c r="K306" s="31"/>
      <c r="L306" s="31"/>
      <c r="M306" s="31"/>
      <c r="N306" s="31"/>
      <c r="O306" s="31"/>
    </row>
    <row r="307" spans="1:15">
      <c r="A307">
        <v>710708</v>
      </c>
      <c r="C307" t="s">
        <v>107</v>
      </c>
      <c r="K307" s="31"/>
      <c r="L307" s="31"/>
      <c r="M307" s="31"/>
      <c r="N307" s="31"/>
      <c r="O307" s="31"/>
    </row>
    <row r="308" spans="1:15">
      <c r="A308">
        <v>710709</v>
      </c>
      <c r="C308" t="s">
        <v>108</v>
      </c>
      <c r="K308" s="31"/>
      <c r="L308" s="31"/>
      <c r="M308" s="31"/>
      <c r="N308" s="31"/>
      <c r="O308" s="31"/>
    </row>
    <row r="309" spans="1:15">
      <c r="A309">
        <v>710710</v>
      </c>
      <c r="C309" t="s">
        <v>109</v>
      </c>
      <c r="K309" s="31"/>
      <c r="L309" s="31"/>
      <c r="M309" s="31"/>
      <c r="N309" s="31"/>
      <c r="O309" s="31"/>
    </row>
    <row r="310" spans="1:15">
      <c r="A310">
        <v>710711</v>
      </c>
      <c r="C310" t="s">
        <v>110</v>
      </c>
      <c r="K310" s="31"/>
      <c r="L310" s="31"/>
      <c r="M310" s="31"/>
      <c r="N310" s="31"/>
      <c r="O310" s="31"/>
    </row>
    <row r="311" spans="1:15">
      <c r="K311" s="31"/>
      <c r="L311" s="31"/>
      <c r="M311" s="31"/>
      <c r="N311" s="31"/>
      <c r="O311" s="31"/>
    </row>
    <row r="312" spans="1:15">
      <c r="A312" t="s">
        <v>447</v>
      </c>
      <c r="C312" t="s">
        <v>448</v>
      </c>
      <c r="K312" s="31"/>
      <c r="L312" s="31"/>
      <c r="M312" s="31"/>
      <c r="N312" s="31"/>
      <c r="O312" s="31"/>
    </row>
    <row r="313" spans="1:15">
      <c r="A313">
        <v>730101</v>
      </c>
      <c r="C313" t="s">
        <v>112</v>
      </c>
      <c r="K313" s="31"/>
      <c r="L313" s="31"/>
      <c r="M313" s="31"/>
      <c r="N313" s="31"/>
      <c r="O313" s="31"/>
    </row>
    <row r="314" spans="1:15">
      <c r="A314">
        <v>730102</v>
      </c>
      <c r="C314" t="s">
        <v>113</v>
      </c>
      <c r="K314" s="31"/>
      <c r="L314" s="31"/>
      <c r="M314" s="31"/>
      <c r="N314" s="31"/>
      <c r="O314" s="31"/>
    </row>
    <row r="315" spans="1:15">
      <c r="A315">
        <v>730104</v>
      </c>
      <c r="C315" t="s">
        <v>114</v>
      </c>
      <c r="K315" s="31"/>
      <c r="L315" s="31"/>
      <c r="M315" s="31"/>
      <c r="N315" s="31"/>
      <c r="O315" s="31"/>
    </row>
    <row r="316" spans="1:15">
      <c r="A316">
        <v>730105</v>
      </c>
      <c r="C316" t="s">
        <v>115</v>
      </c>
      <c r="K316" s="31"/>
      <c r="L316" s="31"/>
      <c r="M316" s="31"/>
      <c r="N316" s="31"/>
      <c r="O316" s="31"/>
    </row>
    <row r="317" spans="1:15">
      <c r="A317">
        <v>730106</v>
      </c>
      <c r="C317" t="s">
        <v>59</v>
      </c>
      <c r="K317" s="31"/>
      <c r="L317" s="31"/>
      <c r="M317" s="31"/>
      <c r="N317" s="31"/>
      <c r="O317" s="31"/>
    </row>
    <row r="318" spans="1:15">
      <c r="A318">
        <v>730201</v>
      </c>
      <c r="C318" t="s">
        <v>116</v>
      </c>
      <c r="K318" s="31"/>
      <c r="L318" s="31"/>
      <c r="M318" s="31"/>
      <c r="N318" s="31"/>
      <c r="O318" s="31"/>
    </row>
    <row r="319" spans="1:15">
      <c r="A319">
        <v>730202</v>
      </c>
      <c r="C319" t="s">
        <v>117</v>
      </c>
      <c r="K319" s="31"/>
      <c r="L319" s="31"/>
      <c r="M319" s="31"/>
      <c r="N319" s="31"/>
      <c r="O319" s="31"/>
    </row>
    <row r="320" spans="1:15">
      <c r="A320">
        <v>730203</v>
      </c>
      <c r="C320" t="s">
        <v>118</v>
      </c>
      <c r="K320" s="31"/>
      <c r="L320" s="31"/>
      <c r="M320" s="31"/>
      <c r="N320" s="31"/>
      <c r="O320" s="31"/>
    </row>
    <row r="321" spans="1:15">
      <c r="A321">
        <v>730204</v>
      </c>
      <c r="C321" t="s">
        <v>404</v>
      </c>
      <c r="K321" s="31"/>
      <c r="L321" s="31"/>
      <c r="M321" s="31"/>
      <c r="N321" s="31"/>
      <c r="O321" s="31"/>
    </row>
    <row r="322" spans="1:15">
      <c r="A322">
        <v>730205</v>
      </c>
      <c r="C322" t="s">
        <v>119</v>
      </c>
      <c r="K322" s="31"/>
      <c r="L322" s="31"/>
      <c r="M322" s="31"/>
      <c r="N322" s="31"/>
      <c r="O322" s="31"/>
    </row>
    <row r="323" spans="1:15">
      <c r="A323">
        <v>730207</v>
      </c>
      <c r="C323" t="s">
        <v>52</v>
      </c>
      <c r="K323" s="31"/>
      <c r="L323" s="31"/>
      <c r="M323" s="31"/>
      <c r="N323" s="31"/>
      <c r="O323" s="31"/>
    </row>
    <row r="324" spans="1:15">
      <c r="A324">
        <v>730208</v>
      </c>
      <c r="C324" t="s">
        <v>120</v>
      </c>
      <c r="K324" s="31"/>
      <c r="L324" s="31"/>
      <c r="M324" s="31"/>
      <c r="N324" s="31"/>
      <c r="O324" s="31"/>
    </row>
    <row r="325" spans="1:15">
      <c r="A325">
        <v>730209</v>
      </c>
      <c r="C325" t="s">
        <v>405</v>
      </c>
      <c r="K325" s="31"/>
      <c r="L325" s="31"/>
      <c r="M325" s="31"/>
      <c r="N325" s="31"/>
      <c r="O325" s="31"/>
    </row>
    <row r="326" spans="1:15">
      <c r="A326">
        <v>730210</v>
      </c>
      <c r="C326" t="s">
        <v>121</v>
      </c>
      <c r="K326" s="31"/>
      <c r="L326" s="31"/>
      <c r="M326" s="31"/>
      <c r="N326" s="31"/>
      <c r="O326" s="31"/>
    </row>
    <row r="327" spans="1:15">
      <c r="A327">
        <v>730216</v>
      </c>
      <c r="C327" t="s">
        <v>123</v>
      </c>
      <c r="K327" s="31"/>
      <c r="L327" s="31"/>
      <c r="M327" s="31"/>
      <c r="N327" s="31"/>
      <c r="O327" s="31"/>
    </row>
    <row r="328" spans="1:15">
      <c r="A328">
        <v>730220</v>
      </c>
      <c r="C328" t="s">
        <v>406</v>
      </c>
      <c r="K328" s="31"/>
      <c r="L328" s="31"/>
      <c r="M328" s="31"/>
      <c r="N328" s="31"/>
      <c r="O328" s="31"/>
    </row>
    <row r="329" spans="1:15">
      <c r="A329">
        <v>730221</v>
      </c>
      <c r="C329" t="s">
        <v>124</v>
      </c>
      <c r="K329" s="31"/>
      <c r="L329" s="31"/>
      <c r="M329" s="31"/>
      <c r="N329" s="31"/>
      <c r="O329" s="31"/>
    </row>
    <row r="330" spans="1:15">
      <c r="A330">
        <v>730222</v>
      </c>
      <c r="C330" t="s">
        <v>125</v>
      </c>
      <c r="K330" s="31"/>
      <c r="L330" s="31"/>
      <c r="M330" s="31"/>
      <c r="N330" s="31"/>
      <c r="O330" s="31"/>
    </row>
    <row r="331" spans="1:15">
      <c r="A331">
        <v>730224</v>
      </c>
      <c r="C331" t="s">
        <v>286</v>
      </c>
      <c r="K331" s="31"/>
      <c r="L331" s="31"/>
      <c r="M331" s="31"/>
      <c r="N331" s="31"/>
      <c r="O331" s="31"/>
    </row>
    <row r="332" spans="1:15">
      <c r="A332">
        <v>730225</v>
      </c>
      <c r="C332" t="s">
        <v>449</v>
      </c>
      <c r="K332" s="31"/>
      <c r="L332" s="31"/>
      <c r="M332" s="31"/>
      <c r="N332" s="31"/>
      <c r="O332" s="31"/>
    </row>
    <row r="333" spans="1:15">
      <c r="A333">
        <v>730226</v>
      </c>
      <c r="C333" t="s">
        <v>127</v>
      </c>
      <c r="K333" s="31"/>
      <c r="L333" s="31"/>
      <c r="M333" s="31"/>
      <c r="N333" s="31"/>
      <c r="O333" s="31"/>
    </row>
    <row r="334" spans="1:15">
      <c r="A334">
        <v>730228</v>
      </c>
      <c r="C334" t="s">
        <v>129</v>
      </c>
      <c r="K334" s="31"/>
      <c r="L334" s="31"/>
      <c r="M334" s="31"/>
      <c r="N334" s="31"/>
      <c r="O334" s="31"/>
    </row>
    <row r="335" spans="1:15">
      <c r="A335">
        <v>730230</v>
      </c>
      <c r="C335" t="s">
        <v>131</v>
      </c>
      <c r="K335" s="31"/>
      <c r="L335" s="31"/>
      <c r="M335" s="31"/>
      <c r="N335" s="31"/>
      <c r="O335" s="31"/>
    </row>
    <row r="336" spans="1:15">
      <c r="A336">
        <v>730232</v>
      </c>
      <c r="C336" t="s">
        <v>133</v>
      </c>
      <c r="K336" s="31"/>
      <c r="L336" s="31"/>
      <c r="M336" s="31"/>
      <c r="N336" s="31"/>
      <c r="O336" s="31"/>
    </row>
    <row r="337" spans="1:15">
      <c r="A337">
        <v>730233</v>
      </c>
      <c r="C337" t="s">
        <v>134</v>
      </c>
      <c r="K337" s="31"/>
      <c r="L337" s="31"/>
      <c r="M337" s="31"/>
      <c r="N337" s="31"/>
      <c r="O337" s="31"/>
    </row>
    <row r="338" spans="1:15">
      <c r="A338">
        <v>730235</v>
      </c>
      <c r="C338" t="s">
        <v>136</v>
      </c>
      <c r="K338" s="31"/>
      <c r="L338" s="31"/>
      <c r="M338" s="31"/>
      <c r="N338" s="31"/>
      <c r="O338" s="31"/>
    </row>
    <row r="339" spans="1:15">
      <c r="A339">
        <v>730236</v>
      </c>
      <c r="C339" t="s">
        <v>137</v>
      </c>
      <c r="K339" s="31"/>
      <c r="L339" s="31"/>
      <c r="M339" s="31"/>
      <c r="N339" s="31"/>
      <c r="O339" s="31"/>
    </row>
    <row r="340" spans="1:15">
      <c r="A340">
        <v>730237</v>
      </c>
      <c r="C340" t="s">
        <v>138</v>
      </c>
      <c r="K340" s="31"/>
      <c r="L340" s="31"/>
      <c r="M340" s="31"/>
      <c r="N340" s="31"/>
      <c r="O340" s="31"/>
    </row>
    <row r="341" spans="1:15">
      <c r="A341">
        <v>730239</v>
      </c>
      <c r="C341" t="s">
        <v>140</v>
      </c>
      <c r="K341" s="31"/>
      <c r="L341" s="31"/>
      <c r="M341" s="31"/>
      <c r="N341" s="31"/>
      <c r="O341" s="31"/>
    </row>
    <row r="342" spans="1:15">
      <c r="A342">
        <v>730241</v>
      </c>
      <c r="C342" t="s">
        <v>142</v>
      </c>
      <c r="K342" s="31"/>
      <c r="L342" s="31"/>
      <c r="M342" s="31"/>
      <c r="N342" s="31"/>
      <c r="O342" s="31"/>
    </row>
    <row r="343" spans="1:15">
      <c r="A343">
        <v>730242</v>
      </c>
      <c r="C343" t="s">
        <v>408</v>
      </c>
      <c r="K343" s="31"/>
      <c r="L343" s="31"/>
      <c r="M343" s="31"/>
      <c r="N343" s="31"/>
      <c r="O343" s="31"/>
    </row>
    <row r="344" spans="1:15">
      <c r="A344">
        <v>730243</v>
      </c>
      <c r="C344" t="s">
        <v>143</v>
      </c>
      <c r="K344" s="31"/>
      <c r="L344" s="31"/>
      <c r="M344" s="31"/>
      <c r="N344" s="31"/>
      <c r="O344" s="31"/>
    </row>
    <row r="345" spans="1:15">
      <c r="A345">
        <v>730245</v>
      </c>
      <c r="C345" t="s">
        <v>145</v>
      </c>
      <c r="K345" s="31"/>
      <c r="L345" s="31"/>
      <c r="M345" s="31"/>
      <c r="N345" s="31"/>
      <c r="O345" s="31"/>
    </row>
    <row r="346" spans="1:15">
      <c r="A346">
        <v>730248</v>
      </c>
      <c r="C346" t="s">
        <v>148</v>
      </c>
      <c r="K346" s="31"/>
      <c r="L346" s="31"/>
      <c r="M346" s="31"/>
      <c r="N346" s="31"/>
      <c r="O346" s="31"/>
    </row>
    <row r="347" spans="1:15">
      <c r="A347">
        <v>730249</v>
      </c>
      <c r="C347" t="s">
        <v>63</v>
      </c>
      <c r="K347" s="31"/>
      <c r="L347" s="31"/>
      <c r="M347" s="31"/>
      <c r="N347" s="31"/>
      <c r="O347" s="31"/>
    </row>
    <row r="348" spans="1:15">
      <c r="A348">
        <v>730253</v>
      </c>
      <c r="C348" t="s">
        <v>152</v>
      </c>
      <c r="K348" s="31"/>
      <c r="L348" s="31"/>
      <c r="M348" s="31"/>
      <c r="N348" s="31"/>
      <c r="O348" s="31"/>
    </row>
    <row r="349" spans="1:15">
      <c r="A349">
        <v>730301</v>
      </c>
      <c r="C349" t="s">
        <v>60</v>
      </c>
      <c r="K349" s="31"/>
      <c r="L349" s="31"/>
      <c r="M349" s="31"/>
      <c r="N349" s="31"/>
      <c r="O349" s="31"/>
    </row>
    <row r="350" spans="1:15">
      <c r="A350">
        <v>730302</v>
      </c>
      <c r="C350" t="s">
        <v>153</v>
      </c>
      <c r="K350" s="31"/>
      <c r="L350" s="31"/>
      <c r="M350" s="31"/>
      <c r="N350" s="31"/>
      <c r="O350" s="31"/>
    </row>
    <row r="351" spans="1:15">
      <c r="A351">
        <v>730303</v>
      </c>
      <c r="C351" t="s">
        <v>57</v>
      </c>
      <c r="K351" s="31"/>
      <c r="L351" s="31"/>
      <c r="M351" s="31"/>
      <c r="N351" s="31"/>
      <c r="O351" s="31"/>
    </row>
    <row r="352" spans="1:15">
      <c r="A352">
        <v>730304</v>
      </c>
      <c r="C352" t="s">
        <v>70</v>
      </c>
      <c r="K352" s="31"/>
      <c r="L352" s="31"/>
      <c r="M352" s="31"/>
      <c r="N352" s="31"/>
      <c r="O352" s="31"/>
    </row>
    <row r="353" spans="1:15">
      <c r="A353">
        <v>730306</v>
      </c>
      <c r="C353" t="s">
        <v>155</v>
      </c>
      <c r="K353" s="31"/>
      <c r="L353" s="31"/>
      <c r="M353" s="31"/>
      <c r="N353" s="31"/>
      <c r="O353" s="31"/>
    </row>
    <row r="354" spans="1:15">
      <c r="A354">
        <v>730307</v>
      </c>
      <c r="C354" t="s">
        <v>156</v>
      </c>
      <c r="K354" s="31"/>
      <c r="L354" s="31"/>
      <c r="M354" s="31"/>
      <c r="N354" s="31"/>
      <c r="O354" s="31"/>
    </row>
    <row r="355" spans="1:15">
      <c r="A355">
        <v>730308</v>
      </c>
      <c r="C355" t="s">
        <v>157</v>
      </c>
      <c r="K355" s="31"/>
      <c r="L355" s="31"/>
      <c r="M355" s="31"/>
      <c r="N355" s="31"/>
      <c r="O355" s="31"/>
    </row>
    <row r="356" spans="1:15">
      <c r="A356">
        <v>730401</v>
      </c>
      <c r="C356" t="s">
        <v>159</v>
      </c>
      <c r="K356" s="31"/>
      <c r="L356" s="31"/>
      <c r="M356" s="31"/>
      <c r="N356" s="31"/>
      <c r="O356" s="31"/>
    </row>
    <row r="357" spans="1:15">
      <c r="A357">
        <v>730402</v>
      </c>
      <c r="C357" t="s">
        <v>287</v>
      </c>
      <c r="K357" s="31"/>
      <c r="L357" s="31"/>
      <c r="M357" s="31"/>
      <c r="N357" s="31"/>
      <c r="O357" s="31"/>
    </row>
    <row r="358" spans="1:15">
      <c r="A358">
        <v>730403</v>
      </c>
      <c r="C358" t="s">
        <v>288</v>
      </c>
      <c r="K358" s="31"/>
      <c r="L358" s="31"/>
      <c r="M358" s="31"/>
      <c r="N358" s="31"/>
      <c r="O358" s="31"/>
    </row>
    <row r="359" spans="1:15">
      <c r="A359">
        <v>730404</v>
      </c>
      <c r="C359" t="s">
        <v>61</v>
      </c>
      <c r="K359" s="31"/>
      <c r="L359" s="31"/>
      <c r="M359" s="31"/>
      <c r="N359" s="31"/>
      <c r="O359" s="31"/>
    </row>
    <row r="360" spans="1:15">
      <c r="A360">
        <v>730405</v>
      </c>
      <c r="C360" t="s">
        <v>161</v>
      </c>
      <c r="K360" s="31"/>
      <c r="L360" s="31"/>
      <c r="M360" s="31"/>
      <c r="N360" s="31"/>
      <c r="O360" s="31"/>
    </row>
    <row r="361" spans="1:15">
      <c r="A361">
        <v>730406</v>
      </c>
      <c r="C361" t="s">
        <v>162</v>
      </c>
      <c r="K361" s="31"/>
      <c r="L361" s="31"/>
      <c r="M361" s="31"/>
      <c r="N361" s="31"/>
      <c r="O361" s="31"/>
    </row>
    <row r="362" spans="1:15">
      <c r="A362">
        <v>730415</v>
      </c>
      <c r="C362" t="s">
        <v>442</v>
      </c>
      <c r="K362" s="31"/>
      <c r="L362" s="31"/>
      <c r="M362" s="31"/>
      <c r="N362" s="31"/>
      <c r="O362" s="31"/>
    </row>
    <row r="363" spans="1:15">
      <c r="A363">
        <v>730417</v>
      </c>
      <c r="C363" t="s">
        <v>167</v>
      </c>
      <c r="K363" s="31"/>
      <c r="L363" s="31"/>
      <c r="M363" s="31"/>
      <c r="N363" s="31"/>
      <c r="O363" s="31"/>
    </row>
    <row r="364" spans="1:15">
      <c r="A364">
        <v>730418</v>
      </c>
      <c r="C364" t="s">
        <v>168</v>
      </c>
      <c r="K364" s="31"/>
      <c r="L364" s="31"/>
      <c r="M364" s="31"/>
      <c r="N364" s="31"/>
      <c r="O364" s="31"/>
    </row>
    <row r="365" spans="1:15">
      <c r="A365">
        <v>730419</v>
      </c>
      <c r="C365" t="s">
        <v>289</v>
      </c>
      <c r="K365" s="31"/>
      <c r="L365" s="31"/>
      <c r="M365" s="31"/>
      <c r="N365" s="31"/>
      <c r="O365" s="31"/>
    </row>
    <row r="366" spans="1:15">
      <c r="A366">
        <v>730425</v>
      </c>
      <c r="C366" t="s">
        <v>170</v>
      </c>
      <c r="K366" s="31"/>
      <c r="L366" s="31"/>
      <c r="M366" s="31"/>
      <c r="N366" s="31"/>
      <c r="O366" s="31"/>
    </row>
    <row r="367" spans="1:15">
      <c r="A367">
        <v>730426</v>
      </c>
      <c r="C367" t="s">
        <v>171</v>
      </c>
      <c r="K367" s="31"/>
      <c r="L367" s="31"/>
      <c r="M367" s="31"/>
      <c r="N367" s="31"/>
      <c r="O367" s="31"/>
    </row>
    <row r="368" spans="1:15">
      <c r="A368">
        <v>730501</v>
      </c>
      <c r="C368" t="s">
        <v>172</v>
      </c>
      <c r="K368" s="31"/>
      <c r="L368" s="31"/>
      <c r="M368" s="31"/>
      <c r="N368" s="31"/>
      <c r="O368" s="31"/>
    </row>
    <row r="369" spans="1:15">
      <c r="A369">
        <v>730502</v>
      </c>
      <c r="C369" t="s">
        <v>290</v>
      </c>
      <c r="K369" s="31"/>
      <c r="L369" s="31"/>
      <c r="M369" s="31"/>
      <c r="N369" s="31"/>
      <c r="O369" s="31"/>
    </row>
    <row r="370" spans="1:15">
      <c r="A370">
        <v>730503</v>
      </c>
      <c r="C370" t="s">
        <v>173</v>
      </c>
      <c r="K370" s="31"/>
      <c r="L370" s="31"/>
      <c r="M370" s="31"/>
      <c r="N370" s="31"/>
      <c r="O370" s="31"/>
    </row>
    <row r="371" spans="1:15">
      <c r="A371">
        <v>730504</v>
      </c>
      <c r="C371" t="s">
        <v>174</v>
      </c>
      <c r="K371" s="31"/>
      <c r="L371" s="31"/>
      <c r="M371" s="31"/>
      <c r="N371" s="31"/>
      <c r="O371" s="31"/>
    </row>
    <row r="372" spans="1:15">
      <c r="A372">
        <v>730505</v>
      </c>
      <c r="C372" t="s">
        <v>175</v>
      </c>
      <c r="K372" s="31"/>
      <c r="L372" s="31"/>
      <c r="M372" s="31"/>
      <c r="N372" s="31"/>
      <c r="O372" s="31"/>
    </row>
    <row r="373" spans="1:15">
      <c r="A373">
        <v>730506</v>
      </c>
      <c r="C373" t="s">
        <v>176</v>
      </c>
      <c r="K373" s="31"/>
      <c r="L373" s="31"/>
      <c r="M373" s="31"/>
      <c r="N373" s="31"/>
      <c r="O373" s="31"/>
    </row>
    <row r="374" spans="1:15">
      <c r="A374">
        <v>730515</v>
      </c>
      <c r="C374" t="s">
        <v>291</v>
      </c>
      <c r="K374" s="31"/>
      <c r="L374" s="31"/>
      <c r="M374" s="31"/>
      <c r="N374" s="31"/>
      <c r="O374" s="31"/>
    </row>
    <row r="375" spans="1:15">
      <c r="A375">
        <v>730601</v>
      </c>
      <c r="C375" t="s">
        <v>178</v>
      </c>
      <c r="K375" s="31"/>
      <c r="L375" s="31"/>
      <c r="M375" s="31"/>
      <c r="N375" s="31"/>
      <c r="O375" s="31"/>
    </row>
    <row r="376" spans="1:15">
      <c r="A376">
        <v>730602</v>
      </c>
      <c r="C376" t="s">
        <v>179</v>
      </c>
      <c r="K376" s="31"/>
      <c r="L376" s="31"/>
      <c r="M376" s="31"/>
      <c r="N376" s="31"/>
      <c r="O376" s="31"/>
    </row>
    <row r="377" spans="1:15">
      <c r="A377">
        <v>730604</v>
      </c>
      <c r="C377" t="s">
        <v>180</v>
      </c>
      <c r="K377" s="31"/>
      <c r="L377" s="31"/>
      <c r="M377" s="31"/>
      <c r="N377" s="31"/>
      <c r="O377" s="31"/>
    </row>
    <row r="378" spans="1:15">
      <c r="A378">
        <v>730605</v>
      </c>
      <c r="C378" t="s">
        <v>181</v>
      </c>
      <c r="K378" s="31"/>
      <c r="L378" s="31"/>
      <c r="M378" s="31"/>
      <c r="N378" s="31"/>
      <c r="O378" s="31"/>
    </row>
    <row r="379" spans="1:15">
      <c r="A379">
        <v>730606</v>
      </c>
      <c r="C379" t="s">
        <v>182</v>
      </c>
      <c r="K379" s="31"/>
      <c r="L379" s="31"/>
      <c r="M379" s="31"/>
      <c r="N379" s="31"/>
      <c r="O379" s="31"/>
    </row>
    <row r="380" spans="1:15">
      <c r="A380">
        <v>730607</v>
      </c>
      <c r="C380" t="s">
        <v>183</v>
      </c>
      <c r="K380" s="31"/>
      <c r="L380" s="31"/>
      <c r="M380" s="31"/>
      <c r="N380" s="31"/>
      <c r="O380" s="31"/>
    </row>
    <row r="381" spans="1:15">
      <c r="A381">
        <v>730608</v>
      </c>
      <c r="C381" t="s">
        <v>292</v>
      </c>
      <c r="K381" s="31"/>
      <c r="L381" s="31"/>
      <c r="M381" s="31"/>
      <c r="N381" s="31"/>
      <c r="O381" s="31"/>
    </row>
    <row r="382" spans="1:15">
      <c r="A382">
        <v>730609</v>
      </c>
      <c r="C382" t="s">
        <v>185</v>
      </c>
      <c r="K382" s="31"/>
      <c r="L382" s="31"/>
      <c r="M382" s="31"/>
      <c r="N382" s="31"/>
      <c r="O382" s="31"/>
    </row>
    <row r="383" spans="1:15">
      <c r="A383">
        <v>730610</v>
      </c>
      <c r="C383" t="s">
        <v>186</v>
      </c>
      <c r="K383" s="31"/>
      <c r="L383" s="31"/>
      <c r="M383" s="31"/>
      <c r="N383" s="31"/>
      <c r="O383" s="31"/>
    </row>
    <row r="384" spans="1:15">
      <c r="A384">
        <v>730612</v>
      </c>
      <c r="C384" t="s">
        <v>187</v>
      </c>
      <c r="K384" s="31"/>
      <c r="L384" s="31"/>
      <c r="M384" s="31"/>
      <c r="N384" s="31"/>
      <c r="O384" s="31"/>
    </row>
    <row r="385" spans="1:15">
      <c r="A385">
        <v>730613</v>
      </c>
      <c r="C385" t="s">
        <v>188</v>
      </c>
      <c r="K385" s="31"/>
      <c r="L385" s="31"/>
      <c r="M385" s="31"/>
      <c r="N385" s="31"/>
      <c r="O385" s="31"/>
    </row>
    <row r="386" spans="1:15">
      <c r="A386">
        <v>730701</v>
      </c>
      <c r="C386" t="s">
        <v>450</v>
      </c>
      <c r="K386" s="31"/>
      <c r="L386" s="31"/>
      <c r="M386" s="31"/>
      <c r="N386" s="31"/>
      <c r="O386" s="31"/>
    </row>
    <row r="387" spans="1:15">
      <c r="A387">
        <v>730702</v>
      </c>
      <c r="C387" t="s">
        <v>55</v>
      </c>
      <c r="K387" s="31"/>
      <c r="L387" s="31"/>
      <c r="M387" s="31"/>
      <c r="N387" s="31"/>
      <c r="O387" s="31"/>
    </row>
    <row r="388" spans="1:15">
      <c r="A388">
        <v>730703</v>
      </c>
      <c r="C388" t="s">
        <v>189</v>
      </c>
      <c r="K388" s="31"/>
      <c r="L388" s="31"/>
      <c r="M388" s="31"/>
      <c r="N388" s="31"/>
      <c r="O388" s="31"/>
    </row>
    <row r="389" spans="1:15">
      <c r="A389">
        <v>730704</v>
      </c>
      <c r="C389" t="s">
        <v>190</v>
      </c>
      <c r="K389" s="31"/>
      <c r="L389" s="31"/>
      <c r="M389" s="31"/>
      <c r="N389" s="31"/>
      <c r="O389" s="31"/>
    </row>
    <row r="390" spans="1:15">
      <c r="A390">
        <v>730801</v>
      </c>
      <c r="C390" t="s">
        <v>58</v>
      </c>
      <c r="K390" s="31"/>
      <c r="L390" s="31"/>
      <c r="M390" s="31"/>
      <c r="N390" s="31"/>
      <c r="O390" s="31"/>
    </row>
    <row r="391" spans="1:15">
      <c r="A391">
        <v>730802</v>
      </c>
      <c r="C391" t="s">
        <v>412</v>
      </c>
      <c r="K391" s="31"/>
      <c r="L391" s="31"/>
      <c r="M391" s="31"/>
      <c r="N391" s="31"/>
      <c r="O391" s="31"/>
    </row>
    <row r="392" spans="1:15">
      <c r="A392">
        <v>730803</v>
      </c>
      <c r="C392" t="s">
        <v>50</v>
      </c>
      <c r="K392" s="31"/>
      <c r="L392" s="31"/>
      <c r="M392" s="31"/>
      <c r="N392" s="31"/>
      <c r="O392" s="31"/>
    </row>
    <row r="393" spans="1:15">
      <c r="A393">
        <v>730804</v>
      </c>
      <c r="C393" t="s">
        <v>62</v>
      </c>
      <c r="K393" s="31"/>
      <c r="L393" s="31"/>
      <c r="M393" s="31"/>
      <c r="N393" s="31"/>
      <c r="O393" s="31"/>
    </row>
    <row r="394" spans="1:15">
      <c r="A394">
        <v>730805</v>
      </c>
      <c r="C394" t="s">
        <v>68</v>
      </c>
      <c r="K394" s="31"/>
      <c r="L394" s="31"/>
      <c r="M394" s="31"/>
      <c r="N394" s="31"/>
      <c r="O394" s="31"/>
    </row>
    <row r="395" spans="1:15">
      <c r="A395">
        <v>730807</v>
      </c>
      <c r="C395" t="s">
        <v>191</v>
      </c>
      <c r="K395" s="31"/>
      <c r="L395" s="31"/>
      <c r="M395" s="31"/>
      <c r="N395" s="31"/>
      <c r="O395" s="31"/>
    </row>
    <row r="396" spans="1:15">
      <c r="A396">
        <v>730808</v>
      </c>
      <c r="C396" t="s">
        <v>192</v>
      </c>
      <c r="K396" s="31"/>
      <c r="L396" s="31"/>
      <c r="M396" s="31"/>
      <c r="N396" s="31"/>
      <c r="O396" s="31"/>
    </row>
    <row r="397" spans="1:15">
      <c r="A397">
        <v>730809</v>
      </c>
      <c r="C397" t="s">
        <v>451</v>
      </c>
      <c r="K397" s="31"/>
      <c r="L397" s="31"/>
      <c r="M397" s="31"/>
      <c r="N397" s="31"/>
      <c r="O397" s="31"/>
    </row>
    <row r="398" spans="1:15">
      <c r="A398">
        <v>730810</v>
      </c>
      <c r="C398" t="s">
        <v>193</v>
      </c>
      <c r="K398" s="31"/>
      <c r="L398" s="31"/>
      <c r="M398" s="31"/>
      <c r="N398" s="31"/>
      <c r="O398" s="31"/>
    </row>
    <row r="399" spans="1:15">
      <c r="A399">
        <v>730811</v>
      </c>
      <c r="C399" t="s">
        <v>415</v>
      </c>
      <c r="K399" s="31"/>
      <c r="L399" s="31"/>
      <c r="M399" s="31"/>
      <c r="N399" s="31"/>
      <c r="O399" s="31"/>
    </row>
    <row r="400" spans="1:15">
      <c r="A400">
        <v>730812</v>
      </c>
      <c r="C400" t="s">
        <v>416</v>
      </c>
      <c r="K400" s="31"/>
      <c r="L400" s="31"/>
      <c r="M400" s="31"/>
      <c r="N400" s="31"/>
      <c r="O400" s="31"/>
    </row>
    <row r="401" spans="1:15">
      <c r="A401">
        <v>730813</v>
      </c>
      <c r="C401" t="s">
        <v>56</v>
      </c>
      <c r="K401" s="31"/>
      <c r="L401" s="31"/>
      <c r="M401" s="31"/>
      <c r="N401" s="31"/>
      <c r="O401" s="31"/>
    </row>
    <row r="402" spans="1:15">
      <c r="A402">
        <v>730814</v>
      </c>
      <c r="C402" t="s">
        <v>194</v>
      </c>
      <c r="K402" s="31"/>
      <c r="L402" s="31"/>
      <c r="M402" s="31"/>
      <c r="N402" s="31"/>
      <c r="O402" s="31"/>
    </row>
    <row r="403" spans="1:15">
      <c r="A403">
        <v>730817</v>
      </c>
      <c r="C403" t="s">
        <v>197</v>
      </c>
      <c r="K403" s="31"/>
      <c r="L403" s="31"/>
      <c r="M403" s="31"/>
      <c r="N403" s="31"/>
      <c r="O403" s="31"/>
    </row>
    <row r="404" spans="1:15">
      <c r="A404">
        <v>730819</v>
      </c>
      <c r="C404" t="s">
        <v>198</v>
      </c>
      <c r="K404" s="31"/>
      <c r="L404" s="31"/>
      <c r="M404" s="31"/>
      <c r="N404" s="31"/>
      <c r="O404" s="31"/>
    </row>
    <row r="405" spans="1:15">
      <c r="A405">
        <v>730820</v>
      </c>
      <c r="C405" t="s">
        <v>417</v>
      </c>
      <c r="K405" s="31"/>
      <c r="L405" s="31"/>
      <c r="M405" s="31"/>
      <c r="N405" s="31"/>
      <c r="O405" s="31"/>
    </row>
    <row r="406" spans="1:15">
      <c r="A406">
        <v>730821</v>
      </c>
      <c r="C406" t="s">
        <v>199</v>
      </c>
      <c r="K406" s="31"/>
      <c r="L406" s="31"/>
      <c r="M406" s="31"/>
      <c r="N406" s="31"/>
      <c r="O406" s="31"/>
    </row>
    <row r="407" spans="1:15">
      <c r="A407">
        <v>730823</v>
      </c>
      <c r="C407" t="s">
        <v>200</v>
      </c>
      <c r="K407" s="31"/>
      <c r="L407" s="31"/>
      <c r="M407" s="31"/>
      <c r="N407" s="31"/>
      <c r="O407" s="31"/>
    </row>
    <row r="408" spans="1:15">
      <c r="A408">
        <v>730824</v>
      </c>
      <c r="C408" t="s">
        <v>452</v>
      </c>
      <c r="K408" s="31"/>
      <c r="L408" s="31"/>
      <c r="M408" s="31"/>
      <c r="N408" s="31"/>
      <c r="O408" s="31"/>
    </row>
    <row r="409" spans="1:15">
      <c r="A409">
        <v>730825</v>
      </c>
      <c r="C409" t="s">
        <v>293</v>
      </c>
      <c r="K409" s="31"/>
      <c r="L409" s="31"/>
      <c r="M409" s="31"/>
      <c r="N409" s="31"/>
      <c r="O409" s="31"/>
    </row>
    <row r="410" spans="1:15">
      <c r="A410">
        <v>730826</v>
      </c>
      <c r="C410" t="s">
        <v>202</v>
      </c>
      <c r="K410" s="31"/>
      <c r="L410" s="31"/>
      <c r="M410" s="31"/>
      <c r="N410" s="31"/>
      <c r="O410" s="31"/>
    </row>
    <row r="411" spans="1:15">
      <c r="A411">
        <v>730827</v>
      </c>
      <c r="C411" t="s">
        <v>203</v>
      </c>
      <c r="K411" s="31"/>
      <c r="L411" s="31"/>
      <c r="M411" s="31"/>
      <c r="N411" s="31"/>
      <c r="O411" s="31"/>
    </row>
    <row r="412" spans="1:15">
      <c r="A412">
        <v>730829</v>
      </c>
      <c r="C412" t="s">
        <v>205</v>
      </c>
      <c r="K412" s="31"/>
      <c r="L412" s="31"/>
      <c r="M412" s="31"/>
      <c r="N412" s="31"/>
      <c r="O412" s="31"/>
    </row>
    <row r="413" spans="1:15">
      <c r="A413">
        <v>730832</v>
      </c>
      <c r="C413" t="s">
        <v>420</v>
      </c>
      <c r="K413" s="31"/>
      <c r="L413" s="31"/>
      <c r="M413" s="31"/>
      <c r="N413" s="31"/>
      <c r="O413" s="31"/>
    </row>
    <row r="414" spans="1:15">
      <c r="A414">
        <v>730833</v>
      </c>
      <c r="C414" t="s">
        <v>206</v>
      </c>
      <c r="K414" s="31"/>
      <c r="L414" s="31"/>
      <c r="M414" s="31"/>
      <c r="N414" s="31"/>
      <c r="O414" s="31"/>
    </row>
    <row r="415" spans="1:15">
      <c r="A415">
        <v>730834</v>
      </c>
      <c r="C415" t="s">
        <v>422</v>
      </c>
      <c r="K415" s="31"/>
      <c r="L415" s="31"/>
      <c r="M415" s="31"/>
      <c r="N415" s="31"/>
      <c r="O415" s="31"/>
    </row>
    <row r="416" spans="1:15">
      <c r="A416">
        <v>730836</v>
      </c>
      <c r="C416" t="s">
        <v>207</v>
      </c>
      <c r="K416" s="31"/>
      <c r="L416" s="31"/>
      <c r="M416" s="31"/>
      <c r="N416" s="31"/>
      <c r="O416" s="31"/>
    </row>
    <row r="417" spans="1:15">
      <c r="A417">
        <v>730845</v>
      </c>
      <c r="C417" t="s">
        <v>208</v>
      </c>
      <c r="K417" s="31"/>
      <c r="L417" s="31"/>
      <c r="M417" s="31"/>
      <c r="N417" s="31"/>
      <c r="O417" s="31"/>
    </row>
    <row r="418" spans="1:15">
      <c r="A418">
        <v>730846</v>
      </c>
      <c r="C418" t="s">
        <v>209</v>
      </c>
      <c r="K418" s="31"/>
      <c r="L418" s="31"/>
      <c r="M418" s="31"/>
      <c r="N418" s="31"/>
      <c r="O418" s="31"/>
    </row>
    <row r="419" spans="1:15">
      <c r="A419">
        <v>731002</v>
      </c>
      <c r="C419" t="s">
        <v>294</v>
      </c>
      <c r="K419" s="31"/>
      <c r="L419" s="31"/>
      <c r="M419" s="31"/>
      <c r="N419" s="31"/>
      <c r="O419" s="31"/>
    </row>
    <row r="420" spans="1:15">
      <c r="A420">
        <v>731403</v>
      </c>
      <c r="C420" t="s">
        <v>439</v>
      </c>
      <c r="K420" s="31"/>
      <c r="L420" s="31"/>
      <c r="M420" s="31"/>
      <c r="N420" s="31"/>
      <c r="O420" s="31"/>
    </row>
    <row r="421" spans="1:15">
      <c r="A421">
        <v>731404</v>
      </c>
      <c r="C421" t="s">
        <v>213</v>
      </c>
      <c r="K421" s="31"/>
      <c r="L421" s="31"/>
      <c r="M421" s="31"/>
      <c r="N421" s="31"/>
      <c r="O421" s="31"/>
    </row>
    <row r="422" spans="1:15">
      <c r="A422">
        <v>731406</v>
      </c>
      <c r="C422" t="s">
        <v>441</v>
      </c>
      <c r="K422" s="31"/>
      <c r="L422" s="31"/>
      <c r="M422" s="31"/>
      <c r="N422" s="31"/>
      <c r="O422" s="31"/>
    </row>
    <row r="423" spans="1:15">
      <c r="A423">
        <v>731407</v>
      </c>
      <c r="C423" t="s">
        <v>214</v>
      </c>
      <c r="K423" s="31"/>
      <c r="L423" s="31"/>
      <c r="M423" s="31"/>
      <c r="N423" s="31"/>
      <c r="O423" s="31"/>
    </row>
    <row r="424" spans="1:15">
      <c r="A424">
        <v>731408</v>
      </c>
      <c r="C424" t="s">
        <v>295</v>
      </c>
      <c r="K424" s="31"/>
      <c r="L424" s="31"/>
      <c r="M424" s="31"/>
      <c r="N424" s="31"/>
      <c r="O424" s="31"/>
    </row>
    <row r="425" spans="1:15">
      <c r="A425">
        <v>731409</v>
      </c>
      <c r="C425" t="s">
        <v>164</v>
      </c>
      <c r="K425" s="31"/>
      <c r="L425" s="31"/>
      <c r="M425" s="31"/>
      <c r="N425" s="31"/>
      <c r="O425" s="31"/>
    </row>
    <row r="426" spans="1:15">
      <c r="A426">
        <v>731411</v>
      </c>
      <c r="C426" t="s">
        <v>216</v>
      </c>
      <c r="K426" s="31"/>
      <c r="L426" s="31"/>
      <c r="M426" s="31"/>
      <c r="N426" s="31"/>
      <c r="O426" s="31"/>
    </row>
    <row r="427" spans="1:15">
      <c r="A427">
        <v>731512</v>
      </c>
      <c r="C427" t="s">
        <v>217</v>
      </c>
      <c r="K427" s="31"/>
      <c r="L427" s="31"/>
      <c r="M427" s="31"/>
      <c r="N427" s="31"/>
      <c r="O427" s="31"/>
    </row>
    <row r="428" spans="1:15">
      <c r="A428">
        <v>731514</v>
      </c>
      <c r="C428" t="s">
        <v>218</v>
      </c>
      <c r="K428" s="31"/>
      <c r="L428" s="31"/>
      <c r="M428" s="31"/>
      <c r="N428" s="31"/>
      <c r="O428" s="31"/>
    </row>
    <row r="429" spans="1:15">
      <c r="A429">
        <v>731515</v>
      </c>
      <c r="C429" t="s">
        <v>219</v>
      </c>
      <c r="K429" s="31"/>
      <c r="L429" s="31"/>
      <c r="M429" s="31"/>
      <c r="N429" s="31"/>
      <c r="O429" s="31"/>
    </row>
    <row r="430" spans="1:15">
      <c r="A430">
        <v>731601</v>
      </c>
      <c r="C430" t="s">
        <v>453</v>
      </c>
      <c r="K430" s="31"/>
      <c r="L430" s="31"/>
      <c r="M430" s="31"/>
      <c r="N430" s="31"/>
      <c r="O430" s="31"/>
    </row>
    <row r="431" spans="1:15">
      <c r="A431">
        <v>731602</v>
      </c>
      <c r="C431" t="s">
        <v>454</v>
      </c>
      <c r="K431" s="31"/>
      <c r="L431" s="31"/>
      <c r="M431" s="31"/>
      <c r="N431" s="31"/>
      <c r="O431" s="31"/>
    </row>
    <row r="432" spans="1:15">
      <c r="K432" s="31"/>
      <c r="L432" s="31"/>
      <c r="M432" s="31"/>
      <c r="N432" s="31"/>
      <c r="O432" s="31"/>
    </row>
    <row r="433" spans="1:15">
      <c r="K433" s="31"/>
      <c r="L433" s="31"/>
      <c r="M433" s="31"/>
      <c r="N433" s="31"/>
      <c r="O433" s="31"/>
    </row>
    <row r="434" spans="1:15">
      <c r="A434" t="s">
        <v>455</v>
      </c>
      <c r="C434" t="s">
        <v>456</v>
      </c>
      <c r="K434" s="31"/>
      <c r="L434" s="31"/>
      <c r="M434" s="31"/>
      <c r="N434" s="31"/>
      <c r="O434" s="31"/>
    </row>
    <row r="435" spans="1:15">
      <c r="A435">
        <v>770102</v>
      </c>
      <c r="C435" t="s">
        <v>296</v>
      </c>
      <c r="K435" s="31"/>
      <c r="L435" s="31"/>
      <c r="M435" s="31"/>
      <c r="N435" s="31"/>
      <c r="O435" s="31"/>
    </row>
    <row r="436" spans="1:15">
      <c r="A436">
        <v>770103</v>
      </c>
      <c r="C436" t="s">
        <v>224</v>
      </c>
      <c r="K436" s="31"/>
      <c r="L436" s="31"/>
      <c r="M436" s="31"/>
      <c r="N436" s="31"/>
      <c r="O436" s="31"/>
    </row>
    <row r="437" spans="1:15">
      <c r="A437">
        <v>770104</v>
      </c>
      <c r="C437" t="s">
        <v>225</v>
      </c>
      <c r="K437" s="31"/>
      <c r="L437" s="31"/>
      <c r="M437" s="31"/>
      <c r="N437" s="31"/>
      <c r="O437" s="31"/>
    </row>
    <row r="438" spans="1:15">
      <c r="A438">
        <v>770199</v>
      </c>
      <c r="C438" t="s">
        <v>226</v>
      </c>
      <c r="K438" s="31"/>
      <c r="L438" s="31"/>
      <c r="M438" s="31"/>
      <c r="N438" s="31"/>
      <c r="O438" s="31"/>
    </row>
    <row r="439" spans="1:15">
      <c r="A439">
        <v>770201</v>
      </c>
      <c r="C439" t="s">
        <v>227</v>
      </c>
      <c r="K439" s="31"/>
      <c r="L439" s="31"/>
      <c r="M439" s="31"/>
      <c r="N439" s="31"/>
      <c r="O439" s="31"/>
    </row>
    <row r="440" spans="1:15">
      <c r="A440">
        <v>770203</v>
      </c>
      <c r="C440" t="s">
        <v>65</v>
      </c>
      <c r="K440" s="31"/>
      <c r="L440" s="31"/>
      <c r="M440" s="31"/>
      <c r="N440" s="31"/>
      <c r="O440" s="31"/>
    </row>
    <row r="441" spans="1:15">
      <c r="A441">
        <v>770206</v>
      </c>
      <c r="C441" t="s">
        <v>230</v>
      </c>
      <c r="K441" s="31"/>
      <c r="L441" s="31"/>
      <c r="M441" s="31"/>
      <c r="N441" s="31"/>
      <c r="O441" s="31"/>
    </row>
    <row r="442" spans="1:15">
      <c r="A442">
        <v>770216</v>
      </c>
      <c r="C442" t="s">
        <v>234</v>
      </c>
      <c r="K442" s="31"/>
      <c r="L442" s="31"/>
      <c r="M442" s="31"/>
      <c r="N442" s="31"/>
      <c r="O442" s="31"/>
    </row>
    <row r="443" spans="1:15">
      <c r="A443">
        <v>770217</v>
      </c>
      <c r="C443" t="s">
        <v>235</v>
      </c>
      <c r="K443" s="31"/>
      <c r="L443" s="31"/>
      <c r="M443" s="31"/>
      <c r="N443" s="31"/>
      <c r="O443" s="31"/>
    </row>
    <row r="444" spans="1:15">
      <c r="A444">
        <v>770218</v>
      </c>
      <c r="C444" t="s">
        <v>297</v>
      </c>
      <c r="K444" s="31"/>
      <c r="L444" s="31"/>
      <c r="M444" s="31"/>
      <c r="N444" s="31"/>
      <c r="O444" s="31"/>
    </row>
    <row r="445" spans="1:15">
      <c r="A445">
        <v>770301</v>
      </c>
      <c r="C445" t="s">
        <v>238</v>
      </c>
      <c r="K445" s="31"/>
      <c r="L445" s="31"/>
      <c r="M445" s="31"/>
      <c r="N445" s="31"/>
      <c r="O445" s="31"/>
    </row>
    <row r="446" spans="1:15">
      <c r="K446" s="31"/>
      <c r="L446" s="31"/>
      <c r="M446" s="31"/>
      <c r="N446" s="31"/>
      <c r="O446" s="31"/>
    </row>
    <row r="447" spans="1:15">
      <c r="A447" t="s">
        <v>457</v>
      </c>
      <c r="C447" t="s">
        <v>458</v>
      </c>
      <c r="K447" s="31"/>
      <c r="L447" s="31"/>
      <c r="M447" s="31"/>
      <c r="N447" s="31"/>
      <c r="O447" s="31"/>
    </row>
    <row r="448" spans="1:15">
      <c r="A448">
        <v>780101</v>
      </c>
      <c r="C448" t="s">
        <v>239</v>
      </c>
      <c r="K448" s="31"/>
      <c r="L448" s="31"/>
      <c r="M448" s="31"/>
      <c r="N448" s="31"/>
      <c r="O448" s="31"/>
    </row>
    <row r="449" spans="1:15">
      <c r="A449">
        <v>780102</v>
      </c>
      <c r="C449" t="s">
        <v>298</v>
      </c>
      <c r="K449" s="31"/>
      <c r="L449" s="31"/>
      <c r="M449" s="31"/>
      <c r="N449" s="31"/>
      <c r="O449" s="31"/>
    </row>
    <row r="450" spans="1:15">
      <c r="A450">
        <v>780103</v>
      </c>
      <c r="C450" t="s">
        <v>240</v>
      </c>
      <c r="K450" s="31"/>
      <c r="L450" s="31"/>
      <c r="M450" s="31"/>
      <c r="N450" s="31"/>
      <c r="O450" s="31"/>
    </row>
    <row r="451" spans="1:15">
      <c r="A451">
        <v>780104</v>
      </c>
      <c r="C451" t="s">
        <v>241</v>
      </c>
      <c r="K451" s="31"/>
      <c r="L451" s="31"/>
      <c r="M451" s="31"/>
      <c r="N451" s="31"/>
      <c r="O451" s="31"/>
    </row>
    <row r="452" spans="1:15">
      <c r="A452">
        <v>780106</v>
      </c>
      <c r="C452" t="s">
        <v>242</v>
      </c>
      <c r="K452" s="31"/>
      <c r="L452" s="31"/>
      <c r="M452" s="31"/>
      <c r="N452" s="31"/>
      <c r="O452" s="31"/>
    </row>
    <row r="453" spans="1:15">
      <c r="A453">
        <v>780108</v>
      </c>
      <c r="C453" t="s">
        <v>429</v>
      </c>
      <c r="K453" s="31"/>
      <c r="L453" s="31"/>
      <c r="M453" s="31"/>
      <c r="N453" s="31"/>
      <c r="O453" s="31"/>
    </row>
    <row r="454" spans="1:15">
      <c r="A454">
        <v>780203</v>
      </c>
      <c r="C454" t="s">
        <v>299</v>
      </c>
      <c r="K454" s="31"/>
      <c r="L454" s="31"/>
      <c r="M454" s="31"/>
      <c r="N454" s="31"/>
      <c r="O454" s="31"/>
    </row>
    <row r="455" spans="1:15">
      <c r="A455">
        <v>780204</v>
      </c>
      <c r="C455" t="s">
        <v>300</v>
      </c>
      <c r="K455" s="31"/>
      <c r="L455" s="31"/>
      <c r="M455" s="31"/>
      <c r="N455" s="31"/>
      <c r="O455" s="31"/>
    </row>
    <row r="456" spans="1:15">
      <c r="A456">
        <v>780206</v>
      </c>
      <c r="C456" t="s">
        <v>301</v>
      </c>
      <c r="K456" s="31"/>
      <c r="L456" s="31"/>
      <c r="M456" s="31"/>
      <c r="N456" s="31"/>
      <c r="O456" s="31"/>
    </row>
    <row r="457" spans="1:15">
      <c r="A457">
        <v>780208</v>
      </c>
      <c r="C457" t="s">
        <v>459</v>
      </c>
      <c r="K457" s="31"/>
      <c r="L457" s="31"/>
      <c r="M457" s="31"/>
      <c r="N457" s="31"/>
      <c r="O457" s="31"/>
    </row>
    <row r="458" spans="1:15">
      <c r="A458">
        <v>780209</v>
      </c>
      <c r="C458" t="s">
        <v>246</v>
      </c>
      <c r="K458" s="31"/>
      <c r="L458" s="31"/>
      <c r="M458" s="31"/>
      <c r="N458" s="31"/>
      <c r="O458" s="31"/>
    </row>
    <row r="459" spans="1:15">
      <c r="A459">
        <v>780210</v>
      </c>
      <c r="C459" t="s">
        <v>302</v>
      </c>
      <c r="K459" s="31"/>
      <c r="L459" s="31"/>
      <c r="M459" s="31"/>
      <c r="N459" s="31"/>
      <c r="O459" s="31"/>
    </row>
    <row r="460" spans="1:15">
      <c r="A460">
        <v>780301</v>
      </c>
      <c r="C460" t="s">
        <v>303</v>
      </c>
      <c r="K460" s="31"/>
      <c r="L460" s="31"/>
      <c r="M460" s="31"/>
      <c r="N460" s="31"/>
      <c r="O460" s="31"/>
    </row>
    <row r="461" spans="1:15">
      <c r="A461">
        <v>780302</v>
      </c>
      <c r="C461" t="s">
        <v>460</v>
      </c>
      <c r="K461" s="31"/>
      <c r="L461" s="31"/>
      <c r="M461" s="31"/>
      <c r="N461" s="31"/>
      <c r="O461" s="31"/>
    </row>
    <row r="462" spans="1:15">
      <c r="A462">
        <v>780304</v>
      </c>
      <c r="C462" t="s">
        <v>304</v>
      </c>
      <c r="K462" s="31"/>
      <c r="L462" s="31"/>
      <c r="M462" s="31"/>
      <c r="N462" s="31"/>
      <c r="O462" s="31"/>
    </row>
    <row r="463" spans="1:15">
      <c r="A463">
        <v>780506</v>
      </c>
      <c r="C463" t="s">
        <v>256</v>
      </c>
      <c r="K463" s="31"/>
      <c r="L463" s="31"/>
      <c r="M463" s="31"/>
      <c r="N463" s="31"/>
      <c r="O463" s="31"/>
    </row>
    <row r="464" spans="1:15">
      <c r="A464">
        <v>780509</v>
      </c>
      <c r="C464" t="s">
        <v>305</v>
      </c>
      <c r="K464" s="31"/>
      <c r="L464" s="31"/>
      <c r="M464" s="31"/>
      <c r="N464" s="31"/>
      <c r="O464" s="31"/>
    </row>
    <row r="465" spans="1:15">
      <c r="A465">
        <v>780510</v>
      </c>
      <c r="C465" t="s">
        <v>260</v>
      </c>
      <c r="K465" s="31"/>
      <c r="L465" s="31"/>
      <c r="M465" s="31"/>
      <c r="N465" s="31"/>
      <c r="O465" s="31"/>
    </row>
    <row r="466" spans="1:15">
      <c r="A466">
        <v>780511</v>
      </c>
      <c r="C466" t="s">
        <v>261</v>
      </c>
      <c r="K466" s="31"/>
      <c r="L466" s="31"/>
      <c r="M466" s="31"/>
      <c r="N466" s="31"/>
      <c r="O466" s="31"/>
    </row>
    <row r="467" spans="1:15">
      <c r="A467">
        <v>780514</v>
      </c>
      <c r="C467" t="s">
        <v>264</v>
      </c>
      <c r="K467" s="31"/>
      <c r="L467" s="31"/>
      <c r="M467" s="31"/>
      <c r="N467" s="31"/>
      <c r="O467" s="31"/>
    </row>
    <row r="468" spans="1:15">
      <c r="A468">
        <v>780515</v>
      </c>
      <c r="C468" t="s">
        <v>265</v>
      </c>
      <c r="K468" s="31"/>
      <c r="L468" s="31"/>
      <c r="M468" s="31"/>
      <c r="N468" s="31"/>
      <c r="O468" s="31"/>
    </row>
    <row r="469" spans="1:15">
      <c r="A469">
        <v>780516</v>
      </c>
      <c r="C469" t="s">
        <v>306</v>
      </c>
      <c r="K469" s="31"/>
      <c r="L469" s="31"/>
      <c r="M469" s="31"/>
      <c r="N469" s="31"/>
      <c r="O469" s="31"/>
    </row>
    <row r="470" spans="1:15">
      <c r="A470">
        <v>780518</v>
      </c>
      <c r="C470" t="s">
        <v>432</v>
      </c>
      <c r="K470" s="31"/>
      <c r="L470" s="31"/>
      <c r="M470" s="31"/>
      <c r="N470" s="31"/>
      <c r="O470" s="31"/>
    </row>
    <row r="471" spans="1:15">
      <c r="A471">
        <v>780642</v>
      </c>
      <c r="C471" t="s">
        <v>461</v>
      </c>
      <c r="K471" s="31"/>
      <c r="L471" s="31"/>
      <c r="M471" s="31"/>
      <c r="N471" s="31"/>
      <c r="O471" s="31"/>
    </row>
    <row r="472" spans="1:15">
      <c r="A472">
        <v>781202</v>
      </c>
      <c r="C472" t="s">
        <v>283</v>
      </c>
      <c r="K472" s="31"/>
      <c r="L472" s="31"/>
      <c r="M472" s="31"/>
      <c r="N472" s="31"/>
      <c r="O472" s="31"/>
    </row>
    <row r="473" spans="1:15">
      <c r="K473" s="31"/>
      <c r="L473" s="31"/>
      <c r="M473" s="31"/>
      <c r="N473" s="31"/>
      <c r="O473" s="31"/>
    </row>
    <row r="474" spans="1:15">
      <c r="K474" s="31"/>
      <c r="L474" s="31"/>
      <c r="M474" s="31"/>
      <c r="N474" s="31"/>
      <c r="O474" s="31"/>
    </row>
    <row r="475" spans="1:15">
      <c r="A475" t="s">
        <v>462</v>
      </c>
      <c r="C475" t="s">
        <v>463</v>
      </c>
      <c r="K475" s="31"/>
      <c r="L475" s="31"/>
      <c r="M475" s="31"/>
      <c r="N475" s="31"/>
      <c r="O475" s="31"/>
    </row>
    <row r="476" spans="1:15">
      <c r="A476">
        <v>840103</v>
      </c>
      <c r="C476" t="s">
        <v>439</v>
      </c>
      <c r="K476" s="31"/>
      <c r="L476" s="31"/>
      <c r="M476" s="31"/>
      <c r="N476" s="31"/>
      <c r="O476" s="31"/>
    </row>
    <row r="477" spans="1:15">
      <c r="A477">
        <v>840104</v>
      </c>
      <c r="C477" t="s">
        <v>440</v>
      </c>
      <c r="K477" s="31"/>
      <c r="L477" s="31"/>
      <c r="M477" s="31"/>
      <c r="N477" s="31"/>
      <c r="O477" s="31"/>
    </row>
    <row r="478" spans="1:15">
      <c r="A478">
        <v>840105</v>
      </c>
      <c r="C478" t="s">
        <v>307</v>
      </c>
      <c r="K478" s="31"/>
      <c r="L478" s="31"/>
      <c r="M478" s="31"/>
      <c r="N478" s="31"/>
      <c r="O478" s="31"/>
    </row>
    <row r="479" spans="1:15">
      <c r="A479">
        <v>840106</v>
      </c>
      <c r="C479" t="s">
        <v>464</v>
      </c>
      <c r="K479" s="31"/>
      <c r="L479" s="31"/>
      <c r="M479" s="31"/>
      <c r="N479" s="31"/>
      <c r="O479" s="31"/>
    </row>
    <row r="480" spans="1:15">
      <c r="A480">
        <v>840107</v>
      </c>
      <c r="C480" t="s">
        <v>214</v>
      </c>
      <c r="K480" s="31"/>
      <c r="L480" s="31"/>
      <c r="M480" s="31"/>
      <c r="N480" s="31"/>
      <c r="O480" s="31"/>
    </row>
    <row r="481" spans="1:15">
      <c r="A481">
        <v>840108</v>
      </c>
      <c r="C481" t="s">
        <v>308</v>
      </c>
      <c r="K481" s="31"/>
      <c r="L481" s="31"/>
      <c r="M481" s="31"/>
      <c r="N481" s="31"/>
      <c r="O481" s="31"/>
    </row>
    <row r="482" spans="1:15">
      <c r="A482">
        <v>840109</v>
      </c>
      <c r="C482" t="s">
        <v>164</v>
      </c>
      <c r="K482" s="31"/>
      <c r="L482" s="31"/>
      <c r="M482" s="31"/>
      <c r="N482" s="31"/>
      <c r="O482" s="31"/>
    </row>
    <row r="483" spans="1:15">
      <c r="A483">
        <v>840111</v>
      </c>
      <c r="C483" t="s">
        <v>216</v>
      </c>
      <c r="K483" s="31"/>
      <c r="L483" s="31"/>
      <c r="M483" s="31"/>
      <c r="N483" s="31"/>
      <c r="O483" s="31"/>
    </row>
    <row r="484" spans="1:15">
      <c r="A484">
        <v>840112</v>
      </c>
      <c r="C484" t="s">
        <v>309</v>
      </c>
      <c r="K484" s="31"/>
      <c r="L484" s="31"/>
      <c r="M484" s="31"/>
      <c r="N484" s="31"/>
      <c r="O484" s="31"/>
    </row>
    <row r="485" spans="1:15">
      <c r="A485">
        <v>840113</v>
      </c>
      <c r="C485" t="s">
        <v>465</v>
      </c>
      <c r="K485" s="31"/>
      <c r="L485" s="31"/>
      <c r="M485" s="31"/>
      <c r="N485" s="31"/>
      <c r="O485" s="31"/>
    </row>
    <row r="486" spans="1:15">
      <c r="A486">
        <v>840115</v>
      </c>
      <c r="C486" t="s">
        <v>466</v>
      </c>
      <c r="K486" s="31"/>
      <c r="L486" s="31"/>
      <c r="M486" s="31"/>
      <c r="N486" s="31"/>
      <c r="O486" s="31"/>
    </row>
    <row r="487" spans="1:15">
      <c r="A487">
        <v>840201</v>
      </c>
      <c r="C487" t="s">
        <v>310</v>
      </c>
      <c r="K487" s="31"/>
      <c r="L487" s="31"/>
      <c r="M487" s="31"/>
      <c r="N487" s="31"/>
      <c r="O487" s="31"/>
    </row>
    <row r="488" spans="1:15">
      <c r="A488">
        <v>840202</v>
      </c>
      <c r="C488" t="s">
        <v>311</v>
      </c>
      <c r="K488" s="31"/>
      <c r="L488" s="31"/>
      <c r="M488" s="31"/>
      <c r="N488" s="31"/>
      <c r="O488" s="31"/>
    </row>
    <row r="489" spans="1:15">
      <c r="A489">
        <v>840203</v>
      </c>
      <c r="C489" t="s">
        <v>312</v>
      </c>
      <c r="K489" s="31"/>
      <c r="L489" s="31"/>
      <c r="M489" s="31"/>
      <c r="N489" s="31"/>
      <c r="O489" s="31"/>
    </row>
    <row r="490" spans="1:15">
      <c r="A490">
        <v>840301</v>
      </c>
      <c r="C490" t="s">
        <v>313</v>
      </c>
      <c r="K490" s="31"/>
      <c r="L490" s="31"/>
      <c r="M490" s="31"/>
      <c r="N490" s="31"/>
      <c r="O490" s="31"/>
    </row>
    <row r="491" spans="1:15">
      <c r="A491">
        <v>840302</v>
      </c>
      <c r="C491" t="s">
        <v>314</v>
      </c>
      <c r="K491" s="31"/>
      <c r="L491" s="31"/>
      <c r="M491" s="31"/>
      <c r="N491" s="31"/>
      <c r="O491" s="31"/>
    </row>
    <row r="492" spans="1:15">
      <c r="A492">
        <v>840401</v>
      </c>
      <c r="C492" t="s">
        <v>315</v>
      </c>
      <c r="K492" s="31"/>
      <c r="L492" s="31"/>
      <c r="M492" s="31"/>
      <c r="N492" s="31"/>
      <c r="O492" s="31"/>
    </row>
    <row r="493" spans="1:15">
      <c r="A493">
        <v>840402</v>
      </c>
      <c r="C493" t="s">
        <v>316</v>
      </c>
      <c r="K493" s="31"/>
      <c r="L493" s="31"/>
      <c r="M493" s="31"/>
      <c r="N493" s="31"/>
      <c r="O493" s="31"/>
    </row>
    <row r="494" spans="1:15">
      <c r="A494">
        <v>840403</v>
      </c>
      <c r="C494" t="s">
        <v>317</v>
      </c>
      <c r="K494" s="31"/>
      <c r="L494" s="31"/>
      <c r="M494" s="31"/>
      <c r="N494" s="31"/>
      <c r="O494" s="31"/>
    </row>
    <row r="495" spans="1:15">
      <c r="A495">
        <v>840404</v>
      </c>
      <c r="C495" t="s">
        <v>318</v>
      </c>
      <c r="K495" s="31"/>
      <c r="L495" s="31"/>
      <c r="M495" s="31"/>
      <c r="N495" s="31"/>
      <c r="O495" s="31"/>
    </row>
    <row r="496" spans="1:15">
      <c r="A496">
        <v>840512</v>
      </c>
      <c r="C496" t="s">
        <v>217</v>
      </c>
      <c r="K496" s="31"/>
      <c r="L496" s="31"/>
      <c r="M496" s="31"/>
      <c r="N496" s="31"/>
      <c r="O496" s="31"/>
    </row>
    <row r="497" spans="1:15">
      <c r="A497">
        <v>840513</v>
      </c>
      <c r="C497" t="s">
        <v>319</v>
      </c>
      <c r="K497" s="31"/>
      <c r="L497" s="31"/>
      <c r="M497" s="31"/>
      <c r="N497" s="31"/>
      <c r="O497" s="31"/>
    </row>
    <row r="498" spans="1:15">
      <c r="A498">
        <v>840514</v>
      </c>
      <c r="C498" t="s">
        <v>218</v>
      </c>
      <c r="K498" s="31"/>
      <c r="L498" s="31"/>
      <c r="M498" s="31"/>
      <c r="N498" s="31"/>
      <c r="O498" s="31"/>
    </row>
    <row r="499" spans="1:15">
      <c r="A499">
        <v>840515</v>
      </c>
      <c r="C499" t="s">
        <v>219</v>
      </c>
      <c r="K499" s="31"/>
      <c r="L499" s="31"/>
      <c r="M499" s="31"/>
      <c r="N499" s="31"/>
      <c r="O499" s="31"/>
    </row>
    <row r="500" spans="1:15">
      <c r="K500" s="31"/>
      <c r="L500" s="31"/>
      <c r="M500" s="31"/>
      <c r="N500" s="31"/>
      <c r="O500" s="31"/>
    </row>
    <row r="501" spans="1:15">
      <c r="K501" s="31"/>
      <c r="L501" s="31"/>
      <c r="M501" s="31"/>
      <c r="N501" s="31"/>
      <c r="O501" s="31"/>
    </row>
    <row r="502" spans="1:15">
      <c r="A502" t="s">
        <v>467</v>
      </c>
      <c r="C502" t="s">
        <v>468</v>
      </c>
      <c r="K502" s="31"/>
      <c r="L502" s="31"/>
      <c r="M502" s="31"/>
      <c r="N502" s="31"/>
      <c r="O502" s="31"/>
    </row>
    <row r="503" spans="1:15">
      <c r="A503">
        <v>990101</v>
      </c>
      <c r="C503" t="s">
        <v>320</v>
      </c>
      <c r="K503" s="31"/>
      <c r="L503" s="31"/>
      <c r="M503" s="31"/>
      <c r="N503" s="31"/>
      <c r="O503" s="31"/>
    </row>
    <row r="504" spans="1:15">
      <c r="A504">
        <v>990102</v>
      </c>
      <c r="C504" t="s">
        <v>321</v>
      </c>
      <c r="K504" s="31"/>
      <c r="L504" s="31"/>
      <c r="M504" s="31"/>
      <c r="N504" s="31"/>
      <c r="O504" s="31"/>
    </row>
    <row r="505" spans="1:15">
      <c r="A505">
        <v>990103</v>
      </c>
      <c r="C505" t="s">
        <v>322</v>
      </c>
      <c r="K505" s="31"/>
      <c r="L505" s="31"/>
      <c r="M505" s="31"/>
      <c r="N505" s="32"/>
      <c r="O505" s="31"/>
    </row>
    <row r="506" spans="1:15">
      <c r="A506">
        <v>990104</v>
      </c>
      <c r="C506" t="s">
        <v>323</v>
      </c>
      <c r="K506" s="31"/>
      <c r="L506" s="31"/>
      <c r="M506" s="31"/>
      <c r="N506" s="32"/>
      <c r="O506" s="31"/>
    </row>
    <row r="507" spans="1:15">
      <c r="K507" s="31"/>
      <c r="L507" s="31"/>
      <c r="M507" s="31"/>
      <c r="N507" s="32"/>
      <c r="O507" s="31"/>
    </row>
    <row r="508" spans="1:15">
      <c r="K508" s="31"/>
      <c r="L508" s="31"/>
      <c r="M508" s="31"/>
      <c r="N508" s="31"/>
      <c r="O508" s="31"/>
    </row>
    <row r="509" spans="1:15">
      <c r="K509" s="31"/>
      <c r="L509" s="31"/>
      <c r="M509" s="31"/>
      <c r="N509" s="31"/>
      <c r="O509" s="31"/>
    </row>
    <row r="510" spans="1:15">
      <c r="K510" s="31"/>
      <c r="L510" s="31"/>
      <c r="M510" s="31"/>
      <c r="N510" s="31"/>
      <c r="O510" s="31"/>
    </row>
    <row r="511" spans="1:15">
      <c r="K511" s="31"/>
      <c r="L511" s="31"/>
      <c r="M511" s="31"/>
      <c r="N511" s="31"/>
      <c r="O511" s="31"/>
    </row>
    <row r="512" spans="1:15">
      <c r="K512" s="31"/>
      <c r="L512" s="31"/>
      <c r="M512" s="31"/>
      <c r="N512" s="31"/>
      <c r="O512" s="31"/>
    </row>
    <row r="513" spans="11:15">
      <c r="K513" s="31"/>
      <c r="L513" s="31"/>
      <c r="M513" s="31"/>
      <c r="N513" s="31"/>
      <c r="O513" s="31"/>
    </row>
    <row r="514" spans="11:15">
      <c r="K514" s="31"/>
      <c r="L514" s="31"/>
      <c r="M514" s="31"/>
      <c r="N514" s="31"/>
      <c r="O514" s="31"/>
    </row>
    <row r="515" spans="11:15">
      <c r="K515" s="31"/>
      <c r="L515" s="31"/>
      <c r="M515" s="31"/>
      <c r="N515" s="31"/>
      <c r="O515" s="31"/>
    </row>
    <row r="516" spans="11:15">
      <c r="K516" s="31"/>
      <c r="L516" s="31"/>
      <c r="M516" s="31"/>
      <c r="N516" s="31"/>
      <c r="O516" s="31"/>
    </row>
    <row r="517" spans="11:15">
      <c r="K517" s="31"/>
      <c r="L517" s="31"/>
      <c r="M517" s="31"/>
      <c r="N517" s="31"/>
      <c r="O517" s="31"/>
    </row>
    <row r="518" spans="11:15">
      <c r="K518" s="31"/>
      <c r="L518" s="31"/>
      <c r="M518" s="31"/>
      <c r="N518" s="31"/>
      <c r="O518" s="31"/>
    </row>
    <row r="519" spans="11:15">
      <c r="K519" s="31"/>
      <c r="L519" s="31"/>
      <c r="M519" s="31"/>
      <c r="N519" s="31"/>
      <c r="O519" s="31"/>
    </row>
    <row r="520" spans="11:15">
      <c r="K520" s="31"/>
      <c r="L520" s="31"/>
      <c r="M520" s="31"/>
      <c r="N520" s="31"/>
      <c r="O520" s="31"/>
    </row>
    <row r="521" spans="11:15">
      <c r="K521" s="31"/>
      <c r="L521" s="31"/>
      <c r="M521" s="31"/>
      <c r="N521" s="31"/>
      <c r="O521" s="31"/>
    </row>
    <row r="522" spans="11:15">
      <c r="K522" s="31"/>
      <c r="L522" s="31"/>
      <c r="M522" s="31"/>
      <c r="N522" s="31"/>
      <c r="O522" s="31"/>
    </row>
    <row r="523" spans="11:15">
      <c r="K523" s="31"/>
      <c r="L523" s="31"/>
      <c r="M523" s="31"/>
      <c r="N523" s="31"/>
      <c r="O523" s="31"/>
    </row>
    <row r="524" spans="11:15">
      <c r="K524" s="31"/>
      <c r="L524" s="31"/>
      <c r="M524" s="31"/>
      <c r="N524" s="31"/>
      <c r="O524" s="31"/>
    </row>
    <row r="525" spans="11:15">
      <c r="K525" s="31"/>
      <c r="L525" s="31"/>
      <c r="M525" s="31"/>
      <c r="N525" s="31"/>
      <c r="O525" s="31"/>
    </row>
    <row r="526" spans="11:15">
      <c r="K526" s="31"/>
      <c r="L526" s="31"/>
      <c r="M526" s="31"/>
      <c r="N526" s="31"/>
      <c r="O526" s="31"/>
    </row>
    <row r="527" spans="11:15">
      <c r="K527" s="31"/>
      <c r="L527" s="31"/>
      <c r="M527" s="31"/>
      <c r="N527" s="31"/>
      <c r="O527" s="31"/>
    </row>
    <row r="528" spans="11:15">
      <c r="K528" s="31"/>
      <c r="L528" s="31"/>
      <c r="M528" s="31"/>
      <c r="N528" s="31"/>
      <c r="O528" s="31"/>
    </row>
    <row r="529" spans="11:15">
      <c r="K529" s="31"/>
      <c r="L529" s="31"/>
      <c r="M529" s="31"/>
      <c r="N529" s="31"/>
      <c r="O529" s="31"/>
    </row>
    <row r="530" spans="11:15">
      <c r="K530" s="31"/>
      <c r="L530" s="31"/>
      <c r="M530" s="31"/>
      <c r="N530" s="31"/>
      <c r="O530" s="31"/>
    </row>
    <row r="531" spans="11:15">
      <c r="K531" s="31"/>
      <c r="L531" s="31"/>
      <c r="M531" s="31"/>
      <c r="N531" s="31"/>
      <c r="O531" s="31"/>
    </row>
    <row r="532" spans="11:15">
      <c r="K532" s="31"/>
      <c r="L532" s="31"/>
      <c r="M532" s="31"/>
      <c r="N532" s="31"/>
      <c r="O532" s="31"/>
    </row>
    <row r="533" spans="11:15">
      <c r="K533" s="31"/>
      <c r="L533" s="31"/>
      <c r="M533" s="31"/>
      <c r="N533" s="31"/>
      <c r="O533" s="31"/>
    </row>
    <row r="534" spans="11:15">
      <c r="K534" s="31"/>
      <c r="L534" s="31"/>
      <c r="M534" s="31"/>
      <c r="N534" s="31"/>
      <c r="O534" s="31"/>
    </row>
    <row r="535" spans="11:15">
      <c r="K535" s="31"/>
      <c r="L535" s="31"/>
      <c r="M535" s="31"/>
      <c r="N535" s="31"/>
      <c r="O535" s="31"/>
    </row>
    <row r="536" spans="11:15">
      <c r="K536" s="31"/>
      <c r="L536" s="31"/>
      <c r="M536" s="31"/>
      <c r="N536" s="31"/>
      <c r="O536" s="31"/>
    </row>
    <row r="537" spans="11:15">
      <c r="K537" s="31"/>
      <c r="L537" s="31"/>
      <c r="M537" s="31"/>
      <c r="N537" s="31"/>
      <c r="O537" s="31"/>
    </row>
    <row r="538" spans="11:15">
      <c r="K538" s="31"/>
      <c r="L538" s="31"/>
      <c r="M538" s="31"/>
      <c r="N538" s="31"/>
      <c r="O538" s="31"/>
    </row>
    <row r="539" spans="11:15">
      <c r="K539" s="31"/>
      <c r="L539" s="31"/>
      <c r="M539" s="31"/>
      <c r="N539" s="31"/>
      <c r="O539" s="31"/>
    </row>
    <row r="540" spans="11:15">
      <c r="K540" s="31"/>
      <c r="L540" s="31"/>
      <c r="M540" s="31"/>
      <c r="N540" s="31"/>
      <c r="O540" s="31"/>
    </row>
    <row r="541" spans="11:15">
      <c r="K541" s="31"/>
      <c r="L541" s="31"/>
      <c r="M541" s="31"/>
      <c r="N541" s="31"/>
      <c r="O541" s="31"/>
    </row>
    <row r="542" spans="11:15">
      <c r="K542" s="31"/>
      <c r="L542" s="31"/>
      <c r="M542" s="31"/>
      <c r="N542" s="31"/>
      <c r="O542" s="31"/>
    </row>
    <row r="543" spans="11:15">
      <c r="K543" s="31"/>
      <c r="L543" s="31"/>
      <c r="M543" s="31"/>
      <c r="N543" s="31"/>
      <c r="O543" s="31"/>
    </row>
    <row r="544" spans="11:15">
      <c r="K544" s="31"/>
      <c r="L544" s="31"/>
      <c r="M544" s="31"/>
      <c r="N544" s="31"/>
      <c r="O544" s="31"/>
    </row>
    <row r="545" spans="11:15">
      <c r="K545" s="31"/>
      <c r="L545" s="31"/>
      <c r="M545" s="31"/>
      <c r="N545" s="31"/>
      <c r="O545" s="31"/>
    </row>
    <row r="546" spans="11:15">
      <c r="K546" s="31"/>
      <c r="L546" s="31"/>
      <c r="M546" s="31"/>
      <c r="N546" s="31"/>
      <c r="O546" s="31"/>
    </row>
    <row r="547" spans="11:15">
      <c r="K547" s="31"/>
      <c r="L547" s="31"/>
      <c r="M547" s="31"/>
      <c r="N547" s="31"/>
      <c r="O547" s="31"/>
    </row>
    <row r="548" spans="11:15">
      <c r="K548" s="31"/>
      <c r="L548" s="31"/>
      <c r="M548" s="31"/>
      <c r="N548" s="31"/>
      <c r="O548" s="31"/>
    </row>
    <row r="549" spans="11:15">
      <c r="K549" s="31"/>
      <c r="L549" s="31"/>
      <c r="M549" s="31"/>
      <c r="N549" s="31"/>
      <c r="O549" s="31"/>
    </row>
    <row r="550" spans="11:15">
      <c r="K550" s="31"/>
      <c r="L550" s="31"/>
      <c r="M550" s="31"/>
      <c r="N550" s="31"/>
      <c r="O550" s="31"/>
    </row>
    <row r="551" spans="11:15">
      <c r="K551" s="31"/>
      <c r="L551" s="31"/>
      <c r="M551" s="31"/>
      <c r="N551" s="31"/>
      <c r="O551" s="31"/>
    </row>
    <row r="552" spans="11:15">
      <c r="K552" s="31"/>
      <c r="L552" s="31"/>
      <c r="M552" s="31"/>
      <c r="N552" s="31"/>
      <c r="O552" s="31"/>
    </row>
    <row r="553" spans="11:15">
      <c r="K553" s="31"/>
      <c r="L553" s="31"/>
      <c r="M553" s="31"/>
      <c r="N553" s="31"/>
      <c r="O553" s="31"/>
    </row>
    <row r="554" spans="11:15">
      <c r="K554" s="31"/>
      <c r="L554" s="31"/>
      <c r="M554" s="31"/>
      <c r="N554" s="31"/>
      <c r="O554" s="31"/>
    </row>
    <row r="555" spans="11:15">
      <c r="K555" s="31"/>
      <c r="L555" s="31"/>
      <c r="M555" s="31"/>
      <c r="N555" s="31"/>
      <c r="O555" s="31"/>
    </row>
    <row r="556" spans="11:15">
      <c r="K556" s="31"/>
      <c r="L556" s="31"/>
      <c r="M556" s="31"/>
      <c r="N556" s="31"/>
      <c r="O556" s="31"/>
    </row>
    <row r="557" spans="11:15">
      <c r="K557" s="31"/>
      <c r="L557" s="31"/>
      <c r="M557" s="31"/>
      <c r="N557" s="31"/>
      <c r="O557" s="31"/>
    </row>
    <row r="558" spans="11:15">
      <c r="K558" s="31"/>
      <c r="L558" s="31"/>
      <c r="M558" s="31"/>
      <c r="N558" s="31"/>
      <c r="O558" s="31"/>
    </row>
    <row r="559" spans="11:15">
      <c r="K559" s="31"/>
      <c r="L559" s="31"/>
      <c r="M559" s="31"/>
      <c r="N559" s="31"/>
      <c r="O559" s="31"/>
    </row>
    <row r="560" spans="11:15">
      <c r="K560" s="31"/>
      <c r="L560" s="31"/>
      <c r="M560" s="31"/>
      <c r="N560" s="31"/>
      <c r="O560" s="31"/>
    </row>
    <row r="561" spans="11:15">
      <c r="K561" s="31"/>
      <c r="L561" s="31"/>
      <c r="M561" s="31"/>
      <c r="N561" s="31"/>
      <c r="O561" s="31"/>
    </row>
    <row r="562" spans="11:15">
      <c r="K562" s="31"/>
      <c r="L562" s="31"/>
      <c r="M562" s="31"/>
      <c r="N562" s="31"/>
      <c r="O562" s="31"/>
    </row>
    <row r="563" spans="11:15">
      <c r="K563" s="31"/>
      <c r="L563" s="31"/>
      <c r="M563" s="31"/>
      <c r="N563" s="31"/>
      <c r="O563" s="31"/>
    </row>
    <row r="564" spans="11:15">
      <c r="K564" s="31"/>
      <c r="L564" s="31"/>
      <c r="M564" s="31"/>
      <c r="N564" s="31"/>
      <c r="O564" s="31"/>
    </row>
    <row r="565" spans="11:15">
      <c r="K565" s="31"/>
      <c r="L565" s="31"/>
      <c r="M565" s="31"/>
      <c r="N565" s="31"/>
      <c r="O565" s="31"/>
    </row>
    <row r="566" spans="11:15">
      <c r="K566" s="31"/>
      <c r="L566" s="31"/>
      <c r="M566" s="31"/>
      <c r="N566" s="31"/>
      <c r="O566" s="31"/>
    </row>
    <row r="567" spans="11:15">
      <c r="K567" s="31"/>
      <c r="L567" s="31"/>
      <c r="M567" s="31"/>
      <c r="N567" s="31"/>
      <c r="O567" s="31"/>
    </row>
    <row r="568" spans="11:15">
      <c r="K568" s="31"/>
      <c r="L568" s="31"/>
      <c r="M568" s="31"/>
      <c r="N568" s="31"/>
      <c r="O568" s="31"/>
    </row>
    <row r="569" spans="11:15">
      <c r="K569" s="31"/>
      <c r="L569" s="31"/>
      <c r="M569" s="31"/>
      <c r="N569" s="31"/>
      <c r="O569" s="31"/>
    </row>
    <row r="570" spans="11:15">
      <c r="K570" s="31"/>
      <c r="L570" s="31"/>
      <c r="M570" s="31"/>
      <c r="N570" s="31"/>
      <c r="O570" s="31"/>
    </row>
    <row r="571" spans="11:15">
      <c r="K571" s="31"/>
      <c r="L571" s="31"/>
      <c r="M571" s="31"/>
      <c r="N571" s="31"/>
      <c r="O571" s="31"/>
    </row>
    <row r="572" spans="11:15">
      <c r="K572" s="31"/>
      <c r="L572" s="31"/>
      <c r="M572" s="31"/>
      <c r="N572" s="31"/>
      <c r="O572" s="31"/>
    </row>
    <row r="573" spans="11:15">
      <c r="K573" s="31"/>
      <c r="L573" s="31"/>
      <c r="M573" s="31"/>
      <c r="N573" s="31"/>
      <c r="O573" s="31"/>
    </row>
    <row r="574" spans="11:15">
      <c r="K574" s="31"/>
      <c r="L574" s="31"/>
      <c r="M574" s="31"/>
      <c r="N574" s="31"/>
      <c r="O574" s="31"/>
    </row>
    <row r="575" spans="11:15">
      <c r="K575" s="31"/>
      <c r="L575" s="31"/>
      <c r="M575" s="31"/>
      <c r="N575" s="31"/>
      <c r="O575" s="31"/>
    </row>
    <row r="576" spans="11:15">
      <c r="K576" s="31"/>
      <c r="L576" s="31"/>
      <c r="M576" s="31"/>
      <c r="N576" s="31"/>
      <c r="O576" s="31"/>
    </row>
    <row r="577" spans="11:15">
      <c r="K577" s="31"/>
      <c r="L577" s="31"/>
      <c r="M577" s="31"/>
      <c r="N577" s="31"/>
      <c r="O577" s="31"/>
    </row>
    <row r="578" spans="11:15">
      <c r="K578" s="31"/>
      <c r="L578" s="31"/>
      <c r="M578" s="31"/>
      <c r="N578" s="31"/>
      <c r="O578" s="31"/>
    </row>
    <row r="579" spans="11:15">
      <c r="K579" s="31"/>
      <c r="L579" s="31"/>
      <c r="M579" s="31"/>
      <c r="N579" s="31"/>
      <c r="O579" s="31"/>
    </row>
    <row r="580" spans="11:15">
      <c r="K580" s="31"/>
      <c r="L580" s="31"/>
      <c r="M580" s="31"/>
      <c r="N580" s="31"/>
      <c r="O580" s="31"/>
    </row>
    <row r="581" spans="11:15">
      <c r="K581" s="31"/>
      <c r="L581" s="31"/>
      <c r="M581" s="31"/>
      <c r="N581" s="31"/>
      <c r="O581" s="31"/>
    </row>
    <row r="582" spans="11:15">
      <c r="K582" s="31"/>
      <c r="L582" s="31"/>
      <c r="M582" s="31"/>
      <c r="N582" s="31"/>
      <c r="O582" s="31"/>
    </row>
    <row r="583" spans="11:15">
      <c r="K583" s="31"/>
      <c r="L583" s="31"/>
      <c r="M583" s="31"/>
      <c r="N583" s="31"/>
      <c r="O583" s="31"/>
    </row>
    <row r="584" spans="11:15">
      <c r="K584" s="31"/>
      <c r="L584" s="31"/>
      <c r="M584" s="31"/>
      <c r="N584" s="31"/>
      <c r="O584" s="31"/>
    </row>
    <row r="585" spans="11:15">
      <c r="K585" s="31"/>
      <c r="L585" s="31"/>
      <c r="M585" s="31"/>
      <c r="N585" s="31"/>
      <c r="O585" s="31"/>
    </row>
    <row r="586" spans="11:15">
      <c r="K586" s="31"/>
      <c r="L586" s="31"/>
      <c r="M586" s="31"/>
      <c r="N586" s="31"/>
      <c r="O586" s="31"/>
    </row>
    <row r="587" spans="11:15">
      <c r="K587" s="31"/>
      <c r="L587" s="31"/>
      <c r="M587" s="31"/>
      <c r="N587" s="31"/>
      <c r="O587" s="31"/>
    </row>
    <row r="588" spans="11:15">
      <c r="K588" s="31"/>
      <c r="L588" s="31"/>
      <c r="M588" s="31"/>
      <c r="N588" s="31"/>
      <c r="O588" s="31"/>
    </row>
    <row r="589" spans="11:15">
      <c r="K589" s="31"/>
      <c r="L589" s="31"/>
      <c r="M589" s="31"/>
      <c r="N589" s="31"/>
      <c r="O589" s="31"/>
    </row>
    <row r="590" spans="11:15">
      <c r="K590" s="31"/>
      <c r="L590" s="31"/>
      <c r="M590" s="31"/>
      <c r="N590" s="31"/>
      <c r="O590" s="31"/>
    </row>
    <row r="591" spans="11:15">
      <c r="K591" s="31"/>
      <c r="L591" s="31"/>
      <c r="M591" s="31"/>
      <c r="N591" s="31"/>
      <c r="O591" s="31"/>
    </row>
    <row r="592" spans="11:15">
      <c r="K592" s="31"/>
      <c r="L592" s="31"/>
      <c r="M592" s="31"/>
      <c r="N592" s="31"/>
      <c r="O592" s="31"/>
    </row>
    <row r="593" spans="11:15">
      <c r="K593" s="31"/>
      <c r="L593" s="31"/>
      <c r="M593" s="31"/>
      <c r="N593" s="31"/>
      <c r="O593" s="31"/>
    </row>
    <row r="594" spans="11:15">
      <c r="K594" s="31"/>
      <c r="L594" s="31"/>
      <c r="M594" s="31"/>
      <c r="N594" s="31"/>
      <c r="O594" s="31"/>
    </row>
    <row r="595" spans="11:15">
      <c r="K595" s="31"/>
      <c r="L595" s="31"/>
      <c r="M595" s="31"/>
      <c r="N595" s="31"/>
      <c r="O595" s="31"/>
    </row>
    <row r="596" spans="11:15">
      <c r="K596" s="31"/>
      <c r="L596" s="31"/>
      <c r="M596" s="31"/>
      <c r="N596" s="31"/>
      <c r="O596" s="31"/>
    </row>
    <row r="597" spans="11:15">
      <c r="K597" s="31"/>
      <c r="L597" s="31"/>
      <c r="M597" s="31"/>
      <c r="N597" s="31"/>
      <c r="O597" s="31"/>
    </row>
    <row r="598" spans="11:15">
      <c r="K598" s="31"/>
      <c r="L598" s="31"/>
      <c r="M598" s="31"/>
      <c r="N598" s="31"/>
      <c r="O598" s="31"/>
    </row>
    <row r="599" spans="11:15">
      <c r="K599" s="31"/>
      <c r="L599" s="31"/>
      <c r="M599" s="31"/>
      <c r="N599" s="31"/>
      <c r="O599" s="31"/>
    </row>
    <row r="600" spans="11:15">
      <c r="K600" s="31"/>
      <c r="L600" s="31"/>
      <c r="M600" s="31"/>
      <c r="N600" s="31"/>
      <c r="O600" s="31"/>
    </row>
    <row r="601" spans="11:15">
      <c r="K601" s="31"/>
      <c r="L601" s="31"/>
      <c r="M601" s="31"/>
      <c r="N601" s="31"/>
      <c r="O601" s="31"/>
    </row>
    <row r="602" spans="11:15">
      <c r="K602" s="31"/>
      <c r="L602" s="31"/>
      <c r="M602" s="31"/>
      <c r="N602" s="31"/>
      <c r="O602" s="31"/>
    </row>
    <row r="603" spans="11:15">
      <c r="K603" s="31"/>
      <c r="L603" s="31"/>
      <c r="M603" s="31"/>
      <c r="N603" s="31"/>
      <c r="O603" s="31"/>
    </row>
    <row r="604" spans="11:15">
      <c r="K604" s="31"/>
      <c r="L604" s="31"/>
      <c r="M604" s="31"/>
      <c r="N604" s="31"/>
      <c r="O604" s="31"/>
    </row>
    <row r="605" spans="11:15">
      <c r="K605" s="31"/>
      <c r="L605" s="31"/>
      <c r="M605" s="31"/>
      <c r="N605" s="31"/>
      <c r="O605" s="31"/>
    </row>
    <row r="606" spans="11:15">
      <c r="K606" s="31"/>
      <c r="L606" s="31"/>
      <c r="M606" s="31"/>
      <c r="N606" s="31"/>
      <c r="O606" s="31"/>
    </row>
    <row r="607" spans="11:15">
      <c r="K607" s="31"/>
      <c r="L607" s="31"/>
      <c r="M607" s="31"/>
      <c r="N607" s="31"/>
      <c r="O607" s="31"/>
    </row>
    <row r="608" spans="11:15">
      <c r="K608" s="31"/>
      <c r="L608" s="31"/>
      <c r="M608" s="31"/>
      <c r="N608" s="31"/>
      <c r="O608" s="31"/>
    </row>
    <row r="609" spans="11:15">
      <c r="K609" s="31"/>
      <c r="L609" s="31"/>
      <c r="M609" s="31"/>
      <c r="N609" s="31"/>
      <c r="O609" s="31"/>
    </row>
    <row r="610" spans="11:15">
      <c r="K610" s="31"/>
      <c r="L610" s="31"/>
      <c r="M610" s="31"/>
      <c r="N610" s="31"/>
      <c r="O610" s="31"/>
    </row>
    <row r="611" spans="11:15">
      <c r="K611" s="31"/>
      <c r="L611" s="31"/>
      <c r="M611" s="31"/>
      <c r="N611" s="31"/>
      <c r="O611" s="31"/>
    </row>
    <row r="612" spans="11:15">
      <c r="K612" s="31"/>
      <c r="L612" s="31"/>
      <c r="M612" s="31"/>
      <c r="N612" s="31"/>
      <c r="O612" s="31"/>
    </row>
    <row r="613" spans="11:15">
      <c r="K613" s="31"/>
      <c r="L613" s="31"/>
      <c r="M613" s="31"/>
      <c r="N613" s="31"/>
      <c r="O613" s="31"/>
    </row>
    <row r="614" spans="11:15">
      <c r="K614" s="31"/>
      <c r="L614" s="31"/>
      <c r="M614" s="31"/>
      <c r="N614" s="31"/>
      <c r="O614" s="31"/>
    </row>
    <row r="615" spans="11:15">
      <c r="K615" s="31"/>
      <c r="L615" s="31"/>
      <c r="M615" s="31"/>
      <c r="N615" s="31"/>
      <c r="O615" s="31"/>
    </row>
    <row r="616" spans="11:15">
      <c r="K616" s="31"/>
      <c r="L616" s="31"/>
      <c r="M616" s="31"/>
      <c r="N616" s="31"/>
      <c r="O616" s="31"/>
    </row>
    <row r="617" spans="11:15">
      <c r="K617" s="31"/>
      <c r="L617" s="31"/>
      <c r="M617" s="31"/>
      <c r="N617" s="31"/>
      <c r="O617" s="31"/>
    </row>
    <row r="618" spans="11:15">
      <c r="K618" s="31"/>
      <c r="L618" s="31"/>
      <c r="M618" s="31"/>
      <c r="N618" s="31"/>
      <c r="O618" s="31"/>
    </row>
    <row r="619" spans="11:15">
      <c r="K619" s="31"/>
      <c r="L619" s="31"/>
      <c r="M619" s="31"/>
      <c r="N619" s="31"/>
      <c r="O619" s="31"/>
    </row>
    <row r="620" spans="11:15">
      <c r="K620" s="31"/>
      <c r="L620" s="31"/>
      <c r="M620" s="31"/>
      <c r="N620" s="31"/>
      <c r="O620" s="31"/>
    </row>
    <row r="621" spans="11:15">
      <c r="K621" s="31"/>
      <c r="L621" s="31"/>
      <c r="M621" s="31"/>
      <c r="N621" s="31"/>
      <c r="O621" s="31"/>
    </row>
    <row r="622" spans="11:15">
      <c r="K622" s="31"/>
      <c r="L622" s="31"/>
      <c r="M622" s="31"/>
      <c r="N622" s="31"/>
      <c r="O622" s="31"/>
    </row>
    <row r="623" spans="11:15">
      <c r="K623" s="31"/>
      <c r="L623" s="31"/>
      <c r="M623" s="31"/>
      <c r="N623" s="31"/>
      <c r="O623" s="31"/>
    </row>
    <row r="624" spans="11:15">
      <c r="K624" s="31"/>
      <c r="L624" s="31"/>
      <c r="M624" s="31"/>
      <c r="N624" s="31"/>
      <c r="O624" s="31"/>
    </row>
    <row r="625" spans="11:15">
      <c r="K625" s="31"/>
      <c r="L625" s="31"/>
      <c r="M625" s="31"/>
      <c r="N625" s="31"/>
      <c r="O625" s="31"/>
    </row>
    <row r="626" spans="11:15">
      <c r="K626" s="31"/>
      <c r="L626" s="31"/>
      <c r="M626" s="31"/>
      <c r="N626" s="31"/>
      <c r="O626" s="31"/>
    </row>
    <row r="627" spans="11:15">
      <c r="K627" s="31"/>
      <c r="L627" s="31"/>
      <c r="M627" s="31"/>
      <c r="N627" s="31"/>
      <c r="O627" s="31"/>
    </row>
    <row r="628" spans="11:15">
      <c r="K628" s="31"/>
      <c r="L628" s="31"/>
      <c r="M628" s="31"/>
      <c r="N628" s="31"/>
      <c r="O628" s="31"/>
    </row>
    <row r="629" spans="11:15">
      <c r="K629" s="31"/>
      <c r="L629" s="31"/>
      <c r="M629" s="31"/>
      <c r="N629" s="31"/>
      <c r="O629" s="31"/>
    </row>
    <row r="630" spans="11:15">
      <c r="K630" s="31"/>
      <c r="L630" s="31"/>
      <c r="M630" s="31"/>
      <c r="N630" s="31"/>
      <c r="O630" s="31"/>
    </row>
    <row r="631" spans="11:15">
      <c r="K631" s="31"/>
      <c r="L631" s="31"/>
      <c r="M631" s="31"/>
      <c r="N631" s="31"/>
      <c r="O631" s="31"/>
    </row>
    <row r="632" spans="11:15">
      <c r="K632" s="31"/>
      <c r="L632" s="31"/>
      <c r="M632" s="31"/>
      <c r="N632" s="31"/>
      <c r="O632" s="31"/>
    </row>
    <row r="633" spans="11:15">
      <c r="K633" s="31"/>
      <c r="L633" s="31"/>
      <c r="M633" s="31"/>
      <c r="N633" s="31"/>
      <c r="O633" s="31"/>
    </row>
    <row r="634" spans="11:15">
      <c r="K634" s="31"/>
      <c r="L634" s="31"/>
      <c r="M634" s="31"/>
      <c r="N634" s="31"/>
      <c r="O634" s="31"/>
    </row>
    <row r="635" spans="11:15">
      <c r="K635" s="31"/>
      <c r="L635" s="31"/>
      <c r="M635" s="31"/>
      <c r="N635" s="31"/>
      <c r="O635" s="31"/>
    </row>
    <row r="636" spans="11:15">
      <c r="K636" s="31"/>
      <c r="L636" s="31"/>
      <c r="M636" s="31"/>
      <c r="N636" s="31"/>
      <c r="O636" s="31"/>
    </row>
    <row r="637" spans="11:15">
      <c r="K637" s="31"/>
      <c r="L637" s="31"/>
      <c r="M637" s="31"/>
      <c r="N637" s="31"/>
      <c r="O637" s="31"/>
    </row>
    <row r="638" spans="11:15">
      <c r="K638" s="31"/>
      <c r="L638" s="31"/>
      <c r="M638" s="31"/>
      <c r="N638" s="31"/>
      <c r="O638" s="31"/>
    </row>
    <row r="639" spans="11:15">
      <c r="K639" s="31"/>
      <c r="L639" s="31"/>
      <c r="M639" s="31"/>
      <c r="N639" s="31"/>
      <c r="O639" s="31"/>
    </row>
    <row r="640" spans="11:15">
      <c r="K640" s="31"/>
      <c r="L640" s="31"/>
      <c r="M640" s="31"/>
      <c r="N640" s="31"/>
      <c r="O640" s="31"/>
    </row>
    <row r="641" spans="11:15">
      <c r="K641" s="31"/>
      <c r="L641" s="31"/>
      <c r="M641" s="31"/>
      <c r="N641" s="31"/>
      <c r="O641" s="31"/>
    </row>
    <row r="642" spans="11:15">
      <c r="K642" s="31"/>
      <c r="L642" s="31"/>
      <c r="M642" s="31"/>
      <c r="N642" s="31"/>
      <c r="O642" s="31"/>
    </row>
    <row r="643" spans="11:15">
      <c r="K643" s="31"/>
      <c r="L643" s="31"/>
      <c r="M643" s="31"/>
      <c r="N643" s="31"/>
      <c r="O643" s="31"/>
    </row>
    <row r="644" spans="11:15">
      <c r="K644" s="31"/>
      <c r="L644" s="31"/>
      <c r="M644" s="31"/>
      <c r="N644" s="31"/>
      <c r="O644" s="31"/>
    </row>
    <row r="645" spans="11:15">
      <c r="K645" s="31"/>
      <c r="L645" s="31"/>
      <c r="M645" s="31"/>
      <c r="N645" s="31"/>
      <c r="O645" s="31"/>
    </row>
    <row r="646" spans="11:15">
      <c r="K646" s="31"/>
      <c r="L646" s="31"/>
      <c r="M646" s="31"/>
      <c r="N646" s="31"/>
      <c r="O646" s="31"/>
    </row>
    <row r="647" spans="11:15">
      <c r="K647" s="31"/>
      <c r="L647" s="31"/>
      <c r="M647" s="31"/>
      <c r="N647" s="31"/>
      <c r="O647" s="31"/>
    </row>
    <row r="648" spans="11:15">
      <c r="K648" s="31"/>
      <c r="L648" s="31"/>
      <c r="M648" s="31"/>
      <c r="N648" s="31"/>
      <c r="O648" s="31"/>
    </row>
    <row r="649" spans="11:15">
      <c r="K649" s="31"/>
      <c r="L649" s="31"/>
      <c r="M649" s="31"/>
      <c r="N649" s="31"/>
      <c r="O649" s="31"/>
    </row>
    <row r="650" spans="11:15">
      <c r="K650" s="31"/>
      <c r="L650" s="31"/>
      <c r="M650" s="31"/>
      <c r="N650" s="31"/>
      <c r="O650" s="31"/>
    </row>
    <row r="651" spans="11:15">
      <c r="K651" s="31"/>
      <c r="L651" s="31"/>
      <c r="M651" s="31"/>
      <c r="N651" s="31"/>
      <c r="O651" s="31"/>
    </row>
    <row r="652" spans="11:15">
      <c r="K652" s="31"/>
      <c r="L652" s="31"/>
      <c r="M652" s="31"/>
      <c r="N652" s="31"/>
      <c r="O652" s="31"/>
    </row>
    <row r="653" spans="11:15">
      <c r="K653" s="31"/>
      <c r="L653" s="31"/>
      <c r="M653" s="31"/>
      <c r="N653" s="31"/>
      <c r="O653" s="31"/>
    </row>
    <row r="654" spans="11:15">
      <c r="K654" s="31"/>
      <c r="L654" s="31"/>
      <c r="M654" s="31"/>
      <c r="N654" s="31"/>
      <c r="O654" s="31"/>
    </row>
    <row r="655" spans="11:15">
      <c r="K655" s="31"/>
      <c r="L655" s="31"/>
      <c r="M655" s="31"/>
      <c r="N655" s="31"/>
      <c r="O655" s="31"/>
    </row>
    <row r="656" spans="11:15">
      <c r="K656" s="31"/>
      <c r="L656" s="31"/>
      <c r="M656" s="31"/>
      <c r="N656" s="31"/>
      <c r="O656" s="31"/>
    </row>
    <row r="657" spans="11:15">
      <c r="K657" s="31"/>
      <c r="L657" s="31"/>
      <c r="M657" s="31"/>
      <c r="N657" s="31"/>
      <c r="O657" s="31"/>
    </row>
    <row r="658" spans="11:15">
      <c r="K658" s="31"/>
      <c r="L658" s="31"/>
      <c r="M658" s="31"/>
      <c r="N658" s="31"/>
      <c r="O658" s="31"/>
    </row>
    <row r="659" spans="11:15">
      <c r="K659" s="31"/>
      <c r="L659" s="31"/>
      <c r="M659" s="31"/>
      <c r="N659" s="31"/>
      <c r="O659" s="31"/>
    </row>
    <row r="660" spans="11:15">
      <c r="K660" s="31"/>
      <c r="L660" s="31"/>
      <c r="M660" s="31"/>
      <c r="N660" s="31"/>
      <c r="O660" s="31"/>
    </row>
    <row r="661" spans="11:15">
      <c r="K661" s="31"/>
      <c r="L661" s="31"/>
      <c r="M661" s="31"/>
      <c r="N661" s="31"/>
      <c r="O661" s="31"/>
    </row>
    <row r="662" spans="11:15">
      <c r="K662" s="31"/>
      <c r="L662" s="31"/>
      <c r="M662" s="31"/>
      <c r="N662" s="31"/>
      <c r="O662" s="31"/>
    </row>
    <row r="663" spans="11:15">
      <c r="K663" s="31"/>
      <c r="L663" s="31"/>
      <c r="M663" s="31"/>
      <c r="N663" s="31"/>
      <c r="O663" s="31"/>
    </row>
    <row r="664" spans="11:15">
      <c r="K664" s="31"/>
      <c r="L664" s="31"/>
      <c r="M664" s="31"/>
      <c r="N664" s="31"/>
      <c r="O664" s="31"/>
    </row>
    <row r="665" spans="11:15">
      <c r="K665" s="31"/>
      <c r="L665" s="31"/>
      <c r="M665" s="31"/>
      <c r="N665" s="31"/>
      <c r="O665" s="31"/>
    </row>
    <row r="666" spans="11:15">
      <c r="K666" s="31"/>
      <c r="L666" s="31"/>
      <c r="M666" s="31"/>
      <c r="N666" s="31"/>
      <c r="O666" s="31"/>
    </row>
    <row r="667" spans="11:15">
      <c r="K667" s="31"/>
      <c r="L667" s="31"/>
      <c r="M667" s="31"/>
      <c r="N667" s="31"/>
      <c r="O667" s="31"/>
    </row>
    <row r="668" spans="11:15">
      <c r="K668" s="31"/>
      <c r="L668" s="31"/>
      <c r="M668" s="31"/>
      <c r="N668" s="31"/>
      <c r="O668" s="31"/>
    </row>
    <row r="669" spans="11:15">
      <c r="K669" s="31"/>
      <c r="L669" s="31"/>
      <c r="M669" s="31"/>
      <c r="N669" s="31"/>
      <c r="O669" s="31"/>
    </row>
    <row r="670" spans="11:15">
      <c r="K670" s="31"/>
      <c r="L670" s="31"/>
      <c r="M670" s="31"/>
      <c r="N670" s="31"/>
      <c r="O670" s="31"/>
    </row>
    <row r="671" spans="11:15">
      <c r="K671" s="31"/>
      <c r="L671" s="31"/>
      <c r="M671" s="31"/>
      <c r="N671" s="31"/>
      <c r="O671" s="31"/>
    </row>
    <row r="672" spans="11:15">
      <c r="K672" s="31"/>
      <c r="L672" s="31"/>
      <c r="M672" s="31"/>
      <c r="N672" s="31"/>
      <c r="O672" s="31"/>
    </row>
    <row r="673" spans="11:15">
      <c r="K673" s="31"/>
      <c r="L673" s="31"/>
      <c r="M673" s="31"/>
      <c r="N673" s="31"/>
      <c r="O673" s="31"/>
    </row>
    <row r="674" spans="11:15">
      <c r="K674" s="31"/>
      <c r="L674" s="31"/>
      <c r="M674" s="31"/>
      <c r="N674" s="31"/>
      <c r="O674" s="31"/>
    </row>
    <row r="675" spans="11:15">
      <c r="K675" s="31"/>
      <c r="L675" s="31"/>
      <c r="M675" s="31"/>
      <c r="N675" s="31"/>
      <c r="O675" s="31"/>
    </row>
    <row r="676" spans="11:15">
      <c r="K676" s="31"/>
      <c r="L676" s="31"/>
      <c r="M676" s="31"/>
      <c r="N676" s="31"/>
      <c r="O676" s="31"/>
    </row>
    <row r="677" spans="11:15">
      <c r="K677" s="31"/>
      <c r="L677" s="31"/>
      <c r="M677" s="31"/>
      <c r="N677" s="31"/>
      <c r="O677" s="31"/>
    </row>
    <row r="678" spans="11:15">
      <c r="K678" s="31"/>
      <c r="L678" s="31"/>
      <c r="M678" s="31"/>
      <c r="N678" s="31"/>
      <c r="O678" s="31"/>
    </row>
    <row r="679" spans="11:15">
      <c r="K679" s="31"/>
      <c r="L679" s="31"/>
      <c r="M679" s="31"/>
      <c r="N679" s="31"/>
      <c r="O679" s="31"/>
    </row>
    <row r="680" spans="11:15">
      <c r="K680" s="31"/>
      <c r="L680" s="31"/>
      <c r="M680" s="31"/>
      <c r="N680" s="31"/>
      <c r="O680" s="31"/>
    </row>
    <row r="681" spans="11:15">
      <c r="K681" s="31"/>
      <c r="L681" s="31"/>
      <c r="M681" s="31"/>
      <c r="N681" s="31"/>
      <c r="O681" s="31"/>
    </row>
    <row r="682" spans="11:15">
      <c r="K682" s="31"/>
      <c r="L682" s="31"/>
      <c r="M682" s="31"/>
      <c r="N682" s="31"/>
      <c r="O682" s="31"/>
    </row>
    <row r="683" spans="11:15">
      <c r="K683" s="31"/>
      <c r="L683" s="31"/>
      <c r="M683" s="31"/>
      <c r="N683" s="31"/>
      <c r="O683" s="31"/>
    </row>
    <row r="684" spans="11:15">
      <c r="K684" s="31"/>
      <c r="L684" s="31"/>
      <c r="M684" s="31"/>
      <c r="N684" s="31"/>
      <c r="O684" s="31"/>
    </row>
    <row r="685" spans="11:15">
      <c r="K685" s="31"/>
      <c r="L685" s="31"/>
      <c r="M685" s="31"/>
      <c r="N685" s="31"/>
      <c r="O685" s="31"/>
    </row>
    <row r="686" spans="11:15">
      <c r="K686" s="31"/>
      <c r="L686" s="31"/>
      <c r="M686" s="31"/>
      <c r="N686" s="31"/>
      <c r="O686" s="31"/>
    </row>
    <row r="687" spans="11:15">
      <c r="K687" s="31"/>
      <c r="L687" s="31"/>
      <c r="M687" s="31"/>
      <c r="N687" s="31"/>
      <c r="O687" s="31"/>
    </row>
    <row r="688" spans="11:15">
      <c r="K688" s="31"/>
      <c r="L688" s="31"/>
      <c r="M688" s="31"/>
      <c r="N688" s="31"/>
      <c r="O688" s="31"/>
    </row>
    <row r="689" spans="11:15">
      <c r="K689" s="31"/>
      <c r="L689" s="31"/>
      <c r="M689" s="31"/>
      <c r="N689" s="31"/>
      <c r="O689" s="31"/>
    </row>
    <row r="690" spans="11:15">
      <c r="K690" s="31"/>
      <c r="L690" s="31"/>
      <c r="M690" s="31"/>
      <c r="N690" s="31"/>
      <c r="O690" s="31"/>
    </row>
    <row r="691" spans="11:15">
      <c r="K691" s="31"/>
      <c r="L691" s="31"/>
      <c r="M691" s="31"/>
      <c r="N691" s="31"/>
      <c r="O691" s="31"/>
    </row>
    <row r="692" spans="11:15">
      <c r="K692" s="31"/>
      <c r="L692" s="31"/>
      <c r="M692" s="31"/>
      <c r="N692" s="31"/>
      <c r="O692" s="31"/>
    </row>
    <row r="693" spans="11:15">
      <c r="K693" s="31"/>
      <c r="L693" s="31"/>
      <c r="M693" s="31"/>
      <c r="N693" s="31"/>
      <c r="O693" s="31"/>
    </row>
    <row r="694" spans="11:15">
      <c r="K694" s="31"/>
      <c r="L694" s="31"/>
      <c r="M694" s="31"/>
      <c r="N694" s="31"/>
      <c r="O694" s="31"/>
    </row>
    <row r="695" spans="11:15">
      <c r="K695" s="31"/>
      <c r="L695" s="31"/>
      <c r="M695" s="31"/>
      <c r="N695" s="31"/>
      <c r="O695" s="31"/>
    </row>
    <row r="696" spans="11:15">
      <c r="K696" s="31"/>
      <c r="L696" s="31"/>
      <c r="M696" s="31"/>
      <c r="N696" s="31"/>
      <c r="O696" s="31"/>
    </row>
    <row r="697" spans="11:15">
      <c r="K697" s="31"/>
      <c r="L697" s="31"/>
      <c r="M697" s="31"/>
      <c r="N697" s="31"/>
      <c r="O697" s="31"/>
    </row>
    <row r="698" spans="11:15">
      <c r="K698" s="31"/>
      <c r="L698" s="31"/>
      <c r="M698" s="31"/>
      <c r="N698" s="31"/>
      <c r="O698" s="31"/>
    </row>
    <row r="699" spans="11:15">
      <c r="K699" s="31"/>
      <c r="L699" s="31"/>
      <c r="M699" s="31"/>
      <c r="N699" s="31"/>
      <c r="O699" s="31"/>
    </row>
    <row r="700" spans="11:15">
      <c r="K700" s="31"/>
      <c r="L700" s="31"/>
      <c r="M700" s="31"/>
      <c r="N700" s="31"/>
      <c r="O700" s="31"/>
    </row>
    <row r="701" spans="11:15">
      <c r="K701" s="31"/>
      <c r="L701" s="31"/>
      <c r="M701" s="31"/>
      <c r="N701" s="31"/>
      <c r="O701" s="31"/>
    </row>
    <row r="702" spans="11:15">
      <c r="K702" s="31"/>
      <c r="L702" s="31"/>
      <c r="M702" s="31"/>
      <c r="N702" s="31"/>
      <c r="O702" s="31"/>
    </row>
    <row r="703" spans="11:15">
      <c r="K703" s="31"/>
      <c r="L703" s="31"/>
      <c r="M703" s="31"/>
      <c r="N703" s="31"/>
      <c r="O703" s="31"/>
    </row>
    <row r="704" spans="11:15">
      <c r="K704" s="31"/>
      <c r="L704" s="31"/>
      <c r="M704" s="31"/>
      <c r="N704" s="31"/>
      <c r="O704" s="31"/>
    </row>
    <row r="705" spans="11:15">
      <c r="K705" s="31"/>
      <c r="L705" s="31"/>
      <c r="M705" s="31"/>
      <c r="N705" s="31"/>
      <c r="O705" s="31"/>
    </row>
    <row r="706" spans="11:15">
      <c r="K706" s="31"/>
      <c r="L706" s="31"/>
      <c r="M706" s="31"/>
      <c r="N706" s="31"/>
      <c r="O706" s="31"/>
    </row>
    <row r="707" spans="11:15">
      <c r="K707" s="31"/>
      <c r="L707" s="31"/>
      <c r="M707" s="31"/>
      <c r="N707" s="31"/>
      <c r="O707" s="31"/>
    </row>
    <row r="708" spans="11:15">
      <c r="K708" s="31"/>
      <c r="L708" s="31"/>
      <c r="M708" s="31"/>
      <c r="N708" s="31"/>
      <c r="O708" s="31"/>
    </row>
    <row r="709" spans="11:15">
      <c r="K709" s="31"/>
      <c r="L709" s="31"/>
      <c r="M709" s="31"/>
      <c r="N709" s="31"/>
      <c r="O709" s="31"/>
    </row>
    <row r="710" spans="11:15">
      <c r="K710" s="31"/>
      <c r="L710" s="31"/>
      <c r="M710" s="31"/>
      <c r="N710" s="31"/>
      <c r="O710" s="31"/>
    </row>
    <row r="711" spans="11:15">
      <c r="K711" s="31"/>
      <c r="L711" s="31"/>
      <c r="M711" s="31"/>
      <c r="N711" s="31"/>
      <c r="O711" s="31"/>
    </row>
    <row r="712" spans="11:15">
      <c r="K712" s="31"/>
      <c r="L712" s="31"/>
      <c r="M712" s="31"/>
      <c r="N712" s="31"/>
      <c r="O712" s="31"/>
    </row>
    <row r="713" spans="11:15">
      <c r="K713" s="31"/>
      <c r="L713" s="31"/>
      <c r="M713" s="31"/>
      <c r="N713" s="31"/>
      <c r="O713" s="31"/>
    </row>
    <row r="714" spans="11:15">
      <c r="K714" s="31"/>
      <c r="L714" s="31"/>
      <c r="M714" s="31"/>
      <c r="N714" s="31"/>
      <c r="O714" s="31"/>
    </row>
    <row r="715" spans="11:15">
      <c r="K715" s="31"/>
      <c r="L715" s="31"/>
      <c r="M715" s="31"/>
      <c r="N715" s="31"/>
      <c r="O715" s="31"/>
    </row>
    <row r="716" spans="11:15">
      <c r="K716" s="31"/>
      <c r="L716" s="31"/>
      <c r="M716" s="31"/>
      <c r="N716" s="31"/>
      <c r="O716" s="31"/>
    </row>
    <row r="717" spans="11:15">
      <c r="K717" s="31"/>
      <c r="L717" s="31"/>
      <c r="M717" s="31"/>
      <c r="N717" s="31"/>
      <c r="O717" s="31"/>
    </row>
    <row r="718" spans="11:15">
      <c r="K718" s="31"/>
      <c r="L718" s="31"/>
      <c r="M718" s="31"/>
      <c r="N718" s="31"/>
      <c r="O718" s="31"/>
    </row>
    <row r="719" spans="11:15">
      <c r="K719" s="31"/>
      <c r="L719" s="31"/>
      <c r="M719" s="31"/>
      <c r="N719" s="31"/>
      <c r="O719" s="31"/>
    </row>
    <row r="720" spans="11:15">
      <c r="K720" s="31"/>
      <c r="L720" s="31"/>
      <c r="M720" s="31"/>
      <c r="N720" s="31"/>
      <c r="O720" s="31"/>
    </row>
    <row r="721" spans="11:15">
      <c r="K721" s="31"/>
      <c r="L721" s="31"/>
      <c r="M721" s="31"/>
      <c r="N721" s="31"/>
      <c r="O721" s="31"/>
    </row>
    <row r="722" spans="11:15">
      <c r="K722" s="31"/>
      <c r="L722" s="31"/>
      <c r="M722" s="31"/>
      <c r="N722" s="31"/>
      <c r="O722" s="31"/>
    </row>
    <row r="723" spans="11:15">
      <c r="K723" s="31"/>
      <c r="L723" s="31"/>
      <c r="M723" s="31"/>
      <c r="N723" s="31"/>
      <c r="O723" s="31"/>
    </row>
    <row r="724" spans="11:15">
      <c r="K724" s="31"/>
      <c r="L724" s="31"/>
      <c r="M724" s="31"/>
      <c r="N724" s="31"/>
      <c r="O724" s="31"/>
    </row>
    <row r="725" spans="11:15">
      <c r="K725" s="31"/>
      <c r="L725" s="31"/>
      <c r="M725" s="31"/>
      <c r="N725" s="31"/>
      <c r="O725" s="31"/>
    </row>
    <row r="726" spans="11:15">
      <c r="K726" s="31"/>
      <c r="L726" s="31"/>
      <c r="M726" s="31"/>
      <c r="N726" s="31"/>
      <c r="O726" s="31"/>
    </row>
    <row r="727" spans="11:15">
      <c r="K727" s="31"/>
      <c r="L727" s="31"/>
      <c r="M727" s="31"/>
      <c r="N727" s="31"/>
      <c r="O727" s="31"/>
    </row>
    <row r="728" spans="11:15">
      <c r="K728" s="31"/>
      <c r="L728" s="31"/>
      <c r="M728" s="31"/>
      <c r="N728" s="31"/>
      <c r="O728" s="31"/>
    </row>
    <row r="729" spans="11:15">
      <c r="K729" s="31"/>
      <c r="L729" s="31"/>
      <c r="M729" s="31"/>
      <c r="N729" s="31"/>
      <c r="O729" s="31"/>
    </row>
    <row r="730" spans="11:15">
      <c r="K730" s="31"/>
      <c r="L730" s="31"/>
      <c r="M730" s="31"/>
      <c r="N730" s="31"/>
      <c r="O730" s="31"/>
    </row>
    <row r="731" spans="11:15">
      <c r="K731" s="31"/>
      <c r="L731" s="31"/>
      <c r="M731" s="31"/>
      <c r="N731" s="31"/>
      <c r="O731" s="31"/>
    </row>
    <row r="732" spans="11:15">
      <c r="K732" s="31"/>
      <c r="L732" s="31"/>
      <c r="M732" s="31"/>
      <c r="N732" s="31"/>
      <c r="O732" s="31"/>
    </row>
    <row r="733" spans="11:15">
      <c r="K733" s="31"/>
      <c r="L733" s="31"/>
      <c r="M733" s="31"/>
      <c r="N733" s="31"/>
      <c r="O733" s="31"/>
    </row>
    <row r="734" spans="11:15">
      <c r="K734" s="31"/>
      <c r="L734" s="31"/>
      <c r="M734" s="31"/>
      <c r="N734" s="31"/>
      <c r="O734" s="31"/>
    </row>
    <row r="735" spans="11:15">
      <c r="K735" s="31"/>
      <c r="L735" s="31"/>
      <c r="M735" s="31"/>
      <c r="N735" s="31"/>
      <c r="O735" s="31"/>
    </row>
    <row r="736" spans="11:15">
      <c r="K736" s="31"/>
      <c r="L736" s="31"/>
      <c r="M736" s="31"/>
      <c r="N736" s="31"/>
      <c r="O736" s="31"/>
    </row>
    <row r="737" spans="11:15">
      <c r="K737" s="31"/>
      <c r="L737" s="31"/>
      <c r="M737" s="31"/>
      <c r="N737" s="31"/>
      <c r="O737" s="31"/>
    </row>
    <row r="738" spans="11:15">
      <c r="K738" s="31"/>
      <c r="L738" s="31"/>
      <c r="M738" s="31"/>
      <c r="N738" s="31"/>
      <c r="O738" s="31"/>
    </row>
    <row r="739" spans="11:15">
      <c r="K739" s="31"/>
      <c r="L739" s="31"/>
      <c r="M739" s="31"/>
      <c r="N739" s="31"/>
      <c r="O739" s="31"/>
    </row>
    <row r="740" spans="11:15">
      <c r="K740" s="31"/>
      <c r="L740" s="31"/>
      <c r="M740" s="31"/>
      <c r="N740" s="31"/>
      <c r="O740" s="31"/>
    </row>
    <row r="741" spans="11:15">
      <c r="K741" s="31"/>
      <c r="L741" s="31"/>
      <c r="M741" s="31"/>
      <c r="N741" s="31"/>
      <c r="O741" s="31"/>
    </row>
    <row r="742" spans="11:15">
      <c r="K742" s="31"/>
      <c r="L742" s="31"/>
      <c r="M742" s="31"/>
      <c r="N742" s="31"/>
      <c r="O742" s="31"/>
    </row>
    <row r="743" spans="11:15">
      <c r="K743" s="31"/>
      <c r="L743" s="31"/>
      <c r="M743" s="31"/>
      <c r="N743" s="31"/>
      <c r="O743" s="31"/>
    </row>
    <row r="744" spans="11:15">
      <c r="K744" s="31"/>
      <c r="L744" s="31"/>
      <c r="M744" s="31"/>
      <c r="N744" s="31"/>
      <c r="O744" s="31"/>
    </row>
    <row r="745" spans="11:15">
      <c r="K745" s="31"/>
      <c r="L745" s="31"/>
      <c r="M745" s="31"/>
      <c r="N745" s="31"/>
      <c r="O745" s="31"/>
    </row>
    <row r="746" spans="11:15">
      <c r="K746" s="31"/>
      <c r="L746" s="31"/>
      <c r="M746" s="31"/>
      <c r="N746" s="31"/>
      <c r="O746" s="31"/>
    </row>
    <row r="747" spans="11:15">
      <c r="K747" s="31"/>
      <c r="L747" s="31"/>
      <c r="M747" s="31"/>
      <c r="N747" s="31"/>
      <c r="O747" s="31"/>
    </row>
    <row r="748" spans="11:15">
      <c r="K748" s="31"/>
      <c r="L748" s="31"/>
      <c r="M748" s="31"/>
      <c r="N748" s="31"/>
      <c r="O748" s="31"/>
    </row>
    <row r="749" spans="11:15">
      <c r="K749" s="31"/>
      <c r="L749" s="31"/>
      <c r="M749" s="31"/>
      <c r="N749" s="31"/>
      <c r="O749" s="31"/>
    </row>
    <row r="750" spans="11:15">
      <c r="K750" s="31"/>
      <c r="L750" s="31"/>
      <c r="M750" s="31"/>
      <c r="N750" s="31"/>
      <c r="O750" s="31"/>
    </row>
    <row r="751" spans="11:15">
      <c r="K751" s="31"/>
      <c r="L751" s="31"/>
      <c r="M751" s="31"/>
      <c r="N751" s="31"/>
      <c r="O751" s="31"/>
    </row>
    <row r="752" spans="11:15">
      <c r="K752" s="31"/>
      <c r="L752" s="31"/>
      <c r="M752" s="31"/>
      <c r="N752" s="31"/>
      <c r="O752" s="31"/>
    </row>
    <row r="753" spans="11:15">
      <c r="K753" s="31"/>
      <c r="L753" s="31"/>
      <c r="M753" s="31"/>
      <c r="N753" s="31"/>
      <c r="O753" s="31"/>
    </row>
    <row r="754" spans="11:15">
      <c r="K754" s="31"/>
      <c r="L754" s="31"/>
      <c r="M754" s="31"/>
      <c r="N754" s="31"/>
      <c r="O754" s="31"/>
    </row>
    <row r="755" spans="11:15">
      <c r="K755" s="31"/>
      <c r="L755" s="31"/>
      <c r="M755" s="31"/>
      <c r="N755" s="31"/>
      <c r="O755" s="31"/>
    </row>
    <row r="756" spans="11:15">
      <c r="K756" s="31"/>
      <c r="L756" s="31"/>
      <c r="M756" s="31"/>
      <c r="N756" s="31"/>
      <c r="O756" s="31"/>
    </row>
    <row r="757" spans="11:15">
      <c r="K757" s="31"/>
      <c r="L757" s="31"/>
      <c r="M757" s="31"/>
      <c r="N757" s="31"/>
      <c r="O757" s="31"/>
    </row>
    <row r="758" spans="11:15">
      <c r="K758" s="31"/>
      <c r="L758" s="31"/>
      <c r="M758" s="31"/>
      <c r="N758" s="31"/>
      <c r="O758" s="31"/>
    </row>
    <row r="759" spans="11:15">
      <c r="K759" s="31"/>
      <c r="L759" s="31"/>
      <c r="M759" s="31"/>
      <c r="N759" s="31"/>
      <c r="O759" s="31"/>
    </row>
    <row r="760" spans="11:15">
      <c r="K760" s="31"/>
      <c r="L760" s="31"/>
      <c r="M760" s="31"/>
      <c r="N760" s="31"/>
      <c r="O760" s="31"/>
    </row>
    <row r="761" spans="11:15">
      <c r="K761" s="31"/>
      <c r="L761" s="31"/>
      <c r="M761" s="31"/>
      <c r="N761" s="31"/>
      <c r="O761" s="31"/>
    </row>
    <row r="762" spans="11:15">
      <c r="K762" s="31"/>
      <c r="L762" s="31"/>
      <c r="M762" s="31"/>
      <c r="N762" s="31"/>
      <c r="O762" s="31"/>
    </row>
    <row r="763" spans="11:15">
      <c r="K763" s="31"/>
      <c r="L763" s="31"/>
      <c r="M763" s="31"/>
      <c r="N763" s="31"/>
      <c r="O763" s="31"/>
    </row>
    <row r="764" spans="11:15">
      <c r="K764" s="31"/>
      <c r="L764" s="31"/>
      <c r="M764" s="31"/>
      <c r="N764" s="31"/>
      <c r="O764" s="31"/>
    </row>
    <row r="765" spans="11:15">
      <c r="K765" s="31"/>
      <c r="L765" s="31"/>
      <c r="M765" s="31"/>
      <c r="N765" s="31"/>
      <c r="O765" s="31"/>
    </row>
    <row r="766" spans="11:15">
      <c r="K766" s="31"/>
      <c r="L766" s="31"/>
      <c r="M766" s="31"/>
      <c r="N766" s="31"/>
      <c r="O766" s="31"/>
    </row>
    <row r="767" spans="11:15">
      <c r="K767" s="31"/>
      <c r="L767" s="31"/>
      <c r="M767" s="31"/>
      <c r="N767" s="31"/>
      <c r="O767" s="31"/>
    </row>
    <row r="768" spans="11:15">
      <c r="K768" s="31"/>
      <c r="L768" s="31"/>
      <c r="M768" s="31"/>
      <c r="N768" s="31"/>
      <c r="O768" s="31"/>
    </row>
    <row r="769" spans="11:15">
      <c r="K769" s="31"/>
      <c r="L769" s="31"/>
      <c r="M769" s="31"/>
      <c r="N769" s="31"/>
      <c r="O769" s="31"/>
    </row>
    <row r="770" spans="11:15">
      <c r="K770" s="31"/>
      <c r="L770" s="31"/>
      <c r="M770" s="31"/>
      <c r="N770" s="31"/>
      <c r="O770" s="31"/>
    </row>
    <row r="771" spans="11:15">
      <c r="K771" s="31"/>
      <c r="L771" s="31"/>
      <c r="M771" s="31"/>
      <c r="N771" s="31"/>
      <c r="O771" s="31"/>
    </row>
    <row r="772" spans="11:15">
      <c r="K772" s="31"/>
      <c r="L772" s="31"/>
      <c r="M772" s="31"/>
      <c r="N772" s="31"/>
      <c r="O772" s="31"/>
    </row>
    <row r="773" spans="11:15">
      <c r="K773" s="31"/>
      <c r="L773" s="31"/>
      <c r="M773" s="31"/>
      <c r="N773" s="31"/>
      <c r="O773" s="31"/>
    </row>
    <row r="774" spans="11:15">
      <c r="K774" s="31"/>
      <c r="L774" s="31"/>
      <c r="M774" s="31"/>
      <c r="N774" s="31"/>
      <c r="O774" s="31"/>
    </row>
    <row r="775" spans="11:15">
      <c r="K775" s="31"/>
      <c r="L775" s="31"/>
      <c r="M775" s="31"/>
      <c r="N775" s="31"/>
      <c r="O775" s="31"/>
    </row>
    <row r="776" spans="11:15">
      <c r="K776" s="31"/>
      <c r="L776" s="31"/>
      <c r="M776" s="31"/>
      <c r="N776" s="31"/>
      <c r="O776" s="31"/>
    </row>
    <row r="777" spans="11:15">
      <c r="K777" s="31"/>
      <c r="L777" s="31"/>
      <c r="M777" s="31"/>
      <c r="N777" s="31"/>
      <c r="O777" s="31"/>
    </row>
    <row r="778" spans="11:15">
      <c r="K778" s="31"/>
      <c r="L778" s="31"/>
      <c r="M778" s="31"/>
      <c r="N778" s="31"/>
      <c r="O778" s="31"/>
    </row>
    <row r="779" spans="11:15">
      <c r="K779" s="31"/>
      <c r="L779" s="31"/>
      <c r="M779" s="31"/>
      <c r="N779" s="31"/>
      <c r="O779" s="31"/>
    </row>
    <row r="780" spans="11:15">
      <c r="K780" s="31"/>
      <c r="L780" s="31"/>
      <c r="M780" s="31"/>
      <c r="N780" s="31"/>
      <c r="O780" s="31"/>
    </row>
    <row r="781" spans="11:15">
      <c r="K781" s="31"/>
      <c r="L781" s="31"/>
      <c r="M781" s="31"/>
      <c r="N781" s="31"/>
      <c r="O781" s="31"/>
    </row>
    <row r="782" spans="11:15">
      <c r="K782" s="31"/>
      <c r="L782" s="31"/>
      <c r="M782" s="31"/>
      <c r="N782" s="31"/>
      <c r="O782" s="31"/>
    </row>
    <row r="783" spans="11:15">
      <c r="K783" s="31"/>
      <c r="L783" s="31"/>
      <c r="M783" s="31"/>
      <c r="N783" s="31"/>
      <c r="O783" s="31"/>
    </row>
    <row r="784" spans="11:15">
      <c r="K784" s="31"/>
      <c r="L784" s="31"/>
      <c r="M784" s="31"/>
      <c r="N784" s="31"/>
      <c r="O784" s="31"/>
    </row>
    <row r="785" spans="11:15">
      <c r="K785" s="31"/>
      <c r="L785" s="31"/>
      <c r="M785" s="31"/>
      <c r="N785" s="31"/>
      <c r="O785" s="31"/>
    </row>
    <row r="786" spans="11:15">
      <c r="K786" s="31"/>
      <c r="L786" s="31"/>
      <c r="M786" s="31"/>
      <c r="N786" s="31"/>
      <c r="O786" s="31"/>
    </row>
    <row r="787" spans="11:15">
      <c r="K787" s="31"/>
      <c r="L787" s="31"/>
      <c r="M787" s="31"/>
      <c r="N787" s="31"/>
      <c r="O787" s="31"/>
    </row>
    <row r="788" spans="11:15">
      <c r="K788" s="31"/>
      <c r="L788" s="31"/>
      <c r="M788" s="31"/>
      <c r="N788" s="31"/>
      <c r="O788" s="31"/>
    </row>
    <row r="789" spans="11:15">
      <c r="K789" s="31"/>
      <c r="L789" s="31"/>
      <c r="M789" s="31"/>
      <c r="N789" s="31"/>
      <c r="O789" s="31"/>
    </row>
    <row r="790" spans="11:15">
      <c r="K790" s="31"/>
      <c r="L790" s="31"/>
      <c r="M790" s="31"/>
      <c r="N790" s="31"/>
      <c r="O790" s="31"/>
    </row>
    <row r="791" spans="11:15">
      <c r="K791" s="31"/>
      <c r="L791" s="31"/>
      <c r="M791" s="31"/>
      <c r="N791" s="31"/>
      <c r="O791" s="31"/>
    </row>
    <row r="792" spans="11:15">
      <c r="K792" s="31"/>
      <c r="L792" s="31"/>
      <c r="M792" s="31"/>
      <c r="N792" s="31"/>
      <c r="O792" s="31"/>
    </row>
    <row r="793" spans="11:15">
      <c r="K793" s="31"/>
      <c r="L793" s="31"/>
      <c r="M793" s="31"/>
      <c r="N793" s="31"/>
      <c r="O793" s="31"/>
    </row>
    <row r="794" spans="11:15">
      <c r="K794" s="31"/>
      <c r="L794" s="31"/>
      <c r="M794" s="31"/>
      <c r="N794" s="31"/>
      <c r="O794" s="31"/>
    </row>
    <row r="795" spans="11:15">
      <c r="K795" s="31"/>
      <c r="L795" s="31"/>
      <c r="M795" s="31"/>
      <c r="N795" s="31"/>
      <c r="O795" s="31"/>
    </row>
    <row r="796" spans="11:15">
      <c r="K796" s="31"/>
      <c r="L796" s="31"/>
      <c r="M796" s="31"/>
      <c r="N796" s="31"/>
      <c r="O796" s="31"/>
    </row>
    <row r="797" spans="11:15">
      <c r="K797" s="31"/>
      <c r="L797" s="31"/>
      <c r="M797" s="31"/>
      <c r="N797" s="31"/>
      <c r="O797" s="31"/>
    </row>
    <row r="798" spans="11:15">
      <c r="K798" s="31"/>
      <c r="L798" s="31"/>
      <c r="M798" s="31"/>
      <c r="N798" s="31"/>
      <c r="O798" s="31"/>
    </row>
    <row r="799" spans="11:15">
      <c r="K799" s="31"/>
      <c r="L799" s="31"/>
      <c r="M799" s="31"/>
      <c r="N799" s="31"/>
      <c r="O799" s="31"/>
    </row>
    <row r="800" spans="11:15">
      <c r="K800" s="31"/>
      <c r="L800" s="31"/>
      <c r="M800" s="31"/>
      <c r="N800" s="31"/>
      <c r="O800" s="31"/>
    </row>
    <row r="801" spans="11:15">
      <c r="K801" s="31"/>
      <c r="L801" s="31"/>
      <c r="M801" s="31"/>
      <c r="N801" s="31"/>
      <c r="O801" s="31"/>
    </row>
    <row r="802" spans="11:15">
      <c r="K802" s="31"/>
      <c r="L802" s="31"/>
      <c r="M802" s="31"/>
      <c r="N802" s="31"/>
      <c r="O802" s="31"/>
    </row>
    <row r="803" spans="11:15">
      <c r="K803" s="31"/>
      <c r="L803" s="31"/>
      <c r="M803" s="31"/>
      <c r="N803" s="31"/>
      <c r="O803" s="31"/>
    </row>
    <row r="804" spans="11:15">
      <c r="K804" s="31"/>
      <c r="L804" s="31"/>
      <c r="M804" s="31"/>
      <c r="N804" s="31"/>
      <c r="O804" s="31"/>
    </row>
    <row r="805" spans="11:15">
      <c r="K805" s="31"/>
      <c r="L805" s="31"/>
      <c r="M805" s="31"/>
      <c r="N805" s="31"/>
      <c r="O805" s="31"/>
    </row>
    <row r="806" spans="11:15">
      <c r="K806" s="31"/>
      <c r="L806" s="31"/>
      <c r="M806" s="31"/>
      <c r="N806" s="31"/>
      <c r="O806" s="31"/>
    </row>
    <row r="807" spans="11:15">
      <c r="K807" s="31"/>
      <c r="L807" s="31"/>
      <c r="M807" s="31"/>
      <c r="N807" s="31"/>
      <c r="O807" s="31"/>
    </row>
    <row r="808" spans="11:15">
      <c r="K808" s="31"/>
      <c r="L808" s="31"/>
      <c r="M808" s="31"/>
      <c r="N808" s="31"/>
      <c r="O808" s="31"/>
    </row>
    <row r="809" spans="11:15">
      <c r="K809" s="31"/>
      <c r="L809" s="31"/>
      <c r="M809" s="31"/>
      <c r="N809" s="31"/>
      <c r="O809" s="31"/>
    </row>
    <row r="810" spans="11:15">
      <c r="K810" s="31"/>
      <c r="L810" s="31"/>
      <c r="M810" s="31"/>
      <c r="N810" s="31"/>
      <c r="O810" s="31"/>
    </row>
    <row r="811" spans="11:15">
      <c r="K811" s="31"/>
      <c r="L811" s="31"/>
      <c r="M811" s="31"/>
      <c r="N811" s="31"/>
      <c r="O811" s="31"/>
    </row>
    <row r="812" spans="11:15">
      <c r="K812" s="31"/>
      <c r="L812" s="31"/>
      <c r="M812" s="31"/>
      <c r="N812" s="31"/>
      <c r="O812" s="31"/>
    </row>
    <row r="813" spans="11:15">
      <c r="K813" s="31"/>
      <c r="L813" s="31"/>
      <c r="M813" s="31"/>
      <c r="N813" s="31"/>
      <c r="O813" s="31"/>
    </row>
    <row r="814" spans="11:15">
      <c r="K814" s="31"/>
      <c r="L814" s="31"/>
      <c r="M814" s="31"/>
      <c r="N814" s="31"/>
      <c r="O814" s="31"/>
    </row>
    <row r="815" spans="11:15">
      <c r="K815" s="31"/>
      <c r="L815" s="31"/>
      <c r="M815" s="31"/>
      <c r="N815" s="31"/>
      <c r="O815" s="31"/>
    </row>
    <row r="816" spans="11:15">
      <c r="K816" s="31"/>
      <c r="L816" s="31"/>
      <c r="M816" s="31"/>
      <c r="N816" s="31"/>
      <c r="O816" s="31"/>
    </row>
    <row r="817" spans="11:15">
      <c r="K817" s="31"/>
      <c r="L817" s="31"/>
      <c r="M817" s="31"/>
      <c r="N817" s="31"/>
      <c r="O817" s="31"/>
    </row>
    <row r="818" spans="11:15">
      <c r="K818" s="31"/>
      <c r="L818" s="31"/>
      <c r="M818" s="31"/>
      <c r="N818" s="31"/>
      <c r="O818" s="31"/>
    </row>
    <row r="819" spans="11:15">
      <c r="K819" s="31"/>
      <c r="L819" s="31"/>
      <c r="M819" s="31"/>
      <c r="N819" s="31"/>
      <c r="O819" s="31"/>
    </row>
    <row r="820" spans="11:15">
      <c r="K820" s="31"/>
      <c r="L820" s="31"/>
      <c r="M820" s="31"/>
      <c r="N820" s="31"/>
      <c r="O820" s="31"/>
    </row>
    <row r="821" spans="11:15">
      <c r="K821" s="31"/>
      <c r="L821" s="31"/>
      <c r="M821" s="31"/>
      <c r="N821" s="31"/>
      <c r="O821" s="31"/>
    </row>
    <row r="822" spans="11:15">
      <c r="K822" s="31"/>
      <c r="L822" s="31"/>
      <c r="M822" s="31"/>
      <c r="N822" s="31"/>
      <c r="O822" s="31"/>
    </row>
    <row r="823" spans="11:15">
      <c r="K823" s="31"/>
      <c r="L823" s="31"/>
      <c r="M823" s="31"/>
      <c r="N823" s="31"/>
      <c r="O823" s="31"/>
    </row>
    <row r="824" spans="11:15">
      <c r="K824" s="31"/>
      <c r="L824" s="31"/>
      <c r="M824" s="31"/>
      <c r="N824" s="31"/>
      <c r="O824" s="31"/>
    </row>
    <row r="825" spans="11:15">
      <c r="K825" s="31"/>
      <c r="L825" s="31"/>
      <c r="M825" s="31"/>
      <c r="N825" s="31"/>
      <c r="O825" s="31"/>
    </row>
    <row r="826" spans="11:15">
      <c r="K826" s="31"/>
      <c r="L826" s="31"/>
      <c r="M826" s="31"/>
      <c r="N826" s="31"/>
      <c r="O826" s="31"/>
    </row>
    <row r="827" spans="11:15">
      <c r="K827" s="31"/>
      <c r="L827" s="31"/>
      <c r="M827" s="31"/>
      <c r="N827" s="31"/>
      <c r="O827" s="31"/>
    </row>
    <row r="828" spans="11:15">
      <c r="K828" s="31"/>
      <c r="L828" s="31"/>
      <c r="M828" s="31"/>
      <c r="N828" s="31"/>
      <c r="O828" s="31"/>
    </row>
    <row r="829" spans="11:15">
      <c r="K829" s="31"/>
      <c r="L829" s="31"/>
      <c r="M829" s="31"/>
      <c r="N829" s="31"/>
      <c r="O829" s="31"/>
    </row>
    <row r="830" spans="11:15">
      <c r="K830" s="31"/>
      <c r="L830" s="31"/>
      <c r="M830" s="31"/>
      <c r="N830" s="31"/>
      <c r="O830" s="31"/>
    </row>
    <row r="831" spans="11:15">
      <c r="K831" s="31"/>
      <c r="L831" s="31"/>
      <c r="M831" s="31"/>
      <c r="N831" s="31"/>
      <c r="O831" s="31"/>
    </row>
    <row r="832" spans="11:15">
      <c r="K832" s="31"/>
      <c r="L832" s="31"/>
      <c r="M832" s="31"/>
      <c r="N832" s="31"/>
      <c r="O832" s="31"/>
    </row>
    <row r="833" spans="11:15">
      <c r="K833" s="31"/>
      <c r="L833" s="31"/>
      <c r="M833" s="31"/>
      <c r="N833" s="31"/>
      <c r="O833" s="31"/>
    </row>
    <row r="834" spans="11:15">
      <c r="K834" s="31"/>
      <c r="L834" s="31"/>
      <c r="M834" s="31"/>
      <c r="N834" s="31"/>
      <c r="O834" s="31"/>
    </row>
    <row r="835" spans="11:15">
      <c r="K835" s="31"/>
      <c r="L835" s="31"/>
      <c r="M835" s="31"/>
      <c r="N835" s="31"/>
      <c r="O835" s="31"/>
    </row>
    <row r="836" spans="11:15">
      <c r="K836" s="31"/>
      <c r="L836" s="31"/>
      <c r="M836" s="31"/>
      <c r="N836" s="31"/>
      <c r="O836" s="31"/>
    </row>
    <row r="837" spans="11:15">
      <c r="K837" s="31"/>
      <c r="L837" s="31"/>
      <c r="M837" s="31"/>
      <c r="N837" s="31"/>
      <c r="O837" s="31"/>
    </row>
    <row r="838" spans="11:15">
      <c r="K838" s="31"/>
      <c r="L838" s="31"/>
      <c r="M838" s="31"/>
      <c r="N838" s="31"/>
      <c r="O838" s="31"/>
    </row>
    <row r="839" spans="11:15">
      <c r="K839" s="31"/>
      <c r="L839" s="31"/>
      <c r="M839" s="31"/>
      <c r="N839" s="31"/>
      <c r="O839" s="31"/>
    </row>
    <row r="840" spans="11:15">
      <c r="K840" s="31"/>
      <c r="L840" s="31"/>
      <c r="M840" s="31"/>
      <c r="N840" s="31"/>
      <c r="O840" s="31"/>
    </row>
    <row r="841" spans="11:15">
      <c r="K841" s="31"/>
      <c r="L841" s="31"/>
      <c r="M841" s="31"/>
      <c r="N841" s="31"/>
      <c r="O841" s="31"/>
    </row>
    <row r="842" spans="11:15">
      <c r="K842" s="31"/>
      <c r="L842" s="31"/>
      <c r="M842" s="31"/>
      <c r="N842" s="31"/>
      <c r="O842" s="31"/>
    </row>
    <row r="843" spans="11:15">
      <c r="K843" s="31"/>
      <c r="L843" s="31"/>
      <c r="M843" s="31"/>
      <c r="N843" s="31"/>
      <c r="O843" s="31"/>
    </row>
    <row r="844" spans="11:15">
      <c r="K844" s="31"/>
      <c r="L844" s="31"/>
      <c r="M844" s="31"/>
      <c r="N844" s="31"/>
      <c r="O844" s="31"/>
    </row>
    <row r="845" spans="11:15">
      <c r="K845" s="31"/>
      <c r="L845" s="31"/>
      <c r="M845" s="31"/>
      <c r="N845" s="31"/>
      <c r="O845" s="31"/>
    </row>
    <row r="846" spans="11:15">
      <c r="K846" s="31"/>
      <c r="L846" s="31"/>
      <c r="M846" s="31"/>
      <c r="N846" s="31"/>
      <c r="O846" s="31"/>
    </row>
    <row r="847" spans="11:15">
      <c r="K847" s="31"/>
      <c r="L847" s="31"/>
      <c r="M847" s="31"/>
      <c r="N847" s="31"/>
      <c r="O847" s="31"/>
    </row>
    <row r="848" spans="11:15">
      <c r="K848" s="31"/>
      <c r="L848" s="31"/>
      <c r="M848" s="31"/>
      <c r="N848" s="31"/>
      <c r="O848" s="31"/>
    </row>
    <row r="849" spans="11:15">
      <c r="K849" s="31"/>
      <c r="L849" s="31"/>
      <c r="M849" s="31"/>
      <c r="N849" s="31"/>
      <c r="O849" s="31"/>
    </row>
    <row r="850" spans="11:15">
      <c r="K850" s="31"/>
      <c r="L850" s="31"/>
      <c r="M850" s="31"/>
      <c r="N850" s="31"/>
      <c r="O850" s="31"/>
    </row>
    <row r="851" spans="11:15">
      <c r="K851" s="31"/>
      <c r="L851" s="31"/>
      <c r="M851" s="31"/>
      <c r="N851" s="31"/>
      <c r="O851" s="31"/>
    </row>
    <row r="852" spans="11:15">
      <c r="K852" s="31"/>
      <c r="L852" s="31"/>
      <c r="M852" s="31"/>
      <c r="N852" s="31"/>
      <c r="O852" s="31"/>
    </row>
    <row r="853" spans="11:15">
      <c r="K853" s="31"/>
      <c r="L853" s="31"/>
      <c r="M853" s="31"/>
      <c r="N853" s="31"/>
      <c r="O853" s="31"/>
    </row>
    <row r="854" spans="11:15">
      <c r="K854" s="31"/>
      <c r="L854" s="31"/>
      <c r="M854" s="31"/>
      <c r="N854" s="31"/>
      <c r="O854" s="31"/>
    </row>
    <row r="855" spans="11:15">
      <c r="K855" s="31"/>
      <c r="L855" s="31"/>
      <c r="M855" s="31"/>
      <c r="N855" s="31"/>
      <c r="O855" s="31"/>
    </row>
    <row r="856" spans="11:15">
      <c r="K856" s="31"/>
      <c r="L856" s="31"/>
      <c r="M856" s="31"/>
      <c r="N856" s="31"/>
      <c r="O856" s="31"/>
    </row>
    <row r="857" spans="11:15">
      <c r="K857" s="31"/>
      <c r="L857" s="31"/>
      <c r="M857" s="31"/>
      <c r="N857" s="31"/>
      <c r="O857" s="31"/>
    </row>
    <row r="858" spans="11:15">
      <c r="K858" s="31"/>
      <c r="L858" s="31"/>
      <c r="M858" s="31"/>
      <c r="N858" s="31"/>
      <c r="O858" s="31"/>
    </row>
    <row r="859" spans="11:15">
      <c r="K859" s="31"/>
      <c r="L859" s="31"/>
      <c r="M859" s="31"/>
      <c r="N859" s="31"/>
      <c r="O859" s="31"/>
    </row>
    <row r="860" spans="11:15">
      <c r="K860" s="31"/>
      <c r="L860" s="31"/>
      <c r="M860" s="31"/>
      <c r="N860" s="31"/>
      <c r="O860" s="31"/>
    </row>
    <row r="861" spans="11:15">
      <c r="K861" s="31"/>
      <c r="L861" s="31"/>
      <c r="M861" s="31"/>
      <c r="N861" s="31"/>
      <c r="O861" s="31"/>
    </row>
    <row r="862" spans="11:15">
      <c r="K862" s="31"/>
      <c r="L862" s="31"/>
      <c r="M862" s="31"/>
      <c r="N862" s="31"/>
      <c r="O862" s="31"/>
    </row>
    <row r="863" spans="11:15">
      <c r="K863" s="31"/>
      <c r="L863" s="31"/>
      <c r="M863" s="31"/>
      <c r="N863" s="31"/>
      <c r="O863" s="31"/>
    </row>
    <row r="864" spans="11:15">
      <c r="K864" s="31"/>
      <c r="L864" s="31"/>
      <c r="M864" s="31"/>
      <c r="N864" s="31"/>
      <c r="O864" s="31"/>
    </row>
    <row r="865" spans="11:15">
      <c r="K865" s="31"/>
      <c r="L865" s="31"/>
      <c r="M865" s="31"/>
      <c r="N865" s="31"/>
      <c r="O865" s="31"/>
    </row>
    <row r="866" spans="11:15">
      <c r="K866" s="31"/>
      <c r="L866" s="31"/>
      <c r="M866" s="31"/>
      <c r="N866" s="31"/>
      <c r="O866" s="31"/>
    </row>
    <row r="867" spans="11:15">
      <c r="K867" s="31"/>
      <c r="L867" s="31"/>
      <c r="M867" s="31"/>
      <c r="N867" s="31"/>
      <c r="O867" s="31"/>
    </row>
    <row r="868" spans="11:15">
      <c r="K868" s="31"/>
      <c r="L868" s="31"/>
      <c r="M868" s="31"/>
      <c r="N868" s="31"/>
      <c r="O868" s="31"/>
    </row>
    <row r="869" spans="11:15">
      <c r="K869" s="31"/>
      <c r="L869" s="31"/>
      <c r="M869" s="31"/>
      <c r="N869" s="31"/>
      <c r="O869" s="31"/>
    </row>
    <row r="870" spans="11:15">
      <c r="K870" s="31"/>
      <c r="L870" s="31"/>
      <c r="M870" s="31"/>
      <c r="N870" s="31"/>
      <c r="O870" s="31"/>
    </row>
    <row r="871" spans="11:15">
      <c r="K871" s="31"/>
      <c r="L871" s="31"/>
      <c r="M871" s="31"/>
      <c r="N871" s="31"/>
      <c r="O871" s="31"/>
    </row>
    <row r="872" spans="11:15">
      <c r="K872" s="31"/>
      <c r="L872" s="31"/>
      <c r="M872" s="31"/>
      <c r="N872" s="31"/>
      <c r="O872" s="31"/>
    </row>
    <row r="873" spans="11:15">
      <c r="K873" s="31"/>
      <c r="L873" s="31"/>
      <c r="M873" s="31"/>
      <c r="N873" s="31"/>
      <c r="O873" s="31"/>
    </row>
    <row r="874" spans="11:15">
      <c r="K874" s="31"/>
      <c r="L874" s="31"/>
      <c r="M874" s="31"/>
      <c r="N874" s="31"/>
      <c r="O874" s="31"/>
    </row>
    <row r="875" spans="11:15">
      <c r="K875" s="31"/>
      <c r="L875" s="31"/>
      <c r="M875" s="31"/>
      <c r="N875" s="31"/>
      <c r="O875" s="31"/>
    </row>
    <row r="876" spans="11:15">
      <c r="K876" s="31"/>
      <c r="L876" s="31"/>
      <c r="M876" s="31"/>
      <c r="N876" s="31"/>
      <c r="O876" s="31"/>
    </row>
    <row r="877" spans="11:15">
      <c r="K877" s="31"/>
      <c r="L877" s="31"/>
      <c r="M877" s="31"/>
      <c r="N877" s="31"/>
      <c r="O877" s="31"/>
    </row>
    <row r="878" spans="11:15">
      <c r="K878" s="31"/>
      <c r="L878" s="31"/>
      <c r="M878" s="31"/>
      <c r="N878" s="31"/>
      <c r="O878" s="31"/>
    </row>
    <row r="879" spans="11:15">
      <c r="K879" s="31"/>
      <c r="L879" s="31"/>
      <c r="M879" s="31"/>
      <c r="N879" s="31"/>
      <c r="O879" s="31"/>
    </row>
    <row r="880" spans="11:15">
      <c r="K880" s="31"/>
      <c r="L880" s="31"/>
      <c r="M880" s="31"/>
      <c r="N880" s="31"/>
      <c r="O880" s="31"/>
    </row>
    <row r="881" spans="11:15">
      <c r="K881" s="31"/>
      <c r="L881" s="31"/>
      <c r="M881" s="31"/>
      <c r="N881" s="31"/>
      <c r="O881" s="31"/>
    </row>
    <row r="882" spans="11:15">
      <c r="K882" s="31"/>
      <c r="L882" s="31"/>
      <c r="M882" s="31"/>
      <c r="N882" s="31"/>
      <c r="O882" s="31"/>
    </row>
    <row r="883" spans="11:15">
      <c r="K883" s="31"/>
      <c r="L883" s="31"/>
      <c r="M883" s="31"/>
      <c r="N883" s="31"/>
      <c r="O883" s="31"/>
    </row>
    <row r="884" spans="11:15">
      <c r="K884" s="31"/>
      <c r="L884" s="31"/>
      <c r="M884" s="31"/>
      <c r="N884" s="31"/>
      <c r="O884" s="31"/>
    </row>
    <row r="885" spans="11:15">
      <c r="K885" s="31"/>
      <c r="L885" s="31"/>
      <c r="M885" s="31"/>
      <c r="N885" s="31"/>
      <c r="O885" s="31"/>
    </row>
    <row r="886" spans="11:15">
      <c r="K886" s="31"/>
      <c r="L886" s="31"/>
      <c r="M886" s="31"/>
      <c r="N886" s="31"/>
      <c r="O886" s="31"/>
    </row>
    <row r="887" spans="11:15">
      <c r="K887" s="31"/>
      <c r="L887" s="31"/>
      <c r="M887" s="31"/>
      <c r="N887" s="31"/>
      <c r="O887" s="31"/>
    </row>
    <row r="888" spans="11:15">
      <c r="K888" s="31"/>
      <c r="L888" s="31"/>
      <c r="M888" s="31"/>
      <c r="N888" s="31"/>
      <c r="O888" s="31"/>
    </row>
    <row r="889" spans="11:15">
      <c r="K889" s="31"/>
      <c r="L889" s="31"/>
      <c r="M889" s="31"/>
      <c r="N889" s="31"/>
      <c r="O889" s="31"/>
    </row>
    <row r="890" spans="11:15">
      <c r="K890" s="31"/>
      <c r="L890" s="31"/>
      <c r="M890" s="31"/>
      <c r="N890" s="31"/>
      <c r="O890" s="31"/>
    </row>
    <row r="891" spans="11:15">
      <c r="K891" s="31"/>
      <c r="L891" s="31"/>
      <c r="M891" s="31"/>
      <c r="N891" s="31"/>
      <c r="O891" s="31"/>
    </row>
    <row r="892" spans="11:15">
      <c r="K892" s="31"/>
      <c r="L892" s="31"/>
      <c r="M892" s="31"/>
      <c r="N892" s="31"/>
      <c r="O892" s="31"/>
    </row>
    <row r="893" spans="11:15">
      <c r="K893" s="31"/>
      <c r="L893" s="31"/>
      <c r="M893" s="31"/>
      <c r="N893" s="31"/>
      <c r="O893" s="31"/>
    </row>
    <row r="894" spans="11:15">
      <c r="K894" s="31"/>
      <c r="L894" s="31"/>
      <c r="M894" s="31"/>
      <c r="N894" s="31"/>
      <c r="O894" s="31"/>
    </row>
    <row r="895" spans="11:15">
      <c r="K895" s="31"/>
      <c r="L895" s="31"/>
      <c r="M895" s="31"/>
      <c r="N895" s="31"/>
      <c r="O895" s="31"/>
    </row>
    <row r="896" spans="11:15">
      <c r="K896" s="31"/>
      <c r="L896" s="31"/>
      <c r="M896" s="31"/>
      <c r="N896" s="31"/>
      <c r="O896" s="31"/>
    </row>
    <row r="897" spans="11:15">
      <c r="K897" s="31"/>
      <c r="L897" s="31"/>
      <c r="M897" s="31"/>
      <c r="N897" s="31"/>
      <c r="O897" s="31"/>
    </row>
    <row r="898" spans="11:15">
      <c r="K898" s="31"/>
      <c r="L898" s="31"/>
      <c r="M898" s="31"/>
      <c r="N898" s="31"/>
      <c r="O898" s="31"/>
    </row>
    <row r="899" spans="11:15">
      <c r="K899" s="31"/>
      <c r="L899" s="31"/>
      <c r="M899" s="31"/>
      <c r="N899" s="31"/>
      <c r="O899" s="31"/>
    </row>
    <row r="900" spans="11:15">
      <c r="K900" s="31"/>
      <c r="L900" s="31"/>
      <c r="M900" s="31"/>
      <c r="N900" s="31"/>
      <c r="O900" s="31"/>
    </row>
    <row r="901" spans="11:15">
      <c r="K901" s="31"/>
      <c r="L901" s="31"/>
      <c r="M901" s="31"/>
      <c r="N901" s="31"/>
      <c r="O901" s="31"/>
    </row>
    <row r="902" spans="11:15">
      <c r="K902" s="31"/>
      <c r="L902" s="31"/>
      <c r="M902" s="31"/>
      <c r="N902" s="31"/>
      <c r="O902" s="31"/>
    </row>
    <row r="903" spans="11:15">
      <c r="K903" s="31"/>
      <c r="L903" s="31"/>
      <c r="M903" s="31"/>
      <c r="N903" s="31"/>
      <c r="O903" s="31"/>
    </row>
    <row r="904" spans="11:15">
      <c r="K904" s="31"/>
      <c r="L904" s="31"/>
      <c r="M904" s="31"/>
      <c r="N904" s="31"/>
      <c r="O904" s="31"/>
    </row>
    <row r="905" spans="11:15">
      <c r="K905" s="31"/>
      <c r="L905" s="31"/>
      <c r="M905" s="31"/>
      <c r="N905" s="31"/>
      <c r="O905" s="31"/>
    </row>
    <row r="906" spans="11:15">
      <c r="K906" s="31"/>
      <c r="L906" s="31"/>
      <c r="M906" s="31"/>
      <c r="N906" s="31"/>
      <c r="O906" s="31"/>
    </row>
    <row r="907" spans="11:15">
      <c r="K907" s="31"/>
      <c r="L907" s="31"/>
      <c r="M907" s="31"/>
      <c r="N907" s="31"/>
      <c r="O907" s="31"/>
    </row>
    <row r="908" spans="11:15">
      <c r="K908" s="31"/>
      <c r="L908" s="31"/>
      <c r="M908" s="31"/>
      <c r="N908" s="31"/>
      <c r="O908" s="31"/>
    </row>
    <row r="909" spans="11:15">
      <c r="K909" s="31"/>
      <c r="L909" s="31"/>
      <c r="M909" s="31"/>
      <c r="N909" s="31"/>
      <c r="O909" s="31"/>
    </row>
    <row r="910" spans="11:15">
      <c r="K910" s="31"/>
      <c r="L910" s="31"/>
      <c r="M910" s="31"/>
      <c r="N910" s="31"/>
      <c r="O910" s="31"/>
    </row>
    <row r="911" spans="11:15">
      <c r="K911" s="31"/>
      <c r="L911" s="31"/>
      <c r="M911" s="31"/>
      <c r="N911" s="31"/>
      <c r="O911" s="31"/>
    </row>
    <row r="912" spans="11:15">
      <c r="K912" s="31"/>
      <c r="L912" s="31"/>
      <c r="M912" s="31"/>
      <c r="N912" s="31"/>
      <c r="O912" s="31"/>
    </row>
    <row r="913" spans="11:15">
      <c r="K913" s="31"/>
      <c r="L913" s="31"/>
      <c r="M913" s="31"/>
      <c r="N913" s="31"/>
      <c r="O913" s="31"/>
    </row>
    <row r="914" spans="11:15">
      <c r="K914" s="31"/>
      <c r="L914" s="31"/>
      <c r="M914" s="31"/>
      <c r="N914" s="31"/>
      <c r="O914" s="31"/>
    </row>
    <row r="915" spans="11:15">
      <c r="K915" s="31"/>
      <c r="L915" s="31"/>
      <c r="M915" s="31"/>
      <c r="N915" s="31"/>
      <c r="O915" s="31"/>
    </row>
    <row r="916" spans="11:15">
      <c r="K916" s="31"/>
      <c r="L916" s="31"/>
      <c r="M916" s="31"/>
      <c r="N916" s="31"/>
      <c r="O916" s="31"/>
    </row>
    <row r="917" spans="11:15">
      <c r="K917" s="31"/>
      <c r="L917" s="31"/>
      <c r="M917" s="31"/>
      <c r="N917" s="31"/>
      <c r="O917" s="31"/>
    </row>
    <row r="918" spans="11:15">
      <c r="K918" s="31"/>
      <c r="L918" s="31"/>
      <c r="M918" s="31"/>
      <c r="N918" s="31"/>
      <c r="O918" s="31"/>
    </row>
    <row r="919" spans="11:15">
      <c r="K919" s="31"/>
      <c r="L919" s="31"/>
      <c r="M919" s="31"/>
      <c r="N919" s="31"/>
      <c r="O919" s="31"/>
    </row>
    <row r="920" spans="11:15">
      <c r="K920" s="31"/>
      <c r="L920" s="31"/>
      <c r="M920" s="31"/>
      <c r="N920" s="31"/>
      <c r="O920" s="31"/>
    </row>
    <row r="921" spans="11:15">
      <c r="K921" s="31"/>
      <c r="L921" s="31"/>
      <c r="M921" s="31"/>
      <c r="N921" s="31"/>
      <c r="O921" s="31"/>
    </row>
    <row r="922" spans="11:15">
      <c r="K922" s="31"/>
      <c r="L922" s="31"/>
      <c r="M922" s="31"/>
      <c r="N922" s="31"/>
      <c r="O922" s="31"/>
    </row>
    <row r="923" spans="11:15">
      <c r="K923" s="31"/>
      <c r="L923" s="31"/>
      <c r="M923" s="31"/>
      <c r="N923" s="31"/>
      <c r="O923" s="31"/>
    </row>
    <row r="924" spans="11:15">
      <c r="K924" s="31"/>
      <c r="L924" s="31"/>
      <c r="M924" s="31"/>
      <c r="N924" s="31"/>
      <c r="O924" s="31"/>
    </row>
    <row r="925" spans="11:15">
      <c r="K925" s="31"/>
      <c r="L925" s="31"/>
      <c r="M925" s="31"/>
      <c r="N925" s="31"/>
      <c r="O925" s="31"/>
    </row>
    <row r="926" spans="11:15">
      <c r="K926" s="31"/>
      <c r="L926" s="31"/>
      <c r="M926" s="31"/>
      <c r="N926" s="31"/>
      <c r="O926" s="31"/>
    </row>
    <row r="927" spans="11:15">
      <c r="K927" s="31"/>
      <c r="L927" s="31"/>
      <c r="M927" s="31"/>
      <c r="N927" s="31"/>
      <c r="O927" s="31"/>
    </row>
    <row r="928" spans="11:15">
      <c r="K928" s="31"/>
      <c r="L928" s="31"/>
      <c r="M928" s="31"/>
      <c r="N928" s="31"/>
      <c r="O928" s="31"/>
    </row>
    <row r="929" spans="11:15">
      <c r="K929" s="31"/>
      <c r="L929" s="31"/>
      <c r="M929" s="31"/>
      <c r="N929" s="31"/>
      <c r="O929" s="31"/>
    </row>
    <row r="930" spans="11:15">
      <c r="K930" s="31"/>
      <c r="L930" s="31"/>
      <c r="M930" s="31"/>
      <c r="N930" s="31"/>
      <c r="O930" s="31"/>
    </row>
    <row r="931" spans="11:15">
      <c r="K931" s="31"/>
      <c r="L931" s="31"/>
      <c r="M931" s="31"/>
      <c r="N931" s="31"/>
      <c r="O931" s="31"/>
    </row>
    <row r="932" spans="11:15">
      <c r="K932" s="31"/>
      <c r="L932" s="31"/>
      <c r="M932" s="31"/>
      <c r="N932" s="31"/>
      <c r="O932" s="31"/>
    </row>
    <row r="933" spans="11:15">
      <c r="K933" s="31"/>
      <c r="L933" s="31"/>
      <c r="M933" s="31"/>
      <c r="N933" s="31"/>
      <c r="O933" s="31"/>
    </row>
    <row r="934" spans="11:15">
      <c r="K934" s="31"/>
      <c r="L934" s="31"/>
      <c r="M934" s="31"/>
      <c r="N934" s="31"/>
      <c r="O934" s="31"/>
    </row>
    <row r="935" spans="11:15">
      <c r="K935" s="31"/>
      <c r="L935" s="31"/>
      <c r="M935" s="31"/>
      <c r="N935" s="31"/>
      <c r="O935" s="31"/>
    </row>
    <row r="936" spans="11:15">
      <c r="K936" s="31"/>
      <c r="L936" s="31"/>
      <c r="M936" s="31"/>
      <c r="N936" s="31"/>
      <c r="O936" s="31"/>
    </row>
    <row r="937" spans="11:15">
      <c r="K937" s="31"/>
      <c r="L937" s="31"/>
      <c r="M937" s="31"/>
      <c r="N937" s="31"/>
      <c r="O937" s="31"/>
    </row>
    <row r="938" spans="11:15">
      <c r="K938" s="31"/>
      <c r="L938" s="31"/>
      <c r="M938" s="31"/>
      <c r="N938" s="31"/>
      <c r="O938" s="31"/>
    </row>
    <row r="939" spans="11:15">
      <c r="K939" s="31"/>
      <c r="L939" s="31"/>
      <c r="M939" s="31"/>
      <c r="N939" s="31"/>
      <c r="O939" s="31"/>
    </row>
    <row r="940" spans="11:15">
      <c r="K940" s="31"/>
      <c r="L940" s="31"/>
      <c r="M940" s="31"/>
      <c r="N940" s="31"/>
      <c r="O940" s="31"/>
    </row>
    <row r="941" spans="11:15">
      <c r="K941" s="31"/>
      <c r="L941" s="31"/>
      <c r="M941" s="31"/>
      <c r="N941" s="31"/>
      <c r="O941" s="31"/>
    </row>
    <row r="942" spans="11:15">
      <c r="K942" s="31"/>
      <c r="L942" s="31"/>
      <c r="M942" s="31"/>
      <c r="N942" s="31"/>
      <c r="O942" s="31"/>
    </row>
    <row r="943" spans="11:15">
      <c r="K943" s="31"/>
      <c r="L943" s="31"/>
      <c r="M943" s="31"/>
      <c r="N943" s="31"/>
      <c r="O943" s="31"/>
    </row>
    <row r="944" spans="11:15">
      <c r="K944" s="31"/>
      <c r="L944" s="31"/>
      <c r="M944" s="31"/>
      <c r="N944" s="31"/>
      <c r="O944" s="31"/>
    </row>
    <row r="945" spans="11:15">
      <c r="K945" s="31"/>
      <c r="L945" s="31"/>
      <c r="M945" s="31"/>
      <c r="N945" s="31"/>
      <c r="O945" s="31"/>
    </row>
    <row r="946" spans="11:15">
      <c r="K946" s="31"/>
      <c r="L946" s="31"/>
      <c r="M946" s="31"/>
      <c r="N946" s="31"/>
      <c r="O946" s="31"/>
    </row>
    <row r="947" spans="11:15">
      <c r="K947" s="31"/>
      <c r="L947" s="31"/>
      <c r="M947" s="31"/>
      <c r="N947" s="31"/>
      <c r="O947" s="31"/>
    </row>
    <row r="948" spans="11:15">
      <c r="K948" s="31"/>
      <c r="L948" s="31"/>
      <c r="M948" s="31"/>
      <c r="N948" s="31"/>
      <c r="O948" s="31"/>
    </row>
    <row r="949" spans="11:15">
      <c r="K949" s="31"/>
      <c r="L949" s="31"/>
      <c r="M949" s="31"/>
      <c r="N949" s="31"/>
      <c r="O949" s="31"/>
    </row>
    <row r="950" spans="11:15">
      <c r="K950" s="31"/>
      <c r="L950" s="31"/>
      <c r="M950" s="31"/>
      <c r="N950" s="31"/>
      <c r="O950" s="31"/>
    </row>
    <row r="951" spans="11:15">
      <c r="K951" s="31"/>
      <c r="L951" s="31"/>
      <c r="M951" s="31"/>
      <c r="N951" s="31"/>
      <c r="O951" s="31"/>
    </row>
    <row r="952" spans="11:15">
      <c r="K952" s="31"/>
      <c r="L952" s="31"/>
      <c r="M952" s="31"/>
      <c r="N952" s="31"/>
      <c r="O952" s="31"/>
    </row>
    <row r="953" spans="11:15">
      <c r="K953" s="31"/>
      <c r="L953" s="31"/>
      <c r="M953" s="31"/>
      <c r="N953" s="31"/>
      <c r="O953" s="31"/>
    </row>
    <row r="954" spans="11:15">
      <c r="K954" s="31"/>
      <c r="L954" s="31"/>
      <c r="M954" s="31"/>
      <c r="N954" s="31"/>
      <c r="O954" s="31"/>
    </row>
    <row r="955" spans="11:15">
      <c r="K955" s="31"/>
      <c r="L955" s="31"/>
      <c r="M955" s="31"/>
      <c r="N955" s="31"/>
      <c r="O955" s="31"/>
    </row>
    <row r="956" spans="11:15">
      <c r="K956" s="31"/>
      <c r="L956" s="31"/>
      <c r="M956" s="31"/>
      <c r="N956" s="31"/>
      <c r="O956" s="31"/>
    </row>
    <row r="957" spans="11:15">
      <c r="K957" s="31"/>
      <c r="L957" s="31"/>
      <c r="M957" s="31"/>
      <c r="N957" s="31"/>
      <c r="O957" s="31"/>
    </row>
    <row r="958" spans="11:15">
      <c r="K958" s="31"/>
      <c r="L958" s="31"/>
      <c r="M958" s="31"/>
      <c r="N958" s="31"/>
      <c r="O958" s="31"/>
    </row>
    <row r="959" spans="11:15">
      <c r="K959" s="31"/>
      <c r="L959" s="31"/>
      <c r="M959" s="31"/>
      <c r="N959" s="31"/>
      <c r="O959" s="31"/>
    </row>
    <row r="960" spans="11:15">
      <c r="K960" s="31"/>
      <c r="L960" s="31"/>
      <c r="M960" s="31"/>
      <c r="N960" s="31"/>
      <c r="O960" s="31"/>
    </row>
    <row r="961" spans="11:15">
      <c r="K961" s="31"/>
      <c r="L961" s="31"/>
      <c r="M961" s="31"/>
      <c r="N961" s="31"/>
      <c r="O961" s="31"/>
    </row>
    <row r="962" spans="11:15">
      <c r="K962" s="31"/>
      <c r="L962" s="31"/>
      <c r="M962" s="31"/>
      <c r="N962" s="31"/>
      <c r="O962" s="31"/>
    </row>
    <row r="963" spans="11:15">
      <c r="K963" s="31"/>
      <c r="L963" s="31"/>
      <c r="M963" s="31"/>
      <c r="N963" s="31"/>
      <c r="O963" s="31"/>
    </row>
    <row r="964" spans="11:15">
      <c r="K964" s="31"/>
      <c r="L964" s="31"/>
      <c r="M964" s="31"/>
      <c r="N964" s="31"/>
      <c r="O964" s="31"/>
    </row>
    <row r="965" spans="11:15">
      <c r="K965" s="31"/>
      <c r="L965" s="31"/>
      <c r="M965" s="31"/>
      <c r="N965" s="31"/>
      <c r="O965" s="31"/>
    </row>
    <row r="966" spans="11:15">
      <c r="K966" s="31"/>
      <c r="L966" s="31"/>
      <c r="M966" s="31"/>
      <c r="N966" s="31"/>
      <c r="O966" s="31"/>
    </row>
    <row r="967" spans="11:15">
      <c r="K967" s="31"/>
      <c r="L967" s="31"/>
      <c r="M967" s="31"/>
      <c r="N967" s="31"/>
      <c r="O967" s="31"/>
    </row>
    <row r="968" spans="11:15">
      <c r="K968" s="31"/>
      <c r="L968" s="31"/>
      <c r="M968" s="31"/>
      <c r="N968" s="31"/>
      <c r="O968" s="31"/>
    </row>
    <row r="969" spans="11:15">
      <c r="K969" s="31"/>
      <c r="L969" s="31"/>
      <c r="M969" s="31"/>
      <c r="N969" s="31"/>
      <c r="O969" s="31"/>
    </row>
    <row r="970" spans="11:15">
      <c r="K970" s="31"/>
      <c r="L970" s="31"/>
      <c r="M970" s="31"/>
      <c r="N970" s="31"/>
      <c r="O970" s="31"/>
    </row>
    <row r="971" spans="11:15">
      <c r="K971" s="31"/>
      <c r="L971" s="31"/>
      <c r="M971" s="31"/>
      <c r="N971" s="31"/>
      <c r="O971" s="31"/>
    </row>
    <row r="972" spans="11:15">
      <c r="K972" s="31"/>
      <c r="L972" s="31"/>
      <c r="M972" s="31"/>
      <c r="N972" s="31"/>
      <c r="O972" s="31"/>
    </row>
    <row r="973" spans="11:15">
      <c r="K973" s="31"/>
      <c r="L973" s="31"/>
      <c r="M973" s="31"/>
      <c r="N973" s="31"/>
      <c r="O973" s="31"/>
    </row>
    <row r="974" spans="11:15">
      <c r="K974" s="31"/>
      <c r="L974" s="31"/>
      <c r="M974" s="31"/>
      <c r="N974" s="31"/>
      <c r="O974" s="31"/>
    </row>
    <row r="975" spans="11:15">
      <c r="K975" s="31"/>
      <c r="L975" s="31"/>
      <c r="M975" s="31"/>
      <c r="N975" s="31"/>
      <c r="O975" s="31"/>
    </row>
    <row r="976" spans="11:15">
      <c r="K976" s="31"/>
      <c r="L976" s="31"/>
      <c r="M976" s="31"/>
      <c r="N976" s="31"/>
      <c r="O976" s="31"/>
    </row>
    <row r="977" spans="11:15">
      <c r="K977" s="31"/>
      <c r="L977" s="31"/>
      <c r="M977" s="31"/>
      <c r="N977" s="31"/>
      <c r="O977" s="31"/>
    </row>
    <row r="978" spans="11:15">
      <c r="K978" s="31"/>
      <c r="L978" s="31"/>
      <c r="M978" s="31"/>
      <c r="N978" s="31"/>
      <c r="O978" s="31"/>
    </row>
    <row r="979" spans="11:15">
      <c r="K979" s="31"/>
      <c r="L979" s="31"/>
      <c r="M979" s="31"/>
      <c r="N979" s="31"/>
      <c r="O979" s="31"/>
    </row>
    <row r="980" spans="11:15">
      <c r="K980" s="31"/>
      <c r="L980" s="31"/>
      <c r="M980" s="31"/>
      <c r="N980" s="31"/>
      <c r="O980" s="31"/>
    </row>
    <row r="981" spans="11:15">
      <c r="K981" s="31"/>
      <c r="L981" s="31"/>
      <c r="M981" s="31"/>
      <c r="N981" s="31"/>
      <c r="O981" s="31"/>
    </row>
    <row r="982" spans="11:15">
      <c r="K982" s="31"/>
      <c r="L982" s="31"/>
      <c r="M982" s="31"/>
      <c r="N982" s="31"/>
      <c r="O982" s="31"/>
    </row>
    <row r="983" spans="11:15">
      <c r="K983" s="31"/>
      <c r="L983" s="31"/>
      <c r="M983" s="31"/>
      <c r="N983" s="31"/>
      <c r="O983" s="31"/>
    </row>
    <row r="984" spans="11:15">
      <c r="K984" s="31"/>
      <c r="L984" s="31"/>
      <c r="M984" s="31"/>
      <c r="N984" s="31"/>
      <c r="O984" s="31"/>
    </row>
    <row r="985" spans="11:15">
      <c r="K985" s="31"/>
      <c r="L985" s="31"/>
      <c r="M985" s="31"/>
      <c r="N985" s="31"/>
      <c r="O985" s="31"/>
    </row>
    <row r="986" spans="11:15">
      <c r="K986" s="31"/>
      <c r="L986" s="31"/>
      <c r="M986" s="31"/>
      <c r="N986" s="31"/>
      <c r="O986" s="31"/>
    </row>
    <row r="987" spans="11:15">
      <c r="K987" s="31"/>
      <c r="L987" s="31"/>
      <c r="M987" s="31"/>
      <c r="N987" s="31"/>
      <c r="O987" s="31"/>
    </row>
    <row r="988" spans="11:15">
      <c r="K988" s="31"/>
      <c r="L988" s="31"/>
      <c r="M988" s="31"/>
      <c r="N988" s="31"/>
      <c r="O988" s="31"/>
    </row>
    <row r="989" spans="11:15">
      <c r="K989" s="31"/>
      <c r="L989" s="31"/>
      <c r="M989" s="31"/>
      <c r="N989" s="31"/>
      <c r="O989" s="31"/>
    </row>
    <row r="990" spans="11:15">
      <c r="K990" s="31"/>
      <c r="L990" s="31"/>
      <c r="M990" s="31"/>
      <c r="N990" s="31"/>
      <c r="O990" s="31"/>
    </row>
    <row r="991" spans="11:15">
      <c r="K991" s="31"/>
      <c r="L991" s="31"/>
      <c r="M991" s="31"/>
      <c r="N991" s="31"/>
      <c r="O991" s="31"/>
    </row>
    <row r="992" spans="11:15">
      <c r="K992" s="31"/>
      <c r="L992" s="31"/>
      <c r="M992" s="31"/>
      <c r="N992" s="31"/>
      <c r="O992" s="31"/>
    </row>
    <row r="993" spans="11:15">
      <c r="K993" s="31"/>
      <c r="L993" s="31"/>
      <c r="M993" s="31"/>
      <c r="N993" s="31"/>
      <c r="O993" s="31"/>
    </row>
    <row r="994" spans="11:15">
      <c r="K994" s="31"/>
      <c r="L994" s="31"/>
      <c r="M994" s="31"/>
      <c r="N994" s="31"/>
      <c r="O994" s="31"/>
    </row>
    <row r="995" spans="11:15">
      <c r="K995" s="31"/>
      <c r="L995" s="31"/>
      <c r="M995" s="31"/>
      <c r="N995" s="31"/>
      <c r="O995" s="31"/>
    </row>
    <row r="996" spans="11:15">
      <c r="K996" s="31"/>
      <c r="L996" s="31"/>
      <c r="M996" s="31"/>
      <c r="N996" s="31"/>
      <c r="O996" s="31"/>
    </row>
    <row r="997" spans="11:15">
      <c r="K997" s="31"/>
      <c r="L997" s="31"/>
      <c r="M997" s="31"/>
      <c r="N997" s="31"/>
      <c r="O997" s="31"/>
    </row>
    <row r="998" spans="11:15">
      <c r="K998" s="31"/>
      <c r="L998" s="31"/>
      <c r="M998" s="31"/>
      <c r="N998" s="31"/>
      <c r="O998" s="31"/>
    </row>
    <row r="999" spans="11:15">
      <c r="K999" s="31"/>
      <c r="L999" s="31"/>
      <c r="M999" s="31"/>
      <c r="N999" s="31"/>
      <c r="O999" s="31"/>
    </row>
    <row r="1000" spans="11:15">
      <c r="K1000" s="31"/>
      <c r="L1000" s="31"/>
      <c r="M1000" s="31"/>
      <c r="N1000" s="31"/>
      <c r="O1000" s="31"/>
    </row>
    <row r="1001" spans="11:15">
      <c r="K1001" s="31"/>
      <c r="L1001" s="31"/>
      <c r="M1001" s="31"/>
      <c r="N1001" s="31"/>
      <c r="O1001" s="31"/>
    </row>
    <row r="1002" spans="11:15">
      <c r="K1002" s="31"/>
      <c r="L1002" s="31"/>
      <c r="M1002" s="31"/>
      <c r="N1002" s="31"/>
      <c r="O1002" s="31"/>
    </row>
    <row r="1003" spans="11:15">
      <c r="K1003" s="31"/>
      <c r="L1003" s="31"/>
      <c r="M1003" s="31"/>
      <c r="N1003" s="31"/>
      <c r="O1003" s="31"/>
    </row>
    <row r="1004" spans="11:15">
      <c r="K1004" s="31"/>
      <c r="L1004" s="31"/>
      <c r="M1004" s="31"/>
      <c r="N1004" s="31"/>
      <c r="O1004" s="31"/>
    </row>
    <row r="1005" spans="11:15">
      <c r="K1005" s="31"/>
      <c r="L1005" s="31"/>
      <c r="M1005" s="31"/>
      <c r="N1005" s="31"/>
      <c r="O1005" s="31"/>
    </row>
    <row r="1006" spans="11:15">
      <c r="K1006" s="31"/>
      <c r="L1006" s="31"/>
      <c r="M1006" s="31"/>
      <c r="N1006" s="31"/>
      <c r="O1006" s="31"/>
    </row>
    <row r="1007" spans="11:15">
      <c r="K1007" s="31"/>
      <c r="L1007" s="31"/>
      <c r="M1007" s="31"/>
      <c r="N1007" s="31"/>
      <c r="O1007" s="31"/>
    </row>
    <row r="1008" spans="11:15">
      <c r="K1008" s="31"/>
      <c r="L1008" s="31"/>
      <c r="M1008" s="31"/>
      <c r="N1008" s="31"/>
      <c r="O1008" s="31"/>
    </row>
    <row r="1009" spans="11:15">
      <c r="K1009" s="31"/>
      <c r="L1009" s="31"/>
      <c r="M1009" s="31"/>
      <c r="N1009" s="31"/>
      <c r="O1009" s="31"/>
    </row>
    <row r="1010" spans="11:15">
      <c r="K1010" s="31"/>
      <c r="L1010" s="31"/>
      <c r="M1010" s="31"/>
      <c r="N1010" s="31"/>
      <c r="O1010" s="31"/>
    </row>
    <row r="1011" spans="11:15">
      <c r="K1011" s="31"/>
      <c r="L1011" s="31"/>
      <c r="M1011" s="31"/>
      <c r="N1011" s="31"/>
      <c r="O1011" s="31"/>
    </row>
    <row r="1012" spans="11:15">
      <c r="K1012" s="31"/>
      <c r="L1012" s="31"/>
      <c r="M1012" s="31"/>
      <c r="N1012" s="31"/>
      <c r="O1012" s="31"/>
    </row>
    <row r="1013" spans="11:15">
      <c r="K1013" s="31"/>
      <c r="L1013" s="31"/>
      <c r="M1013" s="31"/>
      <c r="N1013" s="31"/>
      <c r="O1013" s="31"/>
    </row>
    <row r="1014" spans="11:15">
      <c r="K1014" s="31"/>
      <c r="L1014" s="31"/>
      <c r="M1014" s="31"/>
      <c r="N1014" s="31"/>
      <c r="O1014" s="31"/>
    </row>
    <row r="1015" spans="11:15">
      <c r="K1015" s="31"/>
      <c r="L1015" s="31"/>
      <c r="M1015" s="31"/>
      <c r="N1015" s="31"/>
      <c r="O1015" s="31"/>
    </row>
    <row r="1016" spans="11:15">
      <c r="K1016" s="31"/>
      <c r="L1016" s="31"/>
      <c r="M1016" s="31"/>
      <c r="N1016" s="31"/>
      <c r="O1016" s="31"/>
    </row>
    <row r="1017" spans="11:15">
      <c r="K1017" s="31"/>
      <c r="L1017" s="31"/>
      <c r="M1017" s="31"/>
      <c r="N1017" s="31"/>
      <c r="O1017" s="31"/>
    </row>
    <row r="1018" spans="11:15">
      <c r="K1018" s="31"/>
      <c r="L1018" s="31"/>
      <c r="M1018" s="31"/>
      <c r="N1018" s="31"/>
      <c r="O1018" s="31"/>
    </row>
    <row r="1019" spans="11:15">
      <c r="K1019" s="31"/>
      <c r="L1019" s="31"/>
      <c r="M1019" s="31"/>
      <c r="N1019" s="31"/>
      <c r="O1019" s="31"/>
    </row>
    <row r="1020" spans="11:15">
      <c r="K1020" s="31"/>
      <c r="L1020" s="31"/>
      <c r="M1020" s="31"/>
      <c r="N1020" s="31"/>
      <c r="O1020" s="31"/>
    </row>
    <row r="1021" spans="11:15">
      <c r="K1021" s="31"/>
      <c r="L1021" s="31"/>
      <c r="M1021" s="31"/>
      <c r="N1021" s="31"/>
      <c r="O1021" s="31"/>
    </row>
    <row r="1022" spans="11:15">
      <c r="K1022" s="31"/>
      <c r="L1022" s="31"/>
      <c r="M1022" s="31"/>
      <c r="N1022" s="31"/>
      <c r="O1022" s="31"/>
    </row>
    <row r="1023" spans="11:15">
      <c r="K1023" s="31"/>
      <c r="L1023" s="31"/>
      <c r="M1023" s="31"/>
      <c r="N1023" s="31"/>
      <c r="O1023" s="31"/>
    </row>
    <row r="1024" spans="11:15">
      <c r="K1024" s="31"/>
      <c r="L1024" s="31"/>
      <c r="M1024" s="31"/>
      <c r="N1024" s="31"/>
      <c r="O1024" s="31"/>
    </row>
    <row r="1025" spans="11:15">
      <c r="K1025" s="31"/>
      <c r="L1025" s="31"/>
      <c r="M1025" s="31"/>
      <c r="N1025" s="31"/>
      <c r="O1025" s="31"/>
    </row>
    <row r="1026" spans="11:15">
      <c r="K1026" s="31"/>
      <c r="L1026" s="31"/>
      <c r="M1026" s="31"/>
      <c r="N1026" s="31"/>
      <c r="O1026" s="31"/>
    </row>
    <row r="1027" spans="11:15">
      <c r="K1027" s="31"/>
      <c r="L1027" s="31"/>
      <c r="M1027" s="31"/>
      <c r="N1027" s="31"/>
      <c r="O1027" s="31"/>
    </row>
    <row r="1028" spans="11:15">
      <c r="K1028" s="31"/>
      <c r="L1028" s="31"/>
      <c r="M1028" s="31"/>
      <c r="N1028" s="31"/>
      <c r="O1028" s="31"/>
    </row>
    <row r="1029" spans="11:15">
      <c r="K1029" s="31"/>
      <c r="L1029" s="31"/>
      <c r="M1029" s="31"/>
      <c r="N1029" s="31"/>
      <c r="O1029" s="31"/>
    </row>
    <row r="1030" spans="11:15">
      <c r="K1030" s="31"/>
      <c r="L1030" s="31"/>
      <c r="M1030" s="31"/>
      <c r="N1030" s="31"/>
      <c r="O1030" s="31"/>
    </row>
    <row r="1031" spans="11:15">
      <c r="K1031" s="31"/>
      <c r="L1031" s="31"/>
      <c r="M1031" s="31"/>
      <c r="N1031" s="31"/>
      <c r="O1031" s="31"/>
    </row>
    <row r="1032" spans="11:15">
      <c r="K1032" s="31"/>
      <c r="L1032" s="31"/>
      <c r="M1032" s="31"/>
      <c r="N1032" s="31"/>
      <c r="O1032" s="31"/>
    </row>
    <row r="1033" spans="11:15">
      <c r="K1033" s="31"/>
      <c r="L1033" s="31"/>
      <c r="M1033" s="31"/>
      <c r="N1033" s="31"/>
      <c r="O1033" s="31"/>
    </row>
    <row r="1034" spans="11:15">
      <c r="K1034" s="31"/>
      <c r="L1034" s="31"/>
      <c r="M1034" s="31"/>
      <c r="N1034" s="31"/>
      <c r="O1034" s="31"/>
    </row>
    <row r="1035" spans="11:15">
      <c r="K1035" s="31"/>
      <c r="L1035" s="31"/>
      <c r="M1035" s="31"/>
      <c r="N1035" s="31"/>
      <c r="O1035" s="31"/>
    </row>
    <row r="1036" spans="11:15">
      <c r="K1036" s="31"/>
      <c r="L1036" s="31"/>
      <c r="M1036" s="31"/>
      <c r="N1036" s="31"/>
      <c r="O1036" s="31"/>
    </row>
    <row r="1037" spans="11:15">
      <c r="K1037" s="31"/>
      <c r="L1037" s="31"/>
      <c r="M1037" s="31"/>
      <c r="N1037" s="31"/>
      <c r="O1037" s="31"/>
    </row>
    <row r="1038" spans="11:15">
      <c r="K1038" s="31"/>
      <c r="L1038" s="31"/>
      <c r="M1038" s="31"/>
      <c r="N1038" s="31"/>
      <c r="O1038" s="31"/>
    </row>
    <row r="1039" spans="11:15">
      <c r="K1039" s="31"/>
      <c r="L1039" s="31"/>
      <c r="M1039" s="31"/>
      <c r="N1039" s="31"/>
      <c r="O1039" s="31"/>
    </row>
    <row r="1040" spans="11:15">
      <c r="K1040" s="31"/>
      <c r="L1040" s="31"/>
      <c r="M1040" s="31"/>
      <c r="N1040" s="31"/>
      <c r="O1040" s="31"/>
    </row>
    <row r="1041" spans="11:15">
      <c r="K1041" s="31"/>
      <c r="L1041" s="31"/>
      <c r="M1041" s="31"/>
      <c r="N1041" s="31"/>
      <c r="O1041" s="31"/>
    </row>
    <row r="1042" spans="11:15">
      <c r="K1042" s="31"/>
      <c r="L1042" s="31"/>
      <c r="M1042" s="31"/>
      <c r="N1042" s="31"/>
      <c r="O1042" s="31"/>
    </row>
    <row r="1043" spans="11:15">
      <c r="K1043" s="31"/>
      <c r="L1043" s="31"/>
      <c r="M1043" s="31"/>
      <c r="N1043" s="31"/>
      <c r="O1043" s="31"/>
    </row>
    <row r="1044" spans="11:15">
      <c r="K1044" s="31"/>
      <c r="L1044" s="31"/>
      <c r="M1044" s="31"/>
      <c r="N1044" s="31"/>
      <c r="O1044" s="31"/>
    </row>
    <row r="1045" spans="11:15">
      <c r="K1045" s="31"/>
      <c r="L1045" s="31"/>
      <c r="M1045" s="31"/>
      <c r="N1045" s="31"/>
      <c r="O1045" s="31"/>
    </row>
    <row r="1046" spans="11:15">
      <c r="K1046" s="31"/>
      <c r="L1046" s="31"/>
      <c r="M1046" s="31"/>
      <c r="N1046" s="31"/>
      <c r="O1046" s="31"/>
    </row>
    <row r="1047" spans="11:15">
      <c r="K1047" s="31"/>
      <c r="L1047" s="31"/>
      <c r="M1047" s="31"/>
      <c r="N1047" s="31"/>
      <c r="O1047" s="31"/>
    </row>
    <row r="1048" spans="11:15">
      <c r="K1048" s="31"/>
      <c r="L1048" s="31"/>
      <c r="M1048" s="31"/>
      <c r="N1048" s="31"/>
      <c r="O1048" s="31"/>
    </row>
    <row r="1049" spans="11:15">
      <c r="K1049" s="31"/>
      <c r="L1049" s="31"/>
      <c r="M1049" s="31"/>
      <c r="N1049" s="31"/>
      <c r="O1049" s="31"/>
    </row>
    <row r="1050" spans="11:15">
      <c r="K1050" s="31"/>
      <c r="L1050" s="31"/>
      <c r="M1050" s="31"/>
      <c r="N1050" s="31"/>
      <c r="O1050" s="31"/>
    </row>
    <row r="1051" spans="11:15">
      <c r="K1051" s="31"/>
      <c r="L1051" s="31"/>
      <c r="M1051" s="31"/>
      <c r="N1051" s="31"/>
      <c r="O1051" s="31"/>
    </row>
    <row r="1052" spans="11:15">
      <c r="K1052" s="31"/>
      <c r="L1052" s="31"/>
      <c r="M1052" s="31"/>
      <c r="N1052" s="31"/>
      <c r="O1052" s="31"/>
    </row>
    <row r="1053" spans="11:15">
      <c r="K1053" s="31"/>
      <c r="L1053" s="31"/>
      <c r="M1053" s="31"/>
      <c r="N1053" s="31"/>
      <c r="O1053" s="31"/>
    </row>
    <row r="1054" spans="11:15">
      <c r="K1054" s="31"/>
      <c r="L1054" s="31"/>
      <c r="M1054" s="31"/>
      <c r="N1054" s="31"/>
      <c r="O1054" s="31"/>
    </row>
    <row r="1055" spans="11:15">
      <c r="K1055" s="31"/>
      <c r="L1055" s="31"/>
      <c r="M1055" s="31"/>
      <c r="N1055" s="31"/>
      <c r="O1055" s="31"/>
    </row>
    <row r="1056" spans="11:15">
      <c r="K1056" s="31"/>
      <c r="L1056" s="31"/>
      <c r="M1056" s="31"/>
      <c r="N1056" s="31"/>
      <c r="O1056" s="31"/>
    </row>
    <row r="1057" spans="11:15">
      <c r="K1057" s="31"/>
      <c r="L1057" s="31"/>
      <c r="M1057" s="31"/>
      <c r="N1057" s="31"/>
      <c r="O1057" s="31"/>
    </row>
    <row r="1058" spans="11:15">
      <c r="K1058" s="31"/>
      <c r="L1058" s="31"/>
      <c r="M1058" s="31"/>
      <c r="N1058" s="31"/>
      <c r="O1058" s="31"/>
    </row>
    <row r="1059" spans="11:15">
      <c r="K1059" s="31"/>
      <c r="L1059" s="31"/>
      <c r="M1059" s="31"/>
      <c r="N1059" s="31"/>
      <c r="O1059" s="31"/>
    </row>
    <row r="1060" spans="11:15">
      <c r="K1060" s="31"/>
      <c r="L1060" s="31"/>
      <c r="M1060" s="31"/>
      <c r="N1060" s="31"/>
      <c r="O1060" s="31"/>
    </row>
    <row r="1061" spans="11:15">
      <c r="K1061" s="31"/>
      <c r="L1061" s="31"/>
      <c r="M1061" s="31"/>
      <c r="N1061" s="31"/>
      <c r="O1061" s="31"/>
    </row>
    <row r="1062" spans="11:15">
      <c r="K1062" s="31"/>
      <c r="L1062" s="31"/>
      <c r="M1062" s="31"/>
      <c r="N1062" s="31"/>
      <c r="O1062" s="31"/>
    </row>
    <row r="1063" spans="11:15">
      <c r="K1063" s="31"/>
      <c r="L1063" s="31"/>
      <c r="M1063" s="31"/>
      <c r="N1063" s="31"/>
      <c r="O1063" s="31"/>
    </row>
    <row r="1064" spans="11:15">
      <c r="K1064" s="31"/>
      <c r="L1064" s="31"/>
      <c r="M1064" s="31"/>
      <c r="N1064" s="31"/>
      <c r="O1064" s="31"/>
    </row>
    <row r="1065" spans="11:15">
      <c r="K1065" s="31"/>
      <c r="L1065" s="31"/>
      <c r="M1065" s="31"/>
      <c r="N1065" s="31"/>
      <c r="O1065" s="31"/>
    </row>
    <row r="1066" spans="11:15">
      <c r="K1066" s="31"/>
      <c r="L1066" s="31"/>
      <c r="M1066" s="31"/>
      <c r="N1066" s="31"/>
      <c r="O1066" s="31"/>
    </row>
    <row r="1067" spans="11:15">
      <c r="K1067" s="31"/>
      <c r="L1067" s="31"/>
      <c r="M1067" s="31"/>
      <c r="N1067" s="31"/>
      <c r="O1067" s="31"/>
    </row>
    <row r="1068" spans="11:15">
      <c r="K1068" s="31"/>
      <c r="L1068" s="31"/>
      <c r="M1068" s="31"/>
      <c r="N1068" s="31"/>
      <c r="O1068" s="31"/>
    </row>
    <row r="1069" spans="11:15">
      <c r="K1069" s="31"/>
      <c r="L1069" s="31"/>
      <c r="M1069" s="31"/>
      <c r="N1069" s="31"/>
      <c r="O1069" s="31"/>
    </row>
    <row r="1070" spans="11:15">
      <c r="K1070" s="31"/>
      <c r="L1070" s="31"/>
      <c r="M1070" s="31"/>
      <c r="N1070" s="31"/>
      <c r="O1070" s="31"/>
    </row>
    <row r="1071" spans="11:15">
      <c r="K1071" s="31"/>
      <c r="L1071" s="31"/>
      <c r="M1071" s="31"/>
      <c r="N1071" s="31"/>
      <c r="O1071" s="31"/>
    </row>
    <row r="1072" spans="11:15">
      <c r="K1072" s="31"/>
      <c r="L1072" s="31"/>
      <c r="M1072" s="31"/>
      <c r="N1072" s="31"/>
      <c r="O1072" s="31"/>
    </row>
    <row r="1073" spans="11:15">
      <c r="K1073" s="31"/>
      <c r="L1073" s="31"/>
      <c r="M1073" s="31"/>
      <c r="N1073" s="31"/>
      <c r="O1073" s="31"/>
    </row>
    <row r="1074" spans="11:15">
      <c r="K1074" s="31"/>
      <c r="L1074" s="31"/>
      <c r="M1074" s="31"/>
      <c r="N1074" s="31"/>
      <c r="O1074" s="31"/>
    </row>
    <row r="1075" spans="11:15">
      <c r="K1075" s="31"/>
      <c r="L1075" s="31"/>
      <c r="M1075" s="31"/>
      <c r="N1075" s="31"/>
      <c r="O1075" s="31"/>
    </row>
    <row r="1076" spans="11:15">
      <c r="K1076" s="31"/>
      <c r="L1076" s="31"/>
      <c r="M1076" s="31"/>
      <c r="N1076" s="31"/>
      <c r="O1076" s="31"/>
    </row>
    <row r="1077" spans="11:15">
      <c r="K1077" s="31"/>
      <c r="L1077" s="31"/>
      <c r="M1077" s="31"/>
      <c r="N1077" s="31"/>
      <c r="O1077" s="31"/>
    </row>
    <row r="1078" spans="11:15">
      <c r="K1078" s="31"/>
      <c r="L1078" s="31"/>
      <c r="M1078" s="31"/>
      <c r="N1078" s="31"/>
      <c r="O1078" s="31"/>
    </row>
    <row r="1079" spans="11:15">
      <c r="K1079" s="31"/>
      <c r="L1079" s="31"/>
      <c r="M1079" s="31"/>
      <c r="N1079" s="31"/>
      <c r="O1079" s="31"/>
    </row>
    <row r="1080" spans="11:15">
      <c r="K1080" s="31"/>
      <c r="L1080" s="31"/>
      <c r="M1080" s="31"/>
      <c r="N1080" s="31"/>
      <c r="O1080" s="31"/>
    </row>
    <row r="1081" spans="11:15">
      <c r="K1081" s="31"/>
      <c r="L1081" s="31"/>
      <c r="M1081" s="31"/>
      <c r="N1081" s="31"/>
      <c r="O1081" s="31"/>
    </row>
    <row r="1082" spans="11:15">
      <c r="K1082" s="31"/>
      <c r="L1082" s="31"/>
      <c r="M1082" s="31"/>
      <c r="N1082" s="31"/>
      <c r="O1082" s="31"/>
    </row>
    <row r="1083" spans="11:15">
      <c r="K1083" s="31"/>
      <c r="L1083" s="31"/>
      <c r="M1083" s="31"/>
      <c r="N1083" s="31"/>
      <c r="O1083" s="31"/>
    </row>
    <row r="1084" spans="11:15">
      <c r="K1084" s="31"/>
      <c r="L1084" s="31"/>
      <c r="M1084" s="31"/>
      <c r="N1084" s="31"/>
      <c r="O1084" s="31"/>
    </row>
    <row r="1085" spans="11:15">
      <c r="K1085" s="31"/>
      <c r="L1085" s="31"/>
      <c r="M1085" s="31"/>
      <c r="N1085" s="31"/>
      <c r="O1085" s="31"/>
    </row>
    <row r="1086" spans="11:15">
      <c r="K1086" s="31"/>
      <c r="L1086" s="31"/>
      <c r="M1086" s="31"/>
      <c r="N1086" s="31"/>
      <c r="O1086" s="31"/>
    </row>
    <row r="1087" spans="11:15">
      <c r="K1087" s="31"/>
      <c r="L1087" s="31"/>
      <c r="M1087" s="31"/>
      <c r="N1087" s="31"/>
      <c r="O1087" s="31"/>
    </row>
    <row r="1088" spans="11:15">
      <c r="K1088" s="31"/>
      <c r="L1088" s="31"/>
      <c r="M1088" s="31"/>
      <c r="N1088" s="31"/>
      <c r="O1088" s="31"/>
    </row>
    <row r="1089" spans="11:15">
      <c r="K1089" s="31"/>
      <c r="L1089" s="31"/>
      <c r="M1089" s="31"/>
      <c r="N1089" s="31"/>
      <c r="O1089" s="31"/>
    </row>
    <row r="1090" spans="11:15">
      <c r="K1090" s="31"/>
      <c r="L1090" s="31"/>
      <c r="M1090" s="31"/>
      <c r="N1090" s="31"/>
      <c r="O1090" s="31"/>
    </row>
    <row r="1091" spans="11:15">
      <c r="K1091" s="31"/>
      <c r="L1091" s="31"/>
      <c r="M1091" s="31"/>
      <c r="N1091" s="31"/>
      <c r="O1091" s="31"/>
    </row>
    <row r="1092" spans="11:15">
      <c r="K1092" s="31"/>
      <c r="L1092" s="31"/>
      <c r="M1092" s="31"/>
      <c r="N1092" s="31"/>
      <c r="O1092" s="31"/>
    </row>
    <row r="1093" spans="11:15">
      <c r="K1093" s="31"/>
      <c r="L1093" s="31"/>
      <c r="M1093" s="31"/>
      <c r="N1093" s="31"/>
      <c r="O1093" s="31"/>
    </row>
    <row r="1094" spans="11:15">
      <c r="K1094" s="31"/>
      <c r="L1094" s="31"/>
      <c r="M1094" s="31"/>
      <c r="N1094" s="31"/>
      <c r="O1094" s="31"/>
    </row>
    <row r="1095" spans="11:15">
      <c r="K1095" s="31"/>
      <c r="L1095" s="31"/>
      <c r="M1095" s="31"/>
      <c r="N1095" s="31"/>
      <c r="O1095" s="31"/>
    </row>
    <row r="1096" spans="11:15">
      <c r="K1096" s="31"/>
      <c r="L1096" s="31"/>
      <c r="M1096" s="31"/>
      <c r="N1096" s="31"/>
      <c r="O1096" s="31"/>
    </row>
    <row r="1097" spans="11:15">
      <c r="K1097" s="31"/>
      <c r="L1097" s="31"/>
      <c r="M1097" s="31"/>
      <c r="N1097" s="31"/>
      <c r="O1097" s="31"/>
    </row>
    <row r="1098" spans="11:15">
      <c r="K1098" s="31"/>
      <c r="L1098" s="31"/>
      <c r="M1098" s="31"/>
      <c r="N1098" s="31"/>
      <c r="O1098" s="31"/>
    </row>
    <row r="1099" spans="11:15">
      <c r="K1099" s="31"/>
      <c r="L1099" s="31"/>
      <c r="M1099" s="31"/>
      <c r="N1099" s="31"/>
      <c r="O1099" s="31"/>
    </row>
    <row r="1100" spans="11:15">
      <c r="K1100" s="31"/>
      <c r="L1100" s="31"/>
      <c r="M1100" s="31"/>
      <c r="N1100" s="31"/>
      <c r="O1100" s="31"/>
    </row>
    <row r="1101" spans="11:15">
      <c r="K1101" s="31"/>
      <c r="L1101" s="31"/>
      <c r="M1101" s="31"/>
      <c r="N1101" s="31"/>
      <c r="O1101" s="31"/>
    </row>
    <row r="1102" spans="11:15">
      <c r="K1102" s="31"/>
      <c r="L1102" s="31"/>
      <c r="M1102" s="31"/>
      <c r="N1102" s="31"/>
      <c r="O1102" s="31"/>
    </row>
    <row r="1103" spans="11:15">
      <c r="K1103" s="31"/>
      <c r="L1103" s="31"/>
      <c r="M1103" s="31"/>
      <c r="N1103" s="31"/>
      <c r="O1103" s="31"/>
    </row>
    <row r="1104" spans="11:15">
      <c r="K1104" s="31"/>
      <c r="L1104" s="31"/>
      <c r="M1104" s="31"/>
      <c r="N1104" s="31"/>
      <c r="O1104" s="31"/>
    </row>
    <row r="1105" spans="11:15">
      <c r="K1105" s="31"/>
      <c r="L1105" s="31"/>
      <c r="M1105" s="31"/>
      <c r="N1105" s="31"/>
      <c r="O1105" s="31"/>
    </row>
    <row r="1106" spans="11:15">
      <c r="K1106" s="31"/>
      <c r="L1106" s="31"/>
      <c r="M1106" s="31"/>
      <c r="N1106" s="31"/>
      <c r="O1106" s="31"/>
    </row>
    <row r="1107" spans="11:15">
      <c r="K1107" s="31"/>
      <c r="L1107" s="31"/>
      <c r="M1107" s="31"/>
      <c r="N1107" s="31"/>
      <c r="O1107" s="31"/>
    </row>
    <row r="1108" spans="11:15">
      <c r="K1108" s="31"/>
      <c r="L1108" s="31"/>
      <c r="M1108" s="31"/>
      <c r="N1108" s="31"/>
      <c r="O1108" s="31"/>
    </row>
    <row r="1109" spans="11:15">
      <c r="K1109" s="31"/>
      <c r="L1109" s="31"/>
      <c r="M1109" s="31"/>
      <c r="N1109" s="31"/>
      <c r="O1109" s="31"/>
    </row>
    <row r="1110" spans="11:15">
      <c r="K1110" s="31"/>
      <c r="L1110" s="31"/>
      <c r="M1110" s="31"/>
      <c r="N1110" s="31"/>
      <c r="O1110" s="31"/>
    </row>
    <row r="1111" spans="11:15">
      <c r="K1111" s="31"/>
      <c r="L1111" s="31"/>
      <c r="M1111" s="31"/>
      <c r="N1111" s="31"/>
      <c r="O1111" s="31"/>
    </row>
    <row r="1112" spans="11:15">
      <c r="K1112" s="31"/>
      <c r="L1112" s="31"/>
      <c r="M1112" s="31"/>
      <c r="N1112" s="31"/>
      <c r="O1112" s="31"/>
    </row>
    <row r="1113" spans="11:15">
      <c r="K1113" s="31"/>
      <c r="L1113" s="31"/>
      <c r="M1113" s="31"/>
      <c r="N1113" s="31"/>
      <c r="O1113" s="31"/>
    </row>
    <row r="1114" spans="11:15">
      <c r="K1114" s="31"/>
      <c r="L1114" s="31"/>
      <c r="M1114" s="31"/>
      <c r="N1114" s="31"/>
      <c r="O1114" s="31"/>
    </row>
    <row r="1115" spans="11:15">
      <c r="K1115" s="31"/>
      <c r="L1115" s="31"/>
      <c r="M1115" s="31"/>
      <c r="N1115" s="31"/>
      <c r="O1115" s="31"/>
    </row>
    <row r="1116" spans="11:15">
      <c r="K1116" s="31"/>
      <c r="L1116" s="31"/>
      <c r="M1116" s="31"/>
      <c r="N1116" s="31"/>
      <c r="O1116" s="31"/>
    </row>
    <row r="1117" spans="11:15">
      <c r="K1117" s="31"/>
      <c r="L1117" s="31"/>
      <c r="M1117" s="31"/>
      <c r="N1117" s="31"/>
      <c r="O1117" s="31"/>
    </row>
    <row r="1118" spans="11:15">
      <c r="K1118" s="31"/>
      <c r="L1118" s="31"/>
      <c r="M1118" s="31"/>
      <c r="N1118" s="31"/>
      <c r="O1118" s="31"/>
    </row>
    <row r="1119" spans="11:15">
      <c r="K1119" s="31"/>
      <c r="L1119" s="31"/>
      <c r="M1119" s="31"/>
      <c r="N1119" s="31"/>
      <c r="O1119" s="31"/>
    </row>
    <row r="1120" spans="11:15">
      <c r="K1120" s="31"/>
      <c r="L1120" s="31"/>
      <c r="M1120" s="31"/>
      <c r="N1120" s="31"/>
      <c r="O1120" s="31"/>
    </row>
    <row r="1121" spans="11:15">
      <c r="K1121" s="31"/>
      <c r="L1121" s="31"/>
      <c r="M1121" s="31"/>
      <c r="N1121" s="31"/>
      <c r="O1121" s="31"/>
    </row>
    <row r="1122" spans="11:15">
      <c r="K1122" s="31"/>
      <c r="L1122" s="31"/>
      <c r="M1122" s="31"/>
      <c r="N1122" s="31"/>
      <c r="O1122" s="31"/>
    </row>
    <row r="1123" spans="11:15">
      <c r="K1123" s="31"/>
      <c r="L1123" s="31"/>
      <c r="M1123" s="31"/>
      <c r="N1123" s="31"/>
      <c r="O1123" s="31"/>
    </row>
    <row r="1124" spans="11:15">
      <c r="K1124" s="31"/>
      <c r="L1124" s="31"/>
      <c r="M1124" s="31"/>
      <c r="N1124" s="31"/>
      <c r="O1124" s="31"/>
    </row>
    <row r="1125" spans="11:15">
      <c r="K1125" s="31"/>
      <c r="L1125" s="31"/>
      <c r="M1125" s="31"/>
      <c r="N1125" s="31"/>
      <c r="O1125" s="31"/>
    </row>
    <row r="1126" spans="11:15">
      <c r="K1126" s="31"/>
      <c r="L1126" s="31"/>
      <c r="M1126" s="31"/>
      <c r="N1126" s="31"/>
      <c r="O1126" s="31"/>
    </row>
    <row r="1127" spans="11:15">
      <c r="K1127" s="31"/>
      <c r="L1127" s="31"/>
      <c r="M1127" s="31"/>
      <c r="N1127" s="31"/>
      <c r="O1127" s="31"/>
    </row>
    <row r="1128" spans="11:15">
      <c r="K1128" s="31"/>
      <c r="L1128" s="31"/>
      <c r="M1128" s="31"/>
      <c r="N1128" s="31"/>
      <c r="O1128" s="31"/>
    </row>
    <row r="1129" spans="11:15">
      <c r="K1129" s="31"/>
      <c r="L1129" s="31"/>
      <c r="M1129" s="31"/>
      <c r="N1129" s="31"/>
      <c r="O1129" s="31"/>
    </row>
    <row r="1130" spans="11:15">
      <c r="K1130" s="31"/>
      <c r="L1130" s="31"/>
      <c r="M1130" s="31"/>
      <c r="N1130" s="31"/>
      <c r="O1130" s="31"/>
    </row>
    <row r="1131" spans="11:15">
      <c r="K1131" s="31"/>
      <c r="L1131" s="31"/>
      <c r="M1131" s="31"/>
      <c r="N1131" s="31"/>
      <c r="O1131" s="31"/>
    </row>
    <row r="1132" spans="11:15">
      <c r="K1132" s="31"/>
      <c r="L1132" s="31"/>
      <c r="M1132" s="31"/>
      <c r="N1132" s="31"/>
      <c r="O1132" s="31"/>
    </row>
    <row r="1133" spans="11:15">
      <c r="K1133" s="31"/>
      <c r="L1133" s="31"/>
      <c r="M1133" s="31"/>
      <c r="N1133" s="31"/>
      <c r="O1133" s="31"/>
    </row>
    <row r="1134" spans="11:15">
      <c r="K1134" s="31"/>
      <c r="L1134" s="31"/>
      <c r="M1134" s="31"/>
      <c r="N1134" s="31"/>
      <c r="O1134" s="31"/>
    </row>
    <row r="1135" spans="11:15">
      <c r="K1135" s="31"/>
      <c r="L1135" s="31"/>
      <c r="M1135" s="31"/>
      <c r="N1135" s="31"/>
      <c r="O1135" s="31"/>
    </row>
    <row r="1136" spans="11:15">
      <c r="K1136" s="31"/>
      <c r="L1136" s="31"/>
      <c r="M1136" s="31"/>
      <c r="N1136" s="31"/>
      <c r="O1136" s="31"/>
    </row>
    <row r="1137" spans="11:15">
      <c r="K1137" s="31"/>
      <c r="L1137" s="31"/>
      <c r="M1137" s="31"/>
      <c r="N1137" s="31"/>
      <c r="O1137" s="31"/>
    </row>
    <row r="1138" spans="11:15">
      <c r="K1138" s="31"/>
      <c r="L1138" s="31"/>
      <c r="M1138" s="31"/>
      <c r="N1138" s="31"/>
      <c r="O1138" s="31"/>
    </row>
    <row r="1139" spans="11:15">
      <c r="K1139" s="31"/>
      <c r="L1139" s="31"/>
      <c r="M1139" s="31"/>
      <c r="N1139" s="31"/>
      <c r="O1139" s="31"/>
    </row>
    <row r="1140" spans="11:15">
      <c r="K1140" s="31"/>
      <c r="L1140" s="31"/>
      <c r="M1140" s="31"/>
      <c r="N1140" s="31"/>
      <c r="O1140" s="31"/>
    </row>
    <row r="1141" spans="11:15">
      <c r="K1141" s="31"/>
      <c r="L1141" s="31"/>
      <c r="M1141" s="31"/>
      <c r="N1141" s="31"/>
      <c r="O1141" s="31"/>
    </row>
    <row r="1142" spans="11:15">
      <c r="K1142" s="31"/>
      <c r="L1142" s="31"/>
      <c r="M1142" s="31"/>
      <c r="N1142" s="31"/>
      <c r="O1142" s="31"/>
    </row>
    <row r="1143" spans="11:15">
      <c r="K1143" s="31"/>
      <c r="L1143" s="31"/>
      <c r="M1143" s="31"/>
      <c r="N1143" s="31"/>
      <c r="O1143" s="31"/>
    </row>
    <row r="1144" spans="11:15">
      <c r="K1144" s="31"/>
      <c r="L1144" s="31"/>
      <c r="M1144" s="31"/>
      <c r="N1144" s="31"/>
      <c r="O1144" s="31"/>
    </row>
    <row r="1145" spans="11:15">
      <c r="K1145" s="31"/>
      <c r="L1145" s="31"/>
      <c r="M1145" s="31"/>
      <c r="N1145" s="31"/>
      <c r="O1145" s="31"/>
    </row>
    <row r="1146" spans="11:15">
      <c r="K1146" s="31"/>
      <c r="L1146" s="31"/>
      <c r="M1146" s="31"/>
      <c r="N1146" s="31"/>
      <c r="O1146" s="31"/>
    </row>
    <row r="1147" spans="11:15">
      <c r="K1147" s="31"/>
      <c r="L1147" s="31"/>
      <c r="M1147" s="31"/>
      <c r="N1147" s="31"/>
      <c r="O1147" s="31"/>
    </row>
    <row r="1148" spans="11:15">
      <c r="K1148" s="31"/>
      <c r="L1148" s="31"/>
      <c r="M1148" s="31"/>
      <c r="N1148" s="31"/>
      <c r="O1148" s="31"/>
    </row>
    <row r="1149" spans="11:15">
      <c r="K1149" s="31"/>
      <c r="L1149" s="31"/>
      <c r="M1149" s="31"/>
      <c r="N1149" s="31"/>
      <c r="O1149" s="31"/>
    </row>
    <row r="1150" spans="11:15">
      <c r="K1150" s="31"/>
      <c r="L1150" s="31"/>
      <c r="M1150" s="31"/>
      <c r="N1150" s="31"/>
      <c r="O1150" s="31"/>
    </row>
    <row r="1151" spans="11:15">
      <c r="K1151" s="31"/>
      <c r="L1151" s="31"/>
      <c r="M1151" s="31"/>
      <c r="N1151" s="31"/>
      <c r="O1151" s="31"/>
    </row>
    <row r="1152" spans="11:15">
      <c r="K1152" s="31"/>
      <c r="L1152" s="31"/>
      <c r="M1152" s="31"/>
      <c r="N1152" s="31"/>
      <c r="O1152" s="31"/>
    </row>
    <row r="1153" spans="11:15">
      <c r="K1153" s="31"/>
      <c r="L1153" s="31"/>
      <c r="M1153" s="31"/>
      <c r="N1153" s="31"/>
      <c r="O1153" s="31"/>
    </row>
    <row r="1154" spans="11:15">
      <c r="K1154" s="31"/>
      <c r="L1154" s="31"/>
      <c r="M1154" s="31"/>
      <c r="N1154" s="31"/>
      <c r="O1154" s="31"/>
    </row>
    <row r="1155" spans="11:15">
      <c r="K1155" s="31"/>
      <c r="L1155" s="31"/>
      <c r="M1155" s="31"/>
      <c r="N1155" s="31"/>
      <c r="O1155" s="31"/>
    </row>
    <row r="1156" spans="11:15">
      <c r="K1156" s="31"/>
      <c r="L1156" s="31"/>
      <c r="M1156" s="31"/>
      <c r="N1156" s="31"/>
      <c r="O1156" s="31"/>
    </row>
    <row r="1157" spans="11:15">
      <c r="K1157" s="31"/>
      <c r="L1157" s="31"/>
      <c r="M1157" s="31"/>
      <c r="N1157" s="31"/>
      <c r="O1157" s="31"/>
    </row>
    <row r="1158" spans="11:15">
      <c r="K1158" s="31"/>
      <c r="L1158" s="31"/>
      <c r="M1158" s="31"/>
      <c r="N1158" s="31"/>
      <c r="O1158" s="31"/>
    </row>
    <row r="1159" spans="11:15">
      <c r="K1159" s="31"/>
      <c r="L1159" s="31"/>
      <c r="M1159" s="31"/>
      <c r="N1159" s="31"/>
      <c r="O1159" s="31"/>
    </row>
    <row r="1160" spans="11:15">
      <c r="K1160" s="31"/>
      <c r="L1160" s="31"/>
      <c r="M1160" s="31"/>
      <c r="N1160" s="31"/>
      <c r="O1160" s="31"/>
    </row>
    <row r="1161" spans="11:15">
      <c r="K1161" s="31"/>
      <c r="L1161" s="31"/>
      <c r="M1161" s="31"/>
      <c r="N1161" s="31"/>
      <c r="O1161" s="31"/>
    </row>
    <row r="1162" spans="11:15">
      <c r="K1162" s="31"/>
      <c r="L1162" s="31"/>
      <c r="M1162" s="31"/>
      <c r="N1162" s="31"/>
      <c r="O1162" s="31"/>
    </row>
    <row r="1163" spans="11:15">
      <c r="K1163" s="31"/>
      <c r="L1163" s="31"/>
      <c r="M1163" s="31"/>
      <c r="N1163" s="31"/>
      <c r="O1163" s="31"/>
    </row>
    <row r="1164" spans="11:15">
      <c r="K1164" s="31"/>
      <c r="L1164" s="31"/>
      <c r="M1164" s="31"/>
      <c r="N1164" s="31"/>
      <c r="O1164" s="31"/>
    </row>
    <row r="1165" spans="11:15">
      <c r="K1165" s="31"/>
      <c r="L1165" s="31"/>
      <c r="M1165" s="31"/>
      <c r="N1165" s="31"/>
      <c r="O1165" s="31"/>
    </row>
    <row r="1166" spans="11:15">
      <c r="K1166" s="31"/>
      <c r="L1166" s="31"/>
      <c r="M1166" s="31"/>
      <c r="N1166" s="31"/>
      <c r="O1166" s="31"/>
    </row>
    <row r="1167" spans="11:15">
      <c r="K1167" s="31"/>
      <c r="L1167" s="31"/>
      <c r="M1167" s="31"/>
      <c r="N1167" s="31"/>
      <c r="O1167" s="31"/>
    </row>
    <row r="1168" spans="11:15">
      <c r="K1168" s="31"/>
      <c r="L1168" s="31"/>
      <c r="M1168" s="31"/>
      <c r="N1168" s="31"/>
      <c r="O1168" s="31"/>
    </row>
    <row r="1169" spans="11:15">
      <c r="K1169" s="31"/>
      <c r="L1169" s="31"/>
      <c r="M1169" s="31"/>
      <c r="N1169" s="31"/>
      <c r="O1169" s="31"/>
    </row>
    <row r="1170" spans="11:15">
      <c r="K1170" s="31"/>
      <c r="L1170" s="31"/>
      <c r="M1170" s="31"/>
      <c r="N1170" s="31"/>
      <c r="O1170" s="31"/>
    </row>
    <row r="1171" spans="11:15">
      <c r="K1171" s="31"/>
      <c r="L1171" s="31"/>
      <c r="M1171" s="31"/>
      <c r="N1171" s="31"/>
      <c r="O1171" s="31"/>
    </row>
    <row r="1172" spans="11:15">
      <c r="K1172" s="31"/>
      <c r="L1172" s="31"/>
      <c r="M1172" s="31"/>
      <c r="N1172" s="31"/>
      <c r="O1172" s="31"/>
    </row>
    <row r="1173" spans="11:15">
      <c r="K1173" s="31"/>
      <c r="L1173" s="31"/>
      <c r="M1173" s="31"/>
      <c r="N1173" s="31"/>
      <c r="O1173" s="31"/>
    </row>
    <row r="1174" spans="11:15">
      <c r="K1174" s="31"/>
      <c r="L1174" s="31"/>
      <c r="M1174" s="31"/>
      <c r="N1174" s="31"/>
      <c r="O1174" s="31"/>
    </row>
    <row r="1175" spans="11:15">
      <c r="K1175" s="31"/>
      <c r="L1175" s="31"/>
      <c r="M1175" s="31"/>
      <c r="N1175" s="31"/>
      <c r="O1175" s="31"/>
    </row>
    <row r="1176" spans="11:15">
      <c r="K1176" s="31"/>
      <c r="L1176" s="31"/>
      <c r="M1176" s="31"/>
      <c r="N1176" s="31"/>
      <c r="O1176" s="31"/>
    </row>
    <row r="1177" spans="11:15">
      <c r="K1177" s="31"/>
      <c r="L1177" s="31"/>
      <c r="M1177" s="31"/>
      <c r="N1177" s="31"/>
      <c r="O1177" s="31"/>
    </row>
    <row r="1178" spans="11:15">
      <c r="K1178" s="31"/>
      <c r="L1178" s="31"/>
      <c r="M1178" s="31"/>
      <c r="N1178" s="31"/>
      <c r="O1178" s="31"/>
    </row>
    <row r="1179" spans="11:15">
      <c r="K1179" s="31"/>
      <c r="L1179" s="31"/>
      <c r="M1179" s="31"/>
      <c r="N1179" s="31"/>
      <c r="O1179" s="31"/>
    </row>
    <row r="1180" spans="11:15">
      <c r="K1180" s="31"/>
      <c r="L1180" s="31"/>
      <c r="M1180" s="31"/>
      <c r="N1180" s="31"/>
      <c r="O1180" s="31"/>
    </row>
    <row r="1181" spans="11:15">
      <c r="K1181" s="31"/>
      <c r="L1181" s="31"/>
      <c r="M1181" s="31"/>
      <c r="N1181" s="31"/>
      <c r="O1181" s="31"/>
    </row>
    <row r="1182" spans="11:15">
      <c r="K1182" s="31"/>
      <c r="L1182" s="31"/>
      <c r="M1182" s="31"/>
      <c r="N1182" s="31"/>
      <c r="O1182" s="31"/>
    </row>
    <row r="1183" spans="11:15">
      <c r="K1183" s="31"/>
      <c r="L1183" s="31"/>
      <c r="M1183" s="31"/>
      <c r="N1183" s="31"/>
      <c r="O1183" s="31"/>
    </row>
    <row r="1184" spans="11:15">
      <c r="K1184" s="31"/>
      <c r="L1184" s="31"/>
      <c r="M1184" s="31"/>
      <c r="N1184" s="31"/>
      <c r="O1184" s="31"/>
    </row>
    <row r="1185" spans="11:15">
      <c r="K1185" s="31"/>
      <c r="L1185" s="31"/>
      <c r="M1185" s="31"/>
      <c r="N1185" s="31"/>
      <c r="O1185" s="31"/>
    </row>
    <row r="1186" spans="11:15">
      <c r="K1186" s="31"/>
      <c r="L1186" s="31"/>
      <c r="M1186" s="31"/>
      <c r="N1186" s="31"/>
      <c r="O1186" s="31"/>
    </row>
    <row r="1187" spans="11:15">
      <c r="K1187" s="31"/>
      <c r="L1187" s="31"/>
      <c r="M1187" s="31"/>
      <c r="N1187" s="31"/>
      <c r="O1187" s="31"/>
    </row>
    <row r="1188" spans="11:15">
      <c r="K1188" s="31"/>
      <c r="L1188" s="31"/>
      <c r="M1188" s="31"/>
      <c r="N1188" s="31"/>
      <c r="O1188" s="31"/>
    </row>
    <row r="1189" spans="11:15">
      <c r="K1189" s="31"/>
      <c r="L1189" s="31"/>
      <c r="M1189" s="31"/>
      <c r="N1189" s="31"/>
      <c r="O1189" s="31"/>
    </row>
    <row r="1190" spans="11:15">
      <c r="K1190" s="31"/>
      <c r="L1190" s="31"/>
      <c r="M1190" s="31"/>
      <c r="N1190" s="31"/>
      <c r="O1190" s="31"/>
    </row>
    <row r="1191" spans="11:15">
      <c r="K1191" s="31"/>
      <c r="L1191" s="31"/>
      <c r="M1191" s="31"/>
      <c r="N1191" s="31"/>
      <c r="O1191" s="31"/>
    </row>
    <row r="1192" spans="11:15">
      <c r="K1192" s="31"/>
      <c r="L1192" s="31"/>
      <c r="M1192" s="31"/>
      <c r="N1192" s="31"/>
      <c r="O1192" s="31"/>
    </row>
    <row r="1193" spans="11:15">
      <c r="K1193" s="31"/>
      <c r="L1193" s="31"/>
      <c r="M1193" s="31"/>
      <c r="N1193" s="31"/>
      <c r="O1193" s="31"/>
    </row>
    <row r="1194" spans="11:15">
      <c r="K1194" s="31"/>
      <c r="L1194" s="31"/>
      <c r="M1194" s="31"/>
      <c r="N1194" s="31"/>
      <c r="O1194" s="31"/>
    </row>
    <row r="1195" spans="11:15">
      <c r="K1195" s="31"/>
      <c r="L1195" s="31"/>
      <c r="M1195" s="31"/>
      <c r="N1195" s="31"/>
      <c r="O1195" s="31"/>
    </row>
    <row r="1196" spans="11:15">
      <c r="K1196" s="31"/>
      <c r="L1196" s="31"/>
      <c r="M1196" s="31"/>
      <c r="N1196" s="31"/>
      <c r="O1196" s="31"/>
    </row>
    <row r="1197" spans="11:15">
      <c r="K1197" s="31"/>
      <c r="L1197" s="31"/>
      <c r="M1197" s="31"/>
      <c r="N1197" s="31"/>
      <c r="O1197" s="31"/>
    </row>
    <row r="1198" spans="11:15">
      <c r="K1198" s="31"/>
      <c r="L1198" s="31"/>
      <c r="M1198" s="31"/>
      <c r="N1198" s="31"/>
      <c r="O1198" s="31"/>
    </row>
    <row r="1199" spans="11:15">
      <c r="K1199" s="31"/>
      <c r="L1199" s="31"/>
      <c r="M1199" s="31"/>
      <c r="N1199" s="31"/>
      <c r="O1199" s="31"/>
    </row>
    <row r="1200" spans="11:15">
      <c r="K1200" s="31"/>
      <c r="L1200" s="31"/>
      <c r="M1200" s="31"/>
      <c r="N1200" s="31"/>
      <c r="O1200" s="31"/>
    </row>
    <row r="1201" spans="11:15">
      <c r="K1201" s="31"/>
      <c r="L1201" s="31"/>
      <c r="M1201" s="31"/>
      <c r="N1201" s="31"/>
      <c r="O1201" s="31"/>
    </row>
    <row r="1202" spans="11:15">
      <c r="K1202" s="31"/>
      <c r="L1202" s="31"/>
      <c r="M1202" s="31"/>
      <c r="N1202" s="31"/>
      <c r="O1202" s="31"/>
    </row>
    <row r="1203" spans="11:15">
      <c r="K1203" s="31"/>
      <c r="L1203" s="31"/>
      <c r="M1203" s="31"/>
      <c r="N1203" s="31"/>
      <c r="O1203" s="31"/>
    </row>
    <row r="1204" spans="11:15">
      <c r="K1204" s="31"/>
      <c r="L1204" s="31"/>
      <c r="M1204" s="31"/>
      <c r="N1204" s="31"/>
      <c r="O1204" s="31"/>
    </row>
    <row r="1205" spans="11:15">
      <c r="K1205" s="31"/>
      <c r="L1205" s="31"/>
      <c r="M1205" s="31"/>
      <c r="N1205" s="31"/>
      <c r="O1205" s="31"/>
    </row>
    <row r="1206" spans="11:15">
      <c r="K1206" s="31"/>
      <c r="L1206" s="31"/>
      <c r="M1206" s="31"/>
      <c r="N1206" s="31"/>
      <c r="O1206" s="31"/>
    </row>
    <row r="1207" spans="11:15">
      <c r="K1207" s="31"/>
      <c r="L1207" s="31"/>
      <c r="M1207" s="31"/>
      <c r="N1207" s="31"/>
      <c r="O1207" s="31"/>
    </row>
    <row r="1208" spans="11:15">
      <c r="K1208" s="31"/>
      <c r="L1208" s="31"/>
      <c r="M1208" s="31"/>
      <c r="N1208" s="31"/>
      <c r="O1208" s="31"/>
    </row>
    <row r="1209" spans="11:15">
      <c r="K1209" s="31"/>
      <c r="L1209" s="31"/>
      <c r="M1209" s="31"/>
      <c r="N1209" s="31"/>
      <c r="O1209" s="31"/>
    </row>
    <row r="1210" spans="11:15">
      <c r="K1210" s="31"/>
      <c r="L1210" s="31"/>
      <c r="M1210" s="31"/>
      <c r="N1210" s="31"/>
      <c r="O1210" s="31"/>
    </row>
    <row r="1211" spans="11:15">
      <c r="K1211" s="31"/>
      <c r="L1211" s="31"/>
      <c r="M1211" s="31"/>
      <c r="N1211" s="31"/>
      <c r="O1211" s="31"/>
    </row>
    <row r="1212" spans="11:15">
      <c r="K1212" s="31"/>
      <c r="L1212" s="31"/>
      <c r="M1212" s="31"/>
      <c r="N1212" s="31"/>
      <c r="O1212" s="31"/>
    </row>
    <row r="1213" spans="11:15">
      <c r="K1213" s="31"/>
      <c r="L1213" s="31"/>
      <c r="M1213" s="31"/>
      <c r="N1213" s="31"/>
      <c r="O1213" s="31"/>
    </row>
    <row r="1214" spans="11:15">
      <c r="K1214" s="31"/>
      <c r="L1214" s="31"/>
      <c r="M1214" s="31"/>
      <c r="N1214" s="31"/>
      <c r="O1214" s="31"/>
    </row>
    <row r="1215" spans="11:15">
      <c r="K1215" s="31"/>
      <c r="L1215" s="31"/>
      <c r="M1215" s="31"/>
      <c r="N1215" s="31"/>
      <c r="O1215" s="31"/>
    </row>
    <row r="1216" spans="11:15">
      <c r="K1216" s="31"/>
      <c r="L1216" s="31"/>
      <c r="M1216" s="31"/>
      <c r="N1216" s="31"/>
      <c r="O1216" s="31"/>
    </row>
    <row r="1217" spans="11:15">
      <c r="K1217" s="31"/>
      <c r="L1217" s="31"/>
      <c r="M1217" s="31"/>
      <c r="N1217" s="31"/>
      <c r="O1217" s="31"/>
    </row>
    <row r="1218" spans="11:15">
      <c r="K1218" s="31"/>
      <c r="L1218" s="31"/>
      <c r="M1218" s="31"/>
      <c r="N1218" s="31"/>
      <c r="O1218" s="31"/>
    </row>
    <row r="1219" spans="11:15">
      <c r="K1219" s="31"/>
      <c r="L1219" s="31"/>
      <c r="M1219" s="31"/>
      <c r="N1219" s="31"/>
      <c r="O1219" s="31"/>
    </row>
    <row r="1220" spans="11:15">
      <c r="K1220" s="31"/>
      <c r="L1220" s="31"/>
      <c r="M1220" s="31"/>
      <c r="N1220" s="31"/>
      <c r="O1220" s="31"/>
    </row>
    <row r="1221" spans="11:15">
      <c r="K1221" s="31"/>
      <c r="L1221" s="31"/>
      <c r="M1221" s="31"/>
      <c r="N1221" s="31"/>
      <c r="O1221" s="31"/>
    </row>
    <row r="1222" spans="11:15">
      <c r="K1222" s="31"/>
      <c r="L1222" s="31"/>
      <c r="M1222" s="31"/>
      <c r="N1222" s="31"/>
      <c r="O1222" s="31"/>
    </row>
    <row r="1223" spans="11:15">
      <c r="K1223" s="31"/>
      <c r="L1223" s="31"/>
      <c r="M1223" s="31"/>
      <c r="N1223" s="31"/>
      <c r="O1223" s="31"/>
    </row>
    <row r="1224" spans="11:15">
      <c r="K1224" s="31"/>
      <c r="L1224" s="31"/>
      <c r="M1224" s="31"/>
      <c r="N1224" s="31"/>
      <c r="O1224" s="31"/>
    </row>
    <row r="1225" spans="11:15">
      <c r="K1225" s="31"/>
      <c r="L1225" s="31"/>
      <c r="M1225" s="31"/>
      <c r="N1225" s="31"/>
      <c r="O1225" s="31"/>
    </row>
    <row r="1226" spans="11:15">
      <c r="K1226" s="31"/>
      <c r="L1226" s="31"/>
      <c r="M1226" s="31"/>
      <c r="N1226" s="31"/>
      <c r="O1226" s="31"/>
    </row>
    <row r="1227" spans="11:15">
      <c r="K1227" s="31"/>
      <c r="L1227" s="31"/>
      <c r="M1227" s="31"/>
      <c r="N1227" s="31"/>
      <c r="O1227" s="31"/>
    </row>
    <row r="1228" spans="11:15">
      <c r="K1228" s="31"/>
      <c r="L1228" s="31"/>
      <c r="M1228" s="31"/>
      <c r="N1228" s="31"/>
      <c r="O1228" s="31"/>
    </row>
    <row r="1229" spans="11:15">
      <c r="K1229" s="31"/>
      <c r="L1229" s="31"/>
      <c r="M1229" s="31"/>
      <c r="N1229" s="31"/>
      <c r="O1229" s="31"/>
    </row>
    <row r="1230" spans="11:15">
      <c r="K1230" s="31"/>
      <c r="L1230" s="31"/>
      <c r="M1230" s="31"/>
      <c r="N1230" s="31"/>
      <c r="O1230" s="31"/>
    </row>
    <row r="1231" spans="11:15">
      <c r="K1231" s="31"/>
      <c r="L1231" s="31"/>
      <c r="M1231" s="31"/>
      <c r="N1231" s="31"/>
      <c r="O1231" s="31"/>
    </row>
    <row r="1232" spans="11:15">
      <c r="K1232" s="31"/>
      <c r="L1232" s="31"/>
      <c r="M1232" s="31"/>
      <c r="N1232" s="31"/>
      <c r="O1232" s="31"/>
    </row>
    <row r="1233" spans="11:15">
      <c r="K1233" s="31"/>
      <c r="L1233" s="31"/>
      <c r="M1233" s="31"/>
      <c r="N1233" s="31"/>
      <c r="O1233" s="31"/>
    </row>
    <row r="1234" spans="11:15">
      <c r="K1234" s="31"/>
      <c r="L1234" s="31"/>
      <c r="M1234" s="31"/>
      <c r="N1234" s="31"/>
      <c r="O1234" s="31"/>
    </row>
    <row r="1235" spans="11:15">
      <c r="K1235" s="31"/>
      <c r="L1235" s="31"/>
      <c r="M1235" s="31"/>
      <c r="N1235" s="31"/>
      <c r="O1235" s="31"/>
    </row>
    <row r="1236" spans="11:15">
      <c r="K1236" s="31"/>
      <c r="L1236" s="31"/>
      <c r="M1236" s="31"/>
      <c r="N1236" s="31"/>
      <c r="O1236" s="31"/>
    </row>
    <row r="1237" spans="11:15">
      <c r="K1237" s="31"/>
      <c r="L1237" s="31"/>
      <c r="M1237" s="31"/>
      <c r="N1237" s="31"/>
      <c r="O1237" s="31"/>
    </row>
    <row r="1238" spans="11:15">
      <c r="K1238" s="31"/>
      <c r="L1238" s="31"/>
      <c r="M1238" s="31"/>
      <c r="N1238" s="31"/>
      <c r="O1238" s="31"/>
    </row>
    <row r="1239" spans="11:15">
      <c r="K1239" s="31"/>
      <c r="L1239" s="31"/>
      <c r="M1239" s="31"/>
      <c r="N1239" s="31"/>
      <c r="O1239" s="31"/>
    </row>
    <row r="1240" spans="11:15">
      <c r="K1240" s="31"/>
      <c r="L1240" s="31"/>
      <c r="M1240" s="31"/>
      <c r="N1240" s="31"/>
      <c r="O1240" s="31"/>
    </row>
    <row r="1241" spans="11:15">
      <c r="K1241" s="31"/>
      <c r="L1241" s="31"/>
      <c r="M1241" s="31"/>
      <c r="N1241" s="31"/>
      <c r="O1241" s="31"/>
    </row>
    <row r="1242" spans="11:15">
      <c r="K1242" s="31"/>
      <c r="L1242" s="31"/>
      <c r="M1242" s="31"/>
      <c r="N1242" s="31"/>
      <c r="O1242" s="31"/>
    </row>
    <row r="1243" spans="11:15">
      <c r="K1243" s="31"/>
      <c r="L1243" s="31"/>
      <c r="M1243" s="31"/>
      <c r="N1243" s="31"/>
      <c r="O1243" s="31"/>
    </row>
    <row r="1244" spans="11:15">
      <c r="K1244" s="31"/>
      <c r="L1244" s="31"/>
      <c r="M1244" s="31"/>
      <c r="N1244" s="31"/>
      <c r="O1244" s="31"/>
    </row>
    <row r="1245" spans="11:15">
      <c r="K1245" s="31"/>
      <c r="L1245" s="31"/>
      <c r="M1245" s="31"/>
      <c r="N1245" s="31"/>
      <c r="O1245" s="31"/>
    </row>
    <row r="1246" spans="11:15">
      <c r="K1246" s="31"/>
      <c r="L1246" s="31"/>
      <c r="M1246" s="31"/>
      <c r="N1246" s="31"/>
      <c r="O1246" s="31"/>
    </row>
    <row r="1247" spans="11:15">
      <c r="K1247" s="31"/>
      <c r="L1247" s="31"/>
      <c r="M1247" s="31"/>
      <c r="N1247" s="31"/>
      <c r="O1247" s="31"/>
    </row>
    <row r="1248" spans="11:15">
      <c r="K1248" s="31"/>
      <c r="L1248" s="31"/>
      <c r="M1248" s="31"/>
      <c r="N1248" s="31"/>
      <c r="O1248" s="31"/>
    </row>
    <row r="1249" spans="11:15">
      <c r="K1249" s="31"/>
      <c r="L1249" s="31"/>
      <c r="M1249" s="31"/>
      <c r="N1249" s="31"/>
      <c r="O1249" s="31"/>
    </row>
    <row r="1250" spans="11:15">
      <c r="K1250" s="31"/>
      <c r="L1250" s="31"/>
      <c r="M1250" s="31"/>
      <c r="N1250" s="31"/>
      <c r="O1250" s="31"/>
    </row>
    <row r="1251" spans="11:15">
      <c r="K1251" s="31"/>
      <c r="L1251" s="31"/>
      <c r="M1251" s="31"/>
      <c r="N1251" s="31"/>
      <c r="O1251" s="31"/>
    </row>
    <row r="1252" spans="11:15">
      <c r="K1252" s="31"/>
      <c r="L1252" s="31"/>
      <c r="M1252" s="31"/>
      <c r="N1252" s="31"/>
      <c r="O1252" s="31"/>
    </row>
    <row r="1253" spans="11:15">
      <c r="K1253" s="31"/>
      <c r="L1253" s="31"/>
      <c r="M1253" s="31"/>
      <c r="N1253" s="31"/>
      <c r="O1253" s="31"/>
    </row>
    <row r="1254" spans="11:15">
      <c r="K1254" s="31"/>
      <c r="L1254" s="31"/>
      <c r="M1254" s="31"/>
      <c r="N1254" s="31"/>
      <c r="O1254" s="31"/>
    </row>
    <row r="1255" spans="11:15">
      <c r="K1255" s="31"/>
      <c r="L1255" s="31"/>
      <c r="M1255" s="31"/>
      <c r="N1255" s="31"/>
      <c r="O1255" s="31"/>
    </row>
    <row r="1256" spans="11:15">
      <c r="K1256" s="31"/>
      <c r="L1256" s="31"/>
      <c r="M1256" s="31"/>
      <c r="N1256" s="31"/>
      <c r="O1256" s="31"/>
    </row>
    <row r="1257" spans="11:15">
      <c r="K1257" s="31"/>
      <c r="L1257" s="31"/>
      <c r="M1257" s="31"/>
      <c r="N1257" s="31"/>
      <c r="O1257" s="31"/>
    </row>
    <row r="1258" spans="11:15">
      <c r="K1258" s="31"/>
      <c r="L1258" s="31"/>
      <c r="M1258" s="31"/>
      <c r="N1258" s="31"/>
      <c r="O1258" s="31"/>
    </row>
    <row r="1259" spans="11:15">
      <c r="K1259" s="31"/>
      <c r="L1259" s="32"/>
      <c r="M1259" s="31"/>
      <c r="N1259" s="31"/>
      <c r="O1259" s="31"/>
    </row>
    <row r="1260" spans="11:15">
      <c r="K1260" s="31"/>
      <c r="L1260" s="31"/>
      <c r="M1260" s="31"/>
      <c r="N1260" s="31"/>
      <c r="O1260" s="31"/>
    </row>
    <row r="1261" spans="11:15">
      <c r="K1261" s="31"/>
      <c r="L1261" s="31"/>
      <c r="M1261" s="31"/>
      <c r="N1261" s="31"/>
      <c r="O1261" s="31"/>
    </row>
    <row r="1262" spans="11:15">
      <c r="K1262" s="31"/>
      <c r="L1262" s="31"/>
      <c r="M1262" s="31"/>
      <c r="N1262" s="31"/>
      <c r="O1262" s="31"/>
    </row>
    <row r="1263" spans="11:15">
      <c r="K1263" s="31"/>
      <c r="L1263" s="31"/>
      <c r="M1263" s="31"/>
      <c r="N1263" s="31"/>
      <c r="O1263" s="31"/>
    </row>
    <row r="1264" spans="11:15">
      <c r="K1264" s="31"/>
      <c r="L1264" s="31"/>
      <c r="M1264" s="31"/>
      <c r="N1264" s="31"/>
      <c r="O1264" s="31"/>
    </row>
    <row r="1265" spans="11:15">
      <c r="K1265" s="31"/>
      <c r="L1265" s="31"/>
      <c r="M1265" s="31"/>
      <c r="N1265" s="31"/>
      <c r="O1265" s="31"/>
    </row>
    <row r="1266" spans="11:15">
      <c r="K1266" s="31"/>
      <c r="L1266" s="31"/>
      <c r="M1266" s="31"/>
      <c r="N1266" s="31"/>
      <c r="O1266" s="31"/>
    </row>
    <row r="1267" spans="11:15">
      <c r="K1267" s="31"/>
      <c r="L1267" s="31"/>
      <c r="M1267" s="31"/>
      <c r="N1267" s="31"/>
      <c r="O1267" s="31"/>
    </row>
    <row r="1268" spans="11:15">
      <c r="K1268" s="31"/>
      <c r="L1268" s="31"/>
      <c r="M1268" s="31"/>
      <c r="N1268" s="31"/>
      <c r="O1268" s="31"/>
    </row>
    <row r="1269" spans="11:15">
      <c r="K1269" s="31"/>
      <c r="L1269" s="31"/>
      <c r="M1269" s="31"/>
      <c r="N1269" s="31"/>
      <c r="O1269" s="31"/>
    </row>
    <row r="1270" spans="11:15">
      <c r="K1270" s="31"/>
      <c r="L1270" s="31"/>
      <c r="M1270" s="31"/>
      <c r="N1270" s="31"/>
      <c r="O1270" s="31"/>
    </row>
    <row r="1271" spans="11:15">
      <c r="K1271" s="31"/>
      <c r="L1271" s="31"/>
      <c r="M1271" s="31"/>
      <c r="N1271" s="31"/>
      <c r="O1271" s="31"/>
    </row>
    <row r="1272" spans="11:15">
      <c r="K1272" s="31"/>
      <c r="L1272" s="31"/>
      <c r="M1272" s="31"/>
      <c r="N1272" s="31"/>
      <c r="O1272" s="31"/>
    </row>
    <row r="1273" spans="11:15">
      <c r="K1273" s="31"/>
      <c r="L1273" s="31"/>
      <c r="M1273" s="31"/>
      <c r="N1273" s="31"/>
      <c r="O1273" s="31"/>
    </row>
    <row r="1274" spans="11:15">
      <c r="K1274" s="31"/>
      <c r="L1274" s="31"/>
      <c r="M1274" s="31"/>
      <c r="N1274" s="31"/>
      <c r="O1274" s="31"/>
    </row>
    <row r="1275" spans="11:15">
      <c r="K1275" s="31"/>
      <c r="L1275" s="31"/>
      <c r="M1275" s="31"/>
      <c r="N1275" s="31"/>
      <c r="O1275" s="31"/>
    </row>
    <row r="1276" spans="11:15">
      <c r="K1276" s="31"/>
      <c r="L1276" s="31"/>
      <c r="M1276" s="31"/>
      <c r="N1276" s="31"/>
      <c r="O1276" s="31"/>
    </row>
    <row r="1277" spans="11:15">
      <c r="K1277" s="31"/>
      <c r="L1277" s="31"/>
      <c r="M1277" s="31"/>
      <c r="N1277" s="31"/>
      <c r="O1277" s="31"/>
    </row>
    <row r="1278" spans="11:15">
      <c r="K1278" s="31"/>
      <c r="L1278" s="31"/>
      <c r="M1278" s="31"/>
      <c r="N1278" s="31"/>
      <c r="O1278" s="31"/>
    </row>
    <row r="1279" spans="11:15">
      <c r="K1279" s="31"/>
      <c r="L1279" s="31"/>
      <c r="M1279" s="31"/>
      <c r="N1279" s="31"/>
      <c r="O1279" s="31"/>
    </row>
    <row r="1280" spans="11:15">
      <c r="K1280" s="31"/>
      <c r="L1280" s="31"/>
      <c r="M1280" s="31"/>
      <c r="N1280" s="31"/>
      <c r="O1280" s="31"/>
    </row>
    <row r="1281" spans="11:15">
      <c r="K1281" s="31"/>
      <c r="L1281" s="31"/>
      <c r="M1281" s="31"/>
      <c r="N1281" s="31"/>
      <c r="O1281" s="31"/>
    </row>
    <row r="1282" spans="11:15">
      <c r="K1282" s="31"/>
      <c r="L1282" s="31"/>
      <c r="M1282" s="31"/>
      <c r="N1282" s="31"/>
      <c r="O1282" s="31"/>
    </row>
    <row r="1283" spans="11:15">
      <c r="K1283" s="31"/>
      <c r="L1283" s="31"/>
      <c r="M1283" s="31"/>
      <c r="N1283" s="31"/>
      <c r="O1283" s="31"/>
    </row>
    <row r="1284" spans="11:15">
      <c r="K1284" s="31"/>
      <c r="L1284" s="31"/>
      <c r="M1284" s="31"/>
      <c r="N1284" s="31"/>
      <c r="O1284" s="31"/>
    </row>
    <row r="1285" spans="11:15">
      <c r="K1285" s="31"/>
      <c r="L1285" s="31"/>
      <c r="M1285" s="31"/>
      <c r="N1285" s="31"/>
      <c r="O1285" s="31"/>
    </row>
    <row r="1286" spans="11:15">
      <c r="K1286" s="31"/>
      <c r="L1286" s="31"/>
      <c r="M1286" s="31"/>
      <c r="N1286" s="31"/>
      <c r="O1286" s="31"/>
    </row>
    <row r="1287" spans="11:15">
      <c r="K1287" s="31"/>
      <c r="L1287" s="31"/>
      <c r="M1287" s="31"/>
      <c r="N1287" s="31"/>
      <c r="O1287" s="31"/>
    </row>
    <row r="1288" spans="11:15">
      <c r="K1288" s="31"/>
      <c r="L1288" s="31"/>
      <c r="M1288" s="31"/>
      <c r="N1288" s="31"/>
      <c r="O1288" s="31"/>
    </row>
    <row r="1289" spans="11:15">
      <c r="K1289" s="31"/>
      <c r="L1289" s="31"/>
      <c r="M1289" s="31"/>
      <c r="N1289" s="31"/>
      <c r="O1289" s="31"/>
    </row>
    <row r="1290" spans="11:15">
      <c r="K1290" s="31"/>
      <c r="L1290" s="31"/>
      <c r="M1290" s="31"/>
      <c r="N1290" s="31"/>
      <c r="O1290" s="31"/>
    </row>
    <row r="1291" spans="11:15">
      <c r="K1291" s="31"/>
      <c r="L1291" s="31"/>
      <c r="M1291" s="31"/>
      <c r="N1291" s="31"/>
      <c r="O1291" s="31"/>
    </row>
    <row r="1292" spans="11:15">
      <c r="K1292" s="31"/>
      <c r="L1292" s="31"/>
      <c r="M1292" s="31"/>
      <c r="N1292" s="31"/>
      <c r="O1292" s="31"/>
    </row>
    <row r="1293" spans="11:15">
      <c r="K1293" s="31"/>
      <c r="L1293" s="31"/>
      <c r="M1293" s="31"/>
      <c r="N1293" s="31"/>
      <c r="O1293" s="31"/>
    </row>
    <row r="1294" spans="11:15">
      <c r="K1294" s="31"/>
      <c r="L1294" s="31"/>
      <c r="M1294" s="31"/>
      <c r="N1294" s="31"/>
      <c r="O1294" s="31"/>
    </row>
    <row r="1295" spans="11:15">
      <c r="K1295" s="31"/>
      <c r="L1295" s="31"/>
      <c r="M1295" s="31"/>
      <c r="N1295" s="31"/>
      <c r="O1295" s="31"/>
    </row>
    <row r="1296" spans="11:15">
      <c r="K1296" s="31"/>
      <c r="L1296" s="31"/>
      <c r="M1296" s="31"/>
      <c r="N1296" s="31"/>
      <c r="O1296" s="31"/>
    </row>
    <row r="1297" spans="11:15">
      <c r="K1297" s="31"/>
      <c r="L1297" s="31"/>
      <c r="M1297" s="31"/>
      <c r="N1297" s="31"/>
      <c r="O1297" s="31"/>
    </row>
    <row r="1298" spans="11:15">
      <c r="K1298" s="31"/>
      <c r="L1298" s="31"/>
      <c r="M1298" s="31"/>
      <c r="N1298" s="31"/>
      <c r="O1298" s="31"/>
    </row>
    <row r="1299" spans="11:15">
      <c r="K1299" s="31"/>
      <c r="L1299" s="31"/>
      <c r="M1299" s="31"/>
      <c r="N1299" s="31"/>
      <c r="O1299" s="31"/>
    </row>
    <row r="1300" spans="11:15">
      <c r="K1300" s="31"/>
      <c r="L1300" s="31"/>
      <c r="M1300" s="31"/>
      <c r="N1300" s="31"/>
      <c r="O1300" s="31"/>
    </row>
    <row r="1301" spans="11:15">
      <c r="K1301" s="31"/>
      <c r="L1301" s="31"/>
      <c r="M1301" s="31"/>
      <c r="N1301" s="31"/>
      <c r="O1301" s="31"/>
    </row>
    <row r="1302" spans="11:15">
      <c r="K1302" s="31"/>
      <c r="L1302" s="31"/>
      <c r="M1302" s="31"/>
      <c r="N1302" s="31"/>
      <c r="O1302" s="31"/>
    </row>
    <row r="1303" spans="11:15">
      <c r="K1303" s="31"/>
      <c r="L1303" s="31"/>
      <c r="M1303" s="31"/>
      <c r="N1303" s="31"/>
      <c r="O1303" s="31"/>
    </row>
    <row r="1304" spans="11:15">
      <c r="K1304" s="31"/>
      <c r="L1304" s="31"/>
      <c r="M1304" s="31"/>
      <c r="N1304" s="31"/>
      <c r="O1304" s="31"/>
    </row>
    <row r="1305" spans="11:15">
      <c r="K1305" s="31"/>
      <c r="L1305" s="31"/>
      <c r="M1305" s="31"/>
      <c r="N1305" s="31"/>
      <c r="O1305" s="31"/>
    </row>
    <row r="1306" spans="11:15">
      <c r="K1306" s="31"/>
      <c r="L1306" s="31"/>
      <c r="M1306" s="31"/>
      <c r="N1306" s="31"/>
      <c r="O1306" s="31"/>
    </row>
    <row r="1307" spans="11:15">
      <c r="K1307" s="31"/>
      <c r="L1307" s="31"/>
      <c r="M1307" s="31"/>
      <c r="N1307" s="31"/>
      <c r="O1307" s="31"/>
    </row>
    <row r="1308" spans="11:15">
      <c r="K1308" s="31"/>
      <c r="L1308" s="31"/>
      <c r="M1308" s="31"/>
      <c r="N1308" s="31"/>
      <c r="O1308" s="31"/>
    </row>
    <row r="1309" spans="11:15">
      <c r="K1309" s="31"/>
      <c r="L1309" s="31"/>
      <c r="M1309" s="31"/>
      <c r="N1309" s="31"/>
      <c r="O1309" s="31"/>
    </row>
    <row r="1310" spans="11:15">
      <c r="K1310" s="31"/>
      <c r="L1310" s="31"/>
      <c r="M1310" s="31"/>
      <c r="N1310" s="31"/>
      <c r="O1310" s="31"/>
    </row>
    <row r="1311" spans="11:15">
      <c r="K1311" s="31"/>
      <c r="L1311" s="31"/>
      <c r="M1311" s="31"/>
      <c r="N1311" s="31"/>
      <c r="O1311" s="31"/>
    </row>
    <row r="1312" spans="11:15">
      <c r="K1312" s="31"/>
      <c r="L1312" s="31"/>
      <c r="M1312" s="31"/>
      <c r="N1312" s="31"/>
      <c r="O1312" s="31"/>
    </row>
    <row r="1313" spans="11:15">
      <c r="K1313" s="31"/>
      <c r="L1313" s="31"/>
      <c r="M1313" s="31"/>
      <c r="N1313" s="31"/>
      <c r="O1313" s="31"/>
    </row>
    <row r="1314" spans="11:15">
      <c r="K1314" s="31"/>
      <c r="L1314" s="31"/>
      <c r="M1314" s="31"/>
      <c r="N1314" s="31"/>
      <c r="O1314" s="31"/>
    </row>
    <row r="1315" spans="11:15">
      <c r="K1315" s="31"/>
      <c r="L1315" s="31"/>
      <c r="M1315" s="31"/>
      <c r="N1315" s="31"/>
      <c r="O1315" s="31"/>
    </row>
    <row r="1316" spans="11:15">
      <c r="K1316" s="31"/>
      <c r="L1316" s="31"/>
      <c r="M1316" s="31"/>
      <c r="N1316" s="31"/>
      <c r="O1316" s="31"/>
    </row>
    <row r="1317" spans="11:15">
      <c r="K1317" s="31"/>
      <c r="L1317" s="31"/>
      <c r="M1317" s="31"/>
      <c r="N1317" s="31"/>
      <c r="O1317" s="31"/>
    </row>
    <row r="1318" spans="11:15">
      <c r="K1318" s="31"/>
      <c r="L1318" s="31"/>
      <c r="M1318" s="31"/>
      <c r="N1318" s="31"/>
      <c r="O1318" s="31"/>
    </row>
    <row r="1319" spans="11:15">
      <c r="K1319" s="31"/>
      <c r="L1319" s="31"/>
      <c r="M1319" s="31"/>
      <c r="N1319" s="31"/>
      <c r="O1319" s="31"/>
    </row>
    <row r="1320" spans="11:15">
      <c r="K1320" s="31"/>
      <c r="L1320" s="31"/>
      <c r="M1320" s="31"/>
      <c r="N1320" s="31"/>
      <c r="O1320" s="31"/>
    </row>
    <row r="1321" spans="11:15">
      <c r="K1321" s="31"/>
      <c r="L1321" s="31"/>
      <c r="M1321" s="31"/>
      <c r="N1321" s="31"/>
      <c r="O1321" s="31"/>
    </row>
    <row r="1322" spans="11:15">
      <c r="K1322" s="31"/>
      <c r="L1322" s="31"/>
      <c r="M1322" s="31"/>
      <c r="N1322" s="31"/>
      <c r="O1322" s="31"/>
    </row>
    <row r="1323" spans="11:15">
      <c r="K1323" s="31"/>
      <c r="L1323" s="31"/>
      <c r="M1323" s="31"/>
      <c r="N1323" s="31"/>
      <c r="O1323" s="31"/>
    </row>
    <row r="1324" spans="11:15">
      <c r="K1324" s="31"/>
      <c r="L1324" s="31"/>
      <c r="M1324" s="31"/>
      <c r="N1324" s="31"/>
      <c r="O1324" s="31"/>
    </row>
    <row r="1325" spans="11:15">
      <c r="K1325" s="31"/>
      <c r="L1325" s="31"/>
      <c r="M1325" s="31"/>
      <c r="N1325" s="31"/>
      <c r="O1325" s="31"/>
    </row>
    <row r="1326" spans="11:15">
      <c r="K1326" s="31"/>
      <c r="L1326" s="31"/>
      <c r="M1326" s="31"/>
      <c r="N1326" s="31"/>
      <c r="O1326" s="31"/>
    </row>
    <row r="1327" spans="11:15">
      <c r="K1327" s="31"/>
      <c r="L1327" s="31"/>
      <c r="M1327" s="31"/>
      <c r="N1327" s="31"/>
      <c r="O1327" s="31"/>
    </row>
    <row r="1328" spans="11:15">
      <c r="K1328" s="31"/>
      <c r="L1328" s="31"/>
      <c r="M1328" s="31"/>
      <c r="N1328" s="31"/>
      <c r="O1328" s="31"/>
    </row>
    <row r="1329" spans="11:15">
      <c r="K1329" s="31"/>
      <c r="L1329" s="31"/>
      <c r="M1329" s="31"/>
      <c r="N1329" s="31"/>
      <c r="O1329" s="31"/>
    </row>
    <row r="1330" spans="11:15">
      <c r="K1330" s="31"/>
      <c r="L1330" s="31"/>
      <c r="M1330" s="31"/>
      <c r="N1330" s="31"/>
      <c r="O1330" s="31"/>
    </row>
    <row r="1331" spans="11:15">
      <c r="K1331" s="31"/>
      <c r="L1331" s="31"/>
      <c r="M1331" s="31"/>
      <c r="N1331" s="31"/>
      <c r="O1331" s="31"/>
    </row>
    <row r="1332" spans="11:15">
      <c r="K1332" s="31"/>
      <c r="L1332" s="31"/>
      <c r="M1332" s="31"/>
      <c r="N1332" s="31"/>
      <c r="O1332" s="31"/>
    </row>
    <row r="1333" spans="11:15">
      <c r="K1333" s="31"/>
      <c r="L1333" s="31"/>
      <c r="M1333" s="31"/>
      <c r="N1333" s="31"/>
      <c r="O1333" s="31"/>
    </row>
    <row r="1334" spans="11:15">
      <c r="K1334" s="31"/>
      <c r="L1334" s="31"/>
      <c r="M1334" s="31"/>
      <c r="N1334" s="31"/>
      <c r="O1334" s="31"/>
    </row>
    <row r="1335" spans="11:15">
      <c r="K1335" s="31"/>
      <c r="L1335" s="31"/>
      <c r="M1335" s="31"/>
      <c r="N1335" s="31"/>
      <c r="O1335" s="31"/>
    </row>
    <row r="1336" spans="11:15">
      <c r="K1336" s="31"/>
      <c r="L1336" s="31"/>
      <c r="M1336" s="31"/>
      <c r="N1336" s="31"/>
      <c r="O1336" s="31"/>
    </row>
    <row r="1337" spans="11:15">
      <c r="K1337" s="31"/>
      <c r="L1337" s="31"/>
      <c r="M1337" s="31"/>
      <c r="N1337" s="31"/>
      <c r="O1337" s="31"/>
    </row>
    <row r="1338" spans="11:15">
      <c r="K1338" s="31"/>
      <c r="L1338" s="31"/>
      <c r="M1338" s="31"/>
      <c r="N1338" s="31"/>
      <c r="O1338" s="31"/>
    </row>
    <row r="1339" spans="11:15">
      <c r="K1339" s="31"/>
      <c r="L1339" s="31"/>
      <c r="M1339" s="31"/>
      <c r="N1339" s="31"/>
      <c r="O1339" s="31"/>
    </row>
    <row r="1340" spans="11:15">
      <c r="K1340" s="31"/>
      <c r="L1340" s="31"/>
      <c r="M1340" s="31"/>
      <c r="N1340" s="31"/>
      <c r="O1340" s="31"/>
    </row>
    <row r="1341" spans="11:15">
      <c r="K1341" s="31"/>
      <c r="L1341" s="31"/>
      <c r="M1341" s="31"/>
      <c r="N1341" s="31"/>
      <c r="O1341" s="31"/>
    </row>
    <row r="1342" spans="11:15">
      <c r="K1342" s="31"/>
      <c r="L1342" s="31"/>
      <c r="M1342" s="31"/>
      <c r="N1342" s="31"/>
      <c r="O1342" s="31"/>
    </row>
    <row r="1343" spans="11:15">
      <c r="K1343" s="31"/>
      <c r="L1343" s="31"/>
      <c r="M1343" s="31"/>
      <c r="N1343" s="31"/>
      <c r="O1343" s="31"/>
    </row>
    <row r="1344" spans="11:15">
      <c r="K1344" s="31"/>
      <c r="L1344" s="31"/>
      <c r="M1344" s="31"/>
      <c r="N1344" s="31"/>
      <c r="O1344" s="31"/>
    </row>
    <row r="1345" spans="11:15">
      <c r="K1345" s="31"/>
      <c r="L1345" s="31"/>
      <c r="M1345" s="31"/>
      <c r="N1345" s="31"/>
      <c r="O1345" s="31"/>
    </row>
    <row r="1346" spans="11:15">
      <c r="K1346" s="31"/>
      <c r="L1346" s="31"/>
      <c r="M1346" s="31"/>
      <c r="N1346" s="31"/>
      <c r="O1346" s="31"/>
    </row>
    <row r="1347" spans="11:15">
      <c r="K1347" s="31"/>
      <c r="L1347" s="31"/>
      <c r="M1347" s="31"/>
      <c r="N1347" s="31"/>
      <c r="O1347" s="31"/>
    </row>
    <row r="1348" spans="11:15">
      <c r="K1348" s="31"/>
      <c r="L1348" s="31"/>
      <c r="M1348" s="31"/>
      <c r="N1348" s="31"/>
      <c r="O1348" s="31"/>
    </row>
    <row r="1349" spans="11:15">
      <c r="K1349" s="31"/>
      <c r="L1349" s="31"/>
      <c r="M1349" s="31"/>
      <c r="N1349" s="31"/>
      <c r="O1349" s="31"/>
    </row>
    <row r="1350" spans="11:15">
      <c r="K1350" s="31"/>
      <c r="L1350" s="31"/>
      <c r="M1350" s="31"/>
      <c r="N1350" s="31"/>
      <c r="O1350" s="31"/>
    </row>
    <row r="1351" spans="11:15">
      <c r="K1351" s="31"/>
      <c r="L1351" s="31"/>
      <c r="M1351" s="31"/>
      <c r="N1351" s="31"/>
      <c r="O1351" s="31"/>
    </row>
    <row r="1352" spans="11:15">
      <c r="K1352" s="31"/>
      <c r="L1352" s="31"/>
      <c r="M1352" s="31"/>
      <c r="N1352" s="31"/>
      <c r="O1352" s="31"/>
    </row>
    <row r="1353" spans="11:15">
      <c r="K1353" s="31"/>
      <c r="L1353" s="32"/>
      <c r="M1353" s="31"/>
      <c r="N1353" s="31"/>
      <c r="O1353" s="31"/>
    </row>
    <row r="1354" spans="11:15">
      <c r="K1354" s="31"/>
      <c r="L1354" s="32"/>
      <c r="M1354" s="31"/>
      <c r="N1354" s="31"/>
      <c r="O1354" s="31"/>
    </row>
    <row r="1355" spans="11:15">
      <c r="K1355" s="31"/>
      <c r="L1355" s="31"/>
      <c r="M1355" s="31"/>
      <c r="N1355" s="31"/>
      <c r="O1355" s="31"/>
    </row>
    <row r="1356" spans="11:15">
      <c r="K1356" s="31"/>
      <c r="L1356" s="31"/>
      <c r="M1356" s="31"/>
      <c r="N1356" s="31"/>
      <c r="O1356" s="31"/>
    </row>
    <row r="1357" spans="11:15">
      <c r="K1357" s="31"/>
      <c r="L1357" s="31"/>
      <c r="M1357" s="31"/>
      <c r="N1357" s="31"/>
      <c r="O1357" s="31"/>
    </row>
    <row r="1358" spans="11:15">
      <c r="K1358" s="31"/>
      <c r="L1358" s="31"/>
      <c r="M1358" s="31"/>
      <c r="N1358" s="31"/>
      <c r="O1358" s="31"/>
    </row>
    <row r="1359" spans="11:15">
      <c r="K1359" s="31"/>
      <c r="L1359" s="31"/>
      <c r="M1359" s="31"/>
      <c r="N1359" s="31"/>
      <c r="O1359" s="31"/>
    </row>
    <row r="1360" spans="11:15">
      <c r="K1360" s="31"/>
      <c r="L1360" s="31"/>
      <c r="M1360" s="31"/>
      <c r="N1360" s="31"/>
      <c r="O1360" s="31"/>
    </row>
    <row r="1361" spans="11:15">
      <c r="K1361" s="31"/>
      <c r="L1361" s="31"/>
      <c r="M1361" s="31"/>
      <c r="N1361" s="31"/>
      <c r="O1361" s="31"/>
    </row>
    <row r="1362" spans="11:15">
      <c r="M1362" s="31"/>
      <c r="N1362" s="31"/>
      <c r="O1362" s="31"/>
    </row>
    <row r="1363" spans="11:15">
      <c r="M1363" s="31"/>
      <c r="N1363" s="31"/>
      <c r="O1363" s="31"/>
    </row>
    <row r="1364" spans="11:15">
      <c r="M1364" s="31"/>
      <c r="N1364" s="31"/>
      <c r="O1364" s="31"/>
    </row>
    <row r="1365" spans="11:15">
      <c r="M1365" s="31"/>
      <c r="N1365" s="31"/>
      <c r="O1365" s="31"/>
    </row>
    <row r="1366" spans="11:15">
      <c r="M1366" s="31"/>
      <c r="N1366" s="31"/>
      <c r="O1366" s="31"/>
    </row>
    <row r="1367" spans="11:15">
      <c r="M1367" s="31"/>
      <c r="N1367" s="31"/>
      <c r="O1367" s="31"/>
    </row>
    <row r="1368" spans="11:15">
      <c r="M1368" s="31"/>
      <c r="N1368" s="31"/>
      <c r="O1368" s="31"/>
    </row>
    <row r="1369" spans="11:15">
      <c r="M1369" s="31"/>
      <c r="N1369" s="31"/>
      <c r="O1369" s="31"/>
    </row>
    <row r="1370" spans="11:15">
      <c r="M1370" s="31"/>
      <c r="N1370" s="31"/>
      <c r="O1370" s="31"/>
    </row>
    <row r="1371" spans="11:15">
      <c r="M1371" s="31"/>
      <c r="N1371" s="31"/>
      <c r="O1371" s="31"/>
    </row>
    <row r="1372" spans="11:15">
      <c r="M1372" s="31"/>
      <c r="N1372" s="31"/>
      <c r="O1372" s="31"/>
    </row>
    <row r="1373" spans="11:15">
      <c r="M1373" s="31"/>
      <c r="N1373" s="31"/>
      <c r="O1373" s="31"/>
    </row>
    <row r="1374" spans="11:15">
      <c r="M1374" s="31"/>
      <c r="N1374" s="31"/>
      <c r="O1374" s="31"/>
    </row>
    <row r="1375" spans="11:15">
      <c r="M1375" s="31"/>
      <c r="N1375" s="31"/>
      <c r="O1375" s="31"/>
    </row>
    <row r="1376" spans="11:15">
      <c r="M1376" s="31"/>
      <c r="N1376" s="31"/>
      <c r="O1376" s="31"/>
    </row>
    <row r="1377" spans="13:15">
      <c r="M1377" s="31"/>
      <c r="N1377" s="31"/>
      <c r="O1377" s="31"/>
    </row>
    <row r="1378" spans="13:15">
      <c r="M1378" s="31"/>
      <c r="N1378" s="31"/>
      <c r="O1378" s="31"/>
    </row>
    <row r="1379" spans="13:15">
      <c r="M1379" s="31"/>
      <c r="N1379" s="31"/>
      <c r="O1379" s="31"/>
    </row>
    <row r="1380" spans="13:15">
      <c r="M1380" s="31"/>
      <c r="N1380" s="31"/>
      <c r="O1380" s="31"/>
    </row>
    <row r="1381" spans="13:15">
      <c r="M1381" s="31"/>
      <c r="N1381" s="31"/>
      <c r="O1381" s="31"/>
    </row>
    <row r="1382" spans="13:15">
      <c r="M1382" s="31"/>
      <c r="N1382" s="31"/>
      <c r="O1382" s="31"/>
    </row>
    <row r="1383" spans="13:15">
      <c r="M1383" s="31"/>
      <c r="N1383" s="31"/>
      <c r="O1383" s="31"/>
    </row>
    <row r="1384" spans="13:15">
      <c r="M1384" s="31"/>
      <c r="N1384" s="31"/>
      <c r="O1384" s="31"/>
    </row>
    <row r="1385" spans="13:15">
      <c r="M1385" s="31"/>
      <c r="N1385" s="31"/>
      <c r="O1385" s="31"/>
    </row>
    <row r="1386" spans="13:15">
      <c r="M1386" s="31"/>
      <c r="N1386" s="31"/>
      <c r="O1386" s="31"/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30</vt:i4>
      </vt:variant>
    </vt:vector>
  </HeadingPairs>
  <TitlesOfParts>
    <vt:vector size="34" baseType="lpstr">
      <vt:lpstr>PAP 2023</vt:lpstr>
      <vt:lpstr>TABLAS</vt:lpstr>
      <vt:lpstr>Act_Homologadas</vt:lpstr>
      <vt:lpstr>clacificaror presupuestario</vt:lpstr>
      <vt:lpstr>Bienes_de_larga_duración_propiedades_planta_y_equipo</vt:lpstr>
      <vt:lpstr>Bienes_y_servicios_de_consumo</vt:lpstr>
      <vt:lpstr>Bienes_y_servicios_para_inversión</vt:lpstr>
      <vt:lpstr>Coordinación_de_Inteligencia_de_Información_y_Estudios_del_Trabajo</vt:lpstr>
      <vt:lpstr>Coordinación_General_Administrativa_Financiera</vt:lpstr>
      <vt:lpstr>Coordinación_General_de_Planificación_y_Gestión_Estratégica</vt:lpstr>
      <vt:lpstr>Despacho_Ministerial</vt:lpstr>
      <vt:lpstr>Despacho_Ministerial.</vt:lpstr>
      <vt:lpstr>Despacho_Ministerial_MDT</vt:lpstr>
      <vt:lpstr>Direcciones_Regionales_de_Trabajo_y_Servicio_Público</vt:lpstr>
      <vt:lpstr>Egresos_en_personal</vt:lpstr>
      <vt:lpstr>Egresos_en_personal_para_inversión</vt:lpstr>
      <vt:lpstr>Otros_egresos_corrientes</vt:lpstr>
      <vt:lpstr>Otros_egresos_de_inversión</vt:lpstr>
      <vt:lpstr>Otros_pasivos</vt:lpstr>
      <vt:lpstr>Subsecretaría_de_Calidad_en_el_Servicio_Público</vt:lpstr>
      <vt:lpstr>Subsecretaría_de_Cualificaciones_Profesionales</vt:lpstr>
      <vt:lpstr>Subsecretaría_de_Empleo_y_Salarios</vt:lpstr>
      <vt:lpstr>Subsecretaría_de_Evaluación_y_Control_del_Servicio_Público</vt:lpstr>
      <vt:lpstr>Subsecretaría_de_Fortalecimiento_del_Servicio_Público</vt:lpstr>
      <vt:lpstr>Subsecretaría_de_Meritocracia_y_Desarrollo_del_Talento_Humano</vt:lpstr>
      <vt:lpstr>Subsecretaría_de_Políticas_y_Normas</vt:lpstr>
      <vt:lpstr>Subsecretaría_de_Trabajo</vt:lpstr>
      <vt:lpstr>Subsecretaría_Interinstitucional_de_Servicio_Público_Trabajo_y_Empleo</vt:lpstr>
      <vt:lpstr>Transferencias_o_donaciones_para_inversion</vt:lpstr>
      <vt:lpstr>UNIDAD</vt:lpstr>
      <vt:lpstr>Viceministerio</vt:lpstr>
      <vt:lpstr>Viceministerio_del_Servicio_Público</vt:lpstr>
      <vt:lpstr>Viceministerio_del_Trabajo_y_Empleo</vt:lpstr>
      <vt:lpstr>Vicemisnisterio_del_Trabajo_y_Empleo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Edwin Duque</cp:lastModifiedBy>
  <dcterms:created xsi:type="dcterms:W3CDTF">2022-06-23T20:40:07Z</dcterms:created>
  <dcterms:modified xsi:type="dcterms:W3CDTF">2023-01-03T21:50:54Z</dcterms:modified>
</cp:coreProperties>
</file>